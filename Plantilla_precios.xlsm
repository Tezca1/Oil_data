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rnando\Desktop\Carpeta de reporte semanal de precios\"/>
    </mc:Choice>
  </mc:AlternateContent>
  <xr:revisionPtr revIDLastSave="0" documentId="13_ncr:1_{B3DEA27C-C754-4AEB-B0B4-7C97D2136D4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latts" sheetId="1" r:id="rId1"/>
    <sheet name="Diarios" sheetId="2" r:id="rId2"/>
    <sheet name="Tabla" sheetId="3" r:id="rId3"/>
    <sheet name="GPrecio" sheetId="4" r:id="rId4"/>
    <sheet name="Tabla2" sheetId="5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39" i="4" l="1"/>
  <c r="G440" i="4" s="1"/>
  <c r="B2630" i="2"/>
  <c r="M1880" i="1"/>
  <c r="L1880" i="1"/>
  <c r="K1880" i="1"/>
  <c r="J1880" i="1"/>
  <c r="I1880" i="1"/>
  <c r="H1880" i="1"/>
  <c r="G1880" i="1"/>
  <c r="G438" i="4"/>
  <c r="G2629" i="2"/>
  <c r="F2629" i="2"/>
  <c r="B2629" i="2"/>
  <c r="H2629" i="2" s="1"/>
  <c r="M1879" i="1"/>
  <c r="L1879" i="1"/>
  <c r="K1879" i="1"/>
  <c r="J1879" i="1"/>
  <c r="I1879" i="1"/>
  <c r="H1879" i="1"/>
  <c r="G1879" i="1"/>
  <c r="G437" i="4"/>
  <c r="I2628" i="2"/>
  <c r="H2628" i="2"/>
  <c r="C2628" i="2"/>
  <c r="B2628" i="2"/>
  <c r="G2628" i="2" s="1"/>
  <c r="M1878" i="1"/>
  <c r="L1878" i="1"/>
  <c r="K1878" i="1"/>
  <c r="J1878" i="1"/>
  <c r="I1878" i="1"/>
  <c r="H1878" i="1"/>
  <c r="G1878" i="1"/>
  <c r="C3" i="3"/>
  <c r="I2627" i="2"/>
  <c r="H2627" i="2"/>
  <c r="G2627" i="2"/>
  <c r="F2627" i="2"/>
  <c r="E2627" i="2"/>
  <c r="D2627" i="2"/>
  <c r="C2627" i="2"/>
  <c r="B2627" i="2"/>
  <c r="M1877" i="1"/>
  <c r="L1877" i="1"/>
  <c r="K1877" i="1"/>
  <c r="J1877" i="1"/>
  <c r="I1877" i="1"/>
  <c r="H1877" i="1"/>
  <c r="G1877" i="1"/>
  <c r="G434" i="4"/>
  <c r="G435" i="4" s="1"/>
  <c r="G436" i="4" s="1"/>
  <c r="G429" i="4"/>
  <c r="G430" i="4" s="1"/>
  <c r="G431" i="4" s="1"/>
  <c r="G432" i="4" s="1"/>
  <c r="G433" i="4" s="1"/>
  <c r="G426" i="4"/>
  <c r="G427" i="4" s="1"/>
  <c r="G428" i="4" s="1"/>
  <c r="G424" i="4"/>
  <c r="G425" i="4" s="1"/>
  <c r="L1876" i="1"/>
  <c r="K1876" i="1"/>
  <c r="J1876" i="1"/>
  <c r="I1876" i="1"/>
  <c r="H1876" i="1"/>
  <c r="G1876" i="1"/>
  <c r="G300" i="4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M1876" i="1"/>
  <c r="G441" i="4" l="1"/>
  <c r="H441" i="4" s="1"/>
  <c r="H440" i="4"/>
  <c r="H439" i="4"/>
  <c r="B2631" i="2"/>
  <c r="F2630" i="2"/>
  <c r="G2630" i="2"/>
  <c r="H2630" i="2"/>
  <c r="I2629" i="2"/>
  <c r="I2630" i="2" s="1"/>
  <c r="D2629" i="2"/>
  <c r="D2630" i="2" s="1"/>
  <c r="C2629" i="2"/>
  <c r="J2629" i="2" s="1"/>
  <c r="H438" i="4" s="1"/>
  <c r="E2629" i="2"/>
  <c r="E2630" i="2" s="1"/>
  <c r="J2628" i="2"/>
  <c r="H437" i="4" s="1"/>
  <c r="D2628" i="2"/>
  <c r="E2628" i="2"/>
  <c r="F2628" i="2"/>
  <c r="J2627" i="2"/>
  <c r="H436" i="4" s="1"/>
  <c r="B2626" i="2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A16" i="5"/>
  <c r="A13" i="5"/>
  <c r="H2631" i="2" l="1"/>
  <c r="G2631" i="2"/>
  <c r="F2631" i="2"/>
  <c r="E2631" i="2"/>
  <c r="D2631" i="2"/>
  <c r="B2632" i="2"/>
  <c r="I2631" i="2"/>
  <c r="C2630" i="2"/>
  <c r="J2630" i="2" s="1"/>
  <c r="B30" i="2"/>
  <c r="A17" i="5"/>
  <c r="B16" i="5"/>
  <c r="B15" i="5"/>
  <c r="C2631" i="2" l="1"/>
  <c r="J2631" i="2" s="1"/>
  <c r="G2632" i="2"/>
  <c r="F2632" i="2"/>
  <c r="E2632" i="2"/>
  <c r="D2632" i="2"/>
  <c r="C2632" i="2"/>
  <c r="I2632" i="2"/>
  <c r="H2632" i="2"/>
  <c r="J2632" i="2" s="1"/>
  <c r="B31" i="2"/>
  <c r="B17" i="5"/>
  <c r="A18" i="5"/>
  <c r="B32" i="2" l="1"/>
  <c r="A19" i="5"/>
  <c r="B18" i="5"/>
  <c r="B33" i="2" l="1"/>
  <c r="A20" i="5"/>
  <c r="B19" i="5"/>
  <c r="B34" i="2" l="1"/>
  <c r="B20" i="5"/>
  <c r="A21" i="5"/>
  <c r="B35" i="2" l="1"/>
  <c r="B21" i="5"/>
  <c r="A22" i="5"/>
  <c r="B22" i="5" s="1"/>
  <c r="B36" i="2" l="1"/>
  <c r="A23" i="5"/>
  <c r="B23" i="5" s="1"/>
  <c r="B37" i="2" l="1"/>
  <c r="A24" i="5"/>
  <c r="B24" i="5" s="1"/>
  <c r="B38" i="2" l="1"/>
  <c r="A25" i="5"/>
  <c r="A26" i="5" l="1"/>
  <c r="B25" i="5"/>
  <c r="B39" i="2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B430" i="2" s="1"/>
  <c r="B431" i="2" s="1"/>
  <c r="B432" i="2" s="1"/>
  <c r="B433" i="2" s="1"/>
  <c r="B434" i="2" s="1"/>
  <c r="B435" i="2" s="1"/>
  <c r="B436" i="2" s="1"/>
  <c r="B437" i="2" s="1"/>
  <c r="B438" i="2" s="1"/>
  <c r="B439" i="2" s="1"/>
  <c r="B440" i="2" s="1"/>
  <c r="B441" i="2" s="1"/>
  <c r="B442" i="2" s="1"/>
  <c r="B443" i="2" s="1"/>
  <c r="B444" i="2" s="1"/>
  <c r="B445" i="2" s="1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B461" i="2" s="1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B558" i="2" s="1"/>
  <c r="B559" i="2" s="1"/>
  <c r="B560" i="2" s="1"/>
  <c r="B561" i="2" s="1"/>
  <c r="B562" i="2" s="1"/>
  <c r="B563" i="2" s="1"/>
  <c r="B564" i="2" s="1"/>
  <c r="B565" i="2" s="1"/>
  <c r="B566" i="2" s="1"/>
  <c r="B567" i="2" s="1"/>
  <c r="B568" i="2" s="1"/>
  <c r="B569" i="2" s="1"/>
  <c r="B570" i="2" s="1"/>
  <c r="B571" i="2" s="1"/>
  <c r="B572" i="2" s="1"/>
  <c r="B573" i="2" s="1"/>
  <c r="B574" i="2" s="1"/>
  <c r="B575" i="2" s="1"/>
  <c r="B576" i="2" s="1"/>
  <c r="B577" i="2" s="1"/>
  <c r="B578" i="2" s="1"/>
  <c r="B579" i="2" s="1"/>
  <c r="B580" i="2" s="1"/>
  <c r="B581" i="2" s="1"/>
  <c r="B582" i="2" s="1"/>
  <c r="B583" i="2" s="1"/>
  <c r="B584" i="2" s="1"/>
  <c r="B585" i="2" s="1"/>
  <c r="B586" i="2" s="1"/>
  <c r="B587" i="2" s="1"/>
  <c r="B588" i="2" s="1"/>
  <c r="B589" i="2" s="1"/>
  <c r="B590" i="2" s="1"/>
  <c r="B591" i="2" s="1"/>
  <c r="B592" i="2" s="1"/>
  <c r="B593" i="2" s="1"/>
  <c r="B594" i="2" s="1"/>
  <c r="B595" i="2" s="1"/>
  <c r="B596" i="2" s="1"/>
  <c r="B597" i="2" s="1"/>
  <c r="B598" i="2" s="1"/>
  <c r="B599" i="2" s="1"/>
  <c r="B600" i="2" s="1"/>
  <c r="B601" i="2" s="1"/>
  <c r="B602" i="2" s="1"/>
  <c r="B603" i="2" s="1"/>
  <c r="B604" i="2" s="1"/>
  <c r="B605" i="2" s="1"/>
  <c r="B606" i="2" s="1"/>
  <c r="B607" i="2" s="1"/>
  <c r="B608" i="2" s="1"/>
  <c r="B609" i="2" s="1"/>
  <c r="B610" i="2" s="1"/>
  <c r="B611" i="2" s="1"/>
  <c r="B612" i="2" s="1"/>
  <c r="B613" i="2" s="1"/>
  <c r="B614" i="2" s="1"/>
  <c r="B615" i="2" s="1"/>
  <c r="B616" i="2" s="1"/>
  <c r="B617" i="2" s="1"/>
  <c r="B618" i="2" s="1"/>
  <c r="B619" i="2" s="1"/>
  <c r="B620" i="2" s="1"/>
  <c r="B621" i="2" s="1"/>
  <c r="B622" i="2" s="1"/>
  <c r="B623" i="2" s="1"/>
  <c r="B624" i="2" s="1"/>
  <c r="B625" i="2" s="1"/>
  <c r="B626" i="2" s="1"/>
  <c r="B627" i="2" s="1"/>
  <c r="B628" i="2" s="1"/>
  <c r="B629" i="2" s="1"/>
  <c r="B630" i="2" s="1"/>
  <c r="B631" i="2" s="1"/>
  <c r="B632" i="2" s="1"/>
  <c r="B633" i="2" s="1"/>
  <c r="B634" i="2" s="1"/>
  <c r="B635" i="2" s="1"/>
  <c r="B636" i="2" s="1"/>
  <c r="B637" i="2" s="1"/>
  <c r="B638" i="2" s="1"/>
  <c r="B639" i="2" s="1"/>
  <c r="B640" i="2" s="1"/>
  <c r="B641" i="2" s="1"/>
  <c r="B642" i="2" s="1"/>
  <c r="B643" i="2" s="1"/>
  <c r="B644" i="2" s="1"/>
  <c r="B645" i="2" s="1"/>
  <c r="B646" i="2" s="1"/>
  <c r="B647" i="2" s="1"/>
  <c r="B648" i="2" s="1"/>
  <c r="B649" i="2" s="1"/>
  <c r="B650" i="2" s="1"/>
  <c r="B651" i="2" s="1"/>
  <c r="B652" i="2" s="1"/>
  <c r="B653" i="2" s="1"/>
  <c r="B654" i="2" s="1"/>
  <c r="B655" i="2" s="1"/>
  <c r="B656" i="2" s="1"/>
  <c r="B657" i="2" s="1"/>
  <c r="B658" i="2" s="1"/>
  <c r="B659" i="2" s="1"/>
  <c r="B660" i="2" s="1"/>
  <c r="B661" i="2" s="1"/>
  <c r="B662" i="2" s="1"/>
  <c r="B663" i="2" s="1"/>
  <c r="B664" i="2" s="1"/>
  <c r="B665" i="2" s="1"/>
  <c r="B666" i="2" s="1"/>
  <c r="B667" i="2" s="1"/>
  <c r="B668" i="2" s="1"/>
  <c r="B669" i="2" s="1"/>
  <c r="B670" i="2" s="1"/>
  <c r="B671" i="2" s="1"/>
  <c r="B672" i="2" s="1"/>
  <c r="B673" i="2" s="1"/>
  <c r="B674" i="2" s="1"/>
  <c r="B675" i="2" s="1"/>
  <c r="B676" i="2" s="1"/>
  <c r="B677" i="2" s="1"/>
  <c r="B678" i="2" s="1"/>
  <c r="B679" i="2" s="1"/>
  <c r="B680" i="2" s="1"/>
  <c r="B681" i="2" s="1"/>
  <c r="B682" i="2" s="1"/>
  <c r="B683" i="2" s="1"/>
  <c r="B684" i="2" s="1"/>
  <c r="B685" i="2" s="1"/>
  <c r="B686" i="2" s="1"/>
  <c r="B687" i="2" s="1"/>
  <c r="B688" i="2" s="1"/>
  <c r="B689" i="2" s="1"/>
  <c r="B690" i="2" s="1"/>
  <c r="B691" i="2" s="1"/>
  <c r="B692" i="2" s="1"/>
  <c r="B693" i="2" s="1"/>
  <c r="B694" i="2" s="1"/>
  <c r="B695" i="2" s="1"/>
  <c r="B696" i="2" s="1"/>
  <c r="B697" i="2" s="1"/>
  <c r="B698" i="2" s="1"/>
  <c r="B699" i="2" s="1"/>
  <c r="B700" i="2" s="1"/>
  <c r="B701" i="2" s="1"/>
  <c r="B702" i="2" s="1"/>
  <c r="B703" i="2" s="1"/>
  <c r="B704" i="2" s="1"/>
  <c r="B705" i="2" s="1"/>
  <c r="B706" i="2" s="1"/>
  <c r="B707" i="2" s="1"/>
  <c r="B708" i="2" s="1"/>
  <c r="B709" i="2" s="1"/>
  <c r="B710" i="2" s="1"/>
  <c r="B711" i="2" s="1"/>
  <c r="B712" i="2" s="1"/>
  <c r="B713" i="2" s="1"/>
  <c r="B714" i="2" s="1"/>
  <c r="B715" i="2" s="1"/>
  <c r="B716" i="2" s="1"/>
  <c r="B717" i="2" s="1"/>
  <c r="B718" i="2" s="1"/>
  <c r="B719" i="2" s="1"/>
  <c r="B720" i="2" s="1"/>
  <c r="B721" i="2" s="1"/>
  <c r="B722" i="2" s="1"/>
  <c r="B723" i="2" s="1"/>
  <c r="B724" i="2" s="1"/>
  <c r="B725" i="2" s="1"/>
  <c r="B726" i="2" s="1"/>
  <c r="B727" i="2" s="1"/>
  <c r="B728" i="2" s="1"/>
  <c r="B729" i="2" s="1"/>
  <c r="B730" i="2" s="1"/>
  <c r="B731" i="2" s="1"/>
  <c r="B732" i="2" s="1"/>
  <c r="B733" i="2" s="1"/>
  <c r="B734" i="2" s="1"/>
  <c r="B735" i="2" s="1"/>
  <c r="B736" i="2" s="1"/>
  <c r="B737" i="2" s="1"/>
  <c r="B738" i="2" s="1"/>
  <c r="B739" i="2" s="1"/>
  <c r="B740" i="2" s="1"/>
  <c r="B741" i="2" s="1"/>
  <c r="B742" i="2" s="1"/>
  <c r="B743" i="2" s="1"/>
  <c r="B744" i="2" s="1"/>
  <c r="B745" i="2" s="1"/>
  <c r="B746" i="2" s="1"/>
  <c r="B747" i="2" s="1"/>
  <c r="B748" i="2" s="1"/>
  <c r="B749" i="2" s="1"/>
  <c r="B750" i="2" s="1"/>
  <c r="B751" i="2" s="1"/>
  <c r="B752" i="2" s="1"/>
  <c r="B753" i="2" s="1"/>
  <c r="B754" i="2" s="1"/>
  <c r="B755" i="2" s="1"/>
  <c r="B756" i="2" s="1"/>
  <c r="B757" i="2" s="1"/>
  <c r="B758" i="2" s="1"/>
  <c r="B759" i="2" s="1"/>
  <c r="B760" i="2" s="1"/>
  <c r="B761" i="2" s="1"/>
  <c r="B762" i="2" s="1"/>
  <c r="B763" i="2" s="1"/>
  <c r="B764" i="2" s="1"/>
  <c r="B765" i="2" s="1"/>
  <c r="B766" i="2" s="1"/>
  <c r="B767" i="2" s="1"/>
  <c r="B768" i="2" s="1"/>
  <c r="B769" i="2" s="1"/>
  <c r="B770" i="2" s="1"/>
  <c r="B771" i="2" s="1"/>
  <c r="B772" i="2" s="1"/>
  <c r="B773" i="2" s="1"/>
  <c r="B774" i="2" s="1"/>
  <c r="B775" i="2" s="1"/>
  <c r="B776" i="2" s="1"/>
  <c r="B777" i="2" s="1"/>
  <c r="B778" i="2" s="1"/>
  <c r="B779" i="2" s="1"/>
  <c r="B780" i="2" s="1"/>
  <c r="B781" i="2" s="1"/>
  <c r="B782" i="2" s="1"/>
  <c r="B783" i="2" s="1"/>
  <c r="B784" i="2" s="1"/>
  <c r="B785" i="2" s="1"/>
  <c r="B786" i="2" s="1"/>
  <c r="B787" i="2" s="1"/>
  <c r="B788" i="2" s="1"/>
  <c r="B789" i="2" s="1"/>
  <c r="B790" i="2" s="1"/>
  <c r="B791" i="2" s="1"/>
  <c r="B792" i="2" s="1"/>
  <c r="B793" i="2" s="1"/>
  <c r="B794" i="2" s="1"/>
  <c r="B795" i="2" s="1"/>
  <c r="B796" i="2" s="1"/>
  <c r="B797" i="2" s="1"/>
  <c r="B798" i="2" s="1"/>
  <c r="B799" i="2" s="1"/>
  <c r="B800" i="2" s="1"/>
  <c r="B801" i="2" s="1"/>
  <c r="B802" i="2" s="1"/>
  <c r="B803" i="2" s="1"/>
  <c r="B804" i="2" s="1"/>
  <c r="B805" i="2" s="1"/>
  <c r="B806" i="2" s="1"/>
  <c r="B807" i="2" s="1"/>
  <c r="B808" i="2" s="1"/>
  <c r="B809" i="2" s="1"/>
  <c r="B810" i="2" s="1"/>
  <c r="B811" i="2" s="1"/>
  <c r="B812" i="2" s="1"/>
  <c r="B813" i="2" s="1"/>
  <c r="B814" i="2" s="1"/>
  <c r="B815" i="2" s="1"/>
  <c r="B816" i="2" s="1"/>
  <c r="B817" i="2" s="1"/>
  <c r="B818" i="2" s="1"/>
  <c r="B819" i="2" s="1"/>
  <c r="B820" i="2" s="1"/>
  <c r="B821" i="2" s="1"/>
  <c r="B822" i="2" s="1"/>
  <c r="B823" i="2" s="1"/>
  <c r="B824" i="2" s="1"/>
  <c r="B825" i="2" s="1"/>
  <c r="B826" i="2" s="1"/>
  <c r="B827" i="2" s="1"/>
  <c r="B828" i="2" s="1"/>
  <c r="B829" i="2" s="1"/>
  <c r="B830" i="2" s="1"/>
  <c r="B831" i="2" s="1"/>
  <c r="B832" i="2" s="1"/>
  <c r="B833" i="2" s="1"/>
  <c r="B834" i="2" s="1"/>
  <c r="B835" i="2" s="1"/>
  <c r="B836" i="2" s="1"/>
  <c r="B837" i="2" s="1"/>
  <c r="B838" i="2" s="1"/>
  <c r="B839" i="2" s="1"/>
  <c r="B840" i="2" s="1"/>
  <c r="B841" i="2" s="1"/>
  <c r="B842" i="2" s="1"/>
  <c r="B843" i="2" s="1"/>
  <c r="B844" i="2" s="1"/>
  <c r="B845" i="2" s="1"/>
  <c r="B846" i="2" s="1"/>
  <c r="B847" i="2" s="1"/>
  <c r="B848" i="2" s="1"/>
  <c r="B849" i="2" s="1"/>
  <c r="B850" i="2" s="1"/>
  <c r="B851" i="2" s="1"/>
  <c r="B852" i="2" s="1"/>
  <c r="B853" i="2" s="1"/>
  <c r="B854" i="2" s="1"/>
  <c r="B855" i="2" s="1"/>
  <c r="B856" i="2" s="1"/>
  <c r="B857" i="2" s="1"/>
  <c r="B858" i="2" s="1"/>
  <c r="B859" i="2" s="1"/>
  <c r="B860" i="2" s="1"/>
  <c r="B861" i="2" s="1"/>
  <c r="B862" i="2" s="1"/>
  <c r="B863" i="2" s="1"/>
  <c r="B864" i="2" s="1"/>
  <c r="B865" i="2" s="1"/>
  <c r="B866" i="2" s="1"/>
  <c r="B867" i="2" s="1"/>
  <c r="B868" i="2" s="1"/>
  <c r="B869" i="2" s="1"/>
  <c r="B870" i="2" s="1"/>
  <c r="B871" i="2" s="1"/>
  <c r="B872" i="2" s="1"/>
  <c r="B873" i="2" s="1"/>
  <c r="B874" i="2" s="1"/>
  <c r="B875" i="2" s="1"/>
  <c r="B876" i="2" s="1"/>
  <c r="B877" i="2" s="1"/>
  <c r="B878" i="2" s="1"/>
  <c r="B879" i="2" s="1"/>
  <c r="B880" i="2" s="1"/>
  <c r="B881" i="2" s="1"/>
  <c r="B882" i="2" s="1"/>
  <c r="B883" i="2" s="1"/>
  <c r="B884" i="2" s="1"/>
  <c r="B885" i="2" s="1"/>
  <c r="B886" i="2" s="1"/>
  <c r="B887" i="2" s="1"/>
  <c r="B888" i="2" s="1"/>
  <c r="B889" i="2" s="1"/>
  <c r="B890" i="2" s="1"/>
  <c r="B891" i="2" s="1"/>
  <c r="B892" i="2" s="1"/>
  <c r="B893" i="2" s="1"/>
  <c r="B894" i="2" s="1"/>
  <c r="B895" i="2" s="1"/>
  <c r="B896" i="2" s="1"/>
  <c r="B897" i="2" s="1"/>
  <c r="B898" i="2" s="1"/>
  <c r="B899" i="2" s="1"/>
  <c r="B900" i="2" s="1"/>
  <c r="B901" i="2" s="1"/>
  <c r="B902" i="2" s="1"/>
  <c r="B903" i="2" s="1"/>
  <c r="B904" i="2" s="1"/>
  <c r="B905" i="2" s="1"/>
  <c r="B906" i="2" s="1"/>
  <c r="B907" i="2" s="1"/>
  <c r="B908" i="2" s="1"/>
  <c r="B909" i="2" s="1"/>
  <c r="B910" i="2" s="1"/>
  <c r="B911" i="2" s="1"/>
  <c r="B912" i="2" s="1"/>
  <c r="B913" i="2" s="1"/>
  <c r="B914" i="2" s="1"/>
  <c r="B915" i="2" s="1"/>
  <c r="B916" i="2" s="1"/>
  <c r="B917" i="2" s="1"/>
  <c r="B918" i="2" s="1"/>
  <c r="B919" i="2" s="1"/>
  <c r="B920" i="2" s="1"/>
  <c r="B921" i="2" s="1"/>
  <c r="B922" i="2" s="1"/>
  <c r="B923" i="2" s="1"/>
  <c r="B924" i="2" s="1"/>
  <c r="B925" i="2" s="1"/>
  <c r="B926" i="2" s="1"/>
  <c r="B927" i="2" s="1"/>
  <c r="B928" i="2" s="1"/>
  <c r="B929" i="2" s="1"/>
  <c r="B930" i="2" s="1"/>
  <c r="B931" i="2" s="1"/>
  <c r="B932" i="2" s="1"/>
  <c r="B933" i="2" s="1"/>
  <c r="B934" i="2" s="1"/>
  <c r="B935" i="2" s="1"/>
  <c r="B936" i="2" s="1"/>
  <c r="B937" i="2" s="1"/>
  <c r="B938" i="2" s="1"/>
  <c r="B939" i="2" s="1"/>
  <c r="B940" i="2" s="1"/>
  <c r="B941" i="2" s="1"/>
  <c r="B942" i="2" s="1"/>
  <c r="B943" i="2" s="1"/>
  <c r="B944" i="2" s="1"/>
  <c r="B945" i="2" s="1"/>
  <c r="B946" i="2" s="1"/>
  <c r="B947" i="2" s="1"/>
  <c r="B948" i="2" s="1"/>
  <c r="B949" i="2" s="1"/>
  <c r="B950" i="2" s="1"/>
  <c r="B951" i="2" s="1"/>
  <c r="B952" i="2" s="1"/>
  <c r="B953" i="2" s="1"/>
  <c r="B954" i="2" s="1"/>
  <c r="B955" i="2" s="1"/>
  <c r="B956" i="2" s="1"/>
  <c r="B957" i="2" s="1"/>
  <c r="B958" i="2" s="1"/>
  <c r="B959" i="2" s="1"/>
  <c r="B960" i="2" s="1"/>
  <c r="B961" i="2" s="1"/>
  <c r="B962" i="2" s="1"/>
  <c r="B963" i="2" s="1"/>
  <c r="B964" i="2" s="1"/>
  <c r="B965" i="2" s="1"/>
  <c r="B966" i="2" s="1"/>
  <c r="B967" i="2" s="1"/>
  <c r="B968" i="2" s="1"/>
  <c r="B969" i="2" s="1"/>
  <c r="B970" i="2" s="1"/>
  <c r="B971" i="2" s="1"/>
  <c r="B972" i="2" s="1"/>
  <c r="B973" i="2" s="1"/>
  <c r="B974" i="2" s="1"/>
  <c r="B975" i="2" s="1"/>
  <c r="B976" i="2" s="1"/>
  <c r="B977" i="2" s="1"/>
  <c r="B978" i="2" s="1"/>
  <c r="B979" i="2" s="1"/>
  <c r="B980" i="2" s="1"/>
  <c r="B981" i="2" s="1"/>
  <c r="B982" i="2" s="1"/>
  <c r="B983" i="2" s="1"/>
  <c r="B984" i="2" s="1"/>
  <c r="B985" i="2" s="1"/>
  <c r="B986" i="2" s="1"/>
  <c r="B987" i="2" s="1"/>
  <c r="B988" i="2" s="1"/>
  <c r="B989" i="2" s="1"/>
  <c r="B990" i="2" s="1"/>
  <c r="B991" i="2" s="1"/>
  <c r="B992" i="2" s="1"/>
  <c r="B993" i="2" s="1"/>
  <c r="B994" i="2" s="1"/>
  <c r="B995" i="2" s="1"/>
  <c r="B996" i="2" s="1"/>
  <c r="B997" i="2" s="1"/>
  <c r="B998" i="2" s="1"/>
  <c r="B999" i="2" s="1"/>
  <c r="B1000" i="2" s="1"/>
  <c r="B1001" i="2" s="1"/>
  <c r="B1002" i="2" s="1"/>
  <c r="B1003" i="2" s="1"/>
  <c r="B1004" i="2" s="1"/>
  <c r="B1005" i="2" s="1"/>
  <c r="B1006" i="2" s="1"/>
  <c r="B1007" i="2" s="1"/>
  <c r="B1008" i="2" s="1"/>
  <c r="B1009" i="2" s="1"/>
  <c r="B1010" i="2" s="1"/>
  <c r="B1011" i="2" s="1"/>
  <c r="B1012" i="2" s="1"/>
  <c r="B1013" i="2" s="1"/>
  <c r="B1014" i="2" s="1"/>
  <c r="B1015" i="2" s="1"/>
  <c r="B1016" i="2" s="1"/>
  <c r="B1017" i="2" s="1"/>
  <c r="B1018" i="2" s="1"/>
  <c r="B1019" i="2" s="1"/>
  <c r="B1020" i="2" s="1"/>
  <c r="B1021" i="2" s="1"/>
  <c r="B1022" i="2" s="1"/>
  <c r="B1023" i="2" s="1"/>
  <c r="B1024" i="2" s="1"/>
  <c r="B1025" i="2" s="1"/>
  <c r="B1026" i="2" s="1"/>
  <c r="B1027" i="2" s="1"/>
  <c r="B1028" i="2" s="1"/>
  <c r="B1029" i="2" s="1"/>
  <c r="B1030" i="2" s="1"/>
  <c r="B1031" i="2" s="1"/>
  <c r="B1032" i="2" s="1"/>
  <c r="B1033" i="2" s="1"/>
  <c r="B1034" i="2" s="1"/>
  <c r="B1035" i="2" s="1"/>
  <c r="B1036" i="2" s="1"/>
  <c r="B1037" i="2" s="1"/>
  <c r="B1038" i="2" s="1"/>
  <c r="B1039" i="2" s="1"/>
  <c r="B1040" i="2" s="1"/>
  <c r="B1041" i="2" s="1"/>
  <c r="B1042" i="2" s="1"/>
  <c r="B1043" i="2" s="1"/>
  <c r="B1044" i="2" s="1"/>
  <c r="B1045" i="2" s="1"/>
  <c r="B1046" i="2" s="1"/>
  <c r="B1047" i="2" s="1"/>
  <c r="B1048" i="2" s="1"/>
  <c r="B1049" i="2" s="1"/>
  <c r="B1050" i="2" s="1"/>
  <c r="B1051" i="2" s="1"/>
  <c r="B1052" i="2" s="1"/>
  <c r="B1053" i="2" s="1"/>
  <c r="B1054" i="2" s="1"/>
  <c r="B1055" i="2" s="1"/>
  <c r="B1056" i="2" s="1"/>
  <c r="B1057" i="2" s="1"/>
  <c r="B1058" i="2" s="1"/>
  <c r="B1059" i="2" s="1"/>
  <c r="B1060" i="2" s="1"/>
  <c r="B1061" i="2" s="1"/>
  <c r="B1062" i="2" s="1"/>
  <c r="B1063" i="2" s="1"/>
  <c r="B1064" i="2" s="1"/>
  <c r="B1065" i="2" s="1"/>
  <c r="B1066" i="2" s="1"/>
  <c r="B1067" i="2" s="1"/>
  <c r="B1068" i="2" s="1"/>
  <c r="B1069" i="2" s="1"/>
  <c r="B1070" i="2" s="1"/>
  <c r="B1071" i="2" s="1"/>
  <c r="B1072" i="2" s="1"/>
  <c r="B1073" i="2" s="1"/>
  <c r="B1074" i="2" s="1"/>
  <c r="B1075" i="2" s="1"/>
  <c r="B1076" i="2" s="1"/>
  <c r="B1077" i="2" s="1"/>
  <c r="B1078" i="2" s="1"/>
  <c r="B1079" i="2" s="1"/>
  <c r="B1080" i="2" s="1"/>
  <c r="B1081" i="2" s="1"/>
  <c r="B1082" i="2" s="1"/>
  <c r="B1083" i="2" s="1"/>
  <c r="B1084" i="2" s="1"/>
  <c r="B1085" i="2" s="1"/>
  <c r="B1086" i="2" s="1"/>
  <c r="B1087" i="2" s="1"/>
  <c r="B1088" i="2" s="1"/>
  <c r="B1089" i="2" s="1"/>
  <c r="B1090" i="2" s="1"/>
  <c r="B1091" i="2" s="1"/>
  <c r="B1092" i="2" s="1"/>
  <c r="B1093" i="2" s="1"/>
  <c r="B1094" i="2" s="1"/>
  <c r="B1095" i="2" s="1"/>
  <c r="B1096" i="2" s="1"/>
  <c r="B1097" i="2" s="1"/>
  <c r="B1098" i="2" s="1"/>
  <c r="B1099" i="2" s="1"/>
  <c r="B1100" i="2" s="1"/>
  <c r="B1101" i="2" s="1"/>
  <c r="B1102" i="2" s="1"/>
  <c r="B1103" i="2" s="1"/>
  <c r="B1104" i="2" s="1"/>
  <c r="B1105" i="2" s="1"/>
  <c r="B1106" i="2" s="1"/>
  <c r="B1107" i="2" s="1"/>
  <c r="B1108" i="2" s="1"/>
  <c r="B1109" i="2" s="1"/>
  <c r="B1110" i="2" s="1"/>
  <c r="B1111" i="2" s="1"/>
  <c r="B1112" i="2" s="1"/>
  <c r="B1113" i="2" s="1"/>
  <c r="B1114" i="2" s="1"/>
  <c r="B1115" i="2" s="1"/>
  <c r="B1116" i="2" s="1"/>
  <c r="B1117" i="2" s="1"/>
  <c r="B1118" i="2" s="1"/>
  <c r="B1119" i="2" s="1"/>
  <c r="B1120" i="2" s="1"/>
  <c r="B1121" i="2" s="1"/>
  <c r="B1122" i="2" s="1"/>
  <c r="B1123" i="2" s="1"/>
  <c r="B1124" i="2" s="1"/>
  <c r="B1125" i="2" s="1"/>
  <c r="B1126" i="2" s="1"/>
  <c r="B1127" i="2" s="1"/>
  <c r="B1128" i="2" s="1"/>
  <c r="B1129" i="2" s="1"/>
  <c r="B1130" i="2" s="1"/>
  <c r="B1131" i="2" s="1"/>
  <c r="B1132" i="2" s="1"/>
  <c r="B1133" i="2" s="1"/>
  <c r="B1134" i="2" s="1"/>
  <c r="B1135" i="2" s="1"/>
  <c r="B1136" i="2" s="1"/>
  <c r="B1137" i="2" s="1"/>
  <c r="B1138" i="2" s="1"/>
  <c r="B1139" i="2" s="1"/>
  <c r="B1140" i="2" s="1"/>
  <c r="B1141" i="2" s="1"/>
  <c r="B1142" i="2" s="1"/>
  <c r="B1143" i="2" s="1"/>
  <c r="B1144" i="2" s="1"/>
  <c r="B1145" i="2" s="1"/>
  <c r="B1146" i="2" s="1"/>
  <c r="B1147" i="2" s="1"/>
  <c r="B1148" i="2" s="1"/>
  <c r="B1149" i="2" s="1"/>
  <c r="B1150" i="2" s="1"/>
  <c r="B1151" i="2" s="1"/>
  <c r="B1152" i="2" s="1"/>
  <c r="B1153" i="2" s="1"/>
  <c r="B1154" i="2" s="1"/>
  <c r="B1155" i="2" s="1"/>
  <c r="B1156" i="2" s="1"/>
  <c r="B1157" i="2" s="1"/>
  <c r="B1158" i="2" s="1"/>
  <c r="B1159" i="2" s="1"/>
  <c r="B1160" i="2" s="1"/>
  <c r="B1161" i="2" s="1"/>
  <c r="B1162" i="2" s="1"/>
  <c r="B1163" i="2" s="1"/>
  <c r="B1164" i="2" s="1"/>
  <c r="B1165" i="2" s="1"/>
  <c r="B1166" i="2" s="1"/>
  <c r="B1167" i="2" s="1"/>
  <c r="B1168" i="2" s="1"/>
  <c r="B1169" i="2" s="1"/>
  <c r="B1170" i="2" s="1"/>
  <c r="B1171" i="2" s="1"/>
  <c r="B1172" i="2" s="1"/>
  <c r="B1173" i="2" s="1"/>
  <c r="B1174" i="2" s="1"/>
  <c r="B1175" i="2" s="1"/>
  <c r="B1176" i="2" s="1"/>
  <c r="B1177" i="2" s="1"/>
  <c r="B1178" i="2" s="1"/>
  <c r="B1179" i="2" s="1"/>
  <c r="B1180" i="2" s="1"/>
  <c r="B1181" i="2" s="1"/>
  <c r="B1182" i="2" s="1"/>
  <c r="B1183" i="2" s="1"/>
  <c r="B1184" i="2" s="1"/>
  <c r="B1185" i="2" s="1"/>
  <c r="B1186" i="2" s="1"/>
  <c r="B1187" i="2" s="1"/>
  <c r="B1188" i="2" s="1"/>
  <c r="B1189" i="2" s="1"/>
  <c r="B1190" i="2" s="1"/>
  <c r="B1191" i="2" s="1"/>
  <c r="B1192" i="2" s="1"/>
  <c r="B1193" i="2" s="1"/>
  <c r="B1194" i="2" s="1"/>
  <c r="B1195" i="2" s="1"/>
  <c r="B1196" i="2" s="1"/>
  <c r="B1197" i="2" s="1"/>
  <c r="B1198" i="2" s="1"/>
  <c r="B1199" i="2" s="1"/>
  <c r="B1200" i="2" s="1"/>
  <c r="B1201" i="2" s="1"/>
  <c r="B1202" i="2" s="1"/>
  <c r="B1203" i="2" s="1"/>
  <c r="B1204" i="2" s="1"/>
  <c r="B1205" i="2" s="1"/>
  <c r="B1206" i="2" s="1"/>
  <c r="B1207" i="2" s="1"/>
  <c r="B1208" i="2" s="1"/>
  <c r="B1209" i="2" s="1"/>
  <c r="B1210" i="2" s="1"/>
  <c r="B1211" i="2" s="1"/>
  <c r="B1212" i="2" s="1"/>
  <c r="B1213" i="2" s="1"/>
  <c r="B1214" i="2" s="1"/>
  <c r="B1215" i="2" s="1"/>
  <c r="B1216" i="2" s="1"/>
  <c r="B1217" i="2" s="1"/>
  <c r="B1218" i="2" s="1"/>
  <c r="B1219" i="2" s="1"/>
  <c r="B1220" i="2" s="1"/>
  <c r="B1221" i="2" s="1"/>
  <c r="B1222" i="2" s="1"/>
  <c r="B1223" i="2" s="1"/>
  <c r="B1224" i="2" s="1"/>
  <c r="B1225" i="2" s="1"/>
  <c r="B1226" i="2" s="1"/>
  <c r="B1227" i="2" s="1"/>
  <c r="B1228" i="2" s="1"/>
  <c r="B1229" i="2" s="1"/>
  <c r="B1230" i="2" s="1"/>
  <c r="B1231" i="2" s="1"/>
  <c r="B1232" i="2" s="1"/>
  <c r="B1233" i="2" s="1"/>
  <c r="B1234" i="2" s="1"/>
  <c r="B1235" i="2" s="1"/>
  <c r="B1236" i="2" s="1"/>
  <c r="B1237" i="2" s="1"/>
  <c r="B1238" i="2" s="1"/>
  <c r="B1239" i="2" s="1"/>
  <c r="B1240" i="2" s="1"/>
  <c r="B1241" i="2" s="1"/>
  <c r="B1242" i="2" s="1"/>
  <c r="B1243" i="2" s="1"/>
  <c r="B1244" i="2" s="1"/>
  <c r="B1245" i="2" s="1"/>
  <c r="B1246" i="2" s="1"/>
  <c r="B1247" i="2" s="1"/>
  <c r="B1248" i="2" s="1"/>
  <c r="B1249" i="2" s="1"/>
  <c r="B1250" i="2" s="1"/>
  <c r="B1251" i="2" s="1"/>
  <c r="B1252" i="2" s="1"/>
  <c r="B1253" i="2" s="1"/>
  <c r="B1254" i="2" s="1"/>
  <c r="B1255" i="2" s="1"/>
  <c r="B1256" i="2" s="1"/>
  <c r="B1257" i="2" s="1"/>
  <c r="B1258" i="2" s="1"/>
  <c r="B1259" i="2" s="1"/>
  <c r="B1260" i="2" s="1"/>
  <c r="B1261" i="2" s="1"/>
  <c r="B1262" i="2" s="1"/>
  <c r="B1263" i="2" s="1"/>
  <c r="B1264" i="2" s="1"/>
  <c r="B1265" i="2" s="1"/>
  <c r="B1266" i="2" s="1"/>
  <c r="B1267" i="2" s="1"/>
  <c r="B1268" i="2" s="1"/>
  <c r="B1269" i="2" s="1"/>
  <c r="B1270" i="2" s="1"/>
  <c r="B1271" i="2" s="1"/>
  <c r="B1272" i="2" s="1"/>
  <c r="B1273" i="2" s="1"/>
  <c r="B1274" i="2" s="1"/>
  <c r="B1275" i="2" s="1"/>
  <c r="B1276" i="2" s="1"/>
  <c r="B1277" i="2" s="1"/>
  <c r="B1278" i="2" s="1"/>
  <c r="B1279" i="2" s="1"/>
  <c r="B1280" i="2" s="1"/>
  <c r="B1281" i="2" s="1"/>
  <c r="B1282" i="2" s="1"/>
  <c r="B1283" i="2" s="1"/>
  <c r="B1284" i="2" s="1"/>
  <c r="B1285" i="2" s="1"/>
  <c r="B1286" i="2" s="1"/>
  <c r="B1287" i="2" s="1"/>
  <c r="B1288" i="2" s="1"/>
  <c r="B1289" i="2" s="1"/>
  <c r="B1290" i="2" s="1"/>
  <c r="B1291" i="2" s="1"/>
  <c r="B1292" i="2" s="1"/>
  <c r="B1293" i="2" s="1"/>
  <c r="B1294" i="2" s="1"/>
  <c r="B1295" i="2" s="1"/>
  <c r="B1296" i="2" s="1"/>
  <c r="B1297" i="2" s="1"/>
  <c r="B1298" i="2" s="1"/>
  <c r="B1299" i="2" s="1"/>
  <c r="B1300" i="2" s="1"/>
  <c r="B1301" i="2" s="1"/>
  <c r="B1302" i="2" s="1"/>
  <c r="B1303" i="2" s="1"/>
  <c r="B1304" i="2" s="1"/>
  <c r="B1305" i="2" s="1"/>
  <c r="B1306" i="2" s="1"/>
  <c r="B1307" i="2" s="1"/>
  <c r="B1308" i="2" s="1"/>
  <c r="B1309" i="2" s="1"/>
  <c r="B1310" i="2" s="1"/>
  <c r="B1311" i="2" s="1"/>
  <c r="B1312" i="2" s="1"/>
  <c r="B1313" i="2" s="1"/>
  <c r="B1314" i="2" s="1"/>
  <c r="B1315" i="2" s="1"/>
  <c r="B1316" i="2" s="1"/>
  <c r="B1317" i="2" s="1"/>
  <c r="B1318" i="2" s="1"/>
  <c r="B1319" i="2" s="1"/>
  <c r="B1320" i="2" s="1"/>
  <c r="B1321" i="2" s="1"/>
  <c r="B1322" i="2" s="1"/>
  <c r="B1323" i="2" s="1"/>
  <c r="B1324" i="2" s="1"/>
  <c r="B1325" i="2" s="1"/>
  <c r="B1326" i="2" s="1"/>
  <c r="B1327" i="2" s="1"/>
  <c r="B1328" i="2" s="1"/>
  <c r="B1329" i="2" s="1"/>
  <c r="B1330" i="2" s="1"/>
  <c r="B1331" i="2" s="1"/>
  <c r="B1332" i="2" s="1"/>
  <c r="B1333" i="2" s="1"/>
  <c r="B1334" i="2" s="1"/>
  <c r="B1335" i="2" s="1"/>
  <c r="B1336" i="2" s="1"/>
  <c r="B1337" i="2" s="1"/>
  <c r="B1338" i="2" s="1"/>
  <c r="B1339" i="2" s="1"/>
  <c r="B1340" i="2" s="1"/>
  <c r="B1341" i="2" s="1"/>
  <c r="B1342" i="2" s="1"/>
  <c r="B1343" i="2" s="1"/>
  <c r="B1344" i="2" s="1"/>
  <c r="B1345" i="2" s="1"/>
  <c r="B1346" i="2" s="1"/>
  <c r="B1347" i="2" s="1"/>
  <c r="B1348" i="2" s="1"/>
  <c r="B1349" i="2" s="1"/>
  <c r="B1350" i="2" s="1"/>
  <c r="B1351" i="2" s="1"/>
  <c r="B1352" i="2" s="1"/>
  <c r="B1353" i="2" s="1"/>
  <c r="B1354" i="2" s="1"/>
  <c r="B1355" i="2" s="1"/>
  <c r="B1356" i="2" s="1"/>
  <c r="B1357" i="2" s="1"/>
  <c r="B1358" i="2" s="1"/>
  <c r="B1359" i="2" s="1"/>
  <c r="B1360" i="2" s="1"/>
  <c r="B1361" i="2" s="1"/>
  <c r="B1362" i="2" s="1"/>
  <c r="B1363" i="2" s="1"/>
  <c r="B1364" i="2" s="1"/>
  <c r="B1365" i="2" s="1"/>
  <c r="B1366" i="2" s="1"/>
  <c r="B1367" i="2" s="1"/>
  <c r="B1368" i="2" s="1"/>
  <c r="B1369" i="2" s="1"/>
  <c r="B1370" i="2" s="1"/>
  <c r="B1371" i="2" s="1"/>
  <c r="B1372" i="2" s="1"/>
  <c r="B1373" i="2" s="1"/>
  <c r="B1374" i="2" s="1"/>
  <c r="B1375" i="2" s="1"/>
  <c r="B1376" i="2" s="1"/>
  <c r="B1377" i="2" s="1"/>
  <c r="B1378" i="2" s="1"/>
  <c r="B1379" i="2" s="1"/>
  <c r="B1380" i="2" s="1"/>
  <c r="B1381" i="2" s="1"/>
  <c r="B1382" i="2" s="1"/>
  <c r="B1383" i="2" s="1"/>
  <c r="B1384" i="2" s="1"/>
  <c r="B1385" i="2" s="1"/>
  <c r="B1386" i="2" s="1"/>
  <c r="B1387" i="2" s="1"/>
  <c r="B1388" i="2" s="1"/>
  <c r="B1389" i="2" s="1"/>
  <c r="B1390" i="2" s="1"/>
  <c r="B1391" i="2" s="1"/>
  <c r="B1392" i="2" s="1"/>
  <c r="B1393" i="2" s="1"/>
  <c r="B1394" i="2" s="1"/>
  <c r="B1395" i="2" s="1"/>
  <c r="B1396" i="2" s="1"/>
  <c r="B1397" i="2" s="1"/>
  <c r="B1398" i="2" s="1"/>
  <c r="B1399" i="2" s="1"/>
  <c r="B1400" i="2" s="1"/>
  <c r="B1401" i="2" s="1"/>
  <c r="B1402" i="2" s="1"/>
  <c r="B1403" i="2" s="1"/>
  <c r="B1404" i="2" s="1"/>
  <c r="B1405" i="2" s="1"/>
  <c r="B1406" i="2" s="1"/>
  <c r="B1407" i="2" s="1"/>
  <c r="B1408" i="2" s="1"/>
  <c r="B1409" i="2" s="1"/>
  <c r="B1410" i="2" s="1"/>
  <c r="B1411" i="2" s="1"/>
  <c r="B1412" i="2" s="1"/>
  <c r="B1413" i="2" s="1"/>
  <c r="B1414" i="2" s="1"/>
  <c r="B1415" i="2" s="1"/>
  <c r="B1416" i="2" s="1"/>
  <c r="B1417" i="2" s="1"/>
  <c r="B1418" i="2" s="1"/>
  <c r="B1419" i="2" s="1"/>
  <c r="B1420" i="2" s="1"/>
  <c r="B1421" i="2" s="1"/>
  <c r="B1422" i="2" s="1"/>
  <c r="B1423" i="2" s="1"/>
  <c r="B1424" i="2" s="1"/>
  <c r="B1425" i="2" s="1"/>
  <c r="B1426" i="2" s="1"/>
  <c r="B1427" i="2" s="1"/>
  <c r="B1428" i="2" s="1"/>
  <c r="B1429" i="2" s="1"/>
  <c r="B1430" i="2" s="1"/>
  <c r="B1431" i="2" s="1"/>
  <c r="B1432" i="2" s="1"/>
  <c r="B1433" i="2" s="1"/>
  <c r="B1434" i="2" s="1"/>
  <c r="B1435" i="2" s="1"/>
  <c r="B1436" i="2" s="1"/>
  <c r="B1437" i="2" s="1"/>
  <c r="B1438" i="2" s="1"/>
  <c r="B1439" i="2" s="1"/>
  <c r="B1440" i="2" s="1"/>
  <c r="B1441" i="2" s="1"/>
  <c r="B1442" i="2" s="1"/>
  <c r="B1443" i="2" s="1"/>
  <c r="B1444" i="2" s="1"/>
  <c r="B1445" i="2" s="1"/>
  <c r="B1446" i="2" s="1"/>
  <c r="B1447" i="2" s="1"/>
  <c r="B1448" i="2" s="1"/>
  <c r="B1449" i="2" s="1"/>
  <c r="B1450" i="2" s="1"/>
  <c r="B1451" i="2" s="1"/>
  <c r="B1452" i="2" s="1"/>
  <c r="B1453" i="2" s="1"/>
  <c r="B1454" i="2" s="1"/>
  <c r="B1455" i="2" s="1"/>
  <c r="B1456" i="2" s="1"/>
  <c r="B1457" i="2" s="1"/>
  <c r="B1458" i="2" s="1"/>
  <c r="B1459" i="2" s="1"/>
  <c r="B1460" i="2" s="1"/>
  <c r="B1461" i="2" s="1"/>
  <c r="B1462" i="2" s="1"/>
  <c r="B1463" i="2" s="1"/>
  <c r="B1464" i="2" s="1"/>
  <c r="B1465" i="2" s="1"/>
  <c r="B1466" i="2" s="1"/>
  <c r="B1467" i="2" s="1"/>
  <c r="B1468" i="2" s="1"/>
  <c r="B1469" i="2" s="1"/>
  <c r="B1470" i="2" s="1"/>
  <c r="B1471" i="2" s="1"/>
  <c r="B1472" i="2" s="1"/>
  <c r="B1473" i="2" s="1"/>
  <c r="B1474" i="2" s="1"/>
  <c r="B1475" i="2" s="1"/>
  <c r="B1476" i="2" s="1"/>
  <c r="B1477" i="2" s="1"/>
  <c r="B1478" i="2" s="1"/>
  <c r="B1479" i="2" s="1"/>
  <c r="B1480" i="2" s="1"/>
  <c r="B1481" i="2" s="1"/>
  <c r="B1482" i="2" s="1"/>
  <c r="B1483" i="2" s="1"/>
  <c r="B1484" i="2" s="1"/>
  <c r="B1485" i="2" s="1"/>
  <c r="B1486" i="2" s="1"/>
  <c r="B1487" i="2" s="1"/>
  <c r="B1488" i="2" s="1"/>
  <c r="B1489" i="2" s="1"/>
  <c r="B1490" i="2" s="1"/>
  <c r="B1491" i="2" s="1"/>
  <c r="B1492" i="2" s="1"/>
  <c r="B1493" i="2" s="1"/>
  <c r="B1494" i="2" s="1"/>
  <c r="B1495" i="2" s="1"/>
  <c r="B1496" i="2" s="1"/>
  <c r="B1497" i="2" s="1"/>
  <c r="B1498" i="2" s="1"/>
  <c r="B1499" i="2" s="1"/>
  <c r="B1500" i="2" s="1"/>
  <c r="B1501" i="2" s="1"/>
  <c r="B1502" i="2" s="1"/>
  <c r="B1503" i="2" s="1"/>
  <c r="B1504" i="2" s="1"/>
  <c r="B1505" i="2" s="1"/>
  <c r="B1506" i="2" s="1"/>
  <c r="B1507" i="2" s="1"/>
  <c r="B1508" i="2" s="1"/>
  <c r="B1509" i="2" s="1"/>
  <c r="B1510" i="2" s="1"/>
  <c r="B1511" i="2" s="1"/>
  <c r="B1512" i="2" s="1"/>
  <c r="B1513" i="2" s="1"/>
  <c r="B1514" i="2" s="1"/>
  <c r="B1515" i="2" s="1"/>
  <c r="B1516" i="2" s="1"/>
  <c r="B1517" i="2" s="1"/>
  <c r="B1518" i="2" s="1"/>
  <c r="B1519" i="2" s="1"/>
  <c r="B1520" i="2" s="1"/>
  <c r="B1521" i="2" s="1"/>
  <c r="B1522" i="2" s="1"/>
  <c r="B1523" i="2" s="1"/>
  <c r="B1524" i="2" s="1"/>
  <c r="B1525" i="2" s="1"/>
  <c r="B1526" i="2" s="1"/>
  <c r="B1527" i="2" s="1"/>
  <c r="B1528" i="2" s="1"/>
  <c r="B1529" i="2" s="1"/>
  <c r="B1530" i="2" s="1"/>
  <c r="B1531" i="2" s="1"/>
  <c r="B1532" i="2" s="1"/>
  <c r="B1533" i="2" s="1"/>
  <c r="B1534" i="2" s="1"/>
  <c r="B1535" i="2" s="1"/>
  <c r="B1536" i="2" s="1"/>
  <c r="B1537" i="2" s="1"/>
  <c r="B1538" i="2" s="1"/>
  <c r="B1539" i="2" s="1"/>
  <c r="B1540" i="2" s="1"/>
  <c r="B1541" i="2" s="1"/>
  <c r="B1542" i="2" s="1"/>
  <c r="B1543" i="2" s="1"/>
  <c r="B1544" i="2" s="1"/>
  <c r="B1545" i="2" s="1"/>
  <c r="B1546" i="2" s="1"/>
  <c r="B1547" i="2" s="1"/>
  <c r="B1548" i="2" s="1"/>
  <c r="B1549" i="2" s="1"/>
  <c r="B1550" i="2" s="1"/>
  <c r="B1551" i="2" s="1"/>
  <c r="B1552" i="2" s="1"/>
  <c r="B1553" i="2" s="1"/>
  <c r="B1554" i="2" s="1"/>
  <c r="B1555" i="2" s="1"/>
  <c r="B1556" i="2" s="1"/>
  <c r="B1557" i="2" s="1"/>
  <c r="B1558" i="2" s="1"/>
  <c r="B1559" i="2" s="1"/>
  <c r="B1560" i="2" s="1"/>
  <c r="B1561" i="2" s="1"/>
  <c r="B1562" i="2" s="1"/>
  <c r="B1563" i="2" s="1"/>
  <c r="B1564" i="2" s="1"/>
  <c r="B1565" i="2" s="1"/>
  <c r="B1566" i="2" s="1"/>
  <c r="B1567" i="2" s="1"/>
  <c r="B1568" i="2" s="1"/>
  <c r="B1569" i="2" s="1"/>
  <c r="B1570" i="2" s="1"/>
  <c r="B1571" i="2" s="1"/>
  <c r="B1572" i="2" s="1"/>
  <c r="B1573" i="2" s="1"/>
  <c r="B1574" i="2" s="1"/>
  <c r="B1575" i="2" s="1"/>
  <c r="B1576" i="2" s="1"/>
  <c r="B1577" i="2" s="1"/>
  <c r="B1578" i="2" s="1"/>
  <c r="B1579" i="2" s="1"/>
  <c r="B1580" i="2" s="1"/>
  <c r="B1581" i="2" s="1"/>
  <c r="B1582" i="2" s="1"/>
  <c r="B1583" i="2" s="1"/>
  <c r="B1584" i="2" s="1"/>
  <c r="B1585" i="2" s="1"/>
  <c r="B1586" i="2" s="1"/>
  <c r="B1587" i="2" s="1"/>
  <c r="B1588" i="2" s="1"/>
  <c r="B1589" i="2" s="1"/>
  <c r="B1590" i="2" s="1"/>
  <c r="B1591" i="2" s="1"/>
  <c r="B1592" i="2" s="1"/>
  <c r="B1593" i="2" s="1"/>
  <c r="B1594" i="2" s="1"/>
  <c r="B1595" i="2" s="1"/>
  <c r="B1596" i="2" s="1"/>
  <c r="B1597" i="2" s="1"/>
  <c r="B1598" i="2" s="1"/>
  <c r="B1599" i="2" s="1"/>
  <c r="B1600" i="2" s="1"/>
  <c r="B1601" i="2" s="1"/>
  <c r="B1602" i="2" s="1"/>
  <c r="B1603" i="2" s="1"/>
  <c r="B1604" i="2" s="1"/>
  <c r="B1605" i="2" s="1"/>
  <c r="B1606" i="2" s="1"/>
  <c r="B1607" i="2" s="1"/>
  <c r="B1608" i="2" s="1"/>
  <c r="B1609" i="2" s="1"/>
  <c r="B1610" i="2" s="1"/>
  <c r="B1611" i="2" s="1"/>
  <c r="B1612" i="2" s="1"/>
  <c r="B1613" i="2" s="1"/>
  <c r="B1614" i="2" s="1"/>
  <c r="B1615" i="2" s="1"/>
  <c r="B1616" i="2" s="1"/>
  <c r="B1617" i="2" s="1"/>
  <c r="B1618" i="2" s="1"/>
  <c r="B1619" i="2" s="1"/>
  <c r="B1620" i="2" s="1"/>
  <c r="B1621" i="2" s="1"/>
  <c r="B1622" i="2" s="1"/>
  <c r="B1623" i="2" s="1"/>
  <c r="B1624" i="2" s="1"/>
  <c r="B1625" i="2" s="1"/>
  <c r="B1626" i="2" s="1"/>
  <c r="B1627" i="2" s="1"/>
  <c r="B1628" i="2" s="1"/>
  <c r="B1629" i="2" s="1"/>
  <c r="B1630" i="2" s="1"/>
  <c r="B1631" i="2" s="1"/>
  <c r="B1632" i="2" s="1"/>
  <c r="B1633" i="2" s="1"/>
  <c r="B1634" i="2" s="1"/>
  <c r="B1635" i="2" s="1"/>
  <c r="B1636" i="2" s="1"/>
  <c r="B1637" i="2" s="1"/>
  <c r="B1638" i="2" s="1"/>
  <c r="B1639" i="2" s="1"/>
  <c r="B1640" i="2" s="1"/>
  <c r="B1641" i="2" s="1"/>
  <c r="B1642" i="2" s="1"/>
  <c r="B1643" i="2" s="1"/>
  <c r="B1644" i="2" s="1"/>
  <c r="B1645" i="2" s="1"/>
  <c r="B1646" i="2" s="1"/>
  <c r="B1647" i="2" s="1"/>
  <c r="B1648" i="2" s="1"/>
  <c r="B1649" i="2" s="1"/>
  <c r="B1650" i="2" s="1"/>
  <c r="B1651" i="2" s="1"/>
  <c r="B1652" i="2" s="1"/>
  <c r="B1653" i="2" s="1"/>
  <c r="B1654" i="2" s="1"/>
  <c r="B1655" i="2" s="1"/>
  <c r="B1656" i="2" s="1"/>
  <c r="B1657" i="2" s="1"/>
  <c r="B1658" i="2" s="1"/>
  <c r="B1659" i="2" s="1"/>
  <c r="B1660" i="2" s="1"/>
  <c r="B1661" i="2" s="1"/>
  <c r="B1662" i="2" s="1"/>
  <c r="B1663" i="2" s="1"/>
  <c r="B1664" i="2" s="1"/>
  <c r="B1665" i="2" s="1"/>
  <c r="B1666" i="2" s="1"/>
  <c r="B1667" i="2" s="1"/>
  <c r="B1668" i="2" s="1"/>
  <c r="B1669" i="2" s="1"/>
  <c r="B1670" i="2" s="1"/>
  <c r="B1671" i="2" s="1"/>
  <c r="B1672" i="2" s="1"/>
  <c r="B1673" i="2" s="1"/>
  <c r="B1674" i="2" s="1"/>
  <c r="B1675" i="2" s="1"/>
  <c r="B1676" i="2" s="1"/>
  <c r="B1677" i="2" s="1"/>
  <c r="B1678" i="2" s="1"/>
  <c r="B1679" i="2" s="1"/>
  <c r="B1680" i="2" s="1"/>
  <c r="B1681" i="2" s="1"/>
  <c r="B1682" i="2" s="1"/>
  <c r="B1683" i="2" s="1"/>
  <c r="B1684" i="2" s="1"/>
  <c r="B1685" i="2" s="1"/>
  <c r="B1686" i="2" s="1"/>
  <c r="B1687" i="2" s="1"/>
  <c r="B1688" i="2" s="1"/>
  <c r="B1689" i="2" s="1"/>
  <c r="B1690" i="2" s="1"/>
  <c r="B1691" i="2" s="1"/>
  <c r="B1692" i="2" s="1"/>
  <c r="B1693" i="2" s="1"/>
  <c r="B1694" i="2" s="1"/>
  <c r="B1695" i="2" s="1"/>
  <c r="B1696" i="2" s="1"/>
  <c r="B1697" i="2" s="1"/>
  <c r="B1698" i="2" s="1"/>
  <c r="B1699" i="2" s="1"/>
  <c r="B1700" i="2" s="1"/>
  <c r="B1701" i="2" s="1"/>
  <c r="B1702" i="2" s="1"/>
  <c r="B1703" i="2" s="1"/>
  <c r="B1704" i="2" s="1"/>
  <c r="B1705" i="2" s="1"/>
  <c r="B1706" i="2" s="1"/>
  <c r="B1707" i="2" s="1"/>
  <c r="B1708" i="2" s="1"/>
  <c r="B1709" i="2" s="1"/>
  <c r="B1710" i="2" s="1"/>
  <c r="B1711" i="2" s="1"/>
  <c r="B1712" i="2" s="1"/>
  <c r="B1713" i="2" s="1"/>
  <c r="B1714" i="2" s="1"/>
  <c r="B1715" i="2" s="1"/>
  <c r="B1716" i="2" s="1"/>
  <c r="B1717" i="2" s="1"/>
  <c r="B1718" i="2" s="1"/>
  <c r="B1719" i="2" s="1"/>
  <c r="B1720" i="2" s="1"/>
  <c r="B1721" i="2" s="1"/>
  <c r="B1722" i="2" s="1"/>
  <c r="B1723" i="2" s="1"/>
  <c r="B1724" i="2" s="1"/>
  <c r="B1725" i="2" s="1"/>
  <c r="B1726" i="2" s="1"/>
  <c r="B1727" i="2" s="1"/>
  <c r="B1728" i="2" s="1"/>
  <c r="B1729" i="2" s="1"/>
  <c r="B1730" i="2" s="1"/>
  <c r="B1731" i="2" s="1"/>
  <c r="B1732" i="2" s="1"/>
  <c r="B1733" i="2" s="1"/>
  <c r="B1734" i="2" s="1"/>
  <c r="B1735" i="2" s="1"/>
  <c r="B1736" i="2" s="1"/>
  <c r="B1737" i="2" s="1"/>
  <c r="B1738" i="2" s="1"/>
  <c r="B1739" i="2" s="1"/>
  <c r="B1740" i="2" s="1"/>
  <c r="B1741" i="2" s="1"/>
  <c r="B1742" i="2" s="1"/>
  <c r="B1743" i="2" s="1"/>
  <c r="B1744" i="2" s="1"/>
  <c r="B1745" i="2" s="1"/>
  <c r="B1746" i="2" s="1"/>
  <c r="B1747" i="2" s="1"/>
  <c r="B1748" i="2" s="1"/>
  <c r="B1749" i="2" s="1"/>
  <c r="B1750" i="2" s="1"/>
  <c r="B1751" i="2" s="1"/>
  <c r="B1752" i="2" s="1"/>
  <c r="B1753" i="2" s="1"/>
  <c r="B1754" i="2" s="1"/>
  <c r="B1755" i="2" s="1"/>
  <c r="B1756" i="2" s="1"/>
  <c r="B1757" i="2" s="1"/>
  <c r="B1758" i="2" s="1"/>
  <c r="B1759" i="2" s="1"/>
  <c r="B1760" i="2" s="1"/>
  <c r="B1761" i="2" s="1"/>
  <c r="B1762" i="2" s="1"/>
  <c r="B1763" i="2" s="1"/>
  <c r="B1764" i="2" s="1"/>
  <c r="B1765" i="2" s="1"/>
  <c r="B1766" i="2" s="1"/>
  <c r="B1767" i="2" s="1"/>
  <c r="B1768" i="2" s="1"/>
  <c r="B1769" i="2" s="1"/>
  <c r="B1770" i="2" s="1"/>
  <c r="B1771" i="2" s="1"/>
  <c r="B1772" i="2" s="1"/>
  <c r="B1773" i="2" s="1"/>
  <c r="B1774" i="2" s="1"/>
  <c r="B1775" i="2" s="1"/>
  <c r="B1776" i="2" s="1"/>
  <c r="B1777" i="2" s="1"/>
  <c r="B1778" i="2" s="1"/>
  <c r="B1779" i="2" s="1"/>
  <c r="B1780" i="2" s="1"/>
  <c r="B1781" i="2" s="1"/>
  <c r="B1782" i="2" s="1"/>
  <c r="B1783" i="2" s="1"/>
  <c r="B1784" i="2" s="1"/>
  <c r="B1785" i="2" s="1"/>
  <c r="B1786" i="2" s="1"/>
  <c r="B1787" i="2" s="1"/>
  <c r="B1788" i="2" s="1"/>
  <c r="B1789" i="2" s="1"/>
  <c r="B1790" i="2" s="1"/>
  <c r="B1791" i="2" s="1"/>
  <c r="B1792" i="2" s="1"/>
  <c r="B1793" i="2" s="1"/>
  <c r="B1794" i="2" s="1"/>
  <c r="B1795" i="2" s="1"/>
  <c r="B1796" i="2" s="1"/>
  <c r="B1797" i="2" s="1"/>
  <c r="B1798" i="2" s="1"/>
  <c r="B1799" i="2" s="1"/>
  <c r="B1800" i="2" s="1"/>
  <c r="B1801" i="2" s="1"/>
  <c r="B1802" i="2" s="1"/>
  <c r="B1803" i="2" s="1"/>
  <c r="B1804" i="2" s="1"/>
  <c r="B1805" i="2" s="1"/>
  <c r="B1806" i="2" s="1"/>
  <c r="B1807" i="2" s="1"/>
  <c r="B1808" i="2" s="1"/>
  <c r="B1809" i="2" s="1"/>
  <c r="B1810" i="2" s="1"/>
  <c r="B1811" i="2" s="1"/>
  <c r="B1812" i="2" s="1"/>
  <c r="B1813" i="2" s="1"/>
  <c r="B1814" i="2" s="1"/>
  <c r="B1815" i="2" s="1"/>
  <c r="B1816" i="2" s="1"/>
  <c r="B1817" i="2" s="1"/>
  <c r="B1818" i="2" s="1"/>
  <c r="B1819" i="2" s="1"/>
  <c r="B1820" i="2" s="1"/>
  <c r="B1821" i="2" s="1"/>
  <c r="B1822" i="2" s="1"/>
  <c r="B1823" i="2" s="1"/>
  <c r="B1824" i="2" s="1"/>
  <c r="B1825" i="2" s="1"/>
  <c r="B1826" i="2" s="1"/>
  <c r="B1827" i="2" s="1"/>
  <c r="B1828" i="2" s="1"/>
  <c r="B1829" i="2" s="1"/>
  <c r="B1830" i="2" s="1"/>
  <c r="B1831" i="2" s="1"/>
  <c r="B1832" i="2" s="1"/>
  <c r="B1833" i="2" s="1"/>
  <c r="B1834" i="2" s="1"/>
  <c r="B1835" i="2" s="1"/>
  <c r="B1836" i="2" s="1"/>
  <c r="B1837" i="2" s="1"/>
  <c r="B1838" i="2" s="1"/>
  <c r="B1839" i="2" s="1"/>
  <c r="B1840" i="2" s="1"/>
  <c r="B1841" i="2" s="1"/>
  <c r="B1842" i="2" s="1"/>
  <c r="B1843" i="2" s="1"/>
  <c r="B1844" i="2" s="1"/>
  <c r="B1845" i="2" s="1"/>
  <c r="B1846" i="2" s="1"/>
  <c r="B1847" i="2" s="1"/>
  <c r="B1848" i="2" s="1"/>
  <c r="B1849" i="2" s="1"/>
  <c r="B1850" i="2" s="1"/>
  <c r="B1851" i="2" s="1"/>
  <c r="B1852" i="2" s="1"/>
  <c r="B1853" i="2" s="1"/>
  <c r="B1854" i="2" s="1"/>
  <c r="B1855" i="2" s="1"/>
  <c r="B1856" i="2" s="1"/>
  <c r="B1857" i="2" s="1"/>
  <c r="B1858" i="2" s="1"/>
  <c r="B1859" i="2" s="1"/>
  <c r="B1860" i="2" s="1"/>
  <c r="B1861" i="2" s="1"/>
  <c r="B1862" i="2" s="1"/>
  <c r="B1863" i="2" s="1"/>
  <c r="B1864" i="2" s="1"/>
  <c r="B1865" i="2" s="1"/>
  <c r="B1866" i="2" s="1"/>
  <c r="B1867" i="2" s="1"/>
  <c r="B1868" i="2" s="1"/>
  <c r="B1869" i="2" s="1"/>
  <c r="B1870" i="2" s="1"/>
  <c r="B1871" i="2" s="1"/>
  <c r="B1872" i="2" s="1"/>
  <c r="B1873" i="2" s="1"/>
  <c r="B1874" i="2" s="1"/>
  <c r="B1875" i="2" s="1"/>
  <c r="B1876" i="2" s="1"/>
  <c r="B1877" i="2" s="1"/>
  <c r="B1878" i="2" s="1"/>
  <c r="B1879" i="2" s="1"/>
  <c r="B1880" i="2" s="1"/>
  <c r="B1881" i="2" s="1"/>
  <c r="B1882" i="2" s="1"/>
  <c r="B1883" i="2" s="1"/>
  <c r="B1884" i="2" s="1"/>
  <c r="B1885" i="2" s="1"/>
  <c r="B1886" i="2" s="1"/>
  <c r="B1887" i="2" s="1"/>
  <c r="B1888" i="2" s="1"/>
  <c r="B1889" i="2" s="1"/>
  <c r="B1890" i="2" s="1"/>
  <c r="B1891" i="2" s="1"/>
  <c r="B1892" i="2" s="1"/>
  <c r="B1893" i="2" s="1"/>
  <c r="B1894" i="2" s="1"/>
  <c r="B1895" i="2" s="1"/>
  <c r="B1896" i="2" s="1"/>
  <c r="B1897" i="2" s="1"/>
  <c r="B1898" i="2" s="1"/>
  <c r="B1899" i="2" s="1"/>
  <c r="B1900" i="2" s="1"/>
  <c r="B1901" i="2" s="1"/>
  <c r="B1902" i="2" s="1"/>
  <c r="B1903" i="2" s="1"/>
  <c r="B1904" i="2" s="1"/>
  <c r="B1905" i="2" s="1"/>
  <c r="B1906" i="2" s="1"/>
  <c r="B1907" i="2" s="1"/>
  <c r="B1908" i="2" s="1"/>
  <c r="B1909" i="2" s="1"/>
  <c r="B1910" i="2" s="1"/>
  <c r="B1911" i="2" s="1"/>
  <c r="B1912" i="2" s="1"/>
  <c r="B1913" i="2" s="1"/>
  <c r="B1914" i="2" s="1"/>
  <c r="B1915" i="2" s="1"/>
  <c r="B1916" i="2" s="1"/>
  <c r="B1917" i="2" s="1"/>
  <c r="B1918" i="2" s="1"/>
  <c r="B1919" i="2" s="1"/>
  <c r="B1920" i="2" s="1"/>
  <c r="B1921" i="2" s="1"/>
  <c r="B1922" i="2" s="1"/>
  <c r="B1923" i="2" s="1"/>
  <c r="B1924" i="2" s="1"/>
  <c r="B1925" i="2" s="1"/>
  <c r="B1926" i="2" s="1"/>
  <c r="B1927" i="2" s="1"/>
  <c r="B1928" i="2" s="1"/>
  <c r="B1929" i="2" s="1"/>
  <c r="B1930" i="2" s="1"/>
  <c r="B1931" i="2" s="1"/>
  <c r="B1932" i="2" s="1"/>
  <c r="B1933" i="2" s="1"/>
  <c r="B1934" i="2" s="1"/>
  <c r="B1935" i="2" s="1"/>
  <c r="B1936" i="2" s="1"/>
  <c r="B1937" i="2" s="1"/>
  <c r="B1938" i="2" s="1"/>
  <c r="B1939" i="2" s="1"/>
  <c r="B1940" i="2" s="1"/>
  <c r="B1941" i="2" s="1"/>
  <c r="B1942" i="2" s="1"/>
  <c r="B1943" i="2" s="1"/>
  <c r="B1944" i="2" s="1"/>
  <c r="B1945" i="2" s="1"/>
  <c r="B1946" i="2" s="1"/>
  <c r="B1947" i="2" s="1"/>
  <c r="B1948" i="2" s="1"/>
  <c r="B1949" i="2" s="1"/>
  <c r="B1950" i="2" s="1"/>
  <c r="B1951" i="2" s="1"/>
  <c r="B1952" i="2" s="1"/>
  <c r="B1953" i="2" s="1"/>
  <c r="B1954" i="2" s="1"/>
  <c r="B1955" i="2" s="1"/>
  <c r="B1956" i="2" s="1"/>
  <c r="B1957" i="2" s="1"/>
  <c r="B1958" i="2" s="1"/>
  <c r="B1959" i="2" s="1"/>
  <c r="B1960" i="2" s="1"/>
  <c r="B1961" i="2" s="1"/>
  <c r="B1962" i="2" s="1"/>
  <c r="B1963" i="2" s="1"/>
  <c r="B1964" i="2" s="1"/>
  <c r="B1965" i="2" s="1"/>
  <c r="B1966" i="2" s="1"/>
  <c r="B1967" i="2" s="1"/>
  <c r="B1968" i="2" s="1"/>
  <c r="B1969" i="2" s="1"/>
  <c r="B1970" i="2" s="1"/>
  <c r="B1971" i="2" s="1"/>
  <c r="B1972" i="2" s="1"/>
  <c r="B1973" i="2" s="1"/>
  <c r="B1974" i="2" s="1"/>
  <c r="B1975" i="2" s="1"/>
  <c r="B1976" i="2" s="1"/>
  <c r="B1977" i="2" s="1"/>
  <c r="B1978" i="2" s="1"/>
  <c r="B1979" i="2" s="1"/>
  <c r="B1980" i="2" s="1"/>
  <c r="B1981" i="2" s="1"/>
  <c r="B1982" i="2" s="1"/>
  <c r="B1983" i="2" s="1"/>
  <c r="B1984" i="2" s="1"/>
  <c r="B1985" i="2" s="1"/>
  <c r="B1986" i="2" s="1"/>
  <c r="B1987" i="2" s="1"/>
  <c r="B1988" i="2" s="1"/>
  <c r="B1989" i="2" s="1"/>
  <c r="B1990" i="2" s="1"/>
  <c r="B1991" i="2" s="1"/>
  <c r="B1992" i="2" s="1"/>
  <c r="B1993" i="2" s="1"/>
  <c r="B1994" i="2" s="1"/>
  <c r="B1995" i="2" s="1"/>
  <c r="B1996" i="2" s="1"/>
  <c r="B1997" i="2" s="1"/>
  <c r="B1998" i="2" s="1"/>
  <c r="B1999" i="2" s="1"/>
  <c r="B2000" i="2" s="1"/>
  <c r="B2001" i="2" s="1"/>
  <c r="B2002" i="2" s="1"/>
  <c r="B2003" i="2" s="1"/>
  <c r="B2004" i="2" s="1"/>
  <c r="B2005" i="2" s="1"/>
  <c r="B2006" i="2" s="1"/>
  <c r="B2007" i="2" s="1"/>
  <c r="B2008" i="2" s="1"/>
  <c r="B2009" i="2" s="1"/>
  <c r="B2010" i="2" s="1"/>
  <c r="B2011" i="2" s="1"/>
  <c r="B2012" i="2" s="1"/>
  <c r="B2013" i="2" s="1"/>
  <c r="B2014" i="2" s="1"/>
  <c r="B2015" i="2" s="1"/>
  <c r="B2016" i="2" s="1"/>
  <c r="B2017" i="2" s="1"/>
  <c r="B2018" i="2" s="1"/>
  <c r="B2019" i="2" s="1"/>
  <c r="B2020" i="2" s="1"/>
  <c r="B2021" i="2" s="1"/>
  <c r="B2022" i="2" s="1"/>
  <c r="B2023" i="2" s="1"/>
  <c r="B2024" i="2" s="1"/>
  <c r="B2025" i="2" s="1"/>
  <c r="B2026" i="2" s="1"/>
  <c r="B2027" i="2" s="1"/>
  <c r="B2028" i="2" s="1"/>
  <c r="B2029" i="2" s="1"/>
  <c r="B2030" i="2" s="1"/>
  <c r="B2031" i="2" s="1"/>
  <c r="B2032" i="2" s="1"/>
  <c r="B2033" i="2" s="1"/>
  <c r="B2034" i="2" s="1"/>
  <c r="B2035" i="2" s="1"/>
  <c r="B2036" i="2" s="1"/>
  <c r="B2037" i="2" s="1"/>
  <c r="B2038" i="2" s="1"/>
  <c r="B2039" i="2" s="1"/>
  <c r="B2040" i="2" s="1"/>
  <c r="B2041" i="2" s="1"/>
  <c r="B2042" i="2" s="1"/>
  <c r="B2043" i="2" s="1"/>
  <c r="B2044" i="2" s="1"/>
  <c r="B2045" i="2" s="1"/>
  <c r="B2046" i="2" s="1"/>
  <c r="B2047" i="2" s="1"/>
  <c r="B2048" i="2" s="1"/>
  <c r="B2049" i="2" s="1"/>
  <c r="B2050" i="2" s="1"/>
  <c r="B2051" i="2" s="1"/>
  <c r="B2052" i="2" s="1"/>
  <c r="B2053" i="2" s="1"/>
  <c r="B2054" i="2" s="1"/>
  <c r="B2055" i="2" s="1"/>
  <c r="B2056" i="2" s="1"/>
  <c r="B2057" i="2" s="1"/>
  <c r="B2058" i="2" s="1"/>
  <c r="B2059" i="2" s="1"/>
  <c r="B2060" i="2" s="1"/>
  <c r="B2061" i="2" s="1"/>
  <c r="B2062" i="2" s="1"/>
  <c r="B2063" i="2" s="1"/>
  <c r="B2064" i="2" s="1"/>
  <c r="B2065" i="2" s="1"/>
  <c r="B2066" i="2" s="1"/>
  <c r="B2067" i="2" s="1"/>
  <c r="B2068" i="2" s="1"/>
  <c r="B2069" i="2" s="1"/>
  <c r="B2070" i="2" s="1"/>
  <c r="B2071" i="2" s="1"/>
  <c r="B2072" i="2" s="1"/>
  <c r="B2073" i="2" s="1"/>
  <c r="B2074" i="2" s="1"/>
  <c r="B2075" i="2" s="1"/>
  <c r="B2076" i="2" s="1"/>
  <c r="B2077" i="2" s="1"/>
  <c r="B2078" i="2" s="1"/>
  <c r="B2079" i="2" s="1"/>
  <c r="B2080" i="2" s="1"/>
  <c r="B2081" i="2" s="1"/>
  <c r="B2082" i="2" s="1"/>
  <c r="B2083" i="2" s="1"/>
  <c r="B2084" i="2" s="1"/>
  <c r="B2085" i="2" s="1"/>
  <c r="B2086" i="2" s="1"/>
  <c r="B2087" i="2" s="1"/>
  <c r="B2088" i="2" s="1"/>
  <c r="B2089" i="2" s="1"/>
  <c r="B2090" i="2" s="1"/>
  <c r="B2091" i="2" s="1"/>
  <c r="B2092" i="2" s="1"/>
  <c r="B2093" i="2" s="1"/>
  <c r="B2094" i="2" s="1"/>
  <c r="B2095" i="2" s="1"/>
  <c r="B2096" i="2" s="1"/>
  <c r="B2097" i="2" s="1"/>
  <c r="B2098" i="2" s="1"/>
  <c r="B2099" i="2" s="1"/>
  <c r="B2100" i="2" s="1"/>
  <c r="B2101" i="2" s="1"/>
  <c r="B2102" i="2" s="1"/>
  <c r="B2103" i="2" s="1"/>
  <c r="B2104" i="2" s="1"/>
  <c r="B2105" i="2" s="1"/>
  <c r="B2106" i="2" s="1"/>
  <c r="B2107" i="2" s="1"/>
  <c r="B2108" i="2" s="1"/>
  <c r="B2109" i="2" s="1"/>
  <c r="B2110" i="2" s="1"/>
  <c r="B2111" i="2" s="1"/>
  <c r="B2112" i="2" s="1"/>
  <c r="B2113" i="2" s="1"/>
  <c r="B2114" i="2" s="1"/>
  <c r="B2115" i="2" s="1"/>
  <c r="B2116" i="2" s="1"/>
  <c r="B2117" i="2" s="1"/>
  <c r="B2118" i="2" s="1"/>
  <c r="B2119" i="2" s="1"/>
  <c r="B2120" i="2" s="1"/>
  <c r="B2121" i="2" s="1"/>
  <c r="B2122" i="2" s="1"/>
  <c r="B2123" i="2" s="1"/>
  <c r="B2124" i="2" s="1"/>
  <c r="B2125" i="2" s="1"/>
  <c r="B2126" i="2" s="1"/>
  <c r="B2127" i="2" s="1"/>
  <c r="B2128" i="2" s="1"/>
  <c r="B2129" i="2" s="1"/>
  <c r="B2130" i="2" s="1"/>
  <c r="B2131" i="2" s="1"/>
  <c r="B2132" i="2" s="1"/>
  <c r="B2133" i="2" s="1"/>
  <c r="B2134" i="2" s="1"/>
  <c r="B2135" i="2" s="1"/>
  <c r="B2136" i="2" s="1"/>
  <c r="B2137" i="2" s="1"/>
  <c r="B2138" i="2" s="1"/>
  <c r="B2139" i="2" s="1"/>
  <c r="B2140" i="2" s="1"/>
  <c r="B2141" i="2" s="1"/>
  <c r="B2142" i="2" s="1"/>
  <c r="B2143" i="2" s="1"/>
  <c r="B2144" i="2" s="1"/>
  <c r="B2145" i="2" s="1"/>
  <c r="B2146" i="2" s="1"/>
  <c r="B2147" i="2" s="1"/>
  <c r="B2148" i="2" s="1"/>
  <c r="B2149" i="2" s="1"/>
  <c r="B2150" i="2" s="1"/>
  <c r="B2151" i="2" s="1"/>
  <c r="B2152" i="2" s="1"/>
  <c r="B2153" i="2" s="1"/>
  <c r="B2154" i="2" s="1"/>
  <c r="B2155" i="2" s="1"/>
  <c r="B2156" i="2" s="1"/>
  <c r="B2157" i="2" s="1"/>
  <c r="B2158" i="2" s="1"/>
  <c r="B2159" i="2" s="1"/>
  <c r="B2160" i="2" s="1"/>
  <c r="B2161" i="2" s="1"/>
  <c r="B2162" i="2" s="1"/>
  <c r="B2163" i="2" s="1"/>
  <c r="B2164" i="2" s="1"/>
  <c r="B2165" i="2" s="1"/>
  <c r="B2166" i="2" s="1"/>
  <c r="B2167" i="2" s="1"/>
  <c r="B2168" i="2" s="1"/>
  <c r="B2169" i="2" s="1"/>
  <c r="B2170" i="2" s="1"/>
  <c r="B2171" i="2" s="1"/>
  <c r="B2172" i="2" s="1"/>
  <c r="B2173" i="2" s="1"/>
  <c r="B2174" i="2" s="1"/>
  <c r="B2175" i="2" s="1"/>
  <c r="B2176" i="2" s="1"/>
  <c r="B2177" i="2" s="1"/>
  <c r="B2178" i="2" s="1"/>
  <c r="B2179" i="2" s="1"/>
  <c r="B2180" i="2" s="1"/>
  <c r="B2181" i="2" s="1"/>
  <c r="B2182" i="2" s="1"/>
  <c r="B2183" i="2" s="1"/>
  <c r="B2184" i="2" s="1"/>
  <c r="B2185" i="2" s="1"/>
  <c r="B2186" i="2" s="1"/>
  <c r="B2187" i="2" s="1"/>
  <c r="B2188" i="2" s="1"/>
  <c r="B2189" i="2" s="1"/>
  <c r="B2190" i="2" s="1"/>
  <c r="B2191" i="2" s="1"/>
  <c r="B2192" i="2" s="1"/>
  <c r="B2193" i="2" s="1"/>
  <c r="B2194" i="2" s="1"/>
  <c r="B2195" i="2" s="1"/>
  <c r="B2196" i="2" s="1"/>
  <c r="B2197" i="2" s="1"/>
  <c r="B2198" i="2" s="1"/>
  <c r="B2199" i="2" s="1"/>
  <c r="B2200" i="2" s="1"/>
  <c r="B2201" i="2" s="1"/>
  <c r="B2202" i="2" s="1"/>
  <c r="B2203" i="2" s="1"/>
  <c r="B2204" i="2" s="1"/>
  <c r="B2205" i="2" s="1"/>
  <c r="B2206" i="2" s="1"/>
  <c r="B2207" i="2" s="1"/>
  <c r="B2208" i="2" s="1"/>
  <c r="B2209" i="2" s="1"/>
  <c r="B2210" i="2" s="1"/>
  <c r="B2211" i="2" s="1"/>
  <c r="B2212" i="2" s="1"/>
  <c r="B2213" i="2" s="1"/>
  <c r="B2214" i="2" s="1"/>
  <c r="B2215" i="2" s="1"/>
  <c r="B2216" i="2" s="1"/>
  <c r="B2217" i="2" s="1"/>
  <c r="B2218" i="2" s="1"/>
  <c r="B2219" i="2" s="1"/>
  <c r="B2220" i="2" s="1"/>
  <c r="B2221" i="2" s="1"/>
  <c r="B2222" i="2" s="1"/>
  <c r="B2223" i="2" s="1"/>
  <c r="B2224" i="2" s="1"/>
  <c r="B2225" i="2" s="1"/>
  <c r="B2226" i="2" s="1"/>
  <c r="B2227" i="2" s="1"/>
  <c r="B2228" i="2" s="1"/>
  <c r="B2229" i="2" s="1"/>
  <c r="B2230" i="2" s="1"/>
  <c r="B2231" i="2" s="1"/>
  <c r="B2232" i="2" s="1"/>
  <c r="B2233" i="2" s="1"/>
  <c r="B2234" i="2" s="1"/>
  <c r="B2235" i="2" s="1"/>
  <c r="B2236" i="2" s="1"/>
  <c r="B2237" i="2" s="1"/>
  <c r="B2238" i="2" s="1"/>
  <c r="B2239" i="2" s="1"/>
  <c r="B2240" i="2" s="1"/>
  <c r="B2241" i="2" s="1"/>
  <c r="B2242" i="2" s="1"/>
  <c r="B2243" i="2" s="1"/>
  <c r="B2244" i="2" s="1"/>
  <c r="B2245" i="2" s="1"/>
  <c r="B2246" i="2" s="1"/>
  <c r="B2247" i="2" s="1"/>
  <c r="B2248" i="2" s="1"/>
  <c r="B2249" i="2" s="1"/>
  <c r="B2250" i="2" s="1"/>
  <c r="B2251" i="2" s="1"/>
  <c r="B2252" i="2" s="1"/>
  <c r="B2253" i="2" s="1"/>
  <c r="B2254" i="2" s="1"/>
  <c r="B2255" i="2" s="1"/>
  <c r="B2256" i="2" s="1"/>
  <c r="B2257" i="2" s="1"/>
  <c r="B2258" i="2" s="1"/>
  <c r="B2259" i="2" s="1"/>
  <c r="B2260" i="2" s="1"/>
  <c r="B2261" i="2" s="1"/>
  <c r="B2262" i="2" s="1"/>
  <c r="B2263" i="2" s="1"/>
  <c r="B2264" i="2" s="1"/>
  <c r="B2265" i="2" s="1"/>
  <c r="B2266" i="2" s="1"/>
  <c r="B2267" i="2" s="1"/>
  <c r="B2268" i="2" s="1"/>
  <c r="B2269" i="2" s="1"/>
  <c r="B2270" i="2" s="1"/>
  <c r="B2271" i="2" s="1"/>
  <c r="B2272" i="2" s="1"/>
  <c r="B2273" i="2" s="1"/>
  <c r="B2274" i="2" s="1"/>
  <c r="B2275" i="2" s="1"/>
  <c r="B2276" i="2" s="1"/>
  <c r="B2277" i="2" s="1"/>
  <c r="B2278" i="2" s="1"/>
  <c r="B2279" i="2" s="1"/>
  <c r="B2280" i="2" s="1"/>
  <c r="B2281" i="2" s="1"/>
  <c r="B2282" i="2" s="1"/>
  <c r="B2283" i="2" s="1"/>
  <c r="B2284" i="2" s="1"/>
  <c r="B2285" i="2" s="1"/>
  <c r="B2286" i="2" s="1"/>
  <c r="B2287" i="2" s="1"/>
  <c r="B2288" i="2" s="1"/>
  <c r="B2289" i="2" s="1"/>
  <c r="B2290" i="2" s="1"/>
  <c r="B2291" i="2" s="1"/>
  <c r="B2292" i="2" s="1"/>
  <c r="B2293" i="2" s="1"/>
  <c r="B2294" i="2" s="1"/>
  <c r="B2295" i="2" s="1"/>
  <c r="B2296" i="2" s="1"/>
  <c r="B2297" i="2" s="1"/>
  <c r="B2298" i="2" s="1"/>
  <c r="B2299" i="2" s="1"/>
  <c r="B2300" i="2" s="1"/>
  <c r="B2301" i="2" s="1"/>
  <c r="B2302" i="2" s="1"/>
  <c r="B2303" i="2" s="1"/>
  <c r="B2304" i="2" s="1"/>
  <c r="B2305" i="2" s="1"/>
  <c r="B2306" i="2" s="1"/>
  <c r="B2307" i="2" s="1"/>
  <c r="B2308" i="2" s="1"/>
  <c r="B2309" i="2" s="1"/>
  <c r="B2310" i="2" s="1"/>
  <c r="B2311" i="2" s="1"/>
  <c r="B2312" i="2" s="1"/>
  <c r="B2313" i="2" s="1"/>
  <c r="B2314" i="2" s="1"/>
  <c r="B2315" i="2" s="1"/>
  <c r="B2316" i="2" s="1"/>
  <c r="B2317" i="2" s="1"/>
  <c r="B2318" i="2" s="1"/>
  <c r="B2319" i="2" s="1"/>
  <c r="B2320" i="2" s="1"/>
  <c r="B2321" i="2" s="1"/>
  <c r="B2322" i="2" s="1"/>
  <c r="B2323" i="2" s="1"/>
  <c r="B2324" i="2" s="1"/>
  <c r="B2325" i="2" s="1"/>
  <c r="B2326" i="2" s="1"/>
  <c r="B2327" i="2" s="1"/>
  <c r="B2328" i="2" s="1"/>
  <c r="B2329" i="2" s="1"/>
  <c r="B2330" i="2" s="1"/>
  <c r="B2331" i="2" s="1"/>
  <c r="B2332" i="2" s="1"/>
  <c r="B2333" i="2" s="1"/>
  <c r="B2334" i="2" s="1"/>
  <c r="B2335" i="2" s="1"/>
  <c r="B2336" i="2" s="1"/>
  <c r="B2337" i="2" s="1"/>
  <c r="B2338" i="2" s="1"/>
  <c r="B2339" i="2" s="1"/>
  <c r="B2340" i="2" s="1"/>
  <c r="B2341" i="2" s="1"/>
  <c r="B2342" i="2" s="1"/>
  <c r="B2343" i="2" s="1"/>
  <c r="B2344" i="2" s="1"/>
  <c r="B2345" i="2" s="1"/>
  <c r="B2346" i="2" s="1"/>
  <c r="B2347" i="2" s="1"/>
  <c r="B2348" i="2" s="1"/>
  <c r="B2349" i="2" s="1"/>
  <c r="B2350" i="2" s="1"/>
  <c r="B2351" i="2" s="1"/>
  <c r="B2352" i="2" s="1"/>
  <c r="B2353" i="2" s="1"/>
  <c r="B2354" i="2" s="1"/>
  <c r="B2355" i="2" s="1"/>
  <c r="B2356" i="2" s="1"/>
  <c r="B2357" i="2" s="1"/>
  <c r="B2358" i="2" s="1"/>
  <c r="B2359" i="2" s="1"/>
  <c r="B2360" i="2" s="1"/>
  <c r="B2361" i="2" s="1"/>
  <c r="B2362" i="2" s="1"/>
  <c r="B2363" i="2" s="1"/>
  <c r="B2364" i="2" s="1"/>
  <c r="B2365" i="2" s="1"/>
  <c r="B2366" i="2" s="1"/>
  <c r="B2367" i="2" s="1"/>
  <c r="B2368" i="2" s="1"/>
  <c r="B2369" i="2" s="1"/>
  <c r="B2370" i="2" s="1"/>
  <c r="B2371" i="2" s="1"/>
  <c r="B2372" i="2" s="1"/>
  <c r="B2373" i="2" s="1"/>
  <c r="B2374" i="2" s="1"/>
  <c r="B2375" i="2" s="1"/>
  <c r="B2376" i="2" s="1"/>
  <c r="B2377" i="2" s="1"/>
  <c r="B2378" i="2" s="1"/>
  <c r="B2379" i="2" s="1"/>
  <c r="B2380" i="2" s="1"/>
  <c r="B2381" i="2" s="1"/>
  <c r="B2382" i="2" s="1"/>
  <c r="B2383" i="2" s="1"/>
  <c r="B2384" i="2" s="1"/>
  <c r="B2385" i="2" s="1"/>
  <c r="B2386" i="2" s="1"/>
  <c r="B2387" i="2" s="1"/>
  <c r="B2388" i="2" s="1"/>
  <c r="B2389" i="2" s="1"/>
  <c r="B2390" i="2" s="1"/>
  <c r="B2391" i="2" s="1"/>
  <c r="B2392" i="2" s="1"/>
  <c r="B2393" i="2" s="1"/>
  <c r="B2394" i="2" s="1"/>
  <c r="B2395" i="2" s="1"/>
  <c r="B2396" i="2" s="1"/>
  <c r="B2397" i="2" s="1"/>
  <c r="B2398" i="2" s="1"/>
  <c r="B2399" i="2" s="1"/>
  <c r="B2400" i="2" s="1"/>
  <c r="B2401" i="2" s="1"/>
  <c r="B2402" i="2" s="1"/>
  <c r="B2403" i="2" s="1"/>
  <c r="B2404" i="2" s="1"/>
  <c r="B2405" i="2" s="1"/>
  <c r="B2406" i="2" s="1"/>
  <c r="B2407" i="2" s="1"/>
  <c r="B2408" i="2" s="1"/>
  <c r="B2409" i="2" s="1"/>
  <c r="B2410" i="2" s="1"/>
  <c r="B2411" i="2" s="1"/>
  <c r="B2412" i="2" s="1"/>
  <c r="B2413" i="2" s="1"/>
  <c r="B2414" i="2" s="1"/>
  <c r="B2415" i="2" s="1"/>
  <c r="B2416" i="2" s="1"/>
  <c r="B2417" i="2" s="1"/>
  <c r="B2418" i="2" s="1"/>
  <c r="B2419" i="2" s="1"/>
  <c r="B2420" i="2" s="1"/>
  <c r="B2421" i="2" s="1"/>
  <c r="B2422" i="2" s="1"/>
  <c r="B2423" i="2" s="1"/>
  <c r="B2424" i="2" s="1"/>
  <c r="B2425" i="2" s="1"/>
  <c r="B2426" i="2" s="1"/>
  <c r="B2427" i="2" s="1"/>
  <c r="B2428" i="2" s="1"/>
  <c r="B2429" i="2" s="1"/>
  <c r="B2430" i="2" s="1"/>
  <c r="B2431" i="2" s="1"/>
  <c r="B2432" i="2" s="1"/>
  <c r="B2433" i="2" s="1"/>
  <c r="B2434" i="2" s="1"/>
  <c r="B2435" i="2" s="1"/>
  <c r="B2436" i="2" s="1"/>
  <c r="B2437" i="2" s="1"/>
  <c r="B2438" i="2" s="1"/>
  <c r="B2439" i="2" s="1"/>
  <c r="B2440" i="2" s="1"/>
  <c r="B2441" i="2" s="1"/>
  <c r="B2442" i="2" s="1"/>
  <c r="B2443" i="2" s="1"/>
  <c r="B2444" i="2" s="1"/>
  <c r="B2445" i="2" s="1"/>
  <c r="B2446" i="2" s="1"/>
  <c r="B2447" i="2" s="1"/>
  <c r="B2448" i="2" s="1"/>
  <c r="B2449" i="2" s="1"/>
  <c r="B2450" i="2" s="1"/>
  <c r="B2451" i="2" s="1"/>
  <c r="B2452" i="2" s="1"/>
  <c r="B2453" i="2" s="1"/>
  <c r="B2454" i="2" s="1"/>
  <c r="B2455" i="2" s="1"/>
  <c r="B2456" i="2" s="1"/>
  <c r="B2457" i="2" s="1"/>
  <c r="B2458" i="2" s="1"/>
  <c r="B2459" i="2" s="1"/>
  <c r="B2460" i="2" s="1"/>
  <c r="B2461" i="2" s="1"/>
  <c r="B2462" i="2" s="1"/>
  <c r="B2463" i="2" s="1"/>
  <c r="B2464" i="2" s="1"/>
  <c r="B2465" i="2" s="1"/>
  <c r="B2466" i="2" s="1"/>
  <c r="B2467" i="2" s="1"/>
  <c r="B2468" i="2" s="1"/>
  <c r="B2469" i="2" s="1"/>
  <c r="B2470" i="2" s="1"/>
  <c r="B2471" i="2" s="1"/>
  <c r="B2472" i="2" s="1"/>
  <c r="B2473" i="2" s="1"/>
  <c r="B2474" i="2" s="1"/>
  <c r="B2475" i="2" s="1"/>
  <c r="B2476" i="2" s="1"/>
  <c r="B2477" i="2" s="1"/>
  <c r="B2478" i="2" s="1"/>
  <c r="B2479" i="2" s="1"/>
  <c r="B2480" i="2" s="1"/>
  <c r="B2481" i="2" s="1"/>
  <c r="B2482" i="2" s="1"/>
  <c r="B2483" i="2" s="1"/>
  <c r="B2484" i="2" s="1"/>
  <c r="B2485" i="2" s="1"/>
  <c r="B2486" i="2" s="1"/>
  <c r="B2487" i="2" s="1"/>
  <c r="B2488" i="2" s="1"/>
  <c r="B2489" i="2" s="1"/>
  <c r="B2490" i="2" s="1"/>
  <c r="B2491" i="2" s="1"/>
  <c r="B2492" i="2" s="1"/>
  <c r="B2493" i="2" s="1"/>
  <c r="B2494" i="2" s="1"/>
  <c r="B2495" i="2" s="1"/>
  <c r="B2496" i="2" s="1"/>
  <c r="B2497" i="2" s="1"/>
  <c r="B2498" i="2" s="1"/>
  <c r="B2499" i="2" s="1"/>
  <c r="B2500" i="2" s="1"/>
  <c r="B2501" i="2" s="1"/>
  <c r="B2502" i="2" s="1"/>
  <c r="B2503" i="2" s="1"/>
  <c r="B2504" i="2" s="1"/>
  <c r="B2505" i="2" s="1"/>
  <c r="B2506" i="2" s="1"/>
  <c r="B2507" i="2" s="1"/>
  <c r="B2508" i="2" s="1"/>
  <c r="B2509" i="2" s="1"/>
  <c r="B2510" i="2" s="1"/>
  <c r="B2511" i="2" s="1"/>
  <c r="B2512" i="2" s="1"/>
  <c r="B2513" i="2" s="1"/>
  <c r="B2514" i="2" s="1"/>
  <c r="B2515" i="2" s="1"/>
  <c r="B2516" i="2" s="1"/>
  <c r="B2517" i="2" s="1"/>
  <c r="B2518" i="2" s="1"/>
  <c r="B2519" i="2" s="1"/>
  <c r="B2520" i="2" s="1"/>
  <c r="B2521" i="2" s="1"/>
  <c r="B2522" i="2" s="1"/>
  <c r="B2523" i="2" s="1"/>
  <c r="B2524" i="2" s="1"/>
  <c r="B2525" i="2" s="1"/>
  <c r="B2526" i="2" s="1"/>
  <c r="B2527" i="2" s="1"/>
  <c r="B2528" i="2" s="1"/>
  <c r="B2529" i="2" s="1"/>
  <c r="B2530" i="2" s="1"/>
  <c r="B2531" i="2" s="1"/>
  <c r="B2532" i="2" s="1"/>
  <c r="B2533" i="2" s="1"/>
  <c r="B2534" i="2" s="1"/>
  <c r="B2535" i="2" s="1"/>
  <c r="B2536" i="2" s="1"/>
  <c r="B2537" i="2" s="1"/>
  <c r="B2538" i="2" s="1"/>
  <c r="B2539" i="2" s="1"/>
  <c r="B2540" i="2" s="1"/>
  <c r="B2541" i="2" s="1"/>
  <c r="B2542" i="2" s="1"/>
  <c r="B2543" i="2" s="1"/>
  <c r="B2544" i="2" s="1"/>
  <c r="B2545" i="2" s="1"/>
  <c r="B2546" i="2" s="1"/>
  <c r="B2547" i="2" s="1"/>
  <c r="B2548" i="2" s="1"/>
  <c r="B2549" i="2" s="1"/>
  <c r="B2550" i="2" s="1"/>
  <c r="B2551" i="2" s="1"/>
  <c r="B2552" i="2" s="1"/>
  <c r="B2553" i="2" s="1"/>
  <c r="B2554" i="2" s="1"/>
  <c r="B2555" i="2" s="1"/>
  <c r="B2556" i="2" s="1"/>
  <c r="B2557" i="2" s="1"/>
  <c r="B2558" i="2" s="1"/>
  <c r="B2559" i="2" s="1"/>
  <c r="B2560" i="2" s="1"/>
  <c r="B2561" i="2" s="1"/>
  <c r="B2562" i="2" s="1"/>
  <c r="B2563" i="2" s="1"/>
  <c r="B2564" i="2" s="1"/>
  <c r="B2565" i="2" s="1"/>
  <c r="B2566" i="2" s="1"/>
  <c r="B2567" i="2" s="1"/>
  <c r="B2568" i="2" s="1"/>
  <c r="B2569" i="2" s="1"/>
  <c r="B2570" i="2" s="1"/>
  <c r="B2571" i="2" s="1"/>
  <c r="B2572" i="2" s="1"/>
  <c r="B2573" i="2" s="1"/>
  <c r="B2574" i="2" s="1"/>
  <c r="B2575" i="2" s="1"/>
  <c r="B2576" i="2" s="1"/>
  <c r="B2577" i="2" s="1"/>
  <c r="B2578" i="2" s="1"/>
  <c r="B2579" i="2" s="1"/>
  <c r="B2580" i="2" s="1"/>
  <c r="B2581" i="2" s="1"/>
  <c r="B2582" i="2" s="1"/>
  <c r="B2583" i="2" s="1"/>
  <c r="B2584" i="2" s="1"/>
  <c r="B2585" i="2" s="1"/>
  <c r="B2586" i="2" s="1"/>
  <c r="B2587" i="2" s="1"/>
  <c r="B2588" i="2" s="1"/>
  <c r="B2589" i="2" s="1"/>
  <c r="B2590" i="2" s="1"/>
  <c r="B2591" i="2" s="1"/>
  <c r="B2592" i="2" s="1"/>
  <c r="B2593" i="2" s="1"/>
  <c r="B2594" i="2" s="1"/>
  <c r="B2595" i="2" s="1"/>
  <c r="B2596" i="2" s="1"/>
  <c r="B2597" i="2" s="1"/>
  <c r="B2598" i="2" s="1"/>
  <c r="B2599" i="2" s="1"/>
  <c r="B2600" i="2" s="1"/>
  <c r="B2601" i="2" s="1"/>
  <c r="B2602" i="2" s="1"/>
  <c r="B2603" i="2" s="1"/>
  <c r="B2604" i="2" s="1"/>
  <c r="B2605" i="2" s="1"/>
  <c r="B2606" i="2" s="1"/>
  <c r="B2607" i="2" s="1"/>
  <c r="B2608" i="2" s="1"/>
  <c r="B2609" i="2" s="1"/>
  <c r="B2610" i="2" s="1"/>
  <c r="B2611" i="2" s="1"/>
  <c r="B2612" i="2" s="1"/>
  <c r="B2613" i="2" s="1"/>
  <c r="B2614" i="2" s="1"/>
  <c r="B2615" i="2" s="1"/>
  <c r="B2616" i="2" s="1"/>
  <c r="B2617" i="2" s="1"/>
  <c r="B2618" i="2" s="1"/>
  <c r="B2619" i="2" s="1"/>
  <c r="B2620" i="2" s="1"/>
  <c r="B2621" i="2" s="1"/>
  <c r="B2622" i="2" s="1"/>
  <c r="B2623" i="2" s="1"/>
  <c r="B2624" i="2" s="1"/>
  <c r="B2625" i="2" s="1"/>
  <c r="B1876" i="1"/>
  <c r="C1876" i="1"/>
  <c r="D1876" i="1"/>
  <c r="B1877" i="1"/>
  <c r="C1877" i="1"/>
  <c r="D1877" i="1"/>
  <c r="B1878" i="1"/>
  <c r="C1878" i="1"/>
  <c r="D1878" i="1"/>
  <c r="B1879" i="1"/>
  <c r="C1879" i="1"/>
  <c r="D1879" i="1"/>
  <c r="B1880" i="1"/>
  <c r="C1880" i="1"/>
  <c r="D1880" i="1"/>
  <c r="B1881" i="1"/>
  <c r="C1881" i="1"/>
  <c r="D1881" i="1"/>
  <c r="B1882" i="1"/>
  <c r="C1882" i="1"/>
  <c r="D1882" i="1"/>
  <c r="B1883" i="1"/>
  <c r="C1883" i="1"/>
  <c r="D1883" i="1"/>
  <c r="B1884" i="1"/>
  <c r="C1884" i="1"/>
  <c r="D1884" i="1"/>
  <c r="B1885" i="1"/>
  <c r="C1885" i="1"/>
  <c r="D1885" i="1"/>
  <c r="B1875" i="1"/>
  <c r="C1875" i="1"/>
  <c r="D1875" i="1"/>
  <c r="M1875" i="1"/>
  <c r="A27" i="5" l="1"/>
  <c r="E27" i="5" s="1"/>
  <c r="B26" i="5"/>
  <c r="I2622" i="2"/>
  <c r="I2623" i="2" s="1"/>
  <c r="I2624" i="2" s="1"/>
  <c r="I2625" i="2" s="1"/>
  <c r="I2626" i="2" s="1"/>
  <c r="H2622" i="2"/>
  <c r="H2623" i="2" s="1"/>
  <c r="G2622" i="2"/>
  <c r="G2623" i="2" s="1"/>
  <c r="G2624" i="2" s="1"/>
  <c r="G2625" i="2" s="1"/>
  <c r="G2626" i="2" s="1"/>
  <c r="F2622" i="2"/>
  <c r="F2623" i="2" s="1"/>
  <c r="F2624" i="2" s="1"/>
  <c r="F2625" i="2" s="1"/>
  <c r="F2626" i="2" s="1"/>
  <c r="E2622" i="2"/>
  <c r="E2623" i="2" s="1"/>
  <c r="E2624" i="2" s="1"/>
  <c r="E2625" i="2" s="1"/>
  <c r="E2626" i="2" s="1"/>
  <c r="D2622" i="2"/>
  <c r="D2623" i="2" s="1"/>
  <c r="D2624" i="2" s="1"/>
  <c r="D2625" i="2" s="1"/>
  <c r="D2626" i="2" s="1"/>
  <c r="C2622" i="2"/>
  <c r="C2623" i="2" s="1"/>
  <c r="C2624" i="2" s="1"/>
  <c r="C2625" i="2" s="1"/>
  <c r="C2626" i="2" s="1"/>
  <c r="M1874" i="1"/>
  <c r="B1874" i="1"/>
  <c r="C1874" i="1"/>
  <c r="D1874" i="1"/>
  <c r="I2621" i="2"/>
  <c r="H2621" i="2"/>
  <c r="G2621" i="2"/>
  <c r="F2621" i="2"/>
  <c r="E2621" i="2"/>
  <c r="D2621" i="2"/>
  <c r="C2621" i="2"/>
  <c r="M1873" i="1"/>
  <c r="D1873" i="1"/>
  <c r="C1873" i="1"/>
  <c r="B1873" i="1"/>
  <c r="B1872" i="1"/>
  <c r="C1872" i="1"/>
  <c r="D1872" i="1"/>
  <c r="E26" i="5"/>
  <c r="E25" i="5"/>
  <c r="E24" i="5"/>
  <c r="E23" i="5"/>
  <c r="E22" i="5"/>
  <c r="E21" i="5"/>
  <c r="E20" i="5"/>
  <c r="E19" i="5"/>
  <c r="E18" i="5"/>
  <c r="E17" i="5"/>
  <c r="E16" i="5"/>
  <c r="E15" i="5"/>
  <c r="M1872" i="1"/>
  <c r="I2620" i="2"/>
  <c r="H2620" i="2"/>
  <c r="G2620" i="2"/>
  <c r="F2620" i="2"/>
  <c r="E2620" i="2"/>
  <c r="D2620" i="2"/>
  <c r="C2620" i="2"/>
  <c r="F15" i="5" s="1"/>
  <c r="I2619" i="2"/>
  <c r="H2619" i="2"/>
  <c r="G2619" i="2"/>
  <c r="F2619" i="2"/>
  <c r="E2619" i="2"/>
  <c r="D2619" i="2"/>
  <c r="C2619" i="2"/>
  <c r="M1871" i="1"/>
  <c r="I2618" i="2"/>
  <c r="H2618" i="2"/>
  <c r="G2618" i="2"/>
  <c r="F2618" i="2"/>
  <c r="E2618" i="2"/>
  <c r="D2618" i="2"/>
  <c r="C2618" i="2"/>
  <c r="M1870" i="1"/>
  <c r="I2615" i="2"/>
  <c r="H2615" i="2"/>
  <c r="G2615" i="2"/>
  <c r="F2615" i="2"/>
  <c r="E2615" i="2"/>
  <c r="D2615" i="2"/>
  <c r="C2615" i="2"/>
  <c r="M1869" i="1"/>
  <c r="I2614" i="2"/>
  <c r="H2614" i="2"/>
  <c r="G2614" i="2"/>
  <c r="F2614" i="2"/>
  <c r="E2614" i="2"/>
  <c r="D2614" i="2"/>
  <c r="C2614" i="2"/>
  <c r="M1868" i="1"/>
  <c r="I2613" i="2"/>
  <c r="H2613" i="2"/>
  <c r="G2613" i="2"/>
  <c r="F2613" i="2"/>
  <c r="E2613" i="2"/>
  <c r="D2613" i="2"/>
  <c r="C2613" i="2"/>
  <c r="M1867" i="1"/>
  <c r="I2612" i="2"/>
  <c r="H2612" i="2"/>
  <c r="G2612" i="2"/>
  <c r="F2612" i="2"/>
  <c r="E2612" i="2"/>
  <c r="D2612" i="2"/>
  <c r="C2612" i="2"/>
  <c r="M1866" i="1"/>
  <c r="I2611" i="2"/>
  <c r="H2611" i="2"/>
  <c r="G2611" i="2"/>
  <c r="F2611" i="2"/>
  <c r="E2611" i="2"/>
  <c r="D2611" i="2"/>
  <c r="C2611" i="2"/>
  <c r="M1865" i="1"/>
  <c r="I2608" i="2"/>
  <c r="H2608" i="2"/>
  <c r="G2608" i="2"/>
  <c r="F2608" i="2"/>
  <c r="E2608" i="2"/>
  <c r="D2608" i="2"/>
  <c r="C2608" i="2"/>
  <c r="M1864" i="1"/>
  <c r="I2607" i="2"/>
  <c r="H2607" i="2"/>
  <c r="G2607" i="2"/>
  <c r="F2607" i="2"/>
  <c r="E2607" i="2"/>
  <c r="D2607" i="2"/>
  <c r="C2607" i="2"/>
  <c r="M1863" i="1"/>
  <c r="I2606" i="2"/>
  <c r="H2606" i="2"/>
  <c r="G2606" i="2"/>
  <c r="F2606" i="2"/>
  <c r="E2606" i="2"/>
  <c r="D2606" i="2"/>
  <c r="C2606" i="2"/>
  <c r="M1862" i="1"/>
  <c r="I2605" i="2"/>
  <c r="H2605" i="2"/>
  <c r="G2605" i="2"/>
  <c r="F2605" i="2"/>
  <c r="E2605" i="2"/>
  <c r="D2605" i="2"/>
  <c r="C2605" i="2"/>
  <c r="M1861" i="1"/>
  <c r="I2604" i="2"/>
  <c r="H2604" i="2"/>
  <c r="G2604" i="2"/>
  <c r="F2604" i="2"/>
  <c r="E2604" i="2"/>
  <c r="D2604" i="2"/>
  <c r="C2604" i="2"/>
  <c r="I2601" i="2"/>
  <c r="H2601" i="2"/>
  <c r="G2601" i="2"/>
  <c r="F2601" i="2"/>
  <c r="E2601" i="2"/>
  <c r="D2601" i="2"/>
  <c r="C2601" i="2"/>
  <c r="I2600" i="2"/>
  <c r="H2600" i="2"/>
  <c r="G2600" i="2"/>
  <c r="F2600" i="2"/>
  <c r="E2600" i="2"/>
  <c r="D2600" i="2"/>
  <c r="C2600" i="2"/>
  <c r="I2599" i="2"/>
  <c r="H2599" i="2"/>
  <c r="G2599" i="2"/>
  <c r="F2599" i="2"/>
  <c r="E2599" i="2"/>
  <c r="D2599" i="2"/>
  <c r="C2599" i="2"/>
  <c r="I2598" i="2"/>
  <c r="H2598" i="2"/>
  <c r="G2598" i="2"/>
  <c r="F2598" i="2"/>
  <c r="E2598" i="2"/>
  <c r="D2598" i="2"/>
  <c r="C2598" i="2"/>
  <c r="I2597" i="2"/>
  <c r="H2597" i="2"/>
  <c r="G2597" i="2"/>
  <c r="F2597" i="2"/>
  <c r="E2597" i="2"/>
  <c r="D2597" i="2"/>
  <c r="C2597" i="2"/>
  <c r="I2594" i="2"/>
  <c r="H2594" i="2"/>
  <c r="G2594" i="2"/>
  <c r="F2594" i="2"/>
  <c r="E2594" i="2"/>
  <c r="D2594" i="2"/>
  <c r="C2594" i="2"/>
  <c r="I2593" i="2"/>
  <c r="H2593" i="2"/>
  <c r="G2593" i="2"/>
  <c r="F2593" i="2"/>
  <c r="E2593" i="2"/>
  <c r="D2593" i="2"/>
  <c r="C2593" i="2"/>
  <c r="I2592" i="2"/>
  <c r="H2592" i="2"/>
  <c r="G2592" i="2"/>
  <c r="F2592" i="2"/>
  <c r="E2592" i="2"/>
  <c r="D2592" i="2"/>
  <c r="C2592" i="2"/>
  <c r="I2591" i="2"/>
  <c r="H2591" i="2"/>
  <c r="G2591" i="2"/>
  <c r="F2591" i="2"/>
  <c r="E2591" i="2"/>
  <c r="D2591" i="2"/>
  <c r="C2591" i="2"/>
  <c r="I2590" i="2"/>
  <c r="H2590" i="2"/>
  <c r="G2590" i="2"/>
  <c r="F2590" i="2"/>
  <c r="E2590" i="2"/>
  <c r="D2590" i="2"/>
  <c r="C2590" i="2"/>
  <c r="I2587" i="2"/>
  <c r="H2587" i="2"/>
  <c r="G2587" i="2"/>
  <c r="F2587" i="2"/>
  <c r="E2587" i="2"/>
  <c r="D2587" i="2"/>
  <c r="C2587" i="2"/>
  <c r="I2586" i="2"/>
  <c r="H2586" i="2"/>
  <c r="G2586" i="2"/>
  <c r="F2586" i="2"/>
  <c r="E2586" i="2"/>
  <c r="D2586" i="2"/>
  <c r="C2586" i="2"/>
  <c r="I2585" i="2"/>
  <c r="H2585" i="2"/>
  <c r="G2585" i="2"/>
  <c r="F2585" i="2"/>
  <c r="E2585" i="2"/>
  <c r="D2585" i="2"/>
  <c r="C2585" i="2"/>
  <c r="I2584" i="2"/>
  <c r="H2584" i="2"/>
  <c r="G2584" i="2"/>
  <c r="F2584" i="2"/>
  <c r="E2584" i="2"/>
  <c r="D2584" i="2"/>
  <c r="C2584" i="2"/>
  <c r="I2583" i="2"/>
  <c r="H2583" i="2"/>
  <c r="G2583" i="2"/>
  <c r="F2583" i="2"/>
  <c r="E2583" i="2"/>
  <c r="D2583" i="2"/>
  <c r="C2583" i="2"/>
  <c r="I2580" i="2"/>
  <c r="H2580" i="2"/>
  <c r="G2580" i="2"/>
  <c r="F2580" i="2"/>
  <c r="E2580" i="2"/>
  <c r="D2580" i="2"/>
  <c r="C2580" i="2"/>
  <c r="I2579" i="2"/>
  <c r="H2579" i="2"/>
  <c r="G2579" i="2"/>
  <c r="F2579" i="2"/>
  <c r="E2579" i="2"/>
  <c r="D2579" i="2"/>
  <c r="C2579" i="2"/>
  <c r="I2578" i="2"/>
  <c r="H2578" i="2"/>
  <c r="G2578" i="2"/>
  <c r="F2578" i="2"/>
  <c r="E2578" i="2"/>
  <c r="D2578" i="2"/>
  <c r="C2578" i="2"/>
  <c r="I2577" i="2"/>
  <c r="H2577" i="2"/>
  <c r="G2577" i="2"/>
  <c r="F2577" i="2"/>
  <c r="E2577" i="2"/>
  <c r="D2577" i="2"/>
  <c r="C2577" i="2"/>
  <c r="I2573" i="2"/>
  <c r="H2573" i="2"/>
  <c r="G2573" i="2"/>
  <c r="F2573" i="2"/>
  <c r="E2573" i="2"/>
  <c r="D2573" i="2"/>
  <c r="C2573" i="2"/>
  <c r="I2572" i="2"/>
  <c r="H2572" i="2"/>
  <c r="G2572" i="2"/>
  <c r="F2572" i="2"/>
  <c r="E2572" i="2"/>
  <c r="D2572" i="2"/>
  <c r="C2572" i="2"/>
  <c r="I2571" i="2"/>
  <c r="H2571" i="2"/>
  <c r="G2571" i="2"/>
  <c r="F2571" i="2"/>
  <c r="E2571" i="2"/>
  <c r="D2571" i="2"/>
  <c r="C2571" i="2"/>
  <c r="I2570" i="2"/>
  <c r="H2570" i="2"/>
  <c r="G2570" i="2"/>
  <c r="F2570" i="2"/>
  <c r="E2570" i="2"/>
  <c r="D2570" i="2"/>
  <c r="C2570" i="2"/>
  <c r="I2569" i="2"/>
  <c r="H2569" i="2"/>
  <c r="G2569" i="2"/>
  <c r="F2569" i="2"/>
  <c r="E2569" i="2"/>
  <c r="D2569" i="2"/>
  <c r="C2569" i="2"/>
  <c r="I2566" i="2"/>
  <c r="H2566" i="2"/>
  <c r="G2566" i="2"/>
  <c r="F2566" i="2"/>
  <c r="E2566" i="2"/>
  <c r="D2566" i="2"/>
  <c r="C2566" i="2"/>
  <c r="I2565" i="2"/>
  <c r="H2565" i="2"/>
  <c r="G2565" i="2"/>
  <c r="F2565" i="2"/>
  <c r="E2565" i="2"/>
  <c r="D2565" i="2"/>
  <c r="C2565" i="2"/>
  <c r="I2564" i="2"/>
  <c r="H2564" i="2"/>
  <c r="G2564" i="2"/>
  <c r="F2564" i="2"/>
  <c r="E2564" i="2"/>
  <c r="D2564" i="2"/>
  <c r="C2564" i="2"/>
  <c r="I2563" i="2"/>
  <c r="H2563" i="2"/>
  <c r="G2563" i="2"/>
  <c r="F2563" i="2"/>
  <c r="E2563" i="2"/>
  <c r="D2563" i="2"/>
  <c r="C2563" i="2"/>
  <c r="I2559" i="2"/>
  <c r="H2559" i="2"/>
  <c r="G2559" i="2"/>
  <c r="F2559" i="2"/>
  <c r="E2559" i="2"/>
  <c r="D2559" i="2"/>
  <c r="C2559" i="2"/>
  <c r="I2558" i="2"/>
  <c r="H2558" i="2"/>
  <c r="G2558" i="2"/>
  <c r="F2558" i="2"/>
  <c r="E2558" i="2"/>
  <c r="D2558" i="2"/>
  <c r="C2558" i="2"/>
  <c r="M1860" i="1"/>
  <c r="M1859" i="1"/>
  <c r="M1858" i="1"/>
  <c r="M1857" i="1"/>
  <c r="M1856" i="1"/>
  <c r="M1855" i="1"/>
  <c r="D1871" i="1"/>
  <c r="C1871" i="1"/>
  <c r="B1871" i="1"/>
  <c r="D1870" i="1"/>
  <c r="C1870" i="1"/>
  <c r="B1870" i="1"/>
  <c r="D1869" i="1"/>
  <c r="C1869" i="1"/>
  <c r="B1869" i="1"/>
  <c r="D1868" i="1"/>
  <c r="C1868" i="1"/>
  <c r="B1868" i="1"/>
  <c r="D1867" i="1"/>
  <c r="C1867" i="1"/>
  <c r="B1867" i="1"/>
  <c r="D1866" i="1"/>
  <c r="C1866" i="1"/>
  <c r="B1866" i="1"/>
  <c r="D1865" i="1"/>
  <c r="C1865" i="1"/>
  <c r="B1865" i="1"/>
  <c r="D1864" i="1"/>
  <c r="C1864" i="1"/>
  <c r="B1864" i="1"/>
  <c r="D1863" i="1"/>
  <c r="C1863" i="1"/>
  <c r="B1863" i="1"/>
  <c r="D1862" i="1"/>
  <c r="C1862" i="1"/>
  <c r="B1862" i="1"/>
  <c r="D1861" i="1"/>
  <c r="C1861" i="1"/>
  <c r="B1861" i="1"/>
  <c r="D1860" i="1"/>
  <c r="C1860" i="1"/>
  <c r="B1860" i="1"/>
  <c r="D1859" i="1"/>
  <c r="C1859" i="1"/>
  <c r="B1859" i="1"/>
  <c r="D1858" i="1"/>
  <c r="C1858" i="1"/>
  <c r="B1858" i="1"/>
  <c r="D1857" i="1"/>
  <c r="C1857" i="1"/>
  <c r="B1857" i="1"/>
  <c r="D1856" i="1"/>
  <c r="C1856" i="1"/>
  <c r="B1856" i="1"/>
  <c r="D1855" i="1"/>
  <c r="C1855" i="1"/>
  <c r="B1855" i="1"/>
  <c r="M1854" i="1"/>
  <c r="D1854" i="1"/>
  <c r="C1854" i="1"/>
  <c r="B1854" i="1"/>
  <c r="M1853" i="1"/>
  <c r="B1853" i="1"/>
  <c r="C1853" i="1"/>
  <c r="D1853" i="1"/>
  <c r="M1852" i="1"/>
  <c r="B1852" i="1"/>
  <c r="C1852" i="1"/>
  <c r="D1852" i="1"/>
  <c r="M1851" i="1"/>
  <c r="B1851" i="1"/>
  <c r="C1851" i="1"/>
  <c r="D1851" i="1"/>
  <c r="M1850" i="1"/>
  <c r="B1850" i="1"/>
  <c r="C1850" i="1"/>
  <c r="D1850" i="1"/>
  <c r="M1849" i="1"/>
  <c r="B1849" i="1"/>
  <c r="C1849" i="1"/>
  <c r="D1849" i="1"/>
  <c r="M1848" i="1"/>
  <c r="B1848" i="1"/>
  <c r="C1848" i="1"/>
  <c r="D1848" i="1"/>
  <c r="M1847" i="1"/>
  <c r="B1847" i="1"/>
  <c r="C1847" i="1"/>
  <c r="D1847" i="1"/>
  <c r="M1846" i="1"/>
  <c r="D1846" i="1"/>
  <c r="C1846" i="1"/>
  <c r="B1846" i="1"/>
  <c r="M1845" i="1"/>
  <c r="B1845" i="1"/>
  <c r="C1845" i="1"/>
  <c r="D1845" i="1"/>
  <c r="M1844" i="1"/>
  <c r="B1844" i="1"/>
  <c r="C1844" i="1"/>
  <c r="D1844" i="1"/>
  <c r="M1843" i="1"/>
  <c r="D1843" i="1"/>
  <c r="C1843" i="1"/>
  <c r="B1843" i="1"/>
  <c r="M1842" i="1"/>
  <c r="B1842" i="1"/>
  <c r="C1842" i="1"/>
  <c r="D1842" i="1"/>
  <c r="M1841" i="1"/>
  <c r="B1841" i="1"/>
  <c r="C1841" i="1"/>
  <c r="D1841" i="1"/>
  <c r="M1840" i="1"/>
  <c r="B1840" i="1"/>
  <c r="C1840" i="1"/>
  <c r="D1840" i="1"/>
  <c r="M1839" i="1"/>
  <c r="B1839" i="1"/>
  <c r="C1839" i="1"/>
  <c r="D1839" i="1"/>
  <c r="M1838" i="1"/>
  <c r="B1838" i="1"/>
  <c r="C1838" i="1"/>
  <c r="D1838" i="1"/>
  <c r="M1837" i="1"/>
  <c r="B1837" i="1"/>
  <c r="C1837" i="1"/>
  <c r="D1837" i="1"/>
  <c r="M1836" i="1"/>
  <c r="B1836" i="1"/>
  <c r="C1836" i="1"/>
  <c r="D1836" i="1"/>
  <c r="M1835" i="1"/>
  <c r="B1835" i="1"/>
  <c r="C1835" i="1"/>
  <c r="D1835" i="1"/>
  <c r="M1834" i="1"/>
  <c r="D1834" i="1"/>
  <c r="C1834" i="1"/>
  <c r="B1834" i="1"/>
  <c r="M1833" i="1"/>
  <c r="B1833" i="1"/>
  <c r="C1833" i="1"/>
  <c r="D1833" i="1"/>
  <c r="M1832" i="1"/>
  <c r="D1832" i="1"/>
  <c r="C1832" i="1"/>
  <c r="B1832" i="1"/>
  <c r="M1831" i="1"/>
  <c r="M1830" i="1"/>
  <c r="B1831" i="1"/>
  <c r="C1831" i="1"/>
  <c r="D1831" i="1"/>
  <c r="B1830" i="1"/>
  <c r="C1830" i="1"/>
  <c r="D1830" i="1"/>
  <c r="I2557" i="2"/>
  <c r="H2557" i="2"/>
  <c r="G2557" i="2"/>
  <c r="F2557" i="2"/>
  <c r="E2557" i="2"/>
  <c r="D2557" i="2"/>
  <c r="C2557" i="2"/>
  <c r="M1829" i="1"/>
  <c r="B1829" i="1"/>
  <c r="C1829" i="1"/>
  <c r="D1829" i="1"/>
  <c r="M1828" i="1"/>
  <c r="M1827" i="1"/>
  <c r="I2556" i="2"/>
  <c r="H2556" i="2"/>
  <c r="G2556" i="2"/>
  <c r="F2556" i="2"/>
  <c r="E2556" i="2"/>
  <c r="D2556" i="2"/>
  <c r="C2556" i="2"/>
  <c r="I2555" i="2"/>
  <c r="H2555" i="2"/>
  <c r="G2555" i="2"/>
  <c r="F2555" i="2"/>
  <c r="E2555" i="2"/>
  <c r="D2555" i="2"/>
  <c r="C2555" i="2"/>
  <c r="B1828" i="1"/>
  <c r="C1828" i="1"/>
  <c r="D1828" i="1"/>
  <c r="B1827" i="1"/>
  <c r="C1827" i="1"/>
  <c r="D1827" i="1"/>
  <c r="I2552" i="2"/>
  <c r="H2552" i="2"/>
  <c r="G2552" i="2"/>
  <c r="F2552" i="2"/>
  <c r="E2552" i="2"/>
  <c r="D2552" i="2"/>
  <c r="C2552" i="2"/>
  <c r="M1826" i="1"/>
  <c r="B1826" i="1"/>
  <c r="C1826" i="1"/>
  <c r="D1826" i="1"/>
  <c r="I2551" i="2"/>
  <c r="H2551" i="2"/>
  <c r="G2551" i="2"/>
  <c r="F2551" i="2"/>
  <c r="E2551" i="2"/>
  <c r="D2551" i="2"/>
  <c r="C2551" i="2"/>
  <c r="M1825" i="1"/>
  <c r="B1825" i="1"/>
  <c r="C1825" i="1"/>
  <c r="D1825" i="1"/>
  <c r="I2550" i="2"/>
  <c r="H2550" i="2"/>
  <c r="G2550" i="2"/>
  <c r="F2550" i="2"/>
  <c r="E2550" i="2"/>
  <c r="D2550" i="2"/>
  <c r="C2550" i="2"/>
  <c r="M1824" i="1"/>
  <c r="D1824" i="1"/>
  <c r="C1824" i="1"/>
  <c r="B1824" i="1"/>
  <c r="I2549" i="2"/>
  <c r="H2549" i="2"/>
  <c r="G2549" i="2"/>
  <c r="F2549" i="2"/>
  <c r="E2549" i="2"/>
  <c r="D2549" i="2"/>
  <c r="C2549" i="2"/>
  <c r="M1823" i="1"/>
  <c r="B1823" i="1"/>
  <c r="C1823" i="1"/>
  <c r="D1823" i="1"/>
  <c r="C2548" i="2"/>
  <c r="M1822" i="1"/>
  <c r="I2548" i="2"/>
  <c r="H2548" i="2"/>
  <c r="G2548" i="2"/>
  <c r="F2548" i="2"/>
  <c r="E2548" i="2"/>
  <c r="D2548" i="2"/>
  <c r="B1822" i="1"/>
  <c r="C1822" i="1"/>
  <c r="D1822" i="1"/>
  <c r="I2545" i="2"/>
  <c r="H2545" i="2"/>
  <c r="G2545" i="2"/>
  <c r="F2545" i="2"/>
  <c r="E2545" i="2"/>
  <c r="D2545" i="2"/>
  <c r="C2545" i="2"/>
  <c r="M1821" i="1"/>
  <c r="B1821" i="1"/>
  <c r="C1821" i="1"/>
  <c r="D1821" i="1"/>
  <c r="I2544" i="2"/>
  <c r="H2544" i="2"/>
  <c r="G2544" i="2"/>
  <c r="F2544" i="2"/>
  <c r="E2544" i="2"/>
  <c r="D2544" i="2"/>
  <c r="C2544" i="2"/>
  <c r="M1820" i="1"/>
  <c r="B1820" i="1"/>
  <c r="C1820" i="1"/>
  <c r="D1820" i="1"/>
  <c r="I2543" i="2"/>
  <c r="H2543" i="2"/>
  <c r="G2543" i="2"/>
  <c r="F2543" i="2"/>
  <c r="E2543" i="2"/>
  <c r="D2543" i="2"/>
  <c r="C2543" i="2"/>
  <c r="M1819" i="1"/>
  <c r="B1819" i="1"/>
  <c r="C1819" i="1"/>
  <c r="D1819" i="1"/>
  <c r="I2542" i="2"/>
  <c r="H2542" i="2"/>
  <c r="G2542" i="2"/>
  <c r="F2542" i="2"/>
  <c r="E2542" i="2"/>
  <c r="D2542" i="2"/>
  <c r="C2542" i="2"/>
  <c r="M1818" i="1"/>
  <c r="B1818" i="1"/>
  <c r="C1818" i="1"/>
  <c r="D1818" i="1"/>
  <c r="I2541" i="2"/>
  <c r="H2541" i="2"/>
  <c r="G2541" i="2"/>
  <c r="F2541" i="2"/>
  <c r="E2541" i="2"/>
  <c r="D2541" i="2"/>
  <c r="C2541" i="2"/>
  <c r="M1817" i="1"/>
  <c r="B1817" i="1"/>
  <c r="C1817" i="1"/>
  <c r="D1817" i="1"/>
  <c r="I2538" i="2"/>
  <c r="H2538" i="2"/>
  <c r="G2538" i="2"/>
  <c r="F2538" i="2"/>
  <c r="E2538" i="2"/>
  <c r="D2538" i="2"/>
  <c r="C2538" i="2"/>
  <c r="M1816" i="1"/>
  <c r="B1816" i="1"/>
  <c r="C1816" i="1"/>
  <c r="D1816" i="1"/>
  <c r="I2537" i="2"/>
  <c r="H2537" i="2"/>
  <c r="G2537" i="2"/>
  <c r="F2537" i="2"/>
  <c r="E2537" i="2"/>
  <c r="D2537" i="2"/>
  <c r="C2537" i="2"/>
  <c r="M1815" i="1"/>
  <c r="B1815" i="1"/>
  <c r="C1815" i="1"/>
  <c r="D1815" i="1"/>
  <c r="I2536" i="2"/>
  <c r="H2536" i="2"/>
  <c r="G2536" i="2"/>
  <c r="F2536" i="2"/>
  <c r="E2536" i="2"/>
  <c r="D2536" i="2"/>
  <c r="C2536" i="2"/>
  <c r="M1814" i="1"/>
  <c r="B1814" i="1"/>
  <c r="C1814" i="1"/>
  <c r="D1814" i="1"/>
  <c r="I2535" i="2"/>
  <c r="H2535" i="2"/>
  <c r="G2535" i="2"/>
  <c r="F2535" i="2"/>
  <c r="E2535" i="2"/>
  <c r="D2535" i="2"/>
  <c r="C2535" i="2"/>
  <c r="M1813" i="1"/>
  <c r="B1813" i="1"/>
  <c r="C1813" i="1"/>
  <c r="D1813" i="1"/>
  <c r="I2534" i="2"/>
  <c r="H2534" i="2"/>
  <c r="G2534" i="2"/>
  <c r="F2534" i="2"/>
  <c r="E2534" i="2"/>
  <c r="D2534" i="2"/>
  <c r="C2534" i="2"/>
  <c r="M1812" i="1"/>
  <c r="B1812" i="1"/>
  <c r="C1812" i="1"/>
  <c r="D1812" i="1"/>
  <c r="I2531" i="2"/>
  <c r="H2531" i="2"/>
  <c r="G2531" i="2"/>
  <c r="F2531" i="2"/>
  <c r="E2531" i="2"/>
  <c r="D2531" i="2"/>
  <c r="C2531" i="2"/>
  <c r="M1811" i="1"/>
  <c r="B1811" i="1"/>
  <c r="C1811" i="1"/>
  <c r="D1811" i="1"/>
  <c r="I2530" i="2"/>
  <c r="H2530" i="2"/>
  <c r="G2530" i="2"/>
  <c r="F2530" i="2"/>
  <c r="E2530" i="2"/>
  <c r="D2530" i="2"/>
  <c r="C2530" i="2"/>
  <c r="M1810" i="1"/>
  <c r="B1810" i="1"/>
  <c r="C1810" i="1"/>
  <c r="D1810" i="1"/>
  <c r="I2529" i="2"/>
  <c r="H2529" i="2"/>
  <c r="G2529" i="2"/>
  <c r="F2529" i="2"/>
  <c r="E2529" i="2"/>
  <c r="D2529" i="2"/>
  <c r="C2529" i="2"/>
  <c r="M1809" i="1"/>
  <c r="B1809" i="1"/>
  <c r="C1809" i="1"/>
  <c r="D1809" i="1"/>
  <c r="I2528" i="2"/>
  <c r="H2528" i="2"/>
  <c r="G2528" i="2"/>
  <c r="F2528" i="2"/>
  <c r="E2528" i="2"/>
  <c r="D2528" i="2"/>
  <c r="C2528" i="2"/>
  <c r="M1808" i="1"/>
  <c r="B1808" i="1"/>
  <c r="C1808" i="1"/>
  <c r="D1808" i="1"/>
  <c r="I2527" i="2"/>
  <c r="H2527" i="2"/>
  <c r="G2527" i="2"/>
  <c r="F2527" i="2"/>
  <c r="E2527" i="2"/>
  <c r="D2527" i="2"/>
  <c r="C2527" i="2"/>
  <c r="M1807" i="1"/>
  <c r="B1807" i="1"/>
  <c r="C1807" i="1"/>
  <c r="D1807" i="1"/>
  <c r="I2524" i="2"/>
  <c r="H2524" i="2"/>
  <c r="G2524" i="2"/>
  <c r="F2524" i="2"/>
  <c r="E2524" i="2"/>
  <c r="D2524" i="2"/>
  <c r="C2524" i="2"/>
  <c r="I2523" i="2"/>
  <c r="H2523" i="2"/>
  <c r="G2523" i="2"/>
  <c r="F2523" i="2"/>
  <c r="E2523" i="2"/>
  <c r="D2523" i="2"/>
  <c r="C2523" i="2"/>
  <c r="B1806" i="1"/>
  <c r="C1806" i="1"/>
  <c r="D1806" i="1"/>
  <c r="B1805" i="1"/>
  <c r="C1805" i="1"/>
  <c r="D1805" i="1"/>
  <c r="M1806" i="1"/>
  <c r="M1805" i="1"/>
  <c r="I2522" i="2"/>
  <c r="H2522" i="2"/>
  <c r="G2522" i="2"/>
  <c r="F2522" i="2"/>
  <c r="E2522" i="2"/>
  <c r="D2522" i="2"/>
  <c r="C2522" i="2"/>
  <c r="M1804" i="1"/>
  <c r="B1804" i="1"/>
  <c r="C1804" i="1"/>
  <c r="D1804" i="1"/>
  <c r="I2521" i="2"/>
  <c r="H2521" i="2"/>
  <c r="G2521" i="2"/>
  <c r="F2521" i="2"/>
  <c r="E2521" i="2"/>
  <c r="D2521" i="2"/>
  <c r="C2521" i="2"/>
  <c r="I2520" i="2"/>
  <c r="H2520" i="2"/>
  <c r="G2520" i="2"/>
  <c r="F2520" i="2"/>
  <c r="E2520" i="2"/>
  <c r="D2520" i="2"/>
  <c r="C2520" i="2"/>
  <c r="M1803" i="1"/>
  <c r="M1802" i="1"/>
  <c r="B1803" i="1"/>
  <c r="C1803" i="1"/>
  <c r="D1803" i="1"/>
  <c r="B1802" i="1"/>
  <c r="C1802" i="1"/>
  <c r="D1802" i="1"/>
  <c r="I2517" i="2"/>
  <c r="H2517" i="2"/>
  <c r="G2517" i="2"/>
  <c r="F2517" i="2"/>
  <c r="E2517" i="2"/>
  <c r="D2517" i="2"/>
  <c r="C2517" i="2"/>
  <c r="B1801" i="1"/>
  <c r="C1801" i="1"/>
  <c r="D1801" i="1"/>
  <c r="M1801" i="1"/>
  <c r="I2516" i="2"/>
  <c r="H2516" i="2"/>
  <c r="G2516" i="2"/>
  <c r="F2516" i="2"/>
  <c r="E2516" i="2"/>
  <c r="D2516" i="2"/>
  <c r="C2516" i="2"/>
  <c r="M1800" i="1"/>
  <c r="B1800" i="1"/>
  <c r="C1800" i="1"/>
  <c r="D1800" i="1"/>
  <c r="I2515" i="2"/>
  <c r="H2515" i="2"/>
  <c r="G2515" i="2"/>
  <c r="F2515" i="2"/>
  <c r="E2515" i="2"/>
  <c r="D2515" i="2"/>
  <c r="C2515" i="2"/>
  <c r="M1799" i="1"/>
  <c r="B1799" i="1"/>
  <c r="C1799" i="1"/>
  <c r="D1799" i="1"/>
  <c r="I2514" i="2"/>
  <c r="H2514" i="2"/>
  <c r="G2514" i="2"/>
  <c r="F2514" i="2"/>
  <c r="E2514" i="2"/>
  <c r="D2514" i="2"/>
  <c r="C2514" i="2"/>
  <c r="M1798" i="1"/>
  <c r="M1797" i="1"/>
  <c r="B1798" i="1"/>
  <c r="C1798" i="1"/>
  <c r="D1798" i="1"/>
  <c r="B1797" i="1"/>
  <c r="C1797" i="1"/>
  <c r="D1797" i="1"/>
  <c r="I2510" i="2"/>
  <c r="H2510" i="2"/>
  <c r="G2510" i="2"/>
  <c r="F2510" i="2"/>
  <c r="E2510" i="2"/>
  <c r="D2510" i="2"/>
  <c r="C2510" i="2"/>
  <c r="M1796" i="1"/>
  <c r="B1796" i="1"/>
  <c r="C1796" i="1"/>
  <c r="D1796" i="1"/>
  <c r="I2509" i="2"/>
  <c r="H2509" i="2"/>
  <c r="G2509" i="2"/>
  <c r="F2509" i="2"/>
  <c r="E2509" i="2"/>
  <c r="D2509" i="2"/>
  <c r="C2509" i="2"/>
  <c r="M1795" i="1"/>
  <c r="B1795" i="1"/>
  <c r="C1795" i="1"/>
  <c r="D1795" i="1"/>
  <c r="I2508" i="2"/>
  <c r="H2508" i="2"/>
  <c r="G2508" i="2"/>
  <c r="F2508" i="2"/>
  <c r="E2508" i="2"/>
  <c r="D2508" i="2"/>
  <c r="C2508" i="2"/>
  <c r="M1794" i="1"/>
  <c r="B1794" i="1"/>
  <c r="C1794" i="1"/>
  <c r="D1794" i="1"/>
  <c r="I2507" i="2"/>
  <c r="H2507" i="2"/>
  <c r="G2507" i="2"/>
  <c r="F2507" i="2"/>
  <c r="E2507" i="2"/>
  <c r="D2507" i="2"/>
  <c r="C2507" i="2"/>
  <c r="M1793" i="1"/>
  <c r="B1793" i="1"/>
  <c r="C1793" i="1"/>
  <c r="D1793" i="1"/>
  <c r="M1792" i="1"/>
  <c r="B1792" i="1"/>
  <c r="C1792" i="1"/>
  <c r="D1792" i="1"/>
  <c r="M1791" i="1"/>
  <c r="M1790" i="1"/>
  <c r="M1789" i="1"/>
  <c r="I15" i="5" l="1"/>
  <c r="H15" i="5"/>
  <c r="G15" i="5"/>
  <c r="A28" i="5"/>
  <c r="B27" i="5"/>
  <c r="J2621" i="2"/>
  <c r="H430" i="4" s="1"/>
  <c r="J2623" i="2"/>
  <c r="H432" i="4" s="1"/>
  <c r="H2624" i="2"/>
  <c r="J2622" i="2"/>
  <c r="H431" i="4" s="1"/>
  <c r="L15" i="5"/>
  <c r="J15" i="5"/>
  <c r="J2620" i="2"/>
  <c r="H429" i="4" s="1"/>
  <c r="G2560" i="2"/>
  <c r="G2561" i="2" s="1"/>
  <c r="G2562" i="2" s="1"/>
  <c r="C2567" i="2"/>
  <c r="C2568" i="2" s="1"/>
  <c r="D2581" i="2"/>
  <c r="D2582" i="2" s="1"/>
  <c r="I2588" i="2"/>
  <c r="I2589" i="2" s="1"/>
  <c r="F2595" i="2"/>
  <c r="F2596" i="2" s="1"/>
  <c r="C2602" i="2"/>
  <c r="C2603" i="2" s="1"/>
  <c r="D2609" i="2"/>
  <c r="D2610" i="2" s="1"/>
  <c r="C2616" i="2"/>
  <c r="C2617" i="2" s="1"/>
  <c r="F2560" i="2"/>
  <c r="F2561" i="2" s="1"/>
  <c r="F2562" i="2" s="1"/>
  <c r="G2574" i="2"/>
  <c r="G2575" i="2" s="1"/>
  <c r="G2576" i="2" s="1"/>
  <c r="C2581" i="2"/>
  <c r="C2582" i="2" s="1"/>
  <c r="E2595" i="2"/>
  <c r="E2596" i="2" s="1"/>
  <c r="C2609" i="2"/>
  <c r="C2610" i="2" s="1"/>
  <c r="D2567" i="2"/>
  <c r="D2568" i="2" s="1"/>
  <c r="I2574" i="2"/>
  <c r="I2575" i="2" s="1"/>
  <c r="I2576" i="2" s="1"/>
  <c r="E2581" i="2"/>
  <c r="E2582" i="2" s="1"/>
  <c r="G2595" i="2"/>
  <c r="G2596" i="2" s="1"/>
  <c r="D2602" i="2"/>
  <c r="D2603" i="2" s="1"/>
  <c r="E2609" i="2"/>
  <c r="E2610" i="2" s="1"/>
  <c r="D2616" i="2"/>
  <c r="D2617" i="2" s="1"/>
  <c r="I2567" i="2"/>
  <c r="I2568" i="2" s="1"/>
  <c r="I2560" i="2"/>
  <c r="I2561" i="2" s="1"/>
  <c r="I2562" i="2" s="1"/>
  <c r="E2567" i="2"/>
  <c r="E2568" i="2" s="1"/>
  <c r="F2581" i="2"/>
  <c r="F2582" i="2" s="1"/>
  <c r="C2588" i="2"/>
  <c r="C2589" i="2" s="1"/>
  <c r="E2602" i="2"/>
  <c r="E2603" i="2" s="1"/>
  <c r="F2609" i="2"/>
  <c r="F2610" i="2" s="1"/>
  <c r="E2616" i="2"/>
  <c r="E2617" i="2" s="1"/>
  <c r="D2525" i="2"/>
  <c r="D2526" i="2" s="1"/>
  <c r="F2567" i="2"/>
  <c r="F2568" i="2" s="1"/>
  <c r="C2574" i="2"/>
  <c r="C2575" i="2" s="1"/>
  <c r="C2576" i="2" s="1"/>
  <c r="G2581" i="2"/>
  <c r="G2582" i="2" s="1"/>
  <c r="D2588" i="2"/>
  <c r="D2589" i="2" s="1"/>
  <c r="I2595" i="2"/>
  <c r="I2596" i="2" s="1"/>
  <c r="F2602" i="2"/>
  <c r="F2603" i="2" s="1"/>
  <c r="G2609" i="2"/>
  <c r="G2610" i="2" s="1"/>
  <c r="F2616" i="2"/>
  <c r="F2617" i="2" s="1"/>
  <c r="E2560" i="2"/>
  <c r="E2561" i="2" s="1"/>
  <c r="E2562" i="2" s="1"/>
  <c r="F2574" i="2"/>
  <c r="F2575" i="2" s="1"/>
  <c r="F2576" i="2" s="1"/>
  <c r="E2525" i="2"/>
  <c r="E2526" i="2" s="1"/>
  <c r="I2553" i="2"/>
  <c r="I2554" i="2" s="1"/>
  <c r="C2560" i="2"/>
  <c r="C2561" i="2" s="1"/>
  <c r="C2562" i="2" s="1"/>
  <c r="G2567" i="2"/>
  <c r="G2568" i="2" s="1"/>
  <c r="D2574" i="2"/>
  <c r="D2575" i="2" s="1"/>
  <c r="D2576" i="2" s="1"/>
  <c r="E2588" i="2"/>
  <c r="E2589" i="2" s="1"/>
  <c r="G2602" i="2"/>
  <c r="G2603" i="2" s="1"/>
  <c r="H2609" i="2"/>
  <c r="G2616" i="2"/>
  <c r="G2617" i="2" s="1"/>
  <c r="D2560" i="2"/>
  <c r="D2561" i="2" s="1"/>
  <c r="D2562" i="2" s="1"/>
  <c r="E2574" i="2"/>
  <c r="E2575" i="2" s="1"/>
  <c r="E2576" i="2" s="1"/>
  <c r="I2581" i="2"/>
  <c r="I2582" i="2" s="1"/>
  <c r="F2588" i="2"/>
  <c r="F2589" i="2" s="1"/>
  <c r="C2595" i="2"/>
  <c r="C2596" i="2" s="1"/>
  <c r="I2609" i="2"/>
  <c r="I2610" i="2" s="1"/>
  <c r="G2588" i="2"/>
  <c r="G2589" i="2" s="1"/>
  <c r="D2595" i="2"/>
  <c r="D2596" i="2" s="1"/>
  <c r="I2602" i="2"/>
  <c r="I2603" i="2" s="1"/>
  <c r="I2616" i="2"/>
  <c r="I2617" i="2" s="1"/>
  <c r="J2619" i="2"/>
  <c r="H428" i="4" s="1"/>
  <c r="J2615" i="2"/>
  <c r="H424" i="4" s="1"/>
  <c r="J2618" i="2"/>
  <c r="H427" i="4" s="1"/>
  <c r="H2616" i="2"/>
  <c r="J2614" i="2"/>
  <c r="J2613" i="2"/>
  <c r="J2612" i="2"/>
  <c r="J2611" i="2"/>
  <c r="J2608" i="2"/>
  <c r="J2607" i="2"/>
  <c r="J2606" i="2"/>
  <c r="J2605" i="2"/>
  <c r="J2587" i="2"/>
  <c r="J2572" i="2"/>
  <c r="J2558" i="2"/>
  <c r="J2584" i="2"/>
  <c r="J2590" i="2"/>
  <c r="J2566" i="2"/>
  <c r="J2569" i="2"/>
  <c r="J2580" i="2"/>
  <c r="J2592" i="2"/>
  <c r="J2564" i="2"/>
  <c r="J2578" i="2"/>
  <c r="J2600" i="2"/>
  <c r="J2559" i="2"/>
  <c r="J2573" i="2"/>
  <c r="J2599" i="2"/>
  <c r="J2598" i="2"/>
  <c r="J2570" i="2"/>
  <c r="J2585" i="2"/>
  <c r="J2597" i="2"/>
  <c r="J2594" i="2"/>
  <c r="J2565" i="2"/>
  <c r="J2579" i="2"/>
  <c r="J2583" i="2"/>
  <c r="J2593" i="2"/>
  <c r="J2604" i="2"/>
  <c r="H401" i="4" s="1"/>
  <c r="J2563" i="2"/>
  <c r="J2577" i="2"/>
  <c r="J2591" i="2"/>
  <c r="J2601" i="2"/>
  <c r="J2571" i="2"/>
  <c r="J2586" i="2"/>
  <c r="H2560" i="2"/>
  <c r="H2567" i="2"/>
  <c r="H2574" i="2"/>
  <c r="H2581" i="2"/>
  <c r="H2588" i="2"/>
  <c r="H2595" i="2"/>
  <c r="H2602" i="2"/>
  <c r="U1791" i="1"/>
  <c r="G2525" i="2"/>
  <c r="G2526" i="2" s="1"/>
  <c r="H2532" i="2"/>
  <c r="H2533" i="2" s="1"/>
  <c r="D2553" i="2"/>
  <c r="D2554" i="2" s="1"/>
  <c r="H2525" i="2"/>
  <c r="H2526" i="2" s="1"/>
  <c r="I2525" i="2"/>
  <c r="I2526" i="2" s="1"/>
  <c r="E2553" i="2"/>
  <c r="E2554" i="2" s="1"/>
  <c r="H2511" i="2"/>
  <c r="H2518" i="2"/>
  <c r="H2519" i="2" s="1"/>
  <c r="F2553" i="2"/>
  <c r="F2554" i="2" s="1"/>
  <c r="F2525" i="2"/>
  <c r="F2526" i="2" s="1"/>
  <c r="H2539" i="2"/>
  <c r="H2540" i="2" s="1"/>
  <c r="C2525" i="2"/>
  <c r="G2553" i="2"/>
  <c r="G2554" i="2" s="1"/>
  <c r="H2553" i="2"/>
  <c r="H2554" i="2" s="1"/>
  <c r="K15" i="5"/>
  <c r="J2557" i="2"/>
  <c r="J2555" i="2"/>
  <c r="C2553" i="2"/>
  <c r="J2556" i="2"/>
  <c r="J2552" i="2"/>
  <c r="J2551" i="2"/>
  <c r="J2550" i="2"/>
  <c r="J2549" i="2"/>
  <c r="J2545" i="2"/>
  <c r="J2548" i="2"/>
  <c r="I2546" i="2"/>
  <c r="E2546" i="2"/>
  <c r="J2544" i="2"/>
  <c r="C2546" i="2"/>
  <c r="D2546" i="2"/>
  <c r="F2546" i="2"/>
  <c r="G2546" i="2"/>
  <c r="H2546" i="2"/>
  <c r="J2543" i="2"/>
  <c r="J2541" i="2"/>
  <c r="J2542" i="2"/>
  <c r="E2539" i="2"/>
  <c r="F2539" i="2"/>
  <c r="G2539" i="2"/>
  <c r="I2539" i="2"/>
  <c r="C2539" i="2"/>
  <c r="D2539" i="2"/>
  <c r="J2538" i="2"/>
  <c r="J2537" i="2"/>
  <c r="J2536" i="2"/>
  <c r="J2535" i="2"/>
  <c r="J2534" i="2"/>
  <c r="G2532" i="2"/>
  <c r="J2530" i="2"/>
  <c r="I2532" i="2"/>
  <c r="C2532" i="2"/>
  <c r="D2532" i="2"/>
  <c r="E2532" i="2"/>
  <c r="F2532" i="2"/>
  <c r="J2531" i="2"/>
  <c r="J2529" i="2"/>
  <c r="J2528" i="2"/>
  <c r="J2527" i="2"/>
  <c r="J2523" i="2"/>
  <c r="J2515" i="2"/>
  <c r="J2524" i="2"/>
  <c r="J2522" i="2"/>
  <c r="E2518" i="2"/>
  <c r="E2519" i="2" s="1"/>
  <c r="F2518" i="2"/>
  <c r="F2519" i="2" s="1"/>
  <c r="J2521" i="2"/>
  <c r="G2518" i="2"/>
  <c r="G2519" i="2" s="1"/>
  <c r="J2520" i="2"/>
  <c r="I2518" i="2"/>
  <c r="I2519" i="2" s="1"/>
  <c r="C2518" i="2"/>
  <c r="C2519" i="2" s="1"/>
  <c r="D2518" i="2"/>
  <c r="D2519" i="2" s="1"/>
  <c r="J2517" i="2"/>
  <c r="J2516" i="2"/>
  <c r="C2511" i="2"/>
  <c r="G2511" i="2"/>
  <c r="I2511" i="2"/>
  <c r="D2511" i="2"/>
  <c r="E2511" i="2"/>
  <c r="F2511" i="2"/>
  <c r="J2514" i="2"/>
  <c r="J2510" i="2"/>
  <c r="J2509" i="2"/>
  <c r="J2508" i="2"/>
  <c r="J2507" i="2"/>
  <c r="M1788" i="1"/>
  <c r="M1787" i="1"/>
  <c r="M1786" i="1"/>
  <c r="M1785" i="1"/>
  <c r="M1784" i="1"/>
  <c r="M1783" i="1"/>
  <c r="M1782" i="1"/>
  <c r="M1781" i="1"/>
  <c r="M1780" i="1"/>
  <c r="M1779" i="1"/>
  <c r="M1778" i="1"/>
  <c r="M1777" i="1"/>
  <c r="M1776" i="1"/>
  <c r="M1775" i="1"/>
  <c r="M1774" i="1"/>
  <c r="M1773" i="1"/>
  <c r="M1772" i="1"/>
  <c r="M1771" i="1"/>
  <c r="M1770" i="1"/>
  <c r="M1769" i="1"/>
  <c r="M1768" i="1"/>
  <c r="M1767" i="1"/>
  <c r="M1766" i="1"/>
  <c r="M1765" i="1"/>
  <c r="M1764" i="1"/>
  <c r="M1763" i="1"/>
  <c r="M1762" i="1"/>
  <c r="M1761" i="1"/>
  <c r="M1760" i="1"/>
  <c r="M1759" i="1"/>
  <c r="M1758" i="1"/>
  <c r="M1757" i="1"/>
  <c r="M1756" i="1"/>
  <c r="M1755" i="1"/>
  <c r="M1754" i="1"/>
  <c r="M1753" i="1"/>
  <c r="M1752" i="1"/>
  <c r="M1751" i="1"/>
  <c r="M1750" i="1"/>
  <c r="M1749" i="1"/>
  <c r="M1748" i="1"/>
  <c r="M1747" i="1"/>
  <c r="M1746" i="1"/>
  <c r="M1745" i="1"/>
  <c r="M1744" i="1"/>
  <c r="M1743" i="1"/>
  <c r="M1742" i="1"/>
  <c r="M1741" i="1"/>
  <c r="M1740" i="1"/>
  <c r="M1739" i="1"/>
  <c r="M1738" i="1"/>
  <c r="M1737" i="1"/>
  <c r="M1736" i="1"/>
  <c r="M1735" i="1"/>
  <c r="M1734" i="1"/>
  <c r="M1733" i="1"/>
  <c r="M1732" i="1"/>
  <c r="M1731" i="1"/>
  <c r="M1730" i="1"/>
  <c r="M1729" i="1"/>
  <c r="M1728" i="1"/>
  <c r="M1727" i="1"/>
  <c r="M1726" i="1"/>
  <c r="M1725" i="1"/>
  <c r="M1724" i="1"/>
  <c r="M1723" i="1"/>
  <c r="M1722" i="1"/>
  <c r="M1721" i="1"/>
  <c r="M1720" i="1"/>
  <c r="M1719" i="1"/>
  <c r="M1718" i="1"/>
  <c r="M1717" i="1"/>
  <c r="M1716" i="1"/>
  <c r="M1715" i="1"/>
  <c r="M1714" i="1"/>
  <c r="M1713" i="1"/>
  <c r="M1712" i="1"/>
  <c r="M1711" i="1"/>
  <c r="M1710" i="1"/>
  <c r="M1709" i="1"/>
  <c r="M1708" i="1"/>
  <c r="M1707" i="1"/>
  <c r="M1706" i="1"/>
  <c r="M1705" i="1"/>
  <c r="M1704" i="1"/>
  <c r="M1703" i="1"/>
  <c r="M1702" i="1"/>
  <c r="M1701" i="1"/>
  <c r="M1700" i="1"/>
  <c r="M1699" i="1"/>
  <c r="M1698" i="1"/>
  <c r="M1697" i="1"/>
  <c r="M1696" i="1"/>
  <c r="M1695" i="1"/>
  <c r="M1694" i="1"/>
  <c r="M1693" i="1"/>
  <c r="M1692" i="1"/>
  <c r="M1691" i="1"/>
  <c r="M1690" i="1"/>
  <c r="M1689" i="1"/>
  <c r="M1688" i="1"/>
  <c r="M1687" i="1"/>
  <c r="M1686" i="1"/>
  <c r="M1685" i="1"/>
  <c r="M1684" i="1"/>
  <c r="M1683" i="1"/>
  <c r="M1682" i="1"/>
  <c r="M1681" i="1"/>
  <c r="M1680" i="1"/>
  <c r="M1679" i="1"/>
  <c r="M1678" i="1"/>
  <c r="M1677" i="1"/>
  <c r="M1676" i="1"/>
  <c r="M1675" i="1"/>
  <c r="M1674" i="1"/>
  <c r="M1673" i="1"/>
  <c r="M1672" i="1"/>
  <c r="M1671" i="1"/>
  <c r="M1670" i="1"/>
  <c r="M1669" i="1"/>
  <c r="M1668" i="1"/>
  <c r="M1667" i="1"/>
  <c r="M1666" i="1"/>
  <c r="M1665" i="1"/>
  <c r="M1664" i="1"/>
  <c r="M1663" i="1"/>
  <c r="M1662" i="1"/>
  <c r="M1661" i="1"/>
  <c r="M1660" i="1"/>
  <c r="M1659" i="1"/>
  <c r="M1658" i="1"/>
  <c r="M1657" i="1"/>
  <c r="M1656" i="1"/>
  <c r="M1655" i="1"/>
  <c r="M1654" i="1"/>
  <c r="M1653" i="1"/>
  <c r="M1652" i="1"/>
  <c r="M1651" i="1"/>
  <c r="M1650" i="1"/>
  <c r="M1649" i="1"/>
  <c r="M1648" i="1"/>
  <c r="M1647" i="1"/>
  <c r="M1646" i="1"/>
  <c r="M1645" i="1"/>
  <c r="M1644" i="1"/>
  <c r="M1643" i="1"/>
  <c r="M1642" i="1"/>
  <c r="M1641" i="1"/>
  <c r="M1640" i="1"/>
  <c r="M1639" i="1"/>
  <c r="M1638" i="1"/>
  <c r="M1637" i="1"/>
  <c r="M1636" i="1"/>
  <c r="M1635" i="1"/>
  <c r="M1634" i="1"/>
  <c r="M1633" i="1"/>
  <c r="M1632" i="1"/>
  <c r="M1631" i="1"/>
  <c r="M1630" i="1"/>
  <c r="M1629" i="1"/>
  <c r="M1628" i="1"/>
  <c r="M1627" i="1"/>
  <c r="M1626" i="1"/>
  <c r="M1625" i="1"/>
  <c r="M1624" i="1"/>
  <c r="M1623" i="1"/>
  <c r="M1622" i="1"/>
  <c r="M1621" i="1"/>
  <c r="M1620" i="1"/>
  <c r="M1619" i="1"/>
  <c r="M1618" i="1"/>
  <c r="M1617" i="1"/>
  <c r="M1616" i="1"/>
  <c r="M1615" i="1"/>
  <c r="M1614" i="1"/>
  <c r="M1613" i="1"/>
  <c r="M1612" i="1"/>
  <c r="M1611" i="1"/>
  <c r="M1610" i="1"/>
  <c r="M1609" i="1"/>
  <c r="M1608" i="1"/>
  <c r="M1607" i="1"/>
  <c r="M1606" i="1"/>
  <c r="M1605" i="1"/>
  <c r="M1604" i="1"/>
  <c r="M1603" i="1"/>
  <c r="M1602" i="1"/>
  <c r="M1601" i="1"/>
  <c r="M1600" i="1"/>
  <c r="M1599" i="1"/>
  <c r="M1598" i="1"/>
  <c r="M1597" i="1"/>
  <c r="M1596" i="1"/>
  <c r="M1595" i="1"/>
  <c r="M1594" i="1"/>
  <c r="M1593" i="1"/>
  <c r="M1592" i="1"/>
  <c r="M1591" i="1"/>
  <c r="M1590" i="1"/>
  <c r="M1589" i="1"/>
  <c r="M1588" i="1"/>
  <c r="M1587" i="1"/>
  <c r="M1586" i="1"/>
  <c r="M1585" i="1"/>
  <c r="M1584" i="1"/>
  <c r="M1583" i="1"/>
  <c r="M1582" i="1"/>
  <c r="M1581" i="1"/>
  <c r="M1580" i="1"/>
  <c r="M1579" i="1"/>
  <c r="M1578" i="1"/>
  <c r="M1577" i="1"/>
  <c r="M1576" i="1"/>
  <c r="M1575" i="1"/>
  <c r="M1574" i="1"/>
  <c r="M1573" i="1"/>
  <c r="M1572" i="1"/>
  <c r="M1571" i="1"/>
  <c r="M1570" i="1"/>
  <c r="M1569" i="1"/>
  <c r="M1568" i="1"/>
  <c r="M1567" i="1"/>
  <c r="M1566" i="1"/>
  <c r="M1565" i="1"/>
  <c r="M1564" i="1"/>
  <c r="M1563" i="1"/>
  <c r="M1562" i="1"/>
  <c r="M1561" i="1"/>
  <c r="M1560" i="1"/>
  <c r="M1559" i="1"/>
  <c r="M1558" i="1"/>
  <c r="M1557" i="1"/>
  <c r="M1556" i="1"/>
  <c r="M1555" i="1"/>
  <c r="M1554" i="1"/>
  <c r="M1553" i="1"/>
  <c r="M1552" i="1"/>
  <c r="M1551" i="1"/>
  <c r="M1550" i="1"/>
  <c r="M1549" i="1"/>
  <c r="M1548" i="1"/>
  <c r="M1547" i="1"/>
  <c r="M1546" i="1"/>
  <c r="M1545" i="1"/>
  <c r="M1544" i="1"/>
  <c r="M1543" i="1"/>
  <c r="M1542" i="1"/>
  <c r="M1541" i="1"/>
  <c r="M1540" i="1"/>
  <c r="M1539" i="1"/>
  <c r="M1538" i="1"/>
  <c r="M1537" i="1"/>
  <c r="M1536" i="1"/>
  <c r="M1535" i="1"/>
  <c r="M1534" i="1"/>
  <c r="M1533" i="1"/>
  <c r="M1532" i="1"/>
  <c r="M1531" i="1"/>
  <c r="M1530" i="1"/>
  <c r="M1529" i="1"/>
  <c r="M1528" i="1"/>
  <c r="M1527" i="1"/>
  <c r="M1526" i="1"/>
  <c r="M1525" i="1"/>
  <c r="M1524" i="1"/>
  <c r="M1523" i="1"/>
  <c r="M1522" i="1"/>
  <c r="M1521" i="1"/>
  <c r="M1520" i="1"/>
  <c r="M1519" i="1"/>
  <c r="M1518" i="1"/>
  <c r="M1517" i="1"/>
  <c r="M1516" i="1"/>
  <c r="M1515" i="1"/>
  <c r="M1514" i="1"/>
  <c r="M1513" i="1"/>
  <c r="M1512" i="1"/>
  <c r="M1511" i="1"/>
  <c r="M1510" i="1"/>
  <c r="M1509" i="1"/>
  <c r="M1508" i="1"/>
  <c r="M1507" i="1"/>
  <c r="M1506" i="1"/>
  <c r="M1505" i="1"/>
  <c r="M1504" i="1"/>
  <c r="M1503" i="1"/>
  <c r="M1502" i="1"/>
  <c r="M1501" i="1"/>
  <c r="M1500" i="1"/>
  <c r="M1499" i="1"/>
  <c r="M1498" i="1"/>
  <c r="M1497" i="1"/>
  <c r="M1496" i="1"/>
  <c r="M1495" i="1"/>
  <c r="M1494" i="1"/>
  <c r="M1493" i="1"/>
  <c r="M1492" i="1"/>
  <c r="M1491" i="1"/>
  <c r="M1490" i="1"/>
  <c r="M1489" i="1"/>
  <c r="M1488" i="1"/>
  <c r="M1487" i="1"/>
  <c r="M1486" i="1"/>
  <c r="M1485" i="1"/>
  <c r="M1484" i="1"/>
  <c r="M1483" i="1"/>
  <c r="M1482" i="1"/>
  <c r="M1481" i="1"/>
  <c r="M1480" i="1"/>
  <c r="M1479" i="1"/>
  <c r="M1478" i="1"/>
  <c r="M1477" i="1"/>
  <c r="M1476" i="1"/>
  <c r="M1475" i="1"/>
  <c r="M1474" i="1"/>
  <c r="M1473" i="1"/>
  <c r="M1472" i="1"/>
  <c r="M1471" i="1"/>
  <c r="M1470" i="1"/>
  <c r="M1469" i="1"/>
  <c r="M1468" i="1"/>
  <c r="M1467" i="1"/>
  <c r="M1466" i="1"/>
  <c r="M1465" i="1"/>
  <c r="M1464" i="1"/>
  <c r="M1463" i="1"/>
  <c r="M1462" i="1"/>
  <c r="M1461" i="1"/>
  <c r="M1460" i="1"/>
  <c r="M1459" i="1"/>
  <c r="M1458" i="1"/>
  <c r="M1457" i="1"/>
  <c r="M1456" i="1"/>
  <c r="M1455" i="1"/>
  <c r="M1454" i="1"/>
  <c r="M1453" i="1"/>
  <c r="M1452" i="1"/>
  <c r="M1451" i="1"/>
  <c r="M1450" i="1"/>
  <c r="M1449" i="1"/>
  <c r="M1448" i="1"/>
  <c r="M1447" i="1"/>
  <c r="M1446" i="1"/>
  <c r="M1445" i="1"/>
  <c r="M1444" i="1"/>
  <c r="M1443" i="1"/>
  <c r="M1442" i="1"/>
  <c r="M1441" i="1"/>
  <c r="M1440" i="1"/>
  <c r="M1439" i="1"/>
  <c r="M1438" i="1"/>
  <c r="M1437" i="1"/>
  <c r="M1436" i="1"/>
  <c r="M1435" i="1"/>
  <c r="M1434" i="1"/>
  <c r="M1433" i="1"/>
  <c r="M1432" i="1"/>
  <c r="M1431" i="1"/>
  <c r="M1430" i="1"/>
  <c r="M1429" i="1"/>
  <c r="M1428" i="1"/>
  <c r="M1427" i="1"/>
  <c r="M1426" i="1"/>
  <c r="M1425" i="1"/>
  <c r="M1424" i="1"/>
  <c r="M1423" i="1"/>
  <c r="M1422" i="1"/>
  <c r="M1421" i="1"/>
  <c r="M1420" i="1"/>
  <c r="M1419" i="1"/>
  <c r="M1418" i="1"/>
  <c r="M1417" i="1"/>
  <c r="M1416" i="1"/>
  <c r="M1415" i="1"/>
  <c r="M1414" i="1"/>
  <c r="M1413" i="1"/>
  <c r="M1412" i="1"/>
  <c r="M1411" i="1"/>
  <c r="M1410" i="1"/>
  <c r="M1409" i="1"/>
  <c r="M1408" i="1"/>
  <c r="M1407" i="1"/>
  <c r="M1406" i="1"/>
  <c r="M1405" i="1"/>
  <c r="M1404" i="1"/>
  <c r="M1403" i="1"/>
  <c r="M1402" i="1"/>
  <c r="M1401" i="1"/>
  <c r="M1400" i="1"/>
  <c r="M1399" i="1"/>
  <c r="M1398" i="1"/>
  <c r="M1397" i="1"/>
  <c r="M1396" i="1"/>
  <c r="M1395" i="1"/>
  <c r="M1394" i="1"/>
  <c r="M1393" i="1"/>
  <c r="M1392" i="1"/>
  <c r="M1391" i="1"/>
  <c r="M1390" i="1"/>
  <c r="M1389" i="1"/>
  <c r="M1388" i="1"/>
  <c r="M1387" i="1"/>
  <c r="M1386" i="1"/>
  <c r="M1385" i="1"/>
  <c r="M1384" i="1"/>
  <c r="M1383" i="1"/>
  <c r="M1382" i="1"/>
  <c r="M1381" i="1"/>
  <c r="M1380" i="1"/>
  <c r="M1379" i="1"/>
  <c r="M1378" i="1"/>
  <c r="M1377" i="1"/>
  <c r="M1376" i="1"/>
  <c r="M1375" i="1"/>
  <c r="M1374" i="1"/>
  <c r="M1373" i="1"/>
  <c r="M1372" i="1"/>
  <c r="M1371" i="1"/>
  <c r="M1370" i="1"/>
  <c r="M1369" i="1"/>
  <c r="M1368" i="1"/>
  <c r="M1367" i="1"/>
  <c r="M1366" i="1"/>
  <c r="M1365" i="1"/>
  <c r="M1364" i="1"/>
  <c r="M1363" i="1"/>
  <c r="M1362" i="1"/>
  <c r="M1361" i="1"/>
  <c r="M1360" i="1"/>
  <c r="M1359" i="1"/>
  <c r="M1358" i="1"/>
  <c r="M1357" i="1"/>
  <c r="M1356" i="1"/>
  <c r="M1355" i="1"/>
  <c r="M1354" i="1"/>
  <c r="M1353" i="1"/>
  <c r="M1352" i="1"/>
  <c r="M1351" i="1"/>
  <c r="M1350" i="1"/>
  <c r="M1349" i="1"/>
  <c r="M1348" i="1"/>
  <c r="M1347" i="1"/>
  <c r="M1346" i="1"/>
  <c r="M1345" i="1"/>
  <c r="M1344" i="1"/>
  <c r="M1343" i="1"/>
  <c r="M1342" i="1"/>
  <c r="M1341" i="1"/>
  <c r="M1340" i="1"/>
  <c r="M1339" i="1"/>
  <c r="M1338" i="1"/>
  <c r="M1337" i="1"/>
  <c r="M1336" i="1"/>
  <c r="M1335" i="1"/>
  <c r="M1334" i="1"/>
  <c r="M1333" i="1"/>
  <c r="M1332" i="1"/>
  <c r="M1331" i="1"/>
  <c r="M1330" i="1"/>
  <c r="M1329" i="1"/>
  <c r="M1328" i="1"/>
  <c r="M1327" i="1"/>
  <c r="M1326" i="1"/>
  <c r="M1325" i="1"/>
  <c r="M1324" i="1"/>
  <c r="M1323" i="1"/>
  <c r="M1322" i="1"/>
  <c r="M1321" i="1"/>
  <c r="M1320" i="1"/>
  <c r="M1319" i="1"/>
  <c r="M1318" i="1"/>
  <c r="M1317" i="1"/>
  <c r="M1316" i="1"/>
  <c r="M1315" i="1"/>
  <c r="M1314" i="1"/>
  <c r="M1313" i="1"/>
  <c r="M1312" i="1"/>
  <c r="M1311" i="1"/>
  <c r="M1310" i="1"/>
  <c r="M1309" i="1"/>
  <c r="M1308" i="1"/>
  <c r="M1307" i="1"/>
  <c r="M1306" i="1"/>
  <c r="M1305" i="1"/>
  <c r="M1304" i="1"/>
  <c r="M1303" i="1"/>
  <c r="M1302" i="1"/>
  <c r="M1301" i="1"/>
  <c r="M1300" i="1"/>
  <c r="M1299" i="1"/>
  <c r="M1298" i="1"/>
  <c r="M1297" i="1"/>
  <c r="M1296" i="1"/>
  <c r="M1295" i="1"/>
  <c r="M1294" i="1"/>
  <c r="M1293" i="1"/>
  <c r="M1292" i="1"/>
  <c r="M1291" i="1"/>
  <c r="M1290" i="1"/>
  <c r="M1289" i="1"/>
  <c r="M1288" i="1"/>
  <c r="M1287" i="1"/>
  <c r="M1286" i="1"/>
  <c r="M1285" i="1"/>
  <c r="M1284" i="1"/>
  <c r="M1283" i="1"/>
  <c r="M1282" i="1"/>
  <c r="M1281" i="1"/>
  <c r="M1280" i="1"/>
  <c r="M1279" i="1"/>
  <c r="M1278" i="1"/>
  <c r="M1277" i="1"/>
  <c r="M1276" i="1"/>
  <c r="M1275" i="1"/>
  <c r="M1274" i="1"/>
  <c r="M1273" i="1"/>
  <c r="M1272" i="1"/>
  <c r="M1271" i="1"/>
  <c r="M1270" i="1"/>
  <c r="M1269" i="1"/>
  <c r="M1268" i="1"/>
  <c r="M1267" i="1"/>
  <c r="M1266" i="1"/>
  <c r="M1265" i="1"/>
  <c r="M1264" i="1"/>
  <c r="M1263" i="1"/>
  <c r="M1262" i="1"/>
  <c r="M1261" i="1"/>
  <c r="M1260" i="1"/>
  <c r="M1259" i="1"/>
  <c r="M1258" i="1"/>
  <c r="M1257" i="1"/>
  <c r="M1256" i="1"/>
  <c r="M1255" i="1"/>
  <c r="M1254" i="1"/>
  <c r="M1253" i="1"/>
  <c r="M1252" i="1"/>
  <c r="M1251" i="1"/>
  <c r="M1250" i="1"/>
  <c r="M1249" i="1"/>
  <c r="M1248" i="1"/>
  <c r="M1247" i="1"/>
  <c r="M1246" i="1"/>
  <c r="M1245" i="1"/>
  <c r="M1244" i="1"/>
  <c r="M1243" i="1"/>
  <c r="M1242" i="1"/>
  <c r="M1241" i="1"/>
  <c r="M1240" i="1"/>
  <c r="M1239" i="1"/>
  <c r="M1238" i="1"/>
  <c r="M1237" i="1"/>
  <c r="M1236" i="1"/>
  <c r="M1235" i="1"/>
  <c r="M1234" i="1"/>
  <c r="M1233" i="1"/>
  <c r="M1232" i="1"/>
  <c r="M1231" i="1"/>
  <c r="M1230" i="1"/>
  <c r="M1229" i="1"/>
  <c r="M1228" i="1"/>
  <c r="M1227" i="1"/>
  <c r="M1226" i="1"/>
  <c r="M1225" i="1"/>
  <c r="M1224" i="1"/>
  <c r="M1223" i="1"/>
  <c r="M1222" i="1"/>
  <c r="M1221" i="1"/>
  <c r="M1220" i="1"/>
  <c r="M1219" i="1"/>
  <c r="M1218" i="1"/>
  <c r="M1217" i="1"/>
  <c r="M1216" i="1"/>
  <c r="M1215" i="1"/>
  <c r="M1214" i="1"/>
  <c r="M1213" i="1"/>
  <c r="M1212" i="1"/>
  <c r="M1211" i="1"/>
  <c r="M1210" i="1"/>
  <c r="M1209" i="1"/>
  <c r="M1208" i="1"/>
  <c r="M1207" i="1"/>
  <c r="M1206" i="1"/>
  <c r="M1205" i="1"/>
  <c r="M1204" i="1"/>
  <c r="M1203" i="1"/>
  <c r="M1202" i="1"/>
  <c r="M1201" i="1"/>
  <c r="M1200" i="1"/>
  <c r="M1199" i="1"/>
  <c r="M1198" i="1"/>
  <c r="M1197" i="1"/>
  <c r="M1196" i="1"/>
  <c r="M1195" i="1"/>
  <c r="M1194" i="1"/>
  <c r="M1193" i="1"/>
  <c r="M1192" i="1"/>
  <c r="M1191" i="1"/>
  <c r="M1190" i="1"/>
  <c r="M1189" i="1"/>
  <c r="M1188" i="1"/>
  <c r="M1187" i="1"/>
  <c r="M1186" i="1"/>
  <c r="M1185" i="1"/>
  <c r="M1184" i="1"/>
  <c r="M1183" i="1"/>
  <c r="M1182" i="1"/>
  <c r="M1181" i="1"/>
  <c r="M1180" i="1"/>
  <c r="M1179" i="1"/>
  <c r="M1178" i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M1156" i="1"/>
  <c r="M1155" i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9" i="1"/>
  <c r="M1138" i="1"/>
  <c r="M1137" i="1"/>
  <c r="M1136" i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7" i="1"/>
  <c r="M1116" i="1"/>
  <c r="M1115" i="1"/>
  <c r="M1114" i="1"/>
  <c r="M1113" i="1"/>
  <c r="M1112" i="1"/>
  <c r="M1111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E6" i="5"/>
  <c r="E7" i="5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B2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H395" i="4" l="1"/>
  <c r="H403" i="4"/>
  <c r="H396" i="4"/>
  <c r="H416" i="4"/>
  <c r="H420" i="4"/>
  <c r="H408" i="4"/>
  <c r="H394" i="4"/>
  <c r="H409" i="4"/>
  <c r="H410" i="4"/>
  <c r="H417" i="4"/>
  <c r="H389" i="4"/>
  <c r="H423" i="4"/>
  <c r="H402" i="4"/>
  <c r="H415" i="4"/>
  <c r="A29" i="5"/>
  <c r="B28" i="5"/>
  <c r="E28" i="5"/>
  <c r="J2624" i="2"/>
  <c r="H2625" i="2"/>
  <c r="J2609" i="2"/>
  <c r="H406" i="4" s="1"/>
  <c r="J2616" i="2"/>
  <c r="H2610" i="2"/>
  <c r="J2610" i="2" s="1"/>
  <c r="H407" i="4" s="1"/>
  <c r="H2617" i="2"/>
  <c r="J2617" i="2" s="1"/>
  <c r="J2602" i="2"/>
  <c r="H399" i="4" s="1"/>
  <c r="H2603" i="2"/>
  <c r="J2603" i="2" s="1"/>
  <c r="H400" i="4" s="1"/>
  <c r="J2595" i="2"/>
  <c r="H392" i="4" s="1"/>
  <c r="H2596" i="2"/>
  <c r="J2596" i="2" s="1"/>
  <c r="H393" i="4" s="1"/>
  <c r="J2588" i="2"/>
  <c r="H397" i="4" s="1"/>
  <c r="H2589" i="2"/>
  <c r="J2589" i="2" s="1"/>
  <c r="H398" i="4" s="1"/>
  <c r="J2581" i="2"/>
  <c r="H390" i="4" s="1"/>
  <c r="H2582" i="2"/>
  <c r="J2582" i="2" s="1"/>
  <c r="H391" i="4" s="1"/>
  <c r="J2574" i="2"/>
  <c r="H2575" i="2"/>
  <c r="J2567" i="2"/>
  <c r="H2568" i="2"/>
  <c r="J2568" i="2" s="1"/>
  <c r="J2560" i="2"/>
  <c r="H2561" i="2"/>
  <c r="H2512" i="2"/>
  <c r="J2525" i="2"/>
  <c r="C2526" i="2"/>
  <c r="J2526" i="2" s="1"/>
  <c r="M15" i="5"/>
  <c r="C2512" i="2"/>
  <c r="E2540" i="2"/>
  <c r="J2553" i="2"/>
  <c r="C2554" i="2"/>
  <c r="G2547" i="2"/>
  <c r="F2547" i="2"/>
  <c r="D2547" i="2"/>
  <c r="I2547" i="2"/>
  <c r="C2547" i="2"/>
  <c r="E2547" i="2"/>
  <c r="J2546" i="2"/>
  <c r="H2547" i="2"/>
  <c r="D2540" i="2"/>
  <c r="C2540" i="2"/>
  <c r="I2540" i="2"/>
  <c r="G2540" i="2"/>
  <c r="F2540" i="2"/>
  <c r="J2539" i="2"/>
  <c r="C2533" i="2"/>
  <c r="I2533" i="2"/>
  <c r="F2533" i="2"/>
  <c r="G2533" i="2"/>
  <c r="E2533" i="2"/>
  <c r="D2533" i="2"/>
  <c r="J2532" i="2"/>
  <c r="J2518" i="2"/>
  <c r="J2519" i="2"/>
  <c r="J2511" i="2"/>
  <c r="D2512" i="2"/>
  <c r="I2512" i="2"/>
  <c r="G2512" i="2"/>
  <c r="F2512" i="2"/>
  <c r="E2512" i="2"/>
  <c r="E8" i="5"/>
  <c r="E9" i="5" s="1"/>
  <c r="H414" i="4" l="1"/>
  <c r="H426" i="4"/>
  <c r="H413" i="4"/>
  <c r="H425" i="4"/>
  <c r="H421" i="4"/>
  <c r="H433" i="4"/>
  <c r="H411" i="4"/>
  <c r="J2625" i="2"/>
  <c r="H434" i="4" s="1"/>
  <c r="H2626" i="2"/>
  <c r="J2626" i="2" s="1"/>
  <c r="H435" i="4" s="1"/>
  <c r="H405" i="4"/>
  <c r="H419" i="4"/>
  <c r="H412" i="4"/>
  <c r="H418" i="4"/>
  <c r="H404" i="4"/>
  <c r="A30" i="5"/>
  <c r="B29" i="5"/>
  <c r="E29" i="5"/>
  <c r="H422" i="4"/>
  <c r="J2561" i="2"/>
  <c r="H2562" i="2"/>
  <c r="J2562" i="2" s="1"/>
  <c r="J2575" i="2"/>
  <c r="H2576" i="2"/>
  <c r="J2576" i="2" s="1"/>
  <c r="J2512" i="2"/>
  <c r="J2554" i="2"/>
  <c r="J2540" i="2"/>
  <c r="J2547" i="2"/>
  <c r="J2533" i="2"/>
  <c r="I2513" i="2"/>
  <c r="H2513" i="2"/>
  <c r="G2513" i="2"/>
  <c r="F2513" i="2"/>
  <c r="E2513" i="2"/>
  <c r="D2513" i="2"/>
  <c r="C2513" i="2"/>
  <c r="E10" i="5"/>
  <c r="A31" i="5" l="1"/>
  <c r="B30" i="5"/>
  <c r="E30" i="5"/>
  <c r="J2513" i="2"/>
  <c r="C4" i="3"/>
  <c r="D1791" i="1"/>
  <c r="C1791" i="1"/>
  <c r="B1791" i="1"/>
  <c r="D1790" i="1"/>
  <c r="C1790" i="1"/>
  <c r="B1790" i="1"/>
  <c r="D1789" i="1"/>
  <c r="C1789" i="1"/>
  <c r="B1789" i="1"/>
  <c r="D1788" i="1"/>
  <c r="C1788" i="1"/>
  <c r="B1788" i="1"/>
  <c r="D1787" i="1"/>
  <c r="C1787" i="1"/>
  <c r="B1787" i="1"/>
  <c r="D1786" i="1"/>
  <c r="C1786" i="1"/>
  <c r="B1786" i="1"/>
  <c r="D1785" i="1"/>
  <c r="C1785" i="1"/>
  <c r="B1785" i="1"/>
  <c r="D1784" i="1"/>
  <c r="C1784" i="1"/>
  <c r="B1784" i="1"/>
  <c r="D1783" i="1"/>
  <c r="C1783" i="1"/>
  <c r="B1783" i="1"/>
  <c r="D1782" i="1"/>
  <c r="C1782" i="1"/>
  <c r="B1782" i="1"/>
  <c r="D1781" i="1"/>
  <c r="C1781" i="1"/>
  <c r="B1781" i="1"/>
  <c r="D1780" i="1"/>
  <c r="C1780" i="1"/>
  <c r="B1780" i="1"/>
  <c r="D1779" i="1"/>
  <c r="C1779" i="1"/>
  <c r="B1779" i="1"/>
  <c r="D1778" i="1"/>
  <c r="C1778" i="1"/>
  <c r="B1778" i="1"/>
  <c r="D1777" i="1"/>
  <c r="C1777" i="1"/>
  <c r="B1777" i="1"/>
  <c r="D1776" i="1"/>
  <c r="C1776" i="1"/>
  <c r="B1776" i="1"/>
  <c r="D1775" i="1"/>
  <c r="C1775" i="1"/>
  <c r="B1775" i="1"/>
  <c r="D1774" i="1"/>
  <c r="C1774" i="1"/>
  <c r="B1774" i="1"/>
  <c r="D1773" i="1"/>
  <c r="C1773" i="1"/>
  <c r="B1773" i="1"/>
  <c r="D1772" i="1"/>
  <c r="C1772" i="1"/>
  <c r="B1772" i="1"/>
  <c r="D1771" i="1"/>
  <c r="C1771" i="1"/>
  <c r="B1771" i="1"/>
  <c r="D1770" i="1"/>
  <c r="C1770" i="1"/>
  <c r="B1770" i="1"/>
  <c r="D1769" i="1"/>
  <c r="C1769" i="1"/>
  <c r="B1769" i="1"/>
  <c r="D1768" i="1"/>
  <c r="C1768" i="1"/>
  <c r="B1768" i="1"/>
  <c r="D1767" i="1"/>
  <c r="C1767" i="1"/>
  <c r="B1767" i="1"/>
  <c r="D1766" i="1"/>
  <c r="C1766" i="1"/>
  <c r="B1766" i="1"/>
  <c r="D1765" i="1"/>
  <c r="C1765" i="1"/>
  <c r="B1765" i="1"/>
  <c r="D1764" i="1"/>
  <c r="C1764" i="1"/>
  <c r="B1764" i="1"/>
  <c r="D1763" i="1"/>
  <c r="C1763" i="1"/>
  <c r="B1763" i="1"/>
  <c r="D1762" i="1"/>
  <c r="C1762" i="1"/>
  <c r="B1762" i="1"/>
  <c r="D1761" i="1"/>
  <c r="C1761" i="1"/>
  <c r="B1761" i="1"/>
  <c r="D1760" i="1"/>
  <c r="C1760" i="1"/>
  <c r="B1760" i="1"/>
  <c r="D1759" i="1"/>
  <c r="C1759" i="1"/>
  <c r="B1759" i="1"/>
  <c r="D1758" i="1"/>
  <c r="C1758" i="1"/>
  <c r="B1758" i="1"/>
  <c r="D1757" i="1"/>
  <c r="C1757" i="1"/>
  <c r="B1757" i="1"/>
  <c r="D1756" i="1"/>
  <c r="C1756" i="1"/>
  <c r="B1756" i="1"/>
  <c r="D1755" i="1"/>
  <c r="C1755" i="1"/>
  <c r="B1755" i="1"/>
  <c r="D1754" i="1"/>
  <c r="C1754" i="1"/>
  <c r="B1754" i="1"/>
  <c r="D1753" i="1"/>
  <c r="C1753" i="1"/>
  <c r="B1753" i="1"/>
  <c r="D1752" i="1"/>
  <c r="C1752" i="1"/>
  <c r="B1752" i="1"/>
  <c r="D1751" i="1"/>
  <c r="C1751" i="1"/>
  <c r="B1751" i="1"/>
  <c r="D1750" i="1"/>
  <c r="C1750" i="1"/>
  <c r="B1750" i="1"/>
  <c r="D1749" i="1"/>
  <c r="C1749" i="1"/>
  <c r="B1749" i="1"/>
  <c r="D1748" i="1"/>
  <c r="C1748" i="1"/>
  <c r="B1748" i="1"/>
  <c r="D1747" i="1"/>
  <c r="C1747" i="1"/>
  <c r="B1747" i="1"/>
  <c r="D1746" i="1"/>
  <c r="C1746" i="1"/>
  <c r="B1746" i="1"/>
  <c r="D1745" i="1"/>
  <c r="C1745" i="1"/>
  <c r="B1745" i="1"/>
  <c r="D1744" i="1"/>
  <c r="C1744" i="1"/>
  <c r="B1744" i="1"/>
  <c r="D1743" i="1"/>
  <c r="C1743" i="1"/>
  <c r="B1743" i="1"/>
  <c r="D1742" i="1"/>
  <c r="C1742" i="1"/>
  <c r="B1742" i="1"/>
  <c r="D1741" i="1"/>
  <c r="C1741" i="1"/>
  <c r="B1741" i="1"/>
  <c r="D1740" i="1"/>
  <c r="C1740" i="1"/>
  <c r="B1740" i="1"/>
  <c r="D1739" i="1"/>
  <c r="C1739" i="1"/>
  <c r="B1739" i="1"/>
  <c r="D1738" i="1"/>
  <c r="C1738" i="1"/>
  <c r="B1738" i="1"/>
  <c r="D1737" i="1"/>
  <c r="C1737" i="1"/>
  <c r="B1737" i="1"/>
  <c r="D1736" i="1"/>
  <c r="C1736" i="1"/>
  <c r="B1736" i="1"/>
  <c r="D1735" i="1"/>
  <c r="C1735" i="1"/>
  <c r="B1735" i="1"/>
  <c r="D1734" i="1"/>
  <c r="C1734" i="1"/>
  <c r="B1734" i="1"/>
  <c r="D1733" i="1"/>
  <c r="C1733" i="1"/>
  <c r="B1733" i="1"/>
  <c r="D1732" i="1"/>
  <c r="C1732" i="1"/>
  <c r="B1732" i="1"/>
  <c r="D1731" i="1"/>
  <c r="C1731" i="1"/>
  <c r="B1731" i="1"/>
  <c r="D1730" i="1"/>
  <c r="C1730" i="1"/>
  <c r="B1730" i="1"/>
  <c r="D1729" i="1"/>
  <c r="C1729" i="1"/>
  <c r="B1729" i="1"/>
  <c r="D1728" i="1"/>
  <c r="C1728" i="1"/>
  <c r="B1728" i="1"/>
  <c r="D1727" i="1"/>
  <c r="C1727" i="1"/>
  <c r="B1727" i="1"/>
  <c r="D1726" i="1"/>
  <c r="C1726" i="1"/>
  <c r="B1726" i="1"/>
  <c r="D1725" i="1"/>
  <c r="C1725" i="1"/>
  <c r="B1725" i="1"/>
  <c r="D1724" i="1"/>
  <c r="C1724" i="1"/>
  <c r="B1724" i="1"/>
  <c r="D1723" i="1"/>
  <c r="C1723" i="1"/>
  <c r="B1723" i="1"/>
  <c r="D1722" i="1"/>
  <c r="C1722" i="1"/>
  <c r="B1722" i="1"/>
  <c r="D1721" i="1"/>
  <c r="C1721" i="1"/>
  <c r="B1721" i="1"/>
  <c r="D1720" i="1"/>
  <c r="C1720" i="1"/>
  <c r="B1720" i="1"/>
  <c r="D1719" i="1"/>
  <c r="C1719" i="1"/>
  <c r="B1719" i="1"/>
  <c r="D1718" i="1"/>
  <c r="C1718" i="1"/>
  <c r="B1718" i="1"/>
  <c r="D1717" i="1"/>
  <c r="C1717" i="1"/>
  <c r="B1717" i="1"/>
  <c r="D1716" i="1"/>
  <c r="C1716" i="1"/>
  <c r="B1716" i="1"/>
  <c r="D1715" i="1"/>
  <c r="C1715" i="1"/>
  <c r="B1715" i="1"/>
  <c r="D1714" i="1"/>
  <c r="C1714" i="1"/>
  <c r="B1714" i="1"/>
  <c r="D1713" i="1"/>
  <c r="C1713" i="1"/>
  <c r="B1713" i="1"/>
  <c r="D1712" i="1"/>
  <c r="C1712" i="1"/>
  <c r="B1712" i="1"/>
  <c r="D1711" i="1"/>
  <c r="C1711" i="1"/>
  <c r="B1711" i="1"/>
  <c r="D1710" i="1"/>
  <c r="C1710" i="1"/>
  <c r="B1710" i="1"/>
  <c r="D1709" i="1"/>
  <c r="C1709" i="1"/>
  <c r="B1709" i="1"/>
  <c r="D1708" i="1"/>
  <c r="C1708" i="1"/>
  <c r="B1708" i="1"/>
  <c r="D1707" i="1"/>
  <c r="C1707" i="1"/>
  <c r="B1707" i="1"/>
  <c r="D1706" i="1"/>
  <c r="C1706" i="1"/>
  <c r="B1706" i="1"/>
  <c r="D1705" i="1"/>
  <c r="C1705" i="1"/>
  <c r="B1705" i="1"/>
  <c r="D1704" i="1"/>
  <c r="C1704" i="1"/>
  <c r="B1704" i="1"/>
  <c r="D1703" i="1"/>
  <c r="C1703" i="1"/>
  <c r="B1703" i="1"/>
  <c r="D1702" i="1"/>
  <c r="C1702" i="1"/>
  <c r="B1702" i="1"/>
  <c r="D1701" i="1"/>
  <c r="C1701" i="1"/>
  <c r="B1701" i="1"/>
  <c r="D1700" i="1"/>
  <c r="C1700" i="1"/>
  <c r="B1700" i="1"/>
  <c r="D1699" i="1"/>
  <c r="C1699" i="1"/>
  <c r="B1699" i="1"/>
  <c r="D1698" i="1"/>
  <c r="C1698" i="1"/>
  <c r="B1698" i="1"/>
  <c r="D1697" i="1"/>
  <c r="C1697" i="1"/>
  <c r="B1697" i="1"/>
  <c r="D1696" i="1"/>
  <c r="C1696" i="1"/>
  <c r="B1696" i="1"/>
  <c r="D1695" i="1"/>
  <c r="C1695" i="1"/>
  <c r="B1695" i="1"/>
  <c r="D1694" i="1"/>
  <c r="C1694" i="1"/>
  <c r="B1694" i="1"/>
  <c r="D1693" i="1"/>
  <c r="C1693" i="1"/>
  <c r="B1693" i="1"/>
  <c r="D1692" i="1"/>
  <c r="C1692" i="1"/>
  <c r="B1692" i="1"/>
  <c r="D1691" i="1"/>
  <c r="C1691" i="1"/>
  <c r="B1691" i="1"/>
  <c r="D1690" i="1"/>
  <c r="C1690" i="1"/>
  <c r="B1690" i="1"/>
  <c r="D1689" i="1"/>
  <c r="C1689" i="1"/>
  <c r="B1689" i="1"/>
  <c r="D1688" i="1"/>
  <c r="C1688" i="1"/>
  <c r="B1688" i="1"/>
  <c r="D1687" i="1"/>
  <c r="C1687" i="1"/>
  <c r="B1687" i="1"/>
  <c r="D1686" i="1"/>
  <c r="C1686" i="1"/>
  <c r="B1686" i="1"/>
  <c r="D1685" i="1"/>
  <c r="C1685" i="1"/>
  <c r="B1685" i="1"/>
  <c r="D1684" i="1"/>
  <c r="C1684" i="1"/>
  <c r="B1684" i="1"/>
  <c r="D1683" i="1"/>
  <c r="C1683" i="1"/>
  <c r="B1683" i="1"/>
  <c r="D1682" i="1"/>
  <c r="C1682" i="1"/>
  <c r="B1682" i="1"/>
  <c r="D1681" i="1"/>
  <c r="C1681" i="1"/>
  <c r="B1681" i="1"/>
  <c r="D1680" i="1"/>
  <c r="C1680" i="1"/>
  <c r="B1680" i="1"/>
  <c r="D1679" i="1"/>
  <c r="C1679" i="1"/>
  <c r="B1679" i="1"/>
  <c r="D1678" i="1"/>
  <c r="C1678" i="1"/>
  <c r="B1678" i="1"/>
  <c r="D1677" i="1"/>
  <c r="C1677" i="1"/>
  <c r="B1677" i="1"/>
  <c r="D1676" i="1"/>
  <c r="C1676" i="1"/>
  <c r="B1676" i="1"/>
  <c r="D1675" i="1"/>
  <c r="C1675" i="1"/>
  <c r="B1675" i="1"/>
  <c r="D1674" i="1"/>
  <c r="C1674" i="1"/>
  <c r="B1674" i="1"/>
  <c r="D1673" i="1"/>
  <c r="C1673" i="1"/>
  <c r="B1673" i="1"/>
  <c r="D1672" i="1"/>
  <c r="C1672" i="1"/>
  <c r="B1672" i="1"/>
  <c r="D1671" i="1"/>
  <c r="C1671" i="1"/>
  <c r="B1671" i="1"/>
  <c r="D1670" i="1"/>
  <c r="C1670" i="1"/>
  <c r="B1670" i="1"/>
  <c r="D1669" i="1"/>
  <c r="C1669" i="1"/>
  <c r="B1669" i="1"/>
  <c r="D1668" i="1"/>
  <c r="C1668" i="1"/>
  <c r="B1668" i="1"/>
  <c r="D1667" i="1"/>
  <c r="C1667" i="1"/>
  <c r="B1667" i="1"/>
  <c r="D1666" i="1"/>
  <c r="C1666" i="1"/>
  <c r="B1666" i="1"/>
  <c r="D1665" i="1"/>
  <c r="C1665" i="1"/>
  <c r="B1665" i="1"/>
  <c r="D1664" i="1"/>
  <c r="C1664" i="1"/>
  <c r="B1664" i="1"/>
  <c r="D1663" i="1"/>
  <c r="C1663" i="1"/>
  <c r="B1663" i="1"/>
  <c r="D1662" i="1"/>
  <c r="C1662" i="1"/>
  <c r="B1662" i="1"/>
  <c r="D1661" i="1"/>
  <c r="C1661" i="1"/>
  <c r="B1661" i="1"/>
  <c r="D1660" i="1"/>
  <c r="C1660" i="1"/>
  <c r="B1660" i="1"/>
  <c r="D1659" i="1"/>
  <c r="C1659" i="1"/>
  <c r="B1659" i="1"/>
  <c r="D1658" i="1"/>
  <c r="C1658" i="1"/>
  <c r="B1658" i="1"/>
  <c r="D1657" i="1"/>
  <c r="C1657" i="1"/>
  <c r="B1657" i="1"/>
  <c r="D1656" i="1"/>
  <c r="C1656" i="1"/>
  <c r="B1656" i="1"/>
  <c r="D1655" i="1"/>
  <c r="C1655" i="1"/>
  <c r="B1655" i="1"/>
  <c r="D1654" i="1"/>
  <c r="C1654" i="1"/>
  <c r="B1654" i="1"/>
  <c r="D1653" i="1"/>
  <c r="C1653" i="1"/>
  <c r="B1653" i="1"/>
  <c r="D1652" i="1"/>
  <c r="C1652" i="1"/>
  <c r="B1652" i="1"/>
  <c r="D1651" i="1"/>
  <c r="C1651" i="1"/>
  <c r="B1651" i="1"/>
  <c r="D1650" i="1"/>
  <c r="C1650" i="1"/>
  <c r="B1650" i="1"/>
  <c r="D1649" i="1"/>
  <c r="C1649" i="1"/>
  <c r="B1649" i="1"/>
  <c r="D1648" i="1"/>
  <c r="C1648" i="1"/>
  <c r="B1648" i="1"/>
  <c r="D1647" i="1"/>
  <c r="C1647" i="1"/>
  <c r="B1647" i="1"/>
  <c r="D1646" i="1"/>
  <c r="C1646" i="1"/>
  <c r="B1646" i="1"/>
  <c r="D1645" i="1"/>
  <c r="C1645" i="1"/>
  <c r="B1645" i="1"/>
  <c r="D1644" i="1"/>
  <c r="C1644" i="1"/>
  <c r="B1644" i="1"/>
  <c r="D1643" i="1"/>
  <c r="C1643" i="1"/>
  <c r="B1643" i="1"/>
  <c r="D1642" i="1"/>
  <c r="C1642" i="1"/>
  <c r="B1642" i="1"/>
  <c r="D1641" i="1"/>
  <c r="C1641" i="1"/>
  <c r="B1641" i="1"/>
  <c r="D1640" i="1"/>
  <c r="C1640" i="1"/>
  <c r="B1640" i="1"/>
  <c r="D1639" i="1"/>
  <c r="C1639" i="1"/>
  <c r="B1639" i="1"/>
  <c r="D1638" i="1"/>
  <c r="C1638" i="1"/>
  <c r="B1638" i="1"/>
  <c r="D1637" i="1"/>
  <c r="C1637" i="1"/>
  <c r="B1637" i="1"/>
  <c r="D1636" i="1"/>
  <c r="C1636" i="1"/>
  <c r="B1636" i="1"/>
  <c r="D1635" i="1"/>
  <c r="C1635" i="1"/>
  <c r="B1635" i="1"/>
  <c r="D1634" i="1"/>
  <c r="C1634" i="1"/>
  <c r="B1634" i="1"/>
  <c r="D1633" i="1"/>
  <c r="C1633" i="1"/>
  <c r="B1633" i="1"/>
  <c r="D1632" i="1"/>
  <c r="C1632" i="1"/>
  <c r="B1632" i="1"/>
  <c r="D1631" i="1"/>
  <c r="C1631" i="1"/>
  <c r="B1631" i="1"/>
  <c r="D1630" i="1"/>
  <c r="C1630" i="1"/>
  <c r="B1630" i="1"/>
  <c r="D1629" i="1"/>
  <c r="C1629" i="1"/>
  <c r="B1629" i="1"/>
  <c r="D1628" i="1"/>
  <c r="C1628" i="1"/>
  <c r="B1628" i="1"/>
  <c r="D1627" i="1"/>
  <c r="C1627" i="1"/>
  <c r="B1627" i="1"/>
  <c r="D1626" i="1"/>
  <c r="C1626" i="1"/>
  <c r="B1626" i="1"/>
  <c r="D1625" i="1"/>
  <c r="C1625" i="1"/>
  <c r="B1625" i="1"/>
  <c r="D1624" i="1"/>
  <c r="C1624" i="1"/>
  <c r="B1624" i="1"/>
  <c r="D1623" i="1"/>
  <c r="C1623" i="1"/>
  <c r="B1623" i="1"/>
  <c r="D1622" i="1"/>
  <c r="C1622" i="1"/>
  <c r="B1622" i="1"/>
  <c r="D1621" i="1"/>
  <c r="C1621" i="1"/>
  <c r="B1621" i="1"/>
  <c r="D1620" i="1"/>
  <c r="C1620" i="1"/>
  <c r="B1620" i="1"/>
  <c r="D1619" i="1"/>
  <c r="C1619" i="1"/>
  <c r="B1619" i="1"/>
  <c r="D1618" i="1"/>
  <c r="C1618" i="1"/>
  <c r="B1618" i="1"/>
  <c r="D1617" i="1"/>
  <c r="C1617" i="1"/>
  <c r="B1617" i="1"/>
  <c r="D1616" i="1"/>
  <c r="C1616" i="1"/>
  <c r="B1616" i="1"/>
  <c r="D1615" i="1"/>
  <c r="C1615" i="1"/>
  <c r="B1615" i="1"/>
  <c r="D1614" i="1"/>
  <c r="C1614" i="1"/>
  <c r="B1614" i="1"/>
  <c r="D1613" i="1"/>
  <c r="C1613" i="1"/>
  <c r="B1613" i="1"/>
  <c r="D1612" i="1"/>
  <c r="C1612" i="1"/>
  <c r="B1612" i="1"/>
  <c r="D1611" i="1"/>
  <c r="C1611" i="1"/>
  <c r="B1611" i="1"/>
  <c r="D1610" i="1"/>
  <c r="C1610" i="1"/>
  <c r="B1610" i="1"/>
  <c r="D1609" i="1"/>
  <c r="C1609" i="1"/>
  <c r="B1609" i="1"/>
  <c r="D1608" i="1"/>
  <c r="C1608" i="1"/>
  <c r="B1608" i="1"/>
  <c r="D1607" i="1"/>
  <c r="C1607" i="1"/>
  <c r="B1607" i="1"/>
  <c r="D1606" i="1"/>
  <c r="C1606" i="1"/>
  <c r="B1606" i="1"/>
  <c r="D1605" i="1"/>
  <c r="C1605" i="1"/>
  <c r="B1605" i="1"/>
  <c r="D1604" i="1"/>
  <c r="C1604" i="1"/>
  <c r="B1604" i="1"/>
  <c r="D1603" i="1"/>
  <c r="C1603" i="1"/>
  <c r="B1603" i="1"/>
  <c r="D1602" i="1"/>
  <c r="C1602" i="1"/>
  <c r="B1602" i="1"/>
  <c r="D1601" i="1"/>
  <c r="C1601" i="1"/>
  <c r="B1601" i="1"/>
  <c r="D1600" i="1"/>
  <c r="C1600" i="1"/>
  <c r="B1600" i="1"/>
  <c r="D1599" i="1"/>
  <c r="C1599" i="1"/>
  <c r="B1599" i="1"/>
  <c r="D1598" i="1"/>
  <c r="C1598" i="1"/>
  <c r="B1598" i="1"/>
  <c r="D1597" i="1"/>
  <c r="C1597" i="1"/>
  <c r="B1597" i="1"/>
  <c r="D1596" i="1"/>
  <c r="C1596" i="1"/>
  <c r="B1596" i="1"/>
  <c r="D1595" i="1"/>
  <c r="C1595" i="1"/>
  <c r="B1595" i="1"/>
  <c r="D1594" i="1"/>
  <c r="C1594" i="1"/>
  <c r="B1594" i="1"/>
  <c r="D1593" i="1"/>
  <c r="C1593" i="1"/>
  <c r="B1593" i="1"/>
  <c r="D1592" i="1"/>
  <c r="C1592" i="1"/>
  <c r="B1592" i="1"/>
  <c r="D1591" i="1"/>
  <c r="C1591" i="1"/>
  <c r="B1591" i="1"/>
  <c r="D1590" i="1"/>
  <c r="C1590" i="1"/>
  <c r="B1590" i="1"/>
  <c r="D1589" i="1"/>
  <c r="C1589" i="1"/>
  <c r="B1589" i="1"/>
  <c r="D1588" i="1"/>
  <c r="C1588" i="1"/>
  <c r="B1588" i="1"/>
  <c r="D1587" i="1"/>
  <c r="C1587" i="1"/>
  <c r="B1587" i="1"/>
  <c r="D1586" i="1"/>
  <c r="C1586" i="1"/>
  <c r="B1586" i="1"/>
  <c r="D1585" i="1"/>
  <c r="C1585" i="1"/>
  <c r="B1585" i="1"/>
  <c r="D1584" i="1"/>
  <c r="C1584" i="1"/>
  <c r="B1584" i="1"/>
  <c r="D1583" i="1"/>
  <c r="C1583" i="1"/>
  <c r="B1583" i="1"/>
  <c r="D1582" i="1"/>
  <c r="C1582" i="1"/>
  <c r="B1582" i="1"/>
  <c r="D1581" i="1"/>
  <c r="C1581" i="1"/>
  <c r="B1581" i="1"/>
  <c r="D1580" i="1"/>
  <c r="C1580" i="1"/>
  <c r="B1580" i="1"/>
  <c r="D1579" i="1"/>
  <c r="C1579" i="1"/>
  <c r="B1579" i="1"/>
  <c r="D1578" i="1"/>
  <c r="C1578" i="1"/>
  <c r="B1578" i="1"/>
  <c r="D1577" i="1"/>
  <c r="C1577" i="1"/>
  <c r="B1577" i="1"/>
  <c r="D1576" i="1"/>
  <c r="C1576" i="1"/>
  <c r="B1576" i="1"/>
  <c r="D1575" i="1"/>
  <c r="C1575" i="1"/>
  <c r="B1575" i="1"/>
  <c r="D1574" i="1"/>
  <c r="C1574" i="1"/>
  <c r="B1574" i="1"/>
  <c r="D1573" i="1"/>
  <c r="C1573" i="1"/>
  <c r="B1573" i="1"/>
  <c r="D1572" i="1"/>
  <c r="C1572" i="1"/>
  <c r="B1572" i="1"/>
  <c r="D1571" i="1"/>
  <c r="C1571" i="1"/>
  <c r="B1571" i="1"/>
  <c r="D1570" i="1"/>
  <c r="C1570" i="1"/>
  <c r="B1570" i="1"/>
  <c r="D1569" i="1"/>
  <c r="C1569" i="1"/>
  <c r="B1569" i="1"/>
  <c r="D1568" i="1"/>
  <c r="C1568" i="1"/>
  <c r="B1568" i="1"/>
  <c r="D1567" i="1"/>
  <c r="C1567" i="1"/>
  <c r="B1567" i="1"/>
  <c r="D1566" i="1"/>
  <c r="C1566" i="1"/>
  <c r="B1566" i="1"/>
  <c r="D1565" i="1"/>
  <c r="C1565" i="1"/>
  <c r="B1565" i="1"/>
  <c r="D1564" i="1"/>
  <c r="C1564" i="1"/>
  <c r="B1564" i="1"/>
  <c r="D1563" i="1"/>
  <c r="C1563" i="1"/>
  <c r="B1563" i="1"/>
  <c r="D1562" i="1"/>
  <c r="C1562" i="1"/>
  <c r="B1562" i="1"/>
  <c r="D1561" i="1"/>
  <c r="C1561" i="1"/>
  <c r="B1561" i="1"/>
  <c r="D1560" i="1"/>
  <c r="C1560" i="1"/>
  <c r="B1560" i="1"/>
  <c r="D1559" i="1"/>
  <c r="C1559" i="1"/>
  <c r="B1559" i="1"/>
  <c r="D1558" i="1"/>
  <c r="C1558" i="1"/>
  <c r="B1558" i="1"/>
  <c r="D1557" i="1"/>
  <c r="C1557" i="1"/>
  <c r="B1557" i="1"/>
  <c r="D1556" i="1"/>
  <c r="C1556" i="1"/>
  <c r="B1556" i="1"/>
  <c r="D1555" i="1"/>
  <c r="C1555" i="1"/>
  <c r="B1555" i="1"/>
  <c r="D1554" i="1"/>
  <c r="C1554" i="1"/>
  <c r="B1554" i="1"/>
  <c r="D1553" i="1"/>
  <c r="C1553" i="1"/>
  <c r="B1553" i="1"/>
  <c r="D1552" i="1"/>
  <c r="C1552" i="1"/>
  <c r="B1552" i="1"/>
  <c r="D1551" i="1"/>
  <c r="C1551" i="1"/>
  <c r="B1551" i="1"/>
  <c r="D1550" i="1"/>
  <c r="C1550" i="1"/>
  <c r="B1550" i="1"/>
  <c r="D1549" i="1"/>
  <c r="C1549" i="1"/>
  <c r="B1549" i="1"/>
  <c r="D1548" i="1"/>
  <c r="C1548" i="1"/>
  <c r="B1548" i="1"/>
  <c r="D1547" i="1"/>
  <c r="C1547" i="1"/>
  <c r="B1547" i="1"/>
  <c r="D1546" i="1"/>
  <c r="C1546" i="1"/>
  <c r="B1546" i="1"/>
  <c r="D1545" i="1"/>
  <c r="C1545" i="1"/>
  <c r="B1545" i="1"/>
  <c r="D1544" i="1"/>
  <c r="C1544" i="1"/>
  <c r="B1544" i="1"/>
  <c r="D1543" i="1"/>
  <c r="C1543" i="1"/>
  <c r="B1543" i="1"/>
  <c r="D1542" i="1"/>
  <c r="C1542" i="1"/>
  <c r="B1542" i="1"/>
  <c r="D1541" i="1"/>
  <c r="C1541" i="1"/>
  <c r="B1541" i="1"/>
  <c r="D1540" i="1"/>
  <c r="C1540" i="1"/>
  <c r="B1540" i="1"/>
  <c r="D1539" i="1"/>
  <c r="C1539" i="1"/>
  <c r="B1539" i="1"/>
  <c r="D1538" i="1"/>
  <c r="C1538" i="1"/>
  <c r="B1538" i="1"/>
  <c r="D1537" i="1"/>
  <c r="C1537" i="1"/>
  <c r="B1537" i="1"/>
  <c r="D1536" i="1"/>
  <c r="C1536" i="1"/>
  <c r="B1536" i="1"/>
  <c r="D1535" i="1"/>
  <c r="C1535" i="1"/>
  <c r="B1535" i="1"/>
  <c r="D1534" i="1"/>
  <c r="C1534" i="1"/>
  <c r="B1534" i="1"/>
  <c r="D1533" i="1"/>
  <c r="C1533" i="1"/>
  <c r="B1533" i="1"/>
  <c r="D1532" i="1"/>
  <c r="C1532" i="1"/>
  <c r="B1532" i="1"/>
  <c r="D1531" i="1"/>
  <c r="C1531" i="1"/>
  <c r="B1531" i="1"/>
  <c r="D1530" i="1"/>
  <c r="C1530" i="1"/>
  <c r="B1530" i="1"/>
  <c r="D1529" i="1"/>
  <c r="C1529" i="1"/>
  <c r="B1529" i="1"/>
  <c r="D1528" i="1"/>
  <c r="C1528" i="1"/>
  <c r="B1528" i="1"/>
  <c r="D1527" i="1"/>
  <c r="C1527" i="1"/>
  <c r="B1527" i="1"/>
  <c r="D1526" i="1"/>
  <c r="C1526" i="1"/>
  <c r="B1526" i="1"/>
  <c r="D1525" i="1"/>
  <c r="C1525" i="1"/>
  <c r="B1525" i="1"/>
  <c r="D1524" i="1"/>
  <c r="C1524" i="1"/>
  <c r="B1524" i="1"/>
  <c r="D1523" i="1"/>
  <c r="C1523" i="1"/>
  <c r="B1523" i="1"/>
  <c r="D1522" i="1"/>
  <c r="C1522" i="1"/>
  <c r="B1522" i="1"/>
  <c r="D1521" i="1"/>
  <c r="C1521" i="1"/>
  <c r="B1521" i="1"/>
  <c r="D1520" i="1"/>
  <c r="C1520" i="1"/>
  <c r="B1520" i="1"/>
  <c r="D1519" i="1"/>
  <c r="C1519" i="1"/>
  <c r="B1519" i="1"/>
  <c r="D1518" i="1"/>
  <c r="C1518" i="1"/>
  <c r="B1518" i="1"/>
  <c r="D1517" i="1"/>
  <c r="C1517" i="1"/>
  <c r="B1517" i="1"/>
  <c r="D1516" i="1"/>
  <c r="C1516" i="1"/>
  <c r="B1516" i="1"/>
  <c r="D1515" i="1"/>
  <c r="C1515" i="1"/>
  <c r="B1515" i="1"/>
  <c r="D1514" i="1"/>
  <c r="C1514" i="1"/>
  <c r="B1514" i="1"/>
  <c r="D1513" i="1"/>
  <c r="C1513" i="1"/>
  <c r="B1513" i="1"/>
  <c r="D1512" i="1"/>
  <c r="C1512" i="1"/>
  <c r="B1512" i="1"/>
  <c r="D1511" i="1"/>
  <c r="C1511" i="1"/>
  <c r="B1511" i="1"/>
  <c r="D1510" i="1"/>
  <c r="C1510" i="1"/>
  <c r="B1510" i="1"/>
  <c r="D1509" i="1"/>
  <c r="C1509" i="1"/>
  <c r="B1509" i="1"/>
  <c r="D1508" i="1"/>
  <c r="C1508" i="1"/>
  <c r="B1508" i="1"/>
  <c r="D1507" i="1"/>
  <c r="C1507" i="1"/>
  <c r="B1507" i="1"/>
  <c r="D1506" i="1"/>
  <c r="C1506" i="1"/>
  <c r="B1506" i="1"/>
  <c r="D1505" i="1"/>
  <c r="C1505" i="1"/>
  <c r="B1505" i="1"/>
  <c r="D1504" i="1"/>
  <c r="C1504" i="1"/>
  <c r="B1504" i="1"/>
  <c r="D1503" i="1"/>
  <c r="C1503" i="1"/>
  <c r="B1503" i="1"/>
  <c r="D1502" i="1"/>
  <c r="C1502" i="1"/>
  <c r="B1502" i="1"/>
  <c r="D1501" i="1"/>
  <c r="C1501" i="1"/>
  <c r="B1501" i="1"/>
  <c r="D1500" i="1"/>
  <c r="C1500" i="1"/>
  <c r="B1500" i="1"/>
  <c r="D1499" i="1"/>
  <c r="C1499" i="1"/>
  <c r="B1499" i="1"/>
  <c r="D1498" i="1"/>
  <c r="C1498" i="1"/>
  <c r="B1498" i="1"/>
  <c r="D1497" i="1"/>
  <c r="C1497" i="1"/>
  <c r="B1497" i="1"/>
  <c r="D1496" i="1"/>
  <c r="C1496" i="1"/>
  <c r="B1496" i="1"/>
  <c r="D1495" i="1"/>
  <c r="C1495" i="1"/>
  <c r="B1495" i="1"/>
  <c r="D1494" i="1"/>
  <c r="C1494" i="1"/>
  <c r="B1494" i="1"/>
  <c r="D1493" i="1"/>
  <c r="C1493" i="1"/>
  <c r="B1493" i="1"/>
  <c r="D1492" i="1"/>
  <c r="C1492" i="1"/>
  <c r="B1492" i="1"/>
  <c r="D1491" i="1"/>
  <c r="C1491" i="1"/>
  <c r="B1491" i="1"/>
  <c r="D1490" i="1"/>
  <c r="C1490" i="1"/>
  <c r="B1490" i="1"/>
  <c r="D1489" i="1"/>
  <c r="C1489" i="1"/>
  <c r="B1489" i="1"/>
  <c r="D1488" i="1"/>
  <c r="C1488" i="1"/>
  <c r="B1488" i="1"/>
  <c r="D1487" i="1"/>
  <c r="C1487" i="1"/>
  <c r="B1487" i="1"/>
  <c r="D1486" i="1"/>
  <c r="C1486" i="1"/>
  <c r="B1486" i="1"/>
  <c r="D1485" i="1"/>
  <c r="C1485" i="1"/>
  <c r="B1485" i="1"/>
  <c r="D1484" i="1"/>
  <c r="C1484" i="1"/>
  <c r="B1484" i="1"/>
  <c r="D1483" i="1"/>
  <c r="C1483" i="1"/>
  <c r="B1483" i="1"/>
  <c r="D1482" i="1"/>
  <c r="C1482" i="1"/>
  <c r="B1482" i="1"/>
  <c r="D1481" i="1"/>
  <c r="C1481" i="1"/>
  <c r="B1481" i="1"/>
  <c r="D1480" i="1"/>
  <c r="C1480" i="1"/>
  <c r="B1480" i="1"/>
  <c r="D1479" i="1"/>
  <c r="C1479" i="1"/>
  <c r="B1479" i="1"/>
  <c r="D1478" i="1"/>
  <c r="C1478" i="1"/>
  <c r="B1478" i="1"/>
  <c r="D1477" i="1"/>
  <c r="C1477" i="1"/>
  <c r="B1477" i="1"/>
  <c r="D1476" i="1"/>
  <c r="C1476" i="1"/>
  <c r="B1476" i="1"/>
  <c r="D1475" i="1"/>
  <c r="C1475" i="1"/>
  <c r="B1475" i="1"/>
  <c r="D1474" i="1"/>
  <c r="C1474" i="1"/>
  <c r="B1474" i="1"/>
  <c r="D1473" i="1"/>
  <c r="C1473" i="1"/>
  <c r="B1473" i="1"/>
  <c r="D1472" i="1"/>
  <c r="C1472" i="1"/>
  <c r="B1472" i="1"/>
  <c r="D1471" i="1"/>
  <c r="C1471" i="1"/>
  <c r="B1471" i="1"/>
  <c r="D1470" i="1"/>
  <c r="C1470" i="1"/>
  <c r="B1470" i="1"/>
  <c r="D1469" i="1"/>
  <c r="C1469" i="1"/>
  <c r="B1469" i="1"/>
  <c r="D1468" i="1"/>
  <c r="C1468" i="1"/>
  <c r="B1468" i="1"/>
  <c r="D1467" i="1"/>
  <c r="C1467" i="1"/>
  <c r="B1467" i="1"/>
  <c r="D1466" i="1"/>
  <c r="C1466" i="1"/>
  <c r="B1466" i="1"/>
  <c r="D1465" i="1"/>
  <c r="C1465" i="1"/>
  <c r="B1465" i="1"/>
  <c r="D1464" i="1"/>
  <c r="C1464" i="1"/>
  <c r="B1464" i="1"/>
  <c r="D1463" i="1"/>
  <c r="C1463" i="1"/>
  <c r="B1463" i="1"/>
  <c r="D1462" i="1"/>
  <c r="C1462" i="1"/>
  <c r="B1462" i="1"/>
  <c r="D1461" i="1"/>
  <c r="C1461" i="1"/>
  <c r="B1461" i="1"/>
  <c r="D1460" i="1"/>
  <c r="C1460" i="1"/>
  <c r="B1460" i="1"/>
  <c r="D1459" i="1"/>
  <c r="C1459" i="1"/>
  <c r="B1459" i="1"/>
  <c r="D1458" i="1"/>
  <c r="C1458" i="1"/>
  <c r="B1458" i="1"/>
  <c r="D1457" i="1"/>
  <c r="C1457" i="1"/>
  <c r="B1457" i="1"/>
  <c r="D1456" i="1"/>
  <c r="C1456" i="1"/>
  <c r="B1456" i="1"/>
  <c r="D1455" i="1"/>
  <c r="C1455" i="1"/>
  <c r="B1455" i="1"/>
  <c r="D1454" i="1"/>
  <c r="C1454" i="1"/>
  <c r="B1454" i="1"/>
  <c r="D1453" i="1"/>
  <c r="C1453" i="1"/>
  <c r="B1453" i="1"/>
  <c r="D1452" i="1"/>
  <c r="C1452" i="1"/>
  <c r="B1452" i="1"/>
  <c r="D1451" i="1"/>
  <c r="C1451" i="1"/>
  <c r="B1451" i="1"/>
  <c r="D1450" i="1"/>
  <c r="C1450" i="1"/>
  <c r="B1450" i="1"/>
  <c r="D1449" i="1"/>
  <c r="C1449" i="1"/>
  <c r="B1449" i="1"/>
  <c r="D1448" i="1"/>
  <c r="C1448" i="1"/>
  <c r="B1448" i="1"/>
  <c r="D1447" i="1"/>
  <c r="C1447" i="1"/>
  <c r="B1447" i="1"/>
  <c r="D1446" i="1"/>
  <c r="C1446" i="1"/>
  <c r="B1446" i="1"/>
  <c r="D1445" i="1"/>
  <c r="C1445" i="1"/>
  <c r="B1445" i="1"/>
  <c r="D1444" i="1"/>
  <c r="C1444" i="1"/>
  <c r="B1444" i="1"/>
  <c r="D1443" i="1"/>
  <c r="C1443" i="1"/>
  <c r="B1443" i="1"/>
  <c r="D1442" i="1"/>
  <c r="C1442" i="1"/>
  <c r="B1442" i="1"/>
  <c r="D1441" i="1"/>
  <c r="C1441" i="1"/>
  <c r="B1441" i="1"/>
  <c r="D1440" i="1"/>
  <c r="C1440" i="1"/>
  <c r="B1440" i="1"/>
  <c r="D1439" i="1"/>
  <c r="C1439" i="1"/>
  <c r="B1439" i="1"/>
  <c r="D1438" i="1"/>
  <c r="C1438" i="1"/>
  <c r="B1438" i="1"/>
  <c r="D1437" i="1"/>
  <c r="C1437" i="1"/>
  <c r="B1437" i="1"/>
  <c r="D1436" i="1"/>
  <c r="C1436" i="1"/>
  <c r="B1436" i="1"/>
  <c r="D1435" i="1"/>
  <c r="C1435" i="1"/>
  <c r="B1435" i="1"/>
  <c r="D1434" i="1"/>
  <c r="C1434" i="1"/>
  <c r="B1434" i="1"/>
  <c r="D1433" i="1"/>
  <c r="C1433" i="1"/>
  <c r="B1433" i="1"/>
  <c r="D1432" i="1"/>
  <c r="C1432" i="1"/>
  <c r="B1432" i="1"/>
  <c r="D1431" i="1"/>
  <c r="C1431" i="1"/>
  <c r="B1431" i="1"/>
  <c r="D1430" i="1"/>
  <c r="C1430" i="1"/>
  <c r="B1430" i="1"/>
  <c r="D1429" i="1"/>
  <c r="C1429" i="1"/>
  <c r="B1429" i="1"/>
  <c r="D1428" i="1"/>
  <c r="C1428" i="1"/>
  <c r="B1428" i="1"/>
  <c r="D1427" i="1"/>
  <c r="C1427" i="1"/>
  <c r="B1427" i="1"/>
  <c r="D1426" i="1"/>
  <c r="C1426" i="1"/>
  <c r="B1426" i="1"/>
  <c r="D1425" i="1"/>
  <c r="C1425" i="1"/>
  <c r="B1425" i="1"/>
  <c r="D1424" i="1"/>
  <c r="C1424" i="1"/>
  <c r="B1424" i="1"/>
  <c r="D1423" i="1"/>
  <c r="C1423" i="1"/>
  <c r="B1423" i="1"/>
  <c r="D1422" i="1"/>
  <c r="C1422" i="1"/>
  <c r="B1422" i="1"/>
  <c r="D1421" i="1"/>
  <c r="C1421" i="1"/>
  <c r="B1421" i="1"/>
  <c r="D1420" i="1"/>
  <c r="C1420" i="1"/>
  <c r="B1420" i="1"/>
  <c r="D1419" i="1"/>
  <c r="C1419" i="1"/>
  <c r="B1419" i="1"/>
  <c r="D1418" i="1"/>
  <c r="C1418" i="1"/>
  <c r="B1418" i="1"/>
  <c r="D1417" i="1"/>
  <c r="C1417" i="1"/>
  <c r="B1417" i="1"/>
  <c r="D1416" i="1"/>
  <c r="C1416" i="1"/>
  <c r="B1416" i="1"/>
  <c r="D1415" i="1"/>
  <c r="C1415" i="1"/>
  <c r="B1415" i="1"/>
  <c r="D1414" i="1"/>
  <c r="C1414" i="1"/>
  <c r="B1414" i="1"/>
  <c r="D1413" i="1"/>
  <c r="C1413" i="1"/>
  <c r="B1413" i="1"/>
  <c r="D1412" i="1"/>
  <c r="C1412" i="1"/>
  <c r="B1412" i="1"/>
  <c r="D1411" i="1"/>
  <c r="C1411" i="1"/>
  <c r="B1411" i="1"/>
  <c r="D1410" i="1"/>
  <c r="C1410" i="1"/>
  <c r="B1410" i="1"/>
  <c r="D1409" i="1"/>
  <c r="C1409" i="1"/>
  <c r="B1409" i="1"/>
  <c r="D1408" i="1"/>
  <c r="C1408" i="1"/>
  <c r="B1408" i="1"/>
  <c r="D1407" i="1"/>
  <c r="C1407" i="1"/>
  <c r="B1407" i="1"/>
  <c r="D1406" i="1"/>
  <c r="C1406" i="1"/>
  <c r="B1406" i="1"/>
  <c r="D1405" i="1"/>
  <c r="C1405" i="1"/>
  <c r="B1405" i="1"/>
  <c r="D1404" i="1"/>
  <c r="C1404" i="1"/>
  <c r="B1404" i="1"/>
  <c r="D1403" i="1"/>
  <c r="C1403" i="1"/>
  <c r="B1403" i="1"/>
  <c r="D1402" i="1"/>
  <c r="C1402" i="1"/>
  <c r="B1402" i="1"/>
  <c r="D1401" i="1"/>
  <c r="C1401" i="1"/>
  <c r="B1401" i="1"/>
  <c r="D1400" i="1"/>
  <c r="C1400" i="1"/>
  <c r="B1400" i="1"/>
  <c r="D1399" i="1"/>
  <c r="C1399" i="1"/>
  <c r="B1399" i="1"/>
  <c r="D1398" i="1"/>
  <c r="C1398" i="1"/>
  <c r="B1398" i="1"/>
  <c r="D1397" i="1"/>
  <c r="C1397" i="1"/>
  <c r="B1397" i="1"/>
  <c r="D1396" i="1"/>
  <c r="C1396" i="1"/>
  <c r="B1396" i="1"/>
  <c r="D1395" i="1"/>
  <c r="C1395" i="1"/>
  <c r="B1395" i="1"/>
  <c r="D1394" i="1"/>
  <c r="C1394" i="1"/>
  <c r="B1394" i="1"/>
  <c r="D1393" i="1"/>
  <c r="C1393" i="1"/>
  <c r="B1393" i="1"/>
  <c r="D1392" i="1"/>
  <c r="C1392" i="1"/>
  <c r="B1392" i="1"/>
  <c r="D1391" i="1"/>
  <c r="C1391" i="1"/>
  <c r="B1391" i="1"/>
  <c r="D1390" i="1"/>
  <c r="C1390" i="1"/>
  <c r="B1390" i="1"/>
  <c r="D1389" i="1"/>
  <c r="C1389" i="1"/>
  <c r="B1389" i="1"/>
  <c r="D1388" i="1"/>
  <c r="C1388" i="1"/>
  <c r="B1388" i="1"/>
  <c r="D1387" i="1"/>
  <c r="C1387" i="1"/>
  <c r="B1387" i="1"/>
  <c r="D1386" i="1"/>
  <c r="C1386" i="1"/>
  <c r="B1386" i="1"/>
  <c r="D1385" i="1"/>
  <c r="C1385" i="1"/>
  <c r="B1385" i="1"/>
  <c r="D1384" i="1"/>
  <c r="C1384" i="1"/>
  <c r="B1384" i="1"/>
  <c r="D1383" i="1"/>
  <c r="C1383" i="1"/>
  <c r="B1383" i="1"/>
  <c r="D1382" i="1"/>
  <c r="C1382" i="1"/>
  <c r="B1382" i="1"/>
  <c r="D1381" i="1"/>
  <c r="C1381" i="1"/>
  <c r="B1381" i="1"/>
  <c r="D1380" i="1"/>
  <c r="C1380" i="1"/>
  <c r="B1380" i="1"/>
  <c r="D1379" i="1"/>
  <c r="C1379" i="1"/>
  <c r="B1379" i="1"/>
  <c r="D1378" i="1"/>
  <c r="C1378" i="1"/>
  <c r="B1378" i="1"/>
  <c r="D1377" i="1"/>
  <c r="C1377" i="1"/>
  <c r="B1377" i="1"/>
  <c r="D1376" i="1"/>
  <c r="C1376" i="1"/>
  <c r="B1376" i="1"/>
  <c r="D1375" i="1"/>
  <c r="C1375" i="1"/>
  <c r="B1375" i="1"/>
  <c r="D1374" i="1"/>
  <c r="C1374" i="1"/>
  <c r="B1374" i="1"/>
  <c r="D1373" i="1"/>
  <c r="C1373" i="1"/>
  <c r="B1373" i="1"/>
  <c r="D1372" i="1"/>
  <c r="C1372" i="1"/>
  <c r="B1372" i="1"/>
  <c r="D1371" i="1"/>
  <c r="C1371" i="1"/>
  <c r="B1371" i="1"/>
  <c r="D1370" i="1"/>
  <c r="C1370" i="1"/>
  <c r="B1370" i="1"/>
  <c r="D1369" i="1"/>
  <c r="C1369" i="1"/>
  <c r="B1369" i="1"/>
  <c r="D1368" i="1"/>
  <c r="C1368" i="1"/>
  <c r="B1368" i="1"/>
  <c r="D1367" i="1"/>
  <c r="C1367" i="1"/>
  <c r="B1367" i="1"/>
  <c r="D1366" i="1"/>
  <c r="C1366" i="1"/>
  <c r="B1366" i="1"/>
  <c r="D1365" i="1"/>
  <c r="C1365" i="1"/>
  <c r="B1365" i="1"/>
  <c r="D1364" i="1"/>
  <c r="C1364" i="1"/>
  <c r="B1364" i="1"/>
  <c r="D1363" i="1"/>
  <c r="C1363" i="1"/>
  <c r="B1363" i="1"/>
  <c r="D1362" i="1"/>
  <c r="C1362" i="1"/>
  <c r="B1362" i="1"/>
  <c r="D1361" i="1"/>
  <c r="C1361" i="1"/>
  <c r="B1361" i="1"/>
  <c r="D1360" i="1"/>
  <c r="C1360" i="1"/>
  <c r="B1360" i="1"/>
  <c r="D1359" i="1"/>
  <c r="C1359" i="1"/>
  <c r="B1359" i="1"/>
  <c r="D1358" i="1"/>
  <c r="C1358" i="1"/>
  <c r="B1358" i="1"/>
  <c r="D1357" i="1"/>
  <c r="C1357" i="1"/>
  <c r="B1357" i="1"/>
  <c r="D1356" i="1"/>
  <c r="C1356" i="1"/>
  <c r="B1356" i="1"/>
  <c r="D1355" i="1"/>
  <c r="C1355" i="1"/>
  <c r="B1355" i="1"/>
  <c r="D1354" i="1"/>
  <c r="C1354" i="1"/>
  <c r="B1354" i="1"/>
  <c r="D1353" i="1"/>
  <c r="C1353" i="1"/>
  <c r="B1353" i="1"/>
  <c r="D1352" i="1"/>
  <c r="C1352" i="1"/>
  <c r="B1352" i="1"/>
  <c r="D1351" i="1"/>
  <c r="C1351" i="1"/>
  <c r="B1351" i="1"/>
  <c r="D1350" i="1"/>
  <c r="C1350" i="1"/>
  <c r="B1350" i="1"/>
  <c r="D1349" i="1"/>
  <c r="C1349" i="1"/>
  <c r="B1349" i="1"/>
  <c r="D1348" i="1"/>
  <c r="C1348" i="1"/>
  <c r="B1348" i="1"/>
  <c r="D1347" i="1"/>
  <c r="C1347" i="1"/>
  <c r="B1347" i="1"/>
  <c r="D1346" i="1"/>
  <c r="C1346" i="1"/>
  <c r="B1346" i="1"/>
  <c r="D1345" i="1"/>
  <c r="C1345" i="1"/>
  <c r="B1345" i="1"/>
  <c r="D1344" i="1"/>
  <c r="C1344" i="1"/>
  <c r="B1344" i="1"/>
  <c r="D1343" i="1"/>
  <c r="C1343" i="1"/>
  <c r="B1343" i="1"/>
  <c r="D1342" i="1"/>
  <c r="C1342" i="1"/>
  <c r="B1342" i="1"/>
  <c r="D1341" i="1"/>
  <c r="C1341" i="1"/>
  <c r="B1341" i="1"/>
  <c r="D1340" i="1"/>
  <c r="C1340" i="1"/>
  <c r="B1340" i="1"/>
  <c r="D1339" i="1"/>
  <c r="C1339" i="1"/>
  <c r="B1339" i="1"/>
  <c r="D1338" i="1"/>
  <c r="C1338" i="1"/>
  <c r="B1338" i="1"/>
  <c r="D1337" i="1"/>
  <c r="C1337" i="1"/>
  <c r="B1337" i="1"/>
  <c r="D1336" i="1"/>
  <c r="C1336" i="1"/>
  <c r="B1336" i="1"/>
  <c r="D1335" i="1"/>
  <c r="C1335" i="1"/>
  <c r="B1335" i="1"/>
  <c r="D1334" i="1"/>
  <c r="C1334" i="1"/>
  <c r="B1334" i="1"/>
  <c r="D1333" i="1"/>
  <c r="C1333" i="1"/>
  <c r="B1333" i="1"/>
  <c r="D1332" i="1"/>
  <c r="C1332" i="1"/>
  <c r="B1332" i="1"/>
  <c r="D1331" i="1"/>
  <c r="C1331" i="1"/>
  <c r="B1331" i="1"/>
  <c r="D1330" i="1"/>
  <c r="C1330" i="1"/>
  <c r="B1330" i="1"/>
  <c r="D1329" i="1"/>
  <c r="C1329" i="1"/>
  <c r="B1329" i="1"/>
  <c r="D1328" i="1"/>
  <c r="C1328" i="1"/>
  <c r="B1328" i="1"/>
  <c r="D1327" i="1"/>
  <c r="C1327" i="1"/>
  <c r="B1327" i="1"/>
  <c r="D1326" i="1"/>
  <c r="C1326" i="1"/>
  <c r="B1326" i="1"/>
  <c r="D1325" i="1"/>
  <c r="C1325" i="1"/>
  <c r="B1325" i="1"/>
  <c r="D1324" i="1"/>
  <c r="C1324" i="1"/>
  <c r="B1324" i="1"/>
  <c r="D1323" i="1"/>
  <c r="C1323" i="1"/>
  <c r="B1323" i="1"/>
  <c r="D1322" i="1"/>
  <c r="C1322" i="1"/>
  <c r="B1322" i="1"/>
  <c r="D1321" i="1"/>
  <c r="C1321" i="1"/>
  <c r="B1321" i="1"/>
  <c r="D1320" i="1"/>
  <c r="C1320" i="1"/>
  <c r="B1320" i="1"/>
  <c r="D1319" i="1"/>
  <c r="C1319" i="1"/>
  <c r="B1319" i="1"/>
  <c r="D1318" i="1"/>
  <c r="C1318" i="1"/>
  <c r="B1318" i="1"/>
  <c r="D1317" i="1"/>
  <c r="C1317" i="1"/>
  <c r="B1317" i="1"/>
  <c r="D1316" i="1"/>
  <c r="C1316" i="1"/>
  <c r="B1316" i="1"/>
  <c r="D1315" i="1"/>
  <c r="C1315" i="1"/>
  <c r="B1315" i="1"/>
  <c r="D1314" i="1"/>
  <c r="C1314" i="1"/>
  <c r="B1314" i="1"/>
  <c r="D1313" i="1"/>
  <c r="C1313" i="1"/>
  <c r="B1313" i="1"/>
  <c r="D1312" i="1"/>
  <c r="C1312" i="1"/>
  <c r="B1312" i="1"/>
  <c r="D1311" i="1"/>
  <c r="C1311" i="1"/>
  <c r="B1311" i="1"/>
  <c r="D1310" i="1"/>
  <c r="C1310" i="1"/>
  <c r="B1310" i="1"/>
  <c r="D1309" i="1"/>
  <c r="C1309" i="1"/>
  <c r="B1309" i="1"/>
  <c r="D1308" i="1"/>
  <c r="C1308" i="1"/>
  <c r="B1308" i="1"/>
  <c r="D1307" i="1"/>
  <c r="C1307" i="1"/>
  <c r="B1307" i="1"/>
  <c r="D1306" i="1"/>
  <c r="C1306" i="1"/>
  <c r="B1306" i="1"/>
  <c r="D1305" i="1"/>
  <c r="C1305" i="1"/>
  <c r="B1305" i="1"/>
  <c r="D1304" i="1"/>
  <c r="C1304" i="1"/>
  <c r="B1304" i="1"/>
  <c r="D1303" i="1"/>
  <c r="C1303" i="1"/>
  <c r="B1303" i="1"/>
  <c r="D1302" i="1"/>
  <c r="C1302" i="1"/>
  <c r="B1302" i="1"/>
  <c r="D1301" i="1"/>
  <c r="C1301" i="1"/>
  <c r="B1301" i="1"/>
  <c r="D1300" i="1"/>
  <c r="C1300" i="1"/>
  <c r="B1300" i="1"/>
  <c r="D1299" i="1"/>
  <c r="C1299" i="1"/>
  <c r="B1299" i="1"/>
  <c r="D1298" i="1"/>
  <c r="C1298" i="1"/>
  <c r="B1298" i="1"/>
  <c r="D1297" i="1"/>
  <c r="C1297" i="1"/>
  <c r="B1297" i="1"/>
  <c r="D1296" i="1"/>
  <c r="C1296" i="1"/>
  <c r="B1296" i="1"/>
  <c r="D1295" i="1"/>
  <c r="C1295" i="1"/>
  <c r="B1295" i="1"/>
  <c r="D1294" i="1"/>
  <c r="C1294" i="1"/>
  <c r="B1294" i="1"/>
  <c r="D1293" i="1"/>
  <c r="C1293" i="1"/>
  <c r="B1293" i="1"/>
  <c r="D1292" i="1"/>
  <c r="C1292" i="1"/>
  <c r="B1292" i="1"/>
  <c r="D1291" i="1"/>
  <c r="C1291" i="1"/>
  <c r="B1291" i="1"/>
  <c r="D1290" i="1"/>
  <c r="C1290" i="1"/>
  <c r="B1290" i="1"/>
  <c r="D1289" i="1"/>
  <c r="C1289" i="1"/>
  <c r="B1289" i="1"/>
  <c r="D1288" i="1"/>
  <c r="C1288" i="1"/>
  <c r="B1288" i="1"/>
  <c r="D1287" i="1"/>
  <c r="C1287" i="1"/>
  <c r="B1287" i="1"/>
  <c r="D1286" i="1"/>
  <c r="C1286" i="1"/>
  <c r="B1286" i="1"/>
  <c r="D1285" i="1"/>
  <c r="C1285" i="1"/>
  <c r="B1285" i="1"/>
  <c r="D1284" i="1"/>
  <c r="C1284" i="1"/>
  <c r="B1284" i="1"/>
  <c r="D1283" i="1"/>
  <c r="C1283" i="1"/>
  <c r="B1283" i="1"/>
  <c r="D1282" i="1"/>
  <c r="C1282" i="1"/>
  <c r="B1282" i="1"/>
  <c r="D1281" i="1"/>
  <c r="C1281" i="1"/>
  <c r="B1281" i="1"/>
  <c r="D1280" i="1"/>
  <c r="C1280" i="1"/>
  <c r="B1280" i="1"/>
  <c r="D1279" i="1"/>
  <c r="C1279" i="1"/>
  <c r="B1279" i="1"/>
  <c r="D1278" i="1"/>
  <c r="C1278" i="1"/>
  <c r="B1278" i="1"/>
  <c r="D1277" i="1"/>
  <c r="C1277" i="1"/>
  <c r="B1277" i="1"/>
  <c r="D1276" i="1"/>
  <c r="C1276" i="1"/>
  <c r="B1276" i="1"/>
  <c r="D1275" i="1"/>
  <c r="C1275" i="1"/>
  <c r="B1275" i="1"/>
  <c r="D1274" i="1"/>
  <c r="C1274" i="1"/>
  <c r="B1274" i="1"/>
  <c r="D1273" i="1"/>
  <c r="C1273" i="1"/>
  <c r="B1273" i="1"/>
  <c r="D1272" i="1"/>
  <c r="C1272" i="1"/>
  <c r="B1272" i="1"/>
  <c r="D1271" i="1"/>
  <c r="C1271" i="1"/>
  <c r="B1271" i="1"/>
  <c r="D1270" i="1"/>
  <c r="C1270" i="1"/>
  <c r="B1270" i="1"/>
  <c r="D1269" i="1"/>
  <c r="C1269" i="1"/>
  <c r="B1269" i="1"/>
  <c r="D1268" i="1"/>
  <c r="C1268" i="1"/>
  <c r="B1268" i="1"/>
  <c r="D1267" i="1"/>
  <c r="C1267" i="1"/>
  <c r="B1267" i="1"/>
  <c r="D1266" i="1"/>
  <c r="C1266" i="1"/>
  <c r="B1266" i="1"/>
  <c r="D1265" i="1"/>
  <c r="C1265" i="1"/>
  <c r="B1265" i="1"/>
  <c r="D1264" i="1"/>
  <c r="C1264" i="1"/>
  <c r="B1264" i="1"/>
  <c r="D1263" i="1"/>
  <c r="C1263" i="1"/>
  <c r="B1263" i="1"/>
  <c r="D1262" i="1"/>
  <c r="C1262" i="1"/>
  <c r="B1262" i="1"/>
  <c r="D1261" i="1"/>
  <c r="C1261" i="1"/>
  <c r="B1261" i="1"/>
  <c r="D1260" i="1"/>
  <c r="C1260" i="1"/>
  <c r="B1260" i="1"/>
  <c r="D1259" i="1"/>
  <c r="C1259" i="1"/>
  <c r="B1259" i="1"/>
  <c r="D1258" i="1"/>
  <c r="C1258" i="1"/>
  <c r="B1258" i="1"/>
  <c r="D1257" i="1"/>
  <c r="C1257" i="1"/>
  <c r="B1257" i="1"/>
  <c r="D1256" i="1"/>
  <c r="C1256" i="1"/>
  <c r="B1256" i="1"/>
  <c r="D1255" i="1"/>
  <c r="C1255" i="1"/>
  <c r="B1255" i="1"/>
  <c r="D1254" i="1"/>
  <c r="C1254" i="1"/>
  <c r="B1254" i="1"/>
  <c r="D1253" i="1"/>
  <c r="C1253" i="1"/>
  <c r="B1253" i="1"/>
  <c r="D1252" i="1"/>
  <c r="C1252" i="1"/>
  <c r="B1252" i="1"/>
  <c r="D1251" i="1"/>
  <c r="C1251" i="1"/>
  <c r="B1251" i="1"/>
  <c r="D1250" i="1"/>
  <c r="C1250" i="1"/>
  <c r="B1250" i="1"/>
  <c r="D1249" i="1"/>
  <c r="C1249" i="1"/>
  <c r="B1249" i="1"/>
  <c r="D1248" i="1"/>
  <c r="C1248" i="1"/>
  <c r="B1248" i="1"/>
  <c r="D1247" i="1"/>
  <c r="C1247" i="1"/>
  <c r="B1247" i="1"/>
  <c r="D1246" i="1"/>
  <c r="C1246" i="1"/>
  <c r="B1246" i="1"/>
  <c r="D1245" i="1"/>
  <c r="C1245" i="1"/>
  <c r="B1245" i="1"/>
  <c r="D1244" i="1"/>
  <c r="C1244" i="1"/>
  <c r="B1244" i="1"/>
  <c r="D1243" i="1"/>
  <c r="C1243" i="1"/>
  <c r="B1243" i="1"/>
  <c r="D1242" i="1"/>
  <c r="C1242" i="1"/>
  <c r="B1242" i="1"/>
  <c r="D1241" i="1"/>
  <c r="C1241" i="1"/>
  <c r="B1241" i="1"/>
  <c r="D1240" i="1"/>
  <c r="C1240" i="1"/>
  <c r="B1240" i="1"/>
  <c r="D1239" i="1"/>
  <c r="C1239" i="1"/>
  <c r="B1239" i="1"/>
  <c r="D1238" i="1"/>
  <c r="C1238" i="1"/>
  <c r="B1238" i="1"/>
  <c r="D1237" i="1"/>
  <c r="C1237" i="1"/>
  <c r="B1237" i="1"/>
  <c r="D1236" i="1"/>
  <c r="C1236" i="1"/>
  <c r="B1236" i="1"/>
  <c r="D1235" i="1"/>
  <c r="C1235" i="1"/>
  <c r="B1235" i="1"/>
  <c r="D1234" i="1"/>
  <c r="C1234" i="1"/>
  <c r="B1234" i="1"/>
  <c r="D1233" i="1"/>
  <c r="C1233" i="1"/>
  <c r="B1233" i="1"/>
  <c r="D1232" i="1"/>
  <c r="C1232" i="1"/>
  <c r="B1232" i="1"/>
  <c r="D1231" i="1"/>
  <c r="C1231" i="1"/>
  <c r="B1231" i="1"/>
  <c r="D1230" i="1"/>
  <c r="C1230" i="1"/>
  <c r="B1230" i="1"/>
  <c r="D1229" i="1"/>
  <c r="C1229" i="1"/>
  <c r="B1229" i="1"/>
  <c r="D1228" i="1"/>
  <c r="C1228" i="1"/>
  <c r="B1228" i="1"/>
  <c r="D1227" i="1"/>
  <c r="C1227" i="1"/>
  <c r="B1227" i="1"/>
  <c r="D1226" i="1"/>
  <c r="C1226" i="1"/>
  <c r="B1226" i="1"/>
  <c r="D1225" i="1"/>
  <c r="C1225" i="1"/>
  <c r="B1225" i="1"/>
  <c r="D1224" i="1"/>
  <c r="C1224" i="1"/>
  <c r="B1224" i="1"/>
  <c r="D1223" i="1"/>
  <c r="C1223" i="1"/>
  <c r="B1223" i="1"/>
  <c r="D1222" i="1"/>
  <c r="C1222" i="1"/>
  <c r="B1222" i="1"/>
  <c r="D1221" i="1"/>
  <c r="C1221" i="1"/>
  <c r="B1221" i="1"/>
  <c r="D1220" i="1"/>
  <c r="C1220" i="1"/>
  <c r="B1220" i="1"/>
  <c r="D1219" i="1"/>
  <c r="C1219" i="1"/>
  <c r="B1219" i="1"/>
  <c r="D1218" i="1"/>
  <c r="C1218" i="1"/>
  <c r="B1218" i="1"/>
  <c r="D1217" i="1"/>
  <c r="C1217" i="1"/>
  <c r="B1217" i="1"/>
  <c r="D1216" i="1"/>
  <c r="C1216" i="1"/>
  <c r="B1216" i="1"/>
  <c r="D1215" i="1"/>
  <c r="C1215" i="1"/>
  <c r="B1215" i="1"/>
  <c r="D1214" i="1"/>
  <c r="C1214" i="1"/>
  <c r="B1214" i="1"/>
  <c r="D1213" i="1"/>
  <c r="C1213" i="1"/>
  <c r="B1213" i="1"/>
  <c r="D1212" i="1"/>
  <c r="C1212" i="1"/>
  <c r="B1212" i="1"/>
  <c r="D1211" i="1"/>
  <c r="C1211" i="1"/>
  <c r="B1211" i="1"/>
  <c r="D1210" i="1"/>
  <c r="C1210" i="1"/>
  <c r="B1210" i="1"/>
  <c r="D1209" i="1"/>
  <c r="C1209" i="1"/>
  <c r="B1209" i="1"/>
  <c r="D1208" i="1"/>
  <c r="C1208" i="1"/>
  <c r="B1208" i="1"/>
  <c r="D1207" i="1"/>
  <c r="C1207" i="1"/>
  <c r="B1207" i="1"/>
  <c r="D1206" i="1"/>
  <c r="C1206" i="1"/>
  <c r="B1206" i="1"/>
  <c r="D1205" i="1"/>
  <c r="C1205" i="1"/>
  <c r="B1205" i="1"/>
  <c r="D1204" i="1"/>
  <c r="C1204" i="1"/>
  <c r="B1204" i="1"/>
  <c r="D1203" i="1"/>
  <c r="C1203" i="1"/>
  <c r="B1203" i="1"/>
  <c r="D1202" i="1"/>
  <c r="C1202" i="1"/>
  <c r="B1202" i="1"/>
  <c r="D1201" i="1"/>
  <c r="C1201" i="1"/>
  <c r="B1201" i="1"/>
  <c r="D1200" i="1"/>
  <c r="C1200" i="1"/>
  <c r="B1200" i="1"/>
  <c r="D1199" i="1"/>
  <c r="C1199" i="1"/>
  <c r="B1199" i="1"/>
  <c r="D1198" i="1"/>
  <c r="C1198" i="1"/>
  <c r="B1198" i="1"/>
  <c r="D1197" i="1"/>
  <c r="C1197" i="1"/>
  <c r="B1197" i="1"/>
  <c r="D1196" i="1"/>
  <c r="C1196" i="1"/>
  <c r="B1196" i="1"/>
  <c r="D1195" i="1"/>
  <c r="C1195" i="1"/>
  <c r="B1195" i="1"/>
  <c r="D1194" i="1"/>
  <c r="C1194" i="1"/>
  <c r="B1194" i="1"/>
  <c r="D1193" i="1"/>
  <c r="C1193" i="1"/>
  <c r="B1193" i="1"/>
  <c r="D1192" i="1"/>
  <c r="C1192" i="1"/>
  <c r="B1192" i="1"/>
  <c r="D1191" i="1"/>
  <c r="C1191" i="1"/>
  <c r="B1191" i="1"/>
  <c r="D1190" i="1"/>
  <c r="C1190" i="1"/>
  <c r="B1190" i="1"/>
  <c r="D1189" i="1"/>
  <c r="C1189" i="1"/>
  <c r="B1189" i="1"/>
  <c r="D1188" i="1"/>
  <c r="C1188" i="1"/>
  <c r="B1188" i="1"/>
  <c r="D1187" i="1"/>
  <c r="C1187" i="1"/>
  <c r="B1187" i="1"/>
  <c r="D1186" i="1"/>
  <c r="C1186" i="1"/>
  <c r="B1186" i="1"/>
  <c r="D1185" i="1"/>
  <c r="C1185" i="1"/>
  <c r="B1185" i="1"/>
  <c r="D1184" i="1"/>
  <c r="C1184" i="1"/>
  <c r="B1184" i="1"/>
  <c r="D1183" i="1"/>
  <c r="C1183" i="1"/>
  <c r="B1183" i="1"/>
  <c r="D1182" i="1"/>
  <c r="C1182" i="1"/>
  <c r="B1182" i="1"/>
  <c r="D1181" i="1"/>
  <c r="C1181" i="1"/>
  <c r="B1181" i="1"/>
  <c r="D1180" i="1"/>
  <c r="C1180" i="1"/>
  <c r="B1180" i="1"/>
  <c r="D1179" i="1"/>
  <c r="C1179" i="1"/>
  <c r="B1179" i="1"/>
  <c r="D1178" i="1"/>
  <c r="C1178" i="1"/>
  <c r="B1178" i="1"/>
  <c r="D1177" i="1"/>
  <c r="C1177" i="1"/>
  <c r="B1177" i="1"/>
  <c r="D1176" i="1"/>
  <c r="C1176" i="1"/>
  <c r="B1176" i="1"/>
  <c r="D1175" i="1"/>
  <c r="C1175" i="1"/>
  <c r="B1175" i="1"/>
  <c r="D1174" i="1"/>
  <c r="C1174" i="1"/>
  <c r="B1174" i="1"/>
  <c r="D1173" i="1"/>
  <c r="C1173" i="1"/>
  <c r="B1173" i="1"/>
  <c r="D1172" i="1"/>
  <c r="C1172" i="1"/>
  <c r="B1172" i="1"/>
  <c r="D1171" i="1"/>
  <c r="C1171" i="1"/>
  <c r="B1171" i="1"/>
  <c r="D1170" i="1"/>
  <c r="C1170" i="1"/>
  <c r="B1170" i="1"/>
  <c r="D1169" i="1"/>
  <c r="C1169" i="1"/>
  <c r="B1169" i="1"/>
  <c r="D1168" i="1"/>
  <c r="C1168" i="1"/>
  <c r="B1168" i="1"/>
  <c r="D1167" i="1"/>
  <c r="C1167" i="1"/>
  <c r="B1167" i="1"/>
  <c r="D1166" i="1"/>
  <c r="C1166" i="1"/>
  <c r="B1166" i="1"/>
  <c r="D1165" i="1"/>
  <c r="C1165" i="1"/>
  <c r="B1165" i="1"/>
  <c r="D1164" i="1"/>
  <c r="C1164" i="1"/>
  <c r="B1164" i="1"/>
  <c r="D1163" i="1"/>
  <c r="C1163" i="1"/>
  <c r="B1163" i="1"/>
  <c r="D1162" i="1"/>
  <c r="C1162" i="1"/>
  <c r="B1162" i="1"/>
  <c r="D1161" i="1"/>
  <c r="C1161" i="1"/>
  <c r="B1161" i="1"/>
  <c r="D1160" i="1"/>
  <c r="C1160" i="1"/>
  <c r="B1160" i="1"/>
  <c r="D1159" i="1"/>
  <c r="C1159" i="1"/>
  <c r="B1159" i="1"/>
  <c r="D1158" i="1"/>
  <c r="C1158" i="1"/>
  <c r="B1158" i="1"/>
  <c r="D1157" i="1"/>
  <c r="C1157" i="1"/>
  <c r="B1157" i="1"/>
  <c r="D1156" i="1"/>
  <c r="C1156" i="1"/>
  <c r="B1156" i="1"/>
  <c r="D1155" i="1"/>
  <c r="C1155" i="1"/>
  <c r="B1155" i="1"/>
  <c r="D1154" i="1"/>
  <c r="C1154" i="1"/>
  <c r="B1154" i="1"/>
  <c r="D1153" i="1"/>
  <c r="C1153" i="1"/>
  <c r="B1153" i="1"/>
  <c r="D1152" i="1"/>
  <c r="C1152" i="1"/>
  <c r="B1152" i="1"/>
  <c r="D1151" i="1"/>
  <c r="C1151" i="1"/>
  <c r="B1151" i="1"/>
  <c r="D1150" i="1"/>
  <c r="C1150" i="1"/>
  <c r="B1150" i="1"/>
  <c r="D1149" i="1"/>
  <c r="C1149" i="1"/>
  <c r="B1149" i="1"/>
  <c r="D1148" i="1"/>
  <c r="C1148" i="1"/>
  <c r="B1148" i="1"/>
  <c r="D1147" i="1"/>
  <c r="C1147" i="1"/>
  <c r="B1147" i="1"/>
  <c r="D1146" i="1"/>
  <c r="C1146" i="1"/>
  <c r="B1146" i="1"/>
  <c r="D1145" i="1"/>
  <c r="C1145" i="1"/>
  <c r="B1145" i="1"/>
  <c r="D1144" i="1"/>
  <c r="C1144" i="1"/>
  <c r="B1144" i="1"/>
  <c r="D1143" i="1"/>
  <c r="C1143" i="1"/>
  <c r="B1143" i="1"/>
  <c r="D1142" i="1"/>
  <c r="C1142" i="1"/>
  <c r="B1142" i="1"/>
  <c r="D1141" i="1"/>
  <c r="C1141" i="1"/>
  <c r="B1141" i="1"/>
  <c r="D1140" i="1"/>
  <c r="C1140" i="1"/>
  <c r="B1140" i="1"/>
  <c r="D1139" i="1"/>
  <c r="C1139" i="1"/>
  <c r="B1139" i="1"/>
  <c r="D1138" i="1"/>
  <c r="C1138" i="1"/>
  <c r="B1138" i="1"/>
  <c r="D1137" i="1"/>
  <c r="C1137" i="1"/>
  <c r="B1137" i="1"/>
  <c r="D1136" i="1"/>
  <c r="C1136" i="1"/>
  <c r="B1136" i="1"/>
  <c r="D1135" i="1"/>
  <c r="C1135" i="1"/>
  <c r="B1135" i="1"/>
  <c r="D1134" i="1"/>
  <c r="C1134" i="1"/>
  <c r="B1134" i="1"/>
  <c r="D1133" i="1"/>
  <c r="C1133" i="1"/>
  <c r="B1133" i="1"/>
  <c r="D1132" i="1"/>
  <c r="C1132" i="1"/>
  <c r="B1132" i="1"/>
  <c r="D1131" i="1"/>
  <c r="C1131" i="1"/>
  <c r="B1131" i="1"/>
  <c r="D1130" i="1"/>
  <c r="C1130" i="1"/>
  <c r="B1130" i="1"/>
  <c r="D1129" i="1"/>
  <c r="C1129" i="1"/>
  <c r="B1129" i="1"/>
  <c r="D1128" i="1"/>
  <c r="C1128" i="1"/>
  <c r="B1128" i="1"/>
  <c r="D1127" i="1"/>
  <c r="C1127" i="1"/>
  <c r="B1127" i="1"/>
  <c r="D1126" i="1"/>
  <c r="C1126" i="1"/>
  <c r="B1126" i="1"/>
  <c r="D1125" i="1"/>
  <c r="C1125" i="1"/>
  <c r="B1125" i="1"/>
  <c r="D1124" i="1"/>
  <c r="C1124" i="1"/>
  <c r="B1124" i="1"/>
  <c r="D1123" i="1"/>
  <c r="C1123" i="1"/>
  <c r="B1123" i="1"/>
  <c r="D1122" i="1"/>
  <c r="C1122" i="1"/>
  <c r="B1122" i="1"/>
  <c r="D1121" i="1"/>
  <c r="C1121" i="1"/>
  <c r="B1121" i="1"/>
  <c r="D1120" i="1"/>
  <c r="C1120" i="1"/>
  <c r="B1120" i="1"/>
  <c r="D1119" i="1"/>
  <c r="C1119" i="1"/>
  <c r="B1119" i="1"/>
  <c r="D1118" i="1"/>
  <c r="C1118" i="1"/>
  <c r="B1118" i="1"/>
  <c r="D1117" i="1"/>
  <c r="C1117" i="1"/>
  <c r="B1117" i="1"/>
  <c r="D1116" i="1"/>
  <c r="C1116" i="1"/>
  <c r="B1116" i="1"/>
  <c r="D1115" i="1"/>
  <c r="C1115" i="1"/>
  <c r="B1115" i="1"/>
  <c r="D1114" i="1"/>
  <c r="C1114" i="1"/>
  <c r="B1114" i="1"/>
  <c r="D1113" i="1"/>
  <c r="C1113" i="1"/>
  <c r="B1113" i="1"/>
  <c r="D1112" i="1"/>
  <c r="C1112" i="1"/>
  <c r="B1112" i="1"/>
  <c r="D1111" i="1"/>
  <c r="C1111" i="1"/>
  <c r="B1111" i="1"/>
  <c r="D1110" i="1"/>
  <c r="C1110" i="1"/>
  <c r="B1110" i="1"/>
  <c r="D1109" i="1"/>
  <c r="C1109" i="1"/>
  <c r="B1109" i="1"/>
  <c r="D1108" i="1"/>
  <c r="C1108" i="1"/>
  <c r="B1108" i="1"/>
  <c r="D1107" i="1"/>
  <c r="C1107" i="1"/>
  <c r="B1107" i="1"/>
  <c r="D1106" i="1"/>
  <c r="C1106" i="1"/>
  <c r="B1106" i="1"/>
  <c r="D1105" i="1"/>
  <c r="C1105" i="1"/>
  <c r="B1105" i="1"/>
  <c r="D1104" i="1"/>
  <c r="C1104" i="1"/>
  <c r="B1104" i="1"/>
  <c r="D1103" i="1"/>
  <c r="C1103" i="1"/>
  <c r="B1103" i="1"/>
  <c r="D1102" i="1"/>
  <c r="C1102" i="1"/>
  <c r="B1102" i="1"/>
  <c r="D1101" i="1"/>
  <c r="C1101" i="1"/>
  <c r="B1101" i="1"/>
  <c r="D1100" i="1"/>
  <c r="C1100" i="1"/>
  <c r="B1100" i="1"/>
  <c r="D1099" i="1"/>
  <c r="C1099" i="1"/>
  <c r="B1099" i="1"/>
  <c r="D1098" i="1"/>
  <c r="C1098" i="1"/>
  <c r="B1098" i="1"/>
  <c r="D1097" i="1"/>
  <c r="C1097" i="1"/>
  <c r="B1097" i="1"/>
  <c r="D1096" i="1"/>
  <c r="C1096" i="1"/>
  <c r="B1096" i="1"/>
  <c r="D1095" i="1"/>
  <c r="C1095" i="1"/>
  <c r="B1095" i="1"/>
  <c r="D1094" i="1"/>
  <c r="C1094" i="1"/>
  <c r="B1094" i="1"/>
  <c r="D1093" i="1"/>
  <c r="C1093" i="1"/>
  <c r="B1093" i="1"/>
  <c r="D1092" i="1"/>
  <c r="C1092" i="1"/>
  <c r="B1092" i="1"/>
  <c r="D1091" i="1"/>
  <c r="C1091" i="1"/>
  <c r="B1091" i="1"/>
  <c r="D1090" i="1"/>
  <c r="C1090" i="1"/>
  <c r="B1090" i="1"/>
  <c r="D1089" i="1"/>
  <c r="C1089" i="1"/>
  <c r="B1089" i="1"/>
  <c r="D1088" i="1"/>
  <c r="C1088" i="1"/>
  <c r="B1088" i="1"/>
  <c r="D1087" i="1"/>
  <c r="C1087" i="1"/>
  <c r="B1087" i="1"/>
  <c r="D1086" i="1"/>
  <c r="C1086" i="1"/>
  <c r="B1086" i="1"/>
  <c r="D1085" i="1"/>
  <c r="C1085" i="1"/>
  <c r="B1085" i="1"/>
  <c r="D1084" i="1"/>
  <c r="C1084" i="1"/>
  <c r="B1084" i="1"/>
  <c r="D1083" i="1"/>
  <c r="C1083" i="1"/>
  <c r="B1083" i="1"/>
  <c r="D1082" i="1"/>
  <c r="C1082" i="1"/>
  <c r="B1082" i="1"/>
  <c r="D1081" i="1"/>
  <c r="C1081" i="1"/>
  <c r="B1081" i="1"/>
  <c r="D1080" i="1"/>
  <c r="C1080" i="1"/>
  <c r="B1080" i="1"/>
  <c r="D1079" i="1"/>
  <c r="C1079" i="1"/>
  <c r="B1079" i="1"/>
  <c r="D1078" i="1"/>
  <c r="C1078" i="1"/>
  <c r="B1078" i="1"/>
  <c r="D1077" i="1"/>
  <c r="C1077" i="1"/>
  <c r="B1077" i="1"/>
  <c r="D1076" i="1"/>
  <c r="C1076" i="1"/>
  <c r="B1076" i="1"/>
  <c r="D1075" i="1"/>
  <c r="C1075" i="1"/>
  <c r="B1075" i="1"/>
  <c r="D1074" i="1"/>
  <c r="C1074" i="1"/>
  <c r="B1074" i="1"/>
  <c r="D1073" i="1"/>
  <c r="C1073" i="1"/>
  <c r="B1073" i="1"/>
  <c r="D1072" i="1"/>
  <c r="C1072" i="1"/>
  <c r="B1072" i="1"/>
  <c r="D1071" i="1"/>
  <c r="C1071" i="1"/>
  <c r="B1071" i="1"/>
  <c r="D1070" i="1"/>
  <c r="C1070" i="1"/>
  <c r="B1070" i="1"/>
  <c r="D1069" i="1"/>
  <c r="C1069" i="1"/>
  <c r="B1069" i="1"/>
  <c r="D1068" i="1"/>
  <c r="C1068" i="1"/>
  <c r="B1068" i="1"/>
  <c r="D1067" i="1"/>
  <c r="C1067" i="1"/>
  <c r="B1067" i="1"/>
  <c r="D1066" i="1"/>
  <c r="C1066" i="1"/>
  <c r="B1066" i="1"/>
  <c r="D1065" i="1"/>
  <c r="C1065" i="1"/>
  <c r="B1065" i="1"/>
  <c r="D1064" i="1"/>
  <c r="C1064" i="1"/>
  <c r="B1064" i="1"/>
  <c r="D1063" i="1"/>
  <c r="C1063" i="1"/>
  <c r="B1063" i="1"/>
  <c r="D1062" i="1"/>
  <c r="C1062" i="1"/>
  <c r="B1062" i="1"/>
  <c r="D1061" i="1"/>
  <c r="C1061" i="1"/>
  <c r="B1061" i="1"/>
  <c r="D1060" i="1"/>
  <c r="C1060" i="1"/>
  <c r="B1060" i="1"/>
  <c r="D1059" i="1"/>
  <c r="C1059" i="1"/>
  <c r="B1059" i="1"/>
  <c r="D1058" i="1"/>
  <c r="C1058" i="1"/>
  <c r="B1058" i="1"/>
  <c r="D1057" i="1"/>
  <c r="C1057" i="1"/>
  <c r="B1057" i="1"/>
  <c r="D1056" i="1"/>
  <c r="C1056" i="1"/>
  <c r="B1056" i="1"/>
  <c r="D1055" i="1"/>
  <c r="C1055" i="1"/>
  <c r="B1055" i="1"/>
  <c r="D1054" i="1"/>
  <c r="C1054" i="1"/>
  <c r="B1054" i="1"/>
  <c r="D1053" i="1"/>
  <c r="C1053" i="1"/>
  <c r="B1053" i="1"/>
  <c r="D1052" i="1"/>
  <c r="C1052" i="1"/>
  <c r="B1052" i="1"/>
  <c r="D1051" i="1"/>
  <c r="C1051" i="1"/>
  <c r="B1051" i="1"/>
  <c r="D1050" i="1"/>
  <c r="C1050" i="1"/>
  <c r="B1050" i="1"/>
  <c r="D1049" i="1"/>
  <c r="C1049" i="1"/>
  <c r="B1049" i="1"/>
  <c r="D1048" i="1"/>
  <c r="C1048" i="1"/>
  <c r="B1048" i="1"/>
  <c r="D1047" i="1"/>
  <c r="C1047" i="1"/>
  <c r="B1047" i="1"/>
  <c r="D1046" i="1"/>
  <c r="C1046" i="1"/>
  <c r="B1046" i="1"/>
  <c r="D1045" i="1"/>
  <c r="C1045" i="1"/>
  <c r="B1045" i="1"/>
  <c r="D1044" i="1"/>
  <c r="C1044" i="1"/>
  <c r="B1044" i="1"/>
  <c r="D1043" i="1"/>
  <c r="C1043" i="1"/>
  <c r="B1043" i="1"/>
  <c r="D1042" i="1"/>
  <c r="C1042" i="1"/>
  <c r="B1042" i="1"/>
  <c r="D1041" i="1"/>
  <c r="C1041" i="1"/>
  <c r="B1041" i="1"/>
  <c r="D1040" i="1"/>
  <c r="C1040" i="1"/>
  <c r="B1040" i="1"/>
  <c r="D1039" i="1"/>
  <c r="C1039" i="1"/>
  <c r="B1039" i="1"/>
  <c r="D1038" i="1"/>
  <c r="C1038" i="1"/>
  <c r="B1038" i="1"/>
  <c r="D1037" i="1"/>
  <c r="C1037" i="1"/>
  <c r="B1037" i="1"/>
  <c r="D1036" i="1"/>
  <c r="C1036" i="1"/>
  <c r="B1036" i="1"/>
  <c r="D1035" i="1"/>
  <c r="C1035" i="1"/>
  <c r="B1035" i="1"/>
  <c r="D1034" i="1"/>
  <c r="C1034" i="1"/>
  <c r="B1034" i="1"/>
  <c r="D1033" i="1"/>
  <c r="C1033" i="1"/>
  <c r="B1033" i="1"/>
  <c r="D1032" i="1"/>
  <c r="C1032" i="1"/>
  <c r="B1032" i="1"/>
  <c r="D1031" i="1"/>
  <c r="C1031" i="1"/>
  <c r="B1031" i="1"/>
  <c r="D1030" i="1"/>
  <c r="C1030" i="1"/>
  <c r="B1030" i="1"/>
  <c r="D1029" i="1"/>
  <c r="C1029" i="1"/>
  <c r="B1029" i="1"/>
  <c r="D1028" i="1"/>
  <c r="C1028" i="1"/>
  <c r="B1028" i="1"/>
  <c r="D1027" i="1"/>
  <c r="C1027" i="1"/>
  <c r="B1027" i="1"/>
  <c r="D1026" i="1"/>
  <c r="C1026" i="1"/>
  <c r="B1026" i="1"/>
  <c r="D1025" i="1"/>
  <c r="C1025" i="1"/>
  <c r="B1025" i="1"/>
  <c r="D1024" i="1"/>
  <c r="C1024" i="1"/>
  <c r="B1024" i="1"/>
  <c r="D1023" i="1"/>
  <c r="C1023" i="1"/>
  <c r="B1023" i="1"/>
  <c r="D1022" i="1"/>
  <c r="C1022" i="1"/>
  <c r="B1022" i="1"/>
  <c r="D1021" i="1"/>
  <c r="C1021" i="1"/>
  <c r="B1021" i="1"/>
  <c r="D1020" i="1"/>
  <c r="C1020" i="1"/>
  <c r="B1020" i="1"/>
  <c r="D1019" i="1"/>
  <c r="C1019" i="1"/>
  <c r="B1019" i="1"/>
  <c r="D1018" i="1"/>
  <c r="C1018" i="1"/>
  <c r="B1018" i="1"/>
  <c r="D1017" i="1"/>
  <c r="C1017" i="1"/>
  <c r="B1017" i="1"/>
  <c r="D1016" i="1"/>
  <c r="C1016" i="1"/>
  <c r="B1016" i="1"/>
  <c r="D1015" i="1"/>
  <c r="C1015" i="1"/>
  <c r="B1015" i="1"/>
  <c r="D1014" i="1"/>
  <c r="C1014" i="1"/>
  <c r="B1014" i="1"/>
  <c r="D1013" i="1"/>
  <c r="C1013" i="1"/>
  <c r="B1013" i="1"/>
  <c r="D1012" i="1"/>
  <c r="C1012" i="1"/>
  <c r="B1012" i="1"/>
  <c r="D1011" i="1"/>
  <c r="C1011" i="1"/>
  <c r="B1011" i="1"/>
  <c r="D1010" i="1"/>
  <c r="C1010" i="1"/>
  <c r="B1010" i="1"/>
  <c r="D1009" i="1"/>
  <c r="C1009" i="1"/>
  <c r="B1009" i="1"/>
  <c r="D1008" i="1"/>
  <c r="C1008" i="1"/>
  <c r="B1008" i="1"/>
  <c r="D1007" i="1"/>
  <c r="C1007" i="1"/>
  <c r="B1007" i="1"/>
  <c r="D1006" i="1"/>
  <c r="C1006" i="1"/>
  <c r="B1006" i="1"/>
  <c r="D1005" i="1"/>
  <c r="C1005" i="1"/>
  <c r="B1005" i="1"/>
  <c r="D1004" i="1"/>
  <c r="C1004" i="1"/>
  <c r="B1004" i="1"/>
  <c r="D1003" i="1"/>
  <c r="C1003" i="1"/>
  <c r="B1003" i="1"/>
  <c r="D1002" i="1"/>
  <c r="C1002" i="1"/>
  <c r="B1002" i="1"/>
  <c r="D1001" i="1"/>
  <c r="C1001" i="1"/>
  <c r="B1001" i="1"/>
  <c r="D1000" i="1"/>
  <c r="C1000" i="1"/>
  <c r="B1000" i="1"/>
  <c r="D999" i="1"/>
  <c r="C999" i="1"/>
  <c r="B999" i="1"/>
  <c r="D998" i="1"/>
  <c r="C998" i="1"/>
  <c r="B998" i="1"/>
  <c r="D997" i="1"/>
  <c r="C997" i="1"/>
  <c r="B997" i="1"/>
  <c r="D996" i="1"/>
  <c r="C996" i="1"/>
  <c r="B996" i="1"/>
  <c r="D995" i="1"/>
  <c r="C995" i="1"/>
  <c r="B995" i="1"/>
  <c r="D994" i="1"/>
  <c r="C994" i="1"/>
  <c r="B994" i="1"/>
  <c r="D993" i="1"/>
  <c r="C993" i="1"/>
  <c r="B993" i="1"/>
  <c r="D992" i="1"/>
  <c r="C992" i="1"/>
  <c r="B992" i="1"/>
  <c r="D991" i="1"/>
  <c r="C991" i="1"/>
  <c r="B991" i="1"/>
  <c r="D990" i="1"/>
  <c r="C990" i="1"/>
  <c r="B990" i="1"/>
  <c r="D989" i="1"/>
  <c r="C989" i="1"/>
  <c r="B989" i="1"/>
  <c r="D988" i="1"/>
  <c r="C988" i="1"/>
  <c r="B988" i="1"/>
  <c r="D987" i="1"/>
  <c r="C987" i="1"/>
  <c r="B987" i="1"/>
  <c r="D986" i="1"/>
  <c r="C986" i="1"/>
  <c r="B986" i="1"/>
  <c r="D985" i="1"/>
  <c r="C985" i="1"/>
  <c r="B985" i="1"/>
  <c r="D984" i="1"/>
  <c r="C984" i="1"/>
  <c r="B984" i="1"/>
  <c r="D983" i="1"/>
  <c r="C983" i="1"/>
  <c r="B983" i="1"/>
  <c r="D982" i="1"/>
  <c r="C982" i="1"/>
  <c r="B982" i="1"/>
  <c r="D981" i="1"/>
  <c r="C981" i="1"/>
  <c r="B981" i="1"/>
  <c r="D980" i="1"/>
  <c r="C980" i="1"/>
  <c r="B980" i="1"/>
  <c r="D979" i="1"/>
  <c r="C979" i="1"/>
  <c r="B979" i="1"/>
  <c r="D978" i="1"/>
  <c r="C978" i="1"/>
  <c r="B978" i="1"/>
  <c r="D977" i="1"/>
  <c r="C977" i="1"/>
  <c r="B977" i="1"/>
  <c r="D976" i="1"/>
  <c r="C976" i="1"/>
  <c r="B976" i="1"/>
  <c r="D975" i="1"/>
  <c r="C975" i="1"/>
  <c r="B975" i="1"/>
  <c r="D974" i="1"/>
  <c r="C974" i="1"/>
  <c r="B974" i="1"/>
  <c r="D973" i="1"/>
  <c r="C973" i="1"/>
  <c r="B973" i="1"/>
  <c r="D972" i="1"/>
  <c r="C972" i="1"/>
  <c r="B972" i="1"/>
  <c r="D971" i="1"/>
  <c r="C971" i="1"/>
  <c r="B971" i="1"/>
  <c r="D970" i="1"/>
  <c r="C970" i="1"/>
  <c r="B970" i="1"/>
  <c r="D969" i="1"/>
  <c r="C969" i="1"/>
  <c r="B969" i="1"/>
  <c r="D968" i="1"/>
  <c r="C968" i="1"/>
  <c r="B968" i="1"/>
  <c r="D967" i="1"/>
  <c r="C967" i="1"/>
  <c r="B967" i="1"/>
  <c r="D966" i="1"/>
  <c r="C966" i="1"/>
  <c r="B966" i="1"/>
  <c r="D965" i="1"/>
  <c r="C965" i="1"/>
  <c r="B965" i="1"/>
  <c r="D964" i="1"/>
  <c r="C964" i="1"/>
  <c r="B964" i="1"/>
  <c r="D963" i="1"/>
  <c r="C963" i="1"/>
  <c r="B963" i="1"/>
  <c r="D962" i="1"/>
  <c r="C962" i="1"/>
  <c r="B962" i="1"/>
  <c r="D961" i="1"/>
  <c r="C961" i="1"/>
  <c r="B961" i="1"/>
  <c r="D960" i="1"/>
  <c r="C960" i="1"/>
  <c r="B960" i="1"/>
  <c r="D959" i="1"/>
  <c r="C959" i="1"/>
  <c r="B959" i="1"/>
  <c r="D958" i="1"/>
  <c r="C958" i="1"/>
  <c r="B958" i="1"/>
  <c r="D957" i="1"/>
  <c r="C957" i="1"/>
  <c r="B957" i="1"/>
  <c r="D956" i="1"/>
  <c r="C956" i="1"/>
  <c r="B956" i="1"/>
  <c r="D955" i="1"/>
  <c r="C955" i="1"/>
  <c r="B955" i="1"/>
  <c r="D954" i="1"/>
  <c r="C954" i="1"/>
  <c r="B954" i="1"/>
  <c r="D953" i="1"/>
  <c r="C953" i="1"/>
  <c r="B953" i="1"/>
  <c r="D952" i="1"/>
  <c r="C952" i="1"/>
  <c r="B952" i="1"/>
  <c r="D951" i="1"/>
  <c r="C951" i="1"/>
  <c r="B951" i="1"/>
  <c r="D950" i="1"/>
  <c r="C950" i="1"/>
  <c r="B950" i="1"/>
  <c r="D949" i="1"/>
  <c r="C949" i="1"/>
  <c r="B949" i="1"/>
  <c r="D948" i="1"/>
  <c r="C948" i="1"/>
  <c r="B948" i="1"/>
  <c r="D947" i="1"/>
  <c r="C947" i="1"/>
  <c r="B947" i="1"/>
  <c r="D946" i="1"/>
  <c r="C946" i="1"/>
  <c r="B946" i="1"/>
  <c r="D945" i="1"/>
  <c r="C945" i="1"/>
  <c r="B945" i="1"/>
  <c r="D944" i="1"/>
  <c r="C944" i="1"/>
  <c r="B944" i="1"/>
  <c r="D943" i="1"/>
  <c r="C943" i="1"/>
  <c r="B943" i="1"/>
  <c r="D942" i="1"/>
  <c r="C942" i="1"/>
  <c r="B942" i="1"/>
  <c r="D941" i="1"/>
  <c r="C941" i="1"/>
  <c r="B941" i="1"/>
  <c r="D940" i="1"/>
  <c r="C940" i="1"/>
  <c r="B940" i="1"/>
  <c r="D939" i="1"/>
  <c r="C939" i="1"/>
  <c r="B939" i="1"/>
  <c r="D938" i="1"/>
  <c r="C938" i="1"/>
  <c r="B938" i="1"/>
  <c r="D937" i="1"/>
  <c r="C937" i="1"/>
  <c r="B937" i="1"/>
  <c r="D936" i="1"/>
  <c r="C936" i="1"/>
  <c r="B936" i="1"/>
  <c r="D935" i="1"/>
  <c r="C935" i="1"/>
  <c r="B935" i="1"/>
  <c r="D934" i="1"/>
  <c r="C934" i="1"/>
  <c r="B934" i="1"/>
  <c r="D933" i="1"/>
  <c r="C933" i="1"/>
  <c r="B933" i="1"/>
  <c r="D932" i="1"/>
  <c r="C932" i="1"/>
  <c r="B932" i="1"/>
  <c r="D931" i="1"/>
  <c r="C931" i="1"/>
  <c r="B931" i="1"/>
  <c r="D930" i="1"/>
  <c r="C930" i="1"/>
  <c r="B930" i="1"/>
  <c r="D929" i="1"/>
  <c r="C929" i="1"/>
  <c r="B929" i="1"/>
  <c r="D928" i="1"/>
  <c r="C928" i="1"/>
  <c r="B928" i="1"/>
  <c r="D927" i="1"/>
  <c r="C927" i="1"/>
  <c r="B927" i="1"/>
  <c r="D926" i="1"/>
  <c r="C926" i="1"/>
  <c r="B926" i="1"/>
  <c r="D925" i="1"/>
  <c r="C925" i="1"/>
  <c r="B925" i="1"/>
  <c r="D924" i="1"/>
  <c r="C924" i="1"/>
  <c r="B924" i="1"/>
  <c r="D923" i="1"/>
  <c r="C923" i="1"/>
  <c r="B923" i="1"/>
  <c r="D922" i="1"/>
  <c r="C922" i="1"/>
  <c r="B922" i="1"/>
  <c r="D921" i="1"/>
  <c r="C921" i="1"/>
  <c r="B921" i="1"/>
  <c r="D920" i="1"/>
  <c r="C920" i="1"/>
  <c r="B920" i="1"/>
  <c r="D919" i="1"/>
  <c r="C919" i="1"/>
  <c r="B919" i="1"/>
  <c r="D918" i="1"/>
  <c r="C918" i="1"/>
  <c r="B918" i="1"/>
  <c r="D917" i="1"/>
  <c r="C917" i="1"/>
  <c r="B917" i="1"/>
  <c r="D916" i="1"/>
  <c r="C916" i="1"/>
  <c r="B916" i="1"/>
  <c r="D915" i="1"/>
  <c r="C915" i="1"/>
  <c r="B915" i="1"/>
  <c r="D914" i="1"/>
  <c r="C914" i="1"/>
  <c r="B914" i="1"/>
  <c r="D913" i="1"/>
  <c r="C913" i="1"/>
  <c r="B913" i="1"/>
  <c r="D912" i="1"/>
  <c r="C912" i="1"/>
  <c r="B912" i="1"/>
  <c r="D911" i="1"/>
  <c r="C911" i="1"/>
  <c r="B911" i="1"/>
  <c r="D910" i="1"/>
  <c r="C910" i="1"/>
  <c r="B910" i="1"/>
  <c r="D909" i="1"/>
  <c r="C909" i="1"/>
  <c r="B909" i="1"/>
  <c r="D908" i="1"/>
  <c r="C908" i="1"/>
  <c r="B908" i="1"/>
  <c r="D907" i="1"/>
  <c r="C907" i="1"/>
  <c r="B907" i="1"/>
  <c r="D906" i="1"/>
  <c r="C906" i="1"/>
  <c r="B906" i="1"/>
  <c r="D905" i="1"/>
  <c r="C905" i="1"/>
  <c r="B905" i="1"/>
  <c r="D904" i="1"/>
  <c r="C904" i="1"/>
  <c r="B904" i="1"/>
  <c r="D903" i="1"/>
  <c r="C903" i="1"/>
  <c r="B903" i="1"/>
  <c r="D902" i="1"/>
  <c r="C902" i="1"/>
  <c r="B902" i="1"/>
  <c r="D901" i="1"/>
  <c r="C901" i="1"/>
  <c r="B901" i="1"/>
  <c r="D900" i="1"/>
  <c r="C900" i="1"/>
  <c r="B900" i="1"/>
  <c r="D899" i="1"/>
  <c r="C899" i="1"/>
  <c r="B899" i="1"/>
  <c r="D898" i="1"/>
  <c r="C898" i="1"/>
  <c r="B898" i="1"/>
  <c r="D897" i="1"/>
  <c r="C897" i="1"/>
  <c r="B897" i="1"/>
  <c r="D896" i="1"/>
  <c r="C896" i="1"/>
  <c r="B896" i="1"/>
  <c r="D895" i="1"/>
  <c r="C895" i="1"/>
  <c r="B895" i="1"/>
  <c r="D894" i="1"/>
  <c r="C894" i="1"/>
  <c r="B894" i="1"/>
  <c r="D893" i="1"/>
  <c r="C893" i="1"/>
  <c r="B893" i="1"/>
  <c r="D892" i="1"/>
  <c r="C892" i="1"/>
  <c r="B892" i="1"/>
  <c r="D891" i="1"/>
  <c r="C891" i="1"/>
  <c r="B891" i="1"/>
  <c r="D890" i="1"/>
  <c r="C890" i="1"/>
  <c r="B890" i="1"/>
  <c r="D889" i="1"/>
  <c r="C889" i="1"/>
  <c r="B889" i="1"/>
  <c r="D888" i="1"/>
  <c r="C888" i="1"/>
  <c r="B888" i="1"/>
  <c r="D887" i="1"/>
  <c r="C887" i="1"/>
  <c r="B887" i="1"/>
  <c r="D886" i="1"/>
  <c r="C886" i="1"/>
  <c r="B886" i="1"/>
  <c r="D885" i="1"/>
  <c r="C885" i="1"/>
  <c r="B885" i="1"/>
  <c r="D884" i="1"/>
  <c r="C884" i="1"/>
  <c r="B884" i="1"/>
  <c r="D883" i="1"/>
  <c r="C883" i="1"/>
  <c r="B883" i="1"/>
  <c r="D882" i="1"/>
  <c r="C882" i="1"/>
  <c r="B882" i="1"/>
  <c r="D881" i="1"/>
  <c r="C881" i="1"/>
  <c r="B881" i="1"/>
  <c r="D880" i="1"/>
  <c r="C880" i="1"/>
  <c r="B880" i="1"/>
  <c r="D879" i="1"/>
  <c r="C879" i="1"/>
  <c r="B879" i="1"/>
  <c r="D878" i="1"/>
  <c r="C878" i="1"/>
  <c r="B878" i="1"/>
  <c r="D877" i="1"/>
  <c r="C877" i="1"/>
  <c r="B877" i="1"/>
  <c r="D876" i="1"/>
  <c r="C876" i="1"/>
  <c r="B876" i="1"/>
  <c r="D875" i="1"/>
  <c r="C875" i="1"/>
  <c r="B875" i="1"/>
  <c r="D874" i="1"/>
  <c r="C874" i="1"/>
  <c r="B874" i="1"/>
  <c r="D873" i="1"/>
  <c r="C873" i="1"/>
  <c r="B873" i="1"/>
  <c r="D872" i="1"/>
  <c r="C872" i="1"/>
  <c r="B872" i="1"/>
  <c r="D871" i="1"/>
  <c r="C871" i="1"/>
  <c r="B871" i="1"/>
  <c r="D870" i="1"/>
  <c r="C870" i="1"/>
  <c r="B870" i="1"/>
  <c r="D869" i="1"/>
  <c r="C869" i="1"/>
  <c r="B869" i="1"/>
  <c r="D868" i="1"/>
  <c r="C868" i="1"/>
  <c r="B868" i="1"/>
  <c r="D867" i="1"/>
  <c r="C867" i="1"/>
  <c r="B867" i="1"/>
  <c r="D866" i="1"/>
  <c r="C866" i="1"/>
  <c r="B866" i="1"/>
  <c r="D865" i="1"/>
  <c r="C865" i="1"/>
  <c r="B865" i="1"/>
  <c r="D864" i="1"/>
  <c r="C864" i="1"/>
  <c r="B864" i="1"/>
  <c r="D863" i="1"/>
  <c r="C863" i="1"/>
  <c r="B863" i="1"/>
  <c r="D862" i="1"/>
  <c r="C862" i="1"/>
  <c r="B862" i="1"/>
  <c r="D861" i="1"/>
  <c r="C861" i="1"/>
  <c r="B861" i="1"/>
  <c r="D860" i="1"/>
  <c r="C860" i="1"/>
  <c r="B860" i="1"/>
  <c r="D859" i="1"/>
  <c r="C859" i="1"/>
  <c r="B859" i="1"/>
  <c r="D858" i="1"/>
  <c r="C858" i="1"/>
  <c r="B858" i="1"/>
  <c r="D857" i="1"/>
  <c r="C857" i="1"/>
  <c r="B857" i="1"/>
  <c r="D856" i="1"/>
  <c r="C856" i="1"/>
  <c r="B856" i="1"/>
  <c r="D855" i="1"/>
  <c r="C855" i="1"/>
  <c r="B855" i="1"/>
  <c r="D854" i="1"/>
  <c r="C854" i="1"/>
  <c r="B854" i="1"/>
  <c r="D853" i="1"/>
  <c r="C853" i="1"/>
  <c r="B853" i="1"/>
  <c r="D852" i="1"/>
  <c r="C852" i="1"/>
  <c r="B852" i="1"/>
  <c r="D851" i="1"/>
  <c r="C851" i="1"/>
  <c r="B851" i="1"/>
  <c r="D850" i="1"/>
  <c r="C850" i="1"/>
  <c r="B850" i="1"/>
  <c r="D849" i="1"/>
  <c r="C849" i="1"/>
  <c r="B849" i="1"/>
  <c r="D848" i="1"/>
  <c r="C848" i="1"/>
  <c r="B848" i="1"/>
  <c r="D847" i="1"/>
  <c r="C847" i="1"/>
  <c r="B847" i="1"/>
  <c r="D846" i="1"/>
  <c r="C846" i="1"/>
  <c r="B846" i="1"/>
  <c r="D845" i="1"/>
  <c r="C845" i="1"/>
  <c r="B845" i="1"/>
  <c r="D844" i="1"/>
  <c r="C844" i="1"/>
  <c r="B844" i="1"/>
  <c r="D843" i="1"/>
  <c r="C843" i="1"/>
  <c r="B843" i="1"/>
  <c r="D842" i="1"/>
  <c r="C842" i="1"/>
  <c r="B842" i="1"/>
  <c r="D841" i="1"/>
  <c r="C841" i="1"/>
  <c r="B841" i="1"/>
  <c r="D840" i="1"/>
  <c r="C840" i="1"/>
  <c r="B840" i="1"/>
  <c r="D839" i="1"/>
  <c r="C839" i="1"/>
  <c r="B839" i="1"/>
  <c r="D838" i="1"/>
  <c r="C838" i="1"/>
  <c r="B838" i="1"/>
  <c r="D837" i="1"/>
  <c r="C837" i="1"/>
  <c r="B837" i="1"/>
  <c r="D836" i="1"/>
  <c r="C836" i="1"/>
  <c r="B836" i="1"/>
  <c r="D835" i="1"/>
  <c r="C835" i="1"/>
  <c r="B835" i="1"/>
  <c r="D834" i="1"/>
  <c r="C834" i="1"/>
  <c r="B834" i="1"/>
  <c r="D833" i="1"/>
  <c r="C833" i="1"/>
  <c r="B833" i="1"/>
  <c r="D832" i="1"/>
  <c r="C832" i="1"/>
  <c r="B832" i="1"/>
  <c r="D831" i="1"/>
  <c r="C831" i="1"/>
  <c r="B831" i="1"/>
  <c r="D830" i="1"/>
  <c r="C830" i="1"/>
  <c r="B830" i="1"/>
  <c r="D829" i="1"/>
  <c r="C829" i="1"/>
  <c r="B829" i="1"/>
  <c r="D828" i="1"/>
  <c r="C828" i="1"/>
  <c r="B828" i="1"/>
  <c r="D827" i="1"/>
  <c r="C827" i="1"/>
  <c r="B827" i="1"/>
  <c r="D826" i="1"/>
  <c r="C826" i="1"/>
  <c r="B826" i="1"/>
  <c r="D825" i="1"/>
  <c r="C825" i="1"/>
  <c r="B825" i="1"/>
  <c r="D824" i="1"/>
  <c r="C824" i="1"/>
  <c r="B824" i="1"/>
  <c r="D823" i="1"/>
  <c r="C823" i="1"/>
  <c r="B823" i="1"/>
  <c r="D822" i="1"/>
  <c r="C822" i="1"/>
  <c r="B822" i="1"/>
  <c r="D821" i="1"/>
  <c r="C821" i="1"/>
  <c r="B821" i="1"/>
  <c r="D820" i="1"/>
  <c r="C820" i="1"/>
  <c r="B820" i="1"/>
  <c r="D819" i="1"/>
  <c r="C819" i="1"/>
  <c r="B819" i="1"/>
  <c r="D818" i="1"/>
  <c r="C818" i="1"/>
  <c r="B818" i="1"/>
  <c r="D817" i="1"/>
  <c r="C817" i="1"/>
  <c r="B817" i="1"/>
  <c r="D816" i="1"/>
  <c r="C816" i="1"/>
  <c r="B816" i="1"/>
  <c r="D815" i="1"/>
  <c r="C815" i="1"/>
  <c r="B815" i="1"/>
  <c r="D814" i="1"/>
  <c r="C814" i="1"/>
  <c r="B814" i="1"/>
  <c r="D813" i="1"/>
  <c r="C813" i="1"/>
  <c r="B813" i="1"/>
  <c r="D812" i="1"/>
  <c r="C812" i="1"/>
  <c r="B812" i="1"/>
  <c r="D811" i="1"/>
  <c r="C811" i="1"/>
  <c r="B811" i="1"/>
  <c r="D810" i="1"/>
  <c r="C810" i="1"/>
  <c r="B810" i="1"/>
  <c r="D809" i="1"/>
  <c r="C809" i="1"/>
  <c r="B809" i="1"/>
  <c r="D808" i="1"/>
  <c r="C808" i="1"/>
  <c r="B808" i="1"/>
  <c r="D807" i="1"/>
  <c r="C807" i="1"/>
  <c r="B807" i="1"/>
  <c r="D806" i="1"/>
  <c r="C806" i="1"/>
  <c r="B806" i="1"/>
  <c r="D805" i="1"/>
  <c r="C805" i="1"/>
  <c r="B805" i="1"/>
  <c r="D804" i="1"/>
  <c r="C804" i="1"/>
  <c r="B804" i="1"/>
  <c r="D803" i="1"/>
  <c r="C803" i="1"/>
  <c r="B803" i="1"/>
  <c r="D802" i="1"/>
  <c r="C802" i="1"/>
  <c r="B802" i="1"/>
  <c r="D801" i="1"/>
  <c r="C801" i="1"/>
  <c r="B801" i="1"/>
  <c r="D800" i="1"/>
  <c r="C800" i="1"/>
  <c r="B800" i="1"/>
  <c r="D799" i="1"/>
  <c r="C799" i="1"/>
  <c r="B799" i="1"/>
  <c r="D798" i="1"/>
  <c r="C798" i="1"/>
  <c r="B798" i="1"/>
  <c r="D797" i="1"/>
  <c r="C797" i="1"/>
  <c r="B797" i="1"/>
  <c r="D796" i="1"/>
  <c r="C796" i="1"/>
  <c r="B796" i="1"/>
  <c r="D795" i="1"/>
  <c r="C795" i="1"/>
  <c r="B795" i="1"/>
  <c r="D794" i="1"/>
  <c r="C794" i="1"/>
  <c r="B794" i="1"/>
  <c r="D793" i="1"/>
  <c r="C793" i="1"/>
  <c r="B793" i="1"/>
  <c r="D792" i="1"/>
  <c r="C792" i="1"/>
  <c r="B792" i="1"/>
  <c r="D791" i="1"/>
  <c r="C791" i="1"/>
  <c r="B791" i="1"/>
  <c r="D790" i="1"/>
  <c r="C790" i="1"/>
  <c r="B790" i="1"/>
  <c r="D789" i="1"/>
  <c r="C789" i="1"/>
  <c r="B789" i="1"/>
  <c r="D788" i="1"/>
  <c r="C788" i="1"/>
  <c r="B788" i="1"/>
  <c r="D787" i="1"/>
  <c r="C787" i="1"/>
  <c r="B787" i="1"/>
  <c r="D786" i="1"/>
  <c r="C786" i="1"/>
  <c r="B786" i="1"/>
  <c r="D785" i="1"/>
  <c r="C785" i="1"/>
  <c r="B785" i="1"/>
  <c r="D784" i="1"/>
  <c r="C784" i="1"/>
  <c r="B784" i="1"/>
  <c r="D783" i="1"/>
  <c r="C783" i="1"/>
  <c r="B783" i="1"/>
  <c r="D782" i="1"/>
  <c r="C782" i="1"/>
  <c r="B782" i="1"/>
  <c r="D781" i="1"/>
  <c r="C781" i="1"/>
  <c r="B781" i="1"/>
  <c r="D780" i="1"/>
  <c r="C780" i="1"/>
  <c r="B780" i="1"/>
  <c r="D779" i="1"/>
  <c r="C779" i="1"/>
  <c r="B779" i="1"/>
  <c r="D778" i="1"/>
  <c r="C778" i="1"/>
  <c r="B778" i="1"/>
  <c r="D777" i="1"/>
  <c r="C777" i="1"/>
  <c r="B777" i="1"/>
  <c r="D776" i="1"/>
  <c r="C776" i="1"/>
  <c r="B776" i="1"/>
  <c r="D775" i="1"/>
  <c r="C775" i="1"/>
  <c r="B775" i="1"/>
  <c r="D774" i="1"/>
  <c r="C774" i="1"/>
  <c r="B774" i="1"/>
  <c r="D773" i="1"/>
  <c r="C773" i="1"/>
  <c r="B773" i="1"/>
  <c r="D772" i="1"/>
  <c r="C772" i="1"/>
  <c r="B772" i="1"/>
  <c r="D771" i="1"/>
  <c r="C771" i="1"/>
  <c r="B771" i="1"/>
  <c r="D770" i="1"/>
  <c r="C770" i="1"/>
  <c r="B770" i="1"/>
  <c r="D769" i="1"/>
  <c r="C769" i="1"/>
  <c r="B769" i="1"/>
  <c r="D768" i="1"/>
  <c r="C768" i="1"/>
  <c r="B768" i="1"/>
  <c r="D767" i="1"/>
  <c r="C767" i="1"/>
  <c r="B767" i="1"/>
  <c r="D766" i="1"/>
  <c r="C766" i="1"/>
  <c r="B766" i="1"/>
  <c r="D765" i="1"/>
  <c r="C765" i="1"/>
  <c r="B765" i="1"/>
  <c r="D764" i="1"/>
  <c r="C764" i="1"/>
  <c r="B764" i="1"/>
  <c r="D763" i="1"/>
  <c r="C763" i="1"/>
  <c r="B763" i="1"/>
  <c r="D762" i="1"/>
  <c r="C762" i="1"/>
  <c r="B762" i="1"/>
  <c r="D761" i="1"/>
  <c r="C761" i="1"/>
  <c r="B761" i="1"/>
  <c r="D760" i="1"/>
  <c r="C760" i="1"/>
  <c r="B760" i="1"/>
  <c r="D759" i="1"/>
  <c r="C759" i="1"/>
  <c r="B759" i="1"/>
  <c r="D758" i="1"/>
  <c r="C758" i="1"/>
  <c r="B758" i="1"/>
  <c r="D757" i="1"/>
  <c r="C757" i="1"/>
  <c r="B757" i="1"/>
  <c r="D756" i="1"/>
  <c r="C756" i="1"/>
  <c r="B756" i="1"/>
  <c r="D755" i="1"/>
  <c r="C755" i="1"/>
  <c r="B755" i="1"/>
  <c r="D754" i="1"/>
  <c r="C754" i="1"/>
  <c r="B754" i="1"/>
  <c r="D753" i="1"/>
  <c r="C753" i="1"/>
  <c r="B753" i="1"/>
  <c r="D752" i="1"/>
  <c r="C752" i="1"/>
  <c r="B752" i="1"/>
  <c r="D751" i="1"/>
  <c r="C751" i="1"/>
  <c r="B751" i="1"/>
  <c r="D750" i="1"/>
  <c r="C750" i="1"/>
  <c r="B750" i="1"/>
  <c r="D749" i="1"/>
  <c r="C749" i="1"/>
  <c r="B749" i="1"/>
  <c r="D748" i="1"/>
  <c r="C748" i="1"/>
  <c r="B748" i="1"/>
  <c r="D747" i="1"/>
  <c r="C747" i="1"/>
  <c r="B747" i="1"/>
  <c r="D746" i="1"/>
  <c r="C746" i="1"/>
  <c r="B746" i="1"/>
  <c r="D745" i="1"/>
  <c r="C745" i="1"/>
  <c r="B745" i="1"/>
  <c r="D744" i="1"/>
  <c r="C744" i="1"/>
  <c r="B744" i="1"/>
  <c r="D743" i="1"/>
  <c r="C743" i="1"/>
  <c r="B743" i="1"/>
  <c r="D742" i="1"/>
  <c r="C742" i="1"/>
  <c r="B742" i="1"/>
  <c r="D741" i="1"/>
  <c r="C741" i="1"/>
  <c r="B741" i="1"/>
  <c r="D740" i="1"/>
  <c r="C740" i="1"/>
  <c r="B740" i="1"/>
  <c r="D739" i="1"/>
  <c r="C739" i="1"/>
  <c r="B739" i="1"/>
  <c r="D738" i="1"/>
  <c r="C738" i="1"/>
  <c r="B738" i="1"/>
  <c r="D737" i="1"/>
  <c r="C737" i="1"/>
  <c r="B737" i="1"/>
  <c r="D736" i="1"/>
  <c r="C736" i="1"/>
  <c r="B736" i="1"/>
  <c r="D735" i="1"/>
  <c r="C735" i="1"/>
  <c r="B735" i="1"/>
  <c r="D734" i="1"/>
  <c r="C734" i="1"/>
  <c r="B734" i="1"/>
  <c r="D733" i="1"/>
  <c r="C733" i="1"/>
  <c r="B733" i="1"/>
  <c r="D732" i="1"/>
  <c r="C732" i="1"/>
  <c r="B732" i="1"/>
  <c r="D731" i="1"/>
  <c r="C731" i="1"/>
  <c r="B731" i="1"/>
  <c r="D730" i="1"/>
  <c r="C730" i="1"/>
  <c r="B730" i="1"/>
  <c r="D729" i="1"/>
  <c r="C729" i="1"/>
  <c r="B729" i="1"/>
  <c r="D728" i="1"/>
  <c r="C728" i="1"/>
  <c r="B728" i="1"/>
  <c r="D727" i="1"/>
  <c r="C727" i="1"/>
  <c r="B727" i="1"/>
  <c r="D726" i="1"/>
  <c r="C726" i="1"/>
  <c r="B726" i="1"/>
  <c r="D725" i="1"/>
  <c r="C725" i="1"/>
  <c r="B725" i="1"/>
  <c r="D724" i="1"/>
  <c r="C724" i="1"/>
  <c r="B724" i="1"/>
  <c r="D723" i="1"/>
  <c r="C723" i="1"/>
  <c r="B723" i="1"/>
  <c r="D722" i="1"/>
  <c r="C722" i="1"/>
  <c r="B722" i="1"/>
  <c r="D721" i="1"/>
  <c r="C721" i="1"/>
  <c r="B721" i="1"/>
  <c r="D720" i="1"/>
  <c r="C720" i="1"/>
  <c r="B720" i="1"/>
  <c r="D719" i="1"/>
  <c r="C719" i="1"/>
  <c r="B719" i="1"/>
  <c r="D718" i="1"/>
  <c r="C718" i="1"/>
  <c r="B718" i="1"/>
  <c r="D717" i="1"/>
  <c r="C717" i="1"/>
  <c r="B717" i="1"/>
  <c r="D716" i="1"/>
  <c r="C716" i="1"/>
  <c r="B716" i="1"/>
  <c r="D715" i="1"/>
  <c r="C715" i="1"/>
  <c r="B715" i="1"/>
  <c r="D714" i="1"/>
  <c r="C714" i="1"/>
  <c r="B714" i="1"/>
  <c r="D713" i="1"/>
  <c r="C713" i="1"/>
  <c r="B713" i="1"/>
  <c r="D712" i="1"/>
  <c r="C712" i="1"/>
  <c r="B712" i="1"/>
  <c r="D711" i="1"/>
  <c r="C711" i="1"/>
  <c r="B711" i="1"/>
  <c r="D710" i="1"/>
  <c r="C710" i="1"/>
  <c r="B710" i="1"/>
  <c r="D709" i="1"/>
  <c r="C709" i="1"/>
  <c r="B709" i="1"/>
  <c r="D708" i="1"/>
  <c r="C708" i="1"/>
  <c r="B708" i="1"/>
  <c r="D707" i="1"/>
  <c r="C707" i="1"/>
  <c r="B707" i="1"/>
  <c r="D706" i="1"/>
  <c r="C706" i="1"/>
  <c r="B706" i="1"/>
  <c r="D705" i="1"/>
  <c r="C705" i="1"/>
  <c r="B705" i="1"/>
  <c r="D704" i="1"/>
  <c r="C704" i="1"/>
  <c r="B704" i="1"/>
  <c r="D703" i="1"/>
  <c r="C703" i="1"/>
  <c r="B703" i="1"/>
  <c r="D702" i="1"/>
  <c r="C702" i="1"/>
  <c r="B702" i="1"/>
  <c r="D701" i="1"/>
  <c r="C701" i="1"/>
  <c r="B701" i="1"/>
  <c r="D700" i="1"/>
  <c r="C700" i="1"/>
  <c r="B700" i="1"/>
  <c r="D699" i="1"/>
  <c r="C699" i="1"/>
  <c r="B699" i="1"/>
  <c r="D698" i="1"/>
  <c r="C698" i="1"/>
  <c r="B698" i="1"/>
  <c r="D697" i="1"/>
  <c r="C697" i="1"/>
  <c r="B697" i="1"/>
  <c r="D696" i="1"/>
  <c r="C696" i="1"/>
  <c r="B696" i="1"/>
  <c r="D695" i="1"/>
  <c r="C695" i="1"/>
  <c r="B695" i="1"/>
  <c r="D694" i="1"/>
  <c r="C694" i="1"/>
  <c r="B694" i="1"/>
  <c r="D693" i="1"/>
  <c r="C693" i="1"/>
  <c r="B693" i="1"/>
  <c r="D692" i="1"/>
  <c r="C692" i="1"/>
  <c r="B692" i="1"/>
  <c r="D691" i="1"/>
  <c r="C691" i="1"/>
  <c r="B691" i="1"/>
  <c r="D690" i="1"/>
  <c r="C690" i="1"/>
  <c r="B690" i="1"/>
  <c r="D689" i="1"/>
  <c r="C689" i="1"/>
  <c r="B689" i="1"/>
  <c r="D688" i="1"/>
  <c r="C688" i="1"/>
  <c r="B688" i="1"/>
  <c r="D687" i="1"/>
  <c r="C687" i="1"/>
  <c r="B687" i="1"/>
  <c r="D686" i="1"/>
  <c r="C686" i="1"/>
  <c r="B686" i="1"/>
  <c r="D685" i="1"/>
  <c r="C685" i="1"/>
  <c r="B685" i="1"/>
  <c r="D684" i="1"/>
  <c r="C684" i="1"/>
  <c r="B684" i="1"/>
  <c r="D683" i="1"/>
  <c r="C683" i="1"/>
  <c r="B683" i="1"/>
  <c r="D682" i="1"/>
  <c r="C682" i="1"/>
  <c r="B682" i="1"/>
  <c r="D681" i="1"/>
  <c r="C681" i="1"/>
  <c r="B681" i="1"/>
  <c r="D680" i="1"/>
  <c r="C680" i="1"/>
  <c r="B680" i="1"/>
  <c r="D679" i="1"/>
  <c r="C679" i="1"/>
  <c r="B679" i="1"/>
  <c r="D678" i="1"/>
  <c r="C678" i="1"/>
  <c r="B678" i="1"/>
  <c r="D677" i="1"/>
  <c r="C677" i="1"/>
  <c r="B677" i="1"/>
  <c r="D676" i="1"/>
  <c r="C676" i="1"/>
  <c r="B676" i="1"/>
  <c r="D675" i="1"/>
  <c r="C675" i="1"/>
  <c r="B675" i="1"/>
  <c r="D674" i="1"/>
  <c r="C674" i="1"/>
  <c r="B674" i="1"/>
  <c r="D673" i="1"/>
  <c r="C673" i="1"/>
  <c r="B673" i="1"/>
  <c r="D672" i="1"/>
  <c r="C672" i="1"/>
  <c r="B672" i="1"/>
  <c r="D671" i="1"/>
  <c r="C671" i="1"/>
  <c r="B671" i="1"/>
  <c r="D670" i="1"/>
  <c r="C670" i="1"/>
  <c r="B670" i="1"/>
  <c r="D669" i="1"/>
  <c r="C669" i="1"/>
  <c r="B669" i="1"/>
  <c r="D668" i="1"/>
  <c r="C668" i="1"/>
  <c r="B668" i="1"/>
  <c r="D667" i="1"/>
  <c r="C667" i="1"/>
  <c r="B667" i="1"/>
  <c r="D666" i="1"/>
  <c r="C666" i="1"/>
  <c r="B666" i="1"/>
  <c r="D665" i="1"/>
  <c r="C665" i="1"/>
  <c r="B665" i="1"/>
  <c r="D664" i="1"/>
  <c r="C664" i="1"/>
  <c r="B664" i="1"/>
  <c r="D663" i="1"/>
  <c r="C663" i="1"/>
  <c r="B663" i="1"/>
  <c r="D662" i="1"/>
  <c r="C662" i="1"/>
  <c r="B662" i="1"/>
  <c r="D661" i="1"/>
  <c r="C661" i="1"/>
  <c r="B661" i="1"/>
  <c r="D660" i="1"/>
  <c r="C660" i="1"/>
  <c r="B660" i="1"/>
  <c r="D659" i="1"/>
  <c r="C659" i="1"/>
  <c r="B659" i="1"/>
  <c r="D658" i="1"/>
  <c r="C658" i="1"/>
  <c r="B658" i="1"/>
  <c r="D657" i="1"/>
  <c r="C657" i="1"/>
  <c r="B657" i="1"/>
  <c r="D656" i="1"/>
  <c r="C656" i="1"/>
  <c r="B656" i="1"/>
  <c r="D655" i="1"/>
  <c r="C655" i="1"/>
  <c r="B655" i="1"/>
  <c r="D654" i="1"/>
  <c r="C654" i="1"/>
  <c r="B654" i="1"/>
  <c r="D653" i="1"/>
  <c r="C653" i="1"/>
  <c r="B653" i="1"/>
  <c r="D652" i="1"/>
  <c r="C652" i="1"/>
  <c r="B652" i="1"/>
  <c r="D651" i="1"/>
  <c r="C651" i="1"/>
  <c r="B651" i="1"/>
  <c r="D650" i="1"/>
  <c r="C650" i="1"/>
  <c r="B650" i="1"/>
  <c r="D649" i="1"/>
  <c r="C649" i="1"/>
  <c r="B649" i="1"/>
  <c r="D648" i="1"/>
  <c r="C648" i="1"/>
  <c r="B648" i="1"/>
  <c r="D647" i="1"/>
  <c r="C647" i="1"/>
  <c r="B647" i="1"/>
  <c r="D646" i="1"/>
  <c r="C646" i="1"/>
  <c r="B646" i="1"/>
  <c r="D645" i="1"/>
  <c r="C645" i="1"/>
  <c r="B645" i="1"/>
  <c r="D644" i="1"/>
  <c r="C644" i="1"/>
  <c r="B644" i="1"/>
  <c r="D643" i="1"/>
  <c r="C643" i="1"/>
  <c r="B643" i="1"/>
  <c r="D642" i="1"/>
  <c r="C642" i="1"/>
  <c r="B642" i="1"/>
  <c r="D641" i="1"/>
  <c r="C641" i="1"/>
  <c r="B641" i="1"/>
  <c r="D640" i="1"/>
  <c r="C640" i="1"/>
  <c r="B640" i="1"/>
  <c r="D639" i="1"/>
  <c r="C639" i="1"/>
  <c r="B639" i="1"/>
  <c r="D638" i="1"/>
  <c r="C638" i="1"/>
  <c r="B638" i="1"/>
  <c r="D637" i="1"/>
  <c r="C637" i="1"/>
  <c r="B637" i="1"/>
  <c r="D636" i="1"/>
  <c r="C636" i="1"/>
  <c r="B636" i="1"/>
  <c r="D635" i="1"/>
  <c r="C635" i="1"/>
  <c r="B635" i="1"/>
  <c r="D634" i="1"/>
  <c r="C634" i="1"/>
  <c r="B634" i="1"/>
  <c r="D633" i="1"/>
  <c r="C633" i="1"/>
  <c r="B633" i="1"/>
  <c r="D632" i="1"/>
  <c r="C632" i="1"/>
  <c r="B632" i="1"/>
  <c r="D631" i="1"/>
  <c r="C631" i="1"/>
  <c r="B631" i="1"/>
  <c r="D630" i="1"/>
  <c r="C630" i="1"/>
  <c r="B630" i="1"/>
  <c r="D629" i="1"/>
  <c r="C629" i="1"/>
  <c r="B629" i="1"/>
  <c r="D628" i="1"/>
  <c r="C628" i="1"/>
  <c r="B628" i="1"/>
  <c r="D627" i="1"/>
  <c r="C627" i="1"/>
  <c r="B627" i="1"/>
  <c r="D626" i="1"/>
  <c r="C626" i="1"/>
  <c r="B626" i="1"/>
  <c r="D625" i="1"/>
  <c r="C625" i="1"/>
  <c r="B625" i="1"/>
  <c r="D624" i="1"/>
  <c r="C624" i="1"/>
  <c r="B624" i="1"/>
  <c r="D623" i="1"/>
  <c r="C623" i="1"/>
  <c r="B623" i="1"/>
  <c r="D622" i="1"/>
  <c r="C622" i="1"/>
  <c r="B622" i="1"/>
  <c r="D621" i="1"/>
  <c r="C621" i="1"/>
  <c r="B621" i="1"/>
  <c r="D620" i="1"/>
  <c r="C620" i="1"/>
  <c r="B620" i="1"/>
  <c r="D619" i="1"/>
  <c r="C619" i="1"/>
  <c r="B619" i="1"/>
  <c r="D618" i="1"/>
  <c r="C618" i="1"/>
  <c r="B618" i="1"/>
  <c r="D617" i="1"/>
  <c r="C617" i="1"/>
  <c r="B617" i="1"/>
  <c r="D616" i="1"/>
  <c r="C616" i="1"/>
  <c r="B616" i="1"/>
  <c r="D615" i="1"/>
  <c r="C615" i="1"/>
  <c r="B615" i="1"/>
  <c r="D614" i="1"/>
  <c r="C614" i="1"/>
  <c r="B614" i="1"/>
  <c r="D613" i="1"/>
  <c r="C613" i="1"/>
  <c r="B613" i="1"/>
  <c r="D612" i="1"/>
  <c r="C612" i="1"/>
  <c r="B612" i="1"/>
  <c r="D611" i="1"/>
  <c r="C611" i="1"/>
  <c r="B611" i="1"/>
  <c r="D610" i="1"/>
  <c r="C610" i="1"/>
  <c r="B610" i="1"/>
  <c r="D609" i="1"/>
  <c r="C609" i="1"/>
  <c r="B609" i="1"/>
  <c r="D608" i="1"/>
  <c r="C608" i="1"/>
  <c r="B608" i="1"/>
  <c r="D607" i="1"/>
  <c r="C607" i="1"/>
  <c r="B607" i="1"/>
  <c r="D606" i="1"/>
  <c r="C606" i="1"/>
  <c r="B606" i="1"/>
  <c r="D605" i="1"/>
  <c r="C605" i="1"/>
  <c r="B605" i="1"/>
  <c r="D604" i="1"/>
  <c r="C604" i="1"/>
  <c r="B604" i="1"/>
  <c r="D603" i="1"/>
  <c r="C603" i="1"/>
  <c r="B603" i="1"/>
  <c r="D602" i="1"/>
  <c r="C602" i="1"/>
  <c r="B602" i="1"/>
  <c r="D601" i="1"/>
  <c r="C601" i="1"/>
  <c r="B601" i="1"/>
  <c r="D600" i="1"/>
  <c r="C600" i="1"/>
  <c r="B600" i="1"/>
  <c r="D599" i="1"/>
  <c r="C599" i="1"/>
  <c r="B599" i="1"/>
  <c r="D598" i="1"/>
  <c r="C598" i="1"/>
  <c r="B598" i="1"/>
  <c r="D597" i="1"/>
  <c r="C597" i="1"/>
  <c r="B597" i="1"/>
  <c r="D596" i="1"/>
  <c r="C596" i="1"/>
  <c r="B596" i="1"/>
  <c r="D595" i="1"/>
  <c r="C595" i="1"/>
  <c r="B595" i="1"/>
  <c r="D594" i="1"/>
  <c r="C594" i="1"/>
  <c r="B594" i="1"/>
  <c r="D593" i="1"/>
  <c r="C593" i="1"/>
  <c r="B593" i="1"/>
  <c r="D592" i="1"/>
  <c r="C592" i="1"/>
  <c r="B592" i="1"/>
  <c r="D591" i="1"/>
  <c r="C591" i="1"/>
  <c r="B591" i="1"/>
  <c r="D590" i="1"/>
  <c r="C590" i="1"/>
  <c r="B590" i="1"/>
  <c r="D589" i="1"/>
  <c r="C589" i="1"/>
  <c r="B589" i="1"/>
  <c r="D588" i="1"/>
  <c r="C588" i="1"/>
  <c r="B588" i="1"/>
  <c r="D587" i="1"/>
  <c r="C587" i="1"/>
  <c r="B587" i="1"/>
  <c r="D586" i="1"/>
  <c r="C586" i="1"/>
  <c r="B586" i="1"/>
  <c r="D585" i="1"/>
  <c r="C585" i="1"/>
  <c r="B585" i="1"/>
  <c r="D584" i="1"/>
  <c r="C584" i="1"/>
  <c r="B584" i="1"/>
  <c r="D583" i="1"/>
  <c r="C583" i="1"/>
  <c r="B583" i="1"/>
  <c r="D582" i="1"/>
  <c r="C582" i="1"/>
  <c r="B582" i="1"/>
  <c r="D581" i="1"/>
  <c r="C581" i="1"/>
  <c r="B581" i="1"/>
  <c r="D580" i="1"/>
  <c r="C580" i="1"/>
  <c r="B580" i="1"/>
  <c r="D579" i="1"/>
  <c r="C579" i="1"/>
  <c r="B579" i="1"/>
  <c r="D578" i="1"/>
  <c r="C578" i="1"/>
  <c r="B578" i="1"/>
  <c r="D577" i="1"/>
  <c r="C577" i="1"/>
  <c r="B577" i="1"/>
  <c r="D576" i="1"/>
  <c r="C576" i="1"/>
  <c r="B576" i="1"/>
  <c r="D575" i="1"/>
  <c r="C575" i="1"/>
  <c r="B575" i="1"/>
  <c r="D574" i="1"/>
  <c r="C574" i="1"/>
  <c r="B574" i="1"/>
  <c r="D573" i="1"/>
  <c r="C573" i="1"/>
  <c r="B573" i="1"/>
  <c r="D572" i="1"/>
  <c r="C572" i="1"/>
  <c r="B572" i="1"/>
  <c r="D571" i="1"/>
  <c r="C571" i="1"/>
  <c r="B571" i="1"/>
  <c r="D570" i="1"/>
  <c r="C570" i="1"/>
  <c r="B570" i="1"/>
  <c r="D569" i="1"/>
  <c r="C569" i="1"/>
  <c r="B569" i="1"/>
  <c r="D568" i="1"/>
  <c r="C568" i="1"/>
  <c r="B568" i="1"/>
  <c r="D567" i="1"/>
  <c r="C567" i="1"/>
  <c r="B567" i="1"/>
  <c r="D566" i="1"/>
  <c r="C566" i="1"/>
  <c r="B566" i="1"/>
  <c r="D565" i="1"/>
  <c r="C565" i="1"/>
  <c r="B565" i="1"/>
  <c r="D564" i="1"/>
  <c r="C564" i="1"/>
  <c r="B564" i="1"/>
  <c r="D563" i="1"/>
  <c r="C563" i="1"/>
  <c r="B563" i="1"/>
  <c r="D562" i="1"/>
  <c r="C562" i="1"/>
  <c r="B562" i="1"/>
  <c r="D561" i="1"/>
  <c r="C561" i="1"/>
  <c r="B561" i="1"/>
  <c r="D560" i="1"/>
  <c r="C560" i="1"/>
  <c r="B560" i="1"/>
  <c r="D559" i="1"/>
  <c r="C559" i="1"/>
  <c r="B559" i="1"/>
  <c r="D558" i="1"/>
  <c r="C558" i="1"/>
  <c r="B558" i="1"/>
  <c r="D557" i="1"/>
  <c r="C557" i="1"/>
  <c r="B557" i="1"/>
  <c r="D556" i="1"/>
  <c r="C556" i="1"/>
  <c r="B556" i="1"/>
  <c r="D555" i="1"/>
  <c r="C555" i="1"/>
  <c r="B555" i="1"/>
  <c r="D554" i="1"/>
  <c r="C554" i="1"/>
  <c r="B554" i="1"/>
  <c r="D553" i="1"/>
  <c r="C553" i="1"/>
  <c r="B553" i="1"/>
  <c r="D552" i="1"/>
  <c r="C552" i="1"/>
  <c r="B552" i="1"/>
  <c r="D551" i="1"/>
  <c r="C551" i="1"/>
  <c r="B551" i="1"/>
  <c r="D550" i="1"/>
  <c r="C550" i="1"/>
  <c r="B550" i="1"/>
  <c r="D549" i="1"/>
  <c r="C549" i="1"/>
  <c r="B549" i="1"/>
  <c r="D548" i="1"/>
  <c r="C548" i="1"/>
  <c r="B548" i="1"/>
  <c r="D547" i="1"/>
  <c r="C547" i="1"/>
  <c r="B547" i="1"/>
  <c r="D546" i="1"/>
  <c r="C546" i="1"/>
  <c r="B546" i="1"/>
  <c r="D545" i="1"/>
  <c r="C545" i="1"/>
  <c r="B545" i="1"/>
  <c r="D544" i="1"/>
  <c r="C544" i="1"/>
  <c r="B544" i="1"/>
  <c r="D543" i="1"/>
  <c r="C543" i="1"/>
  <c r="B543" i="1"/>
  <c r="D542" i="1"/>
  <c r="C542" i="1"/>
  <c r="B542" i="1"/>
  <c r="D541" i="1"/>
  <c r="C541" i="1"/>
  <c r="B541" i="1"/>
  <c r="D540" i="1"/>
  <c r="C540" i="1"/>
  <c r="B540" i="1"/>
  <c r="D539" i="1"/>
  <c r="C539" i="1"/>
  <c r="B539" i="1"/>
  <c r="D538" i="1"/>
  <c r="C538" i="1"/>
  <c r="B538" i="1"/>
  <c r="D537" i="1"/>
  <c r="C537" i="1"/>
  <c r="B537" i="1"/>
  <c r="D536" i="1"/>
  <c r="C536" i="1"/>
  <c r="B536" i="1"/>
  <c r="D535" i="1"/>
  <c r="C535" i="1"/>
  <c r="B535" i="1"/>
  <c r="D534" i="1"/>
  <c r="C534" i="1"/>
  <c r="B534" i="1"/>
  <c r="D533" i="1"/>
  <c r="C533" i="1"/>
  <c r="B533" i="1"/>
  <c r="D532" i="1"/>
  <c r="C532" i="1"/>
  <c r="B532" i="1"/>
  <c r="D531" i="1"/>
  <c r="C531" i="1"/>
  <c r="B531" i="1"/>
  <c r="D530" i="1"/>
  <c r="C530" i="1"/>
  <c r="B530" i="1"/>
  <c r="D529" i="1"/>
  <c r="C529" i="1"/>
  <c r="B529" i="1"/>
  <c r="D528" i="1"/>
  <c r="C528" i="1"/>
  <c r="B528" i="1"/>
  <c r="D527" i="1"/>
  <c r="C527" i="1"/>
  <c r="B527" i="1"/>
  <c r="D526" i="1"/>
  <c r="C526" i="1"/>
  <c r="B526" i="1"/>
  <c r="D525" i="1"/>
  <c r="C525" i="1"/>
  <c r="B525" i="1"/>
  <c r="D524" i="1"/>
  <c r="C524" i="1"/>
  <c r="B524" i="1"/>
  <c r="D523" i="1"/>
  <c r="C523" i="1"/>
  <c r="B523" i="1"/>
  <c r="D522" i="1"/>
  <c r="C522" i="1"/>
  <c r="B522" i="1"/>
  <c r="D521" i="1"/>
  <c r="C521" i="1"/>
  <c r="B521" i="1"/>
  <c r="D520" i="1"/>
  <c r="C520" i="1"/>
  <c r="B520" i="1"/>
  <c r="D519" i="1"/>
  <c r="C519" i="1"/>
  <c r="B519" i="1"/>
  <c r="D518" i="1"/>
  <c r="C518" i="1"/>
  <c r="B518" i="1"/>
  <c r="D517" i="1"/>
  <c r="C517" i="1"/>
  <c r="B517" i="1"/>
  <c r="D516" i="1"/>
  <c r="C516" i="1"/>
  <c r="B516" i="1"/>
  <c r="D515" i="1"/>
  <c r="C515" i="1"/>
  <c r="B515" i="1"/>
  <c r="D514" i="1"/>
  <c r="C514" i="1"/>
  <c r="B514" i="1"/>
  <c r="D513" i="1"/>
  <c r="C513" i="1"/>
  <c r="B513" i="1"/>
  <c r="D512" i="1"/>
  <c r="C512" i="1"/>
  <c r="B512" i="1"/>
  <c r="D511" i="1"/>
  <c r="C511" i="1"/>
  <c r="B511" i="1"/>
  <c r="D510" i="1"/>
  <c r="C510" i="1"/>
  <c r="B510" i="1"/>
  <c r="D509" i="1"/>
  <c r="C509" i="1"/>
  <c r="B509" i="1"/>
  <c r="D508" i="1"/>
  <c r="C508" i="1"/>
  <c r="B508" i="1"/>
  <c r="D507" i="1"/>
  <c r="C507" i="1"/>
  <c r="B507" i="1"/>
  <c r="D506" i="1"/>
  <c r="C506" i="1"/>
  <c r="B506" i="1"/>
  <c r="D505" i="1"/>
  <c r="C505" i="1"/>
  <c r="B505" i="1"/>
  <c r="D504" i="1"/>
  <c r="C504" i="1"/>
  <c r="B504" i="1"/>
  <c r="D503" i="1"/>
  <c r="C503" i="1"/>
  <c r="B503" i="1"/>
  <c r="D502" i="1"/>
  <c r="C502" i="1"/>
  <c r="B502" i="1"/>
  <c r="D501" i="1"/>
  <c r="C501" i="1"/>
  <c r="B501" i="1"/>
  <c r="D500" i="1"/>
  <c r="C500" i="1"/>
  <c r="B500" i="1"/>
  <c r="D499" i="1"/>
  <c r="C499" i="1"/>
  <c r="B499" i="1"/>
  <c r="D498" i="1"/>
  <c r="C498" i="1"/>
  <c r="B498" i="1"/>
  <c r="D497" i="1"/>
  <c r="C497" i="1"/>
  <c r="B497" i="1"/>
  <c r="D496" i="1"/>
  <c r="C496" i="1"/>
  <c r="B496" i="1"/>
  <c r="D495" i="1"/>
  <c r="C495" i="1"/>
  <c r="B495" i="1"/>
  <c r="D494" i="1"/>
  <c r="C494" i="1"/>
  <c r="B494" i="1"/>
  <c r="D493" i="1"/>
  <c r="C493" i="1"/>
  <c r="B493" i="1"/>
  <c r="D492" i="1"/>
  <c r="C492" i="1"/>
  <c r="B492" i="1"/>
  <c r="D491" i="1"/>
  <c r="C491" i="1"/>
  <c r="B491" i="1"/>
  <c r="D490" i="1"/>
  <c r="C490" i="1"/>
  <c r="B490" i="1"/>
  <c r="D489" i="1"/>
  <c r="C489" i="1"/>
  <c r="B489" i="1"/>
  <c r="D488" i="1"/>
  <c r="C488" i="1"/>
  <c r="B488" i="1"/>
  <c r="D487" i="1"/>
  <c r="C487" i="1"/>
  <c r="B487" i="1"/>
  <c r="D486" i="1"/>
  <c r="C486" i="1"/>
  <c r="B486" i="1"/>
  <c r="D485" i="1"/>
  <c r="C485" i="1"/>
  <c r="B485" i="1"/>
  <c r="D484" i="1"/>
  <c r="C484" i="1"/>
  <c r="B484" i="1"/>
  <c r="D483" i="1"/>
  <c r="C483" i="1"/>
  <c r="B483" i="1"/>
  <c r="D482" i="1"/>
  <c r="C482" i="1"/>
  <c r="B482" i="1"/>
  <c r="D481" i="1"/>
  <c r="C481" i="1"/>
  <c r="B481" i="1"/>
  <c r="D480" i="1"/>
  <c r="C480" i="1"/>
  <c r="B480" i="1"/>
  <c r="D479" i="1"/>
  <c r="C479" i="1"/>
  <c r="B479" i="1"/>
  <c r="D478" i="1"/>
  <c r="C478" i="1"/>
  <c r="B478" i="1"/>
  <c r="D477" i="1"/>
  <c r="C477" i="1"/>
  <c r="B477" i="1"/>
  <c r="D476" i="1"/>
  <c r="C476" i="1"/>
  <c r="B476" i="1"/>
  <c r="D475" i="1"/>
  <c r="C475" i="1"/>
  <c r="B475" i="1"/>
  <c r="D474" i="1"/>
  <c r="C474" i="1"/>
  <c r="B474" i="1"/>
  <c r="D473" i="1"/>
  <c r="C473" i="1"/>
  <c r="B473" i="1"/>
  <c r="D472" i="1"/>
  <c r="C472" i="1"/>
  <c r="B472" i="1"/>
  <c r="D471" i="1"/>
  <c r="C471" i="1"/>
  <c r="B471" i="1"/>
  <c r="D470" i="1"/>
  <c r="C470" i="1"/>
  <c r="B470" i="1"/>
  <c r="D469" i="1"/>
  <c r="C469" i="1"/>
  <c r="B469" i="1"/>
  <c r="D468" i="1"/>
  <c r="C468" i="1"/>
  <c r="B468" i="1"/>
  <c r="D467" i="1"/>
  <c r="C467" i="1"/>
  <c r="B467" i="1"/>
  <c r="D466" i="1"/>
  <c r="C466" i="1"/>
  <c r="B466" i="1"/>
  <c r="D465" i="1"/>
  <c r="C465" i="1"/>
  <c r="B465" i="1"/>
  <c r="D464" i="1"/>
  <c r="C464" i="1"/>
  <c r="B464" i="1"/>
  <c r="D463" i="1"/>
  <c r="C463" i="1"/>
  <c r="B463" i="1"/>
  <c r="D462" i="1"/>
  <c r="C462" i="1"/>
  <c r="B462" i="1"/>
  <c r="D461" i="1"/>
  <c r="C461" i="1"/>
  <c r="B461" i="1"/>
  <c r="D460" i="1"/>
  <c r="C460" i="1"/>
  <c r="B460" i="1"/>
  <c r="D459" i="1"/>
  <c r="C459" i="1"/>
  <c r="B459" i="1"/>
  <c r="D458" i="1"/>
  <c r="C458" i="1"/>
  <c r="B458" i="1"/>
  <c r="D457" i="1"/>
  <c r="C457" i="1"/>
  <c r="B457" i="1"/>
  <c r="D456" i="1"/>
  <c r="C456" i="1"/>
  <c r="B456" i="1"/>
  <c r="D455" i="1"/>
  <c r="C455" i="1"/>
  <c r="B455" i="1"/>
  <c r="D454" i="1"/>
  <c r="C454" i="1"/>
  <c r="B454" i="1"/>
  <c r="D453" i="1"/>
  <c r="C453" i="1"/>
  <c r="B453" i="1"/>
  <c r="D452" i="1"/>
  <c r="C452" i="1"/>
  <c r="B452" i="1"/>
  <c r="D451" i="1"/>
  <c r="C451" i="1"/>
  <c r="B451" i="1"/>
  <c r="D450" i="1"/>
  <c r="C450" i="1"/>
  <c r="B450" i="1"/>
  <c r="D449" i="1"/>
  <c r="C449" i="1"/>
  <c r="B449" i="1"/>
  <c r="D448" i="1"/>
  <c r="C448" i="1"/>
  <c r="B448" i="1"/>
  <c r="D447" i="1"/>
  <c r="C447" i="1"/>
  <c r="B447" i="1"/>
  <c r="D446" i="1"/>
  <c r="C446" i="1"/>
  <c r="B446" i="1"/>
  <c r="D445" i="1"/>
  <c r="C445" i="1"/>
  <c r="B445" i="1"/>
  <c r="D444" i="1"/>
  <c r="C444" i="1"/>
  <c r="B444" i="1"/>
  <c r="D443" i="1"/>
  <c r="C443" i="1"/>
  <c r="B443" i="1"/>
  <c r="D442" i="1"/>
  <c r="C442" i="1"/>
  <c r="B442" i="1"/>
  <c r="D441" i="1"/>
  <c r="C441" i="1"/>
  <c r="B441" i="1"/>
  <c r="D440" i="1"/>
  <c r="C440" i="1"/>
  <c r="B440" i="1"/>
  <c r="D439" i="1"/>
  <c r="C439" i="1"/>
  <c r="B439" i="1"/>
  <c r="D438" i="1"/>
  <c r="C438" i="1"/>
  <c r="B438" i="1"/>
  <c r="D437" i="1"/>
  <c r="C437" i="1"/>
  <c r="B437" i="1"/>
  <c r="D436" i="1"/>
  <c r="C436" i="1"/>
  <c r="B436" i="1"/>
  <c r="D435" i="1"/>
  <c r="C435" i="1"/>
  <c r="B435" i="1"/>
  <c r="D434" i="1"/>
  <c r="C434" i="1"/>
  <c r="B434" i="1"/>
  <c r="D433" i="1"/>
  <c r="C433" i="1"/>
  <c r="B433" i="1"/>
  <c r="D432" i="1"/>
  <c r="C432" i="1"/>
  <c r="B432" i="1"/>
  <c r="D431" i="1"/>
  <c r="C431" i="1"/>
  <c r="B431" i="1"/>
  <c r="D430" i="1"/>
  <c r="C430" i="1"/>
  <c r="B430" i="1"/>
  <c r="D429" i="1"/>
  <c r="C429" i="1"/>
  <c r="B429" i="1"/>
  <c r="D428" i="1"/>
  <c r="C428" i="1"/>
  <c r="B428" i="1"/>
  <c r="D427" i="1"/>
  <c r="C427" i="1"/>
  <c r="B427" i="1"/>
  <c r="D426" i="1"/>
  <c r="C426" i="1"/>
  <c r="B426" i="1"/>
  <c r="D425" i="1"/>
  <c r="C425" i="1"/>
  <c r="B425" i="1"/>
  <c r="D424" i="1"/>
  <c r="C424" i="1"/>
  <c r="B424" i="1"/>
  <c r="D423" i="1"/>
  <c r="C423" i="1"/>
  <c r="B423" i="1"/>
  <c r="D422" i="1"/>
  <c r="C422" i="1"/>
  <c r="B422" i="1"/>
  <c r="D421" i="1"/>
  <c r="C421" i="1"/>
  <c r="B421" i="1"/>
  <c r="D420" i="1"/>
  <c r="C420" i="1"/>
  <c r="B420" i="1"/>
  <c r="D419" i="1"/>
  <c r="C419" i="1"/>
  <c r="B419" i="1"/>
  <c r="D418" i="1"/>
  <c r="C418" i="1"/>
  <c r="B418" i="1"/>
  <c r="D417" i="1"/>
  <c r="C417" i="1"/>
  <c r="B417" i="1"/>
  <c r="D416" i="1"/>
  <c r="C416" i="1"/>
  <c r="B416" i="1"/>
  <c r="D415" i="1"/>
  <c r="C415" i="1"/>
  <c r="B415" i="1"/>
  <c r="D414" i="1"/>
  <c r="C414" i="1"/>
  <c r="B414" i="1"/>
  <c r="D413" i="1"/>
  <c r="C413" i="1"/>
  <c r="B413" i="1"/>
  <c r="D412" i="1"/>
  <c r="C412" i="1"/>
  <c r="B412" i="1"/>
  <c r="D411" i="1"/>
  <c r="C411" i="1"/>
  <c r="B411" i="1"/>
  <c r="D410" i="1"/>
  <c r="C410" i="1"/>
  <c r="B410" i="1"/>
  <c r="D409" i="1"/>
  <c r="C409" i="1"/>
  <c r="B409" i="1"/>
  <c r="D408" i="1"/>
  <c r="C408" i="1"/>
  <c r="B408" i="1"/>
  <c r="D407" i="1"/>
  <c r="C407" i="1"/>
  <c r="B407" i="1"/>
  <c r="D406" i="1"/>
  <c r="C406" i="1"/>
  <c r="B406" i="1"/>
  <c r="D405" i="1"/>
  <c r="C405" i="1"/>
  <c r="B405" i="1"/>
  <c r="D404" i="1"/>
  <c r="C404" i="1"/>
  <c r="B404" i="1"/>
  <c r="D403" i="1"/>
  <c r="C403" i="1"/>
  <c r="B403" i="1"/>
  <c r="D402" i="1"/>
  <c r="C402" i="1"/>
  <c r="B402" i="1"/>
  <c r="D401" i="1"/>
  <c r="C401" i="1"/>
  <c r="B401" i="1"/>
  <c r="D400" i="1"/>
  <c r="C400" i="1"/>
  <c r="B400" i="1"/>
  <c r="D399" i="1"/>
  <c r="C399" i="1"/>
  <c r="B399" i="1"/>
  <c r="D398" i="1"/>
  <c r="C398" i="1"/>
  <c r="B398" i="1"/>
  <c r="D397" i="1"/>
  <c r="C397" i="1"/>
  <c r="B397" i="1"/>
  <c r="D396" i="1"/>
  <c r="C396" i="1"/>
  <c r="B396" i="1"/>
  <c r="D395" i="1"/>
  <c r="C395" i="1"/>
  <c r="B395" i="1"/>
  <c r="D394" i="1"/>
  <c r="C394" i="1"/>
  <c r="B394" i="1"/>
  <c r="D393" i="1"/>
  <c r="C393" i="1"/>
  <c r="B393" i="1"/>
  <c r="D392" i="1"/>
  <c r="C392" i="1"/>
  <c r="B392" i="1"/>
  <c r="D391" i="1"/>
  <c r="C391" i="1"/>
  <c r="B391" i="1"/>
  <c r="D390" i="1"/>
  <c r="C390" i="1"/>
  <c r="B390" i="1"/>
  <c r="D389" i="1"/>
  <c r="C389" i="1"/>
  <c r="B389" i="1"/>
  <c r="D388" i="1"/>
  <c r="C388" i="1"/>
  <c r="B388" i="1"/>
  <c r="D387" i="1"/>
  <c r="C387" i="1"/>
  <c r="B387" i="1"/>
  <c r="D386" i="1"/>
  <c r="C386" i="1"/>
  <c r="B386" i="1"/>
  <c r="D385" i="1"/>
  <c r="C385" i="1"/>
  <c r="B385" i="1"/>
  <c r="D384" i="1"/>
  <c r="C384" i="1"/>
  <c r="B384" i="1"/>
  <c r="D383" i="1"/>
  <c r="C383" i="1"/>
  <c r="B383" i="1"/>
  <c r="D382" i="1"/>
  <c r="C382" i="1"/>
  <c r="B382" i="1"/>
  <c r="D381" i="1"/>
  <c r="C381" i="1"/>
  <c r="B381" i="1"/>
  <c r="D380" i="1"/>
  <c r="C380" i="1"/>
  <c r="B380" i="1"/>
  <c r="D379" i="1"/>
  <c r="C379" i="1"/>
  <c r="B379" i="1"/>
  <c r="D378" i="1"/>
  <c r="C378" i="1"/>
  <c r="B378" i="1"/>
  <c r="D377" i="1"/>
  <c r="C377" i="1"/>
  <c r="B377" i="1"/>
  <c r="D376" i="1"/>
  <c r="C376" i="1"/>
  <c r="B376" i="1"/>
  <c r="D375" i="1"/>
  <c r="C375" i="1"/>
  <c r="B375" i="1"/>
  <c r="D374" i="1"/>
  <c r="C374" i="1"/>
  <c r="B374" i="1"/>
  <c r="D373" i="1"/>
  <c r="C373" i="1"/>
  <c r="B373" i="1"/>
  <c r="D372" i="1"/>
  <c r="C372" i="1"/>
  <c r="B372" i="1"/>
  <c r="D371" i="1"/>
  <c r="C371" i="1"/>
  <c r="B371" i="1"/>
  <c r="D370" i="1"/>
  <c r="C370" i="1"/>
  <c r="B370" i="1"/>
  <c r="D369" i="1"/>
  <c r="C369" i="1"/>
  <c r="B369" i="1"/>
  <c r="D368" i="1"/>
  <c r="C368" i="1"/>
  <c r="B368" i="1"/>
  <c r="D367" i="1"/>
  <c r="C367" i="1"/>
  <c r="B367" i="1"/>
  <c r="D366" i="1"/>
  <c r="C366" i="1"/>
  <c r="B366" i="1"/>
  <c r="D365" i="1"/>
  <c r="C365" i="1"/>
  <c r="B365" i="1"/>
  <c r="D364" i="1"/>
  <c r="C364" i="1"/>
  <c r="B364" i="1"/>
  <c r="D363" i="1"/>
  <c r="C363" i="1"/>
  <c r="B363" i="1"/>
  <c r="D362" i="1"/>
  <c r="C362" i="1"/>
  <c r="B362" i="1"/>
  <c r="D361" i="1"/>
  <c r="C361" i="1"/>
  <c r="B361" i="1"/>
  <c r="D360" i="1"/>
  <c r="C360" i="1"/>
  <c r="B360" i="1"/>
  <c r="D359" i="1"/>
  <c r="C359" i="1"/>
  <c r="B359" i="1"/>
  <c r="D358" i="1"/>
  <c r="C358" i="1"/>
  <c r="B358" i="1"/>
  <c r="D357" i="1"/>
  <c r="C357" i="1"/>
  <c r="B357" i="1"/>
  <c r="D356" i="1"/>
  <c r="C356" i="1"/>
  <c r="B356" i="1"/>
  <c r="D355" i="1"/>
  <c r="C355" i="1"/>
  <c r="B355" i="1"/>
  <c r="D354" i="1"/>
  <c r="C354" i="1"/>
  <c r="B354" i="1"/>
  <c r="D353" i="1"/>
  <c r="C353" i="1"/>
  <c r="B353" i="1"/>
  <c r="D352" i="1"/>
  <c r="C352" i="1"/>
  <c r="B352" i="1"/>
  <c r="D351" i="1"/>
  <c r="C351" i="1"/>
  <c r="B351" i="1"/>
  <c r="D350" i="1"/>
  <c r="C350" i="1"/>
  <c r="B350" i="1"/>
  <c r="D349" i="1"/>
  <c r="C349" i="1"/>
  <c r="B349" i="1"/>
  <c r="D348" i="1"/>
  <c r="C348" i="1"/>
  <c r="B348" i="1"/>
  <c r="D347" i="1"/>
  <c r="C347" i="1"/>
  <c r="B347" i="1"/>
  <c r="D346" i="1"/>
  <c r="C346" i="1"/>
  <c r="B346" i="1"/>
  <c r="D345" i="1"/>
  <c r="C345" i="1"/>
  <c r="B345" i="1"/>
  <c r="D344" i="1"/>
  <c r="C344" i="1"/>
  <c r="B344" i="1"/>
  <c r="D343" i="1"/>
  <c r="C343" i="1"/>
  <c r="B343" i="1"/>
  <c r="D342" i="1"/>
  <c r="C342" i="1"/>
  <c r="B342" i="1"/>
  <c r="D341" i="1"/>
  <c r="C341" i="1"/>
  <c r="B341" i="1"/>
  <c r="D340" i="1"/>
  <c r="C340" i="1"/>
  <c r="B340" i="1"/>
  <c r="D339" i="1"/>
  <c r="C339" i="1"/>
  <c r="B339" i="1"/>
  <c r="D338" i="1"/>
  <c r="C338" i="1"/>
  <c r="B338" i="1"/>
  <c r="D337" i="1"/>
  <c r="C337" i="1"/>
  <c r="B337" i="1"/>
  <c r="D336" i="1"/>
  <c r="C336" i="1"/>
  <c r="B336" i="1"/>
  <c r="D335" i="1"/>
  <c r="C335" i="1"/>
  <c r="B335" i="1"/>
  <c r="D334" i="1"/>
  <c r="C334" i="1"/>
  <c r="B334" i="1"/>
  <c r="D333" i="1"/>
  <c r="C333" i="1"/>
  <c r="B333" i="1"/>
  <c r="D332" i="1"/>
  <c r="C332" i="1"/>
  <c r="B332" i="1"/>
  <c r="D331" i="1"/>
  <c r="C331" i="1"/>
  <c r="B331" i="1"/>
  <c r="D330" i="1"/>
  <c r="C330" i="1"/>
  <c r="B330" i="1"/>
  <c r="D329" i="1"/>
  <c r="C329" i="1"/>
  <c r="B329" i="1"/>
  <c r="D328" i="1"/>
  <c r="C328" i="1"/>
  <c r="B328" i="1"/>
  <c r="D327" i="1"/>
  <c r="C327" i="1"/>
  <c r="B327" i="1"/>
  <c r="D326" i="1"/>
  <c r="C326" i="1"/>
  <c r="B326" i="1"/>
  <c r="D325" i="1"/>
  <c r="C325" i="1"/>
  <c r="B325" i="1"/>
  <c r="D324" i="1"/>
  <c r="C324" i="1"/>
  <c r="B324" i="1"/>
  <c r="D323" i="1"/>
  <c r="C323" i="1"/>
  <c r="B323" i="1"/>
  <c r="D322" i="1"/>
  <c r="C322" i="1"/>
  <c r="B322" i="1"/>
  <c r="D321" i="1"/>
  <c r="C321" i="1"/>
  <c r="B321" i="1"/>
  <c r="D320" i="1"/>
  <c r="C320" i="1"/>
  <c r="B320" i="1"/>
  <c r="D319" i="1"/>
  <c r="C319" i="1"/>
  <c r="B319" i="1"/>
  <c r="D318" i="1"/>
  <c r="C318" i="1"/>
  <c r="B318" i="1"/>
  <c r="D317" i="1"/>
  <c r="C317" i="1"/>
  <c r="B317" i="1"/>
  <c r="D316" i="1"/>
  <c r="C316" i="1"/>
  <c r="B316" i="1"/>
  <c r="D315" i="1"/>
  <c r="C315" i="1"/>
  <c r="B315" i="1"/>
  <c r="D314" i="1"/>
  <c r="C314" i="1"/>
  <c r="B314" i="1"/>
  <c r="D313" i="1"/>
  <c r="C313" i="1"/>
  <c r="B313" i="1"/>
  <c r="D312" i="1"/>
  <c r="C312" i="1"/>
  <c r="B312" i="1"/>
  <c r="D311" i="1"/>
  <c r="C311" i="1"/>
  <c r="B311" i="1"/>
  <c r="D310" i="1"/>
  <c r="C310" i="1"/>
  <c r="B310" i="1"/>
  <c r="D309" i="1"/>
  <c r="C309" i="1"/>
  <c r="B309" i="1"/>
  <c r="D308" i="1"/>
  <c r="C308" i="1"/>
  <c r="B308" i="1"/>
  <c r="D307" i="1"/>
  <c r="C307" i="1"/>
  <c r="B307" i="1"/>
  <c r="D306" i="1"/>
  <c r="C306" i="1"/>
  <c r="B306" i="1"/>
  <c r="D305" i="1"/>
  <c r="C305" i="1"/>
  <c r="B305" i="1"/>
  <c r="D304" i="1"/>
  <c r="C304" i="1"/>
  <c r="B304" i="1"/>
  <c r="D303" i="1"/>
  <c r="C303" i="1"/>
  <c r="B303" i="1"/>
  <c r="D302" i="1"/>
  <c r="C302" i="1"/>
  <c r="B302" i="1"/>
  <c r="D301" i="1"/>
  <c r="C301" i="1"/>
  <c r="B301" i="1"/>
  <c r="D300" i="1"/>
  <c r="C300" i="1"/>
  <c r="B300" i="1"/>
  <c r="D299" i="1"/>
  <c r="C299" i="1"/>
  <c r="B299" i="1"/>
  <c r="D298" i="1"/>
  <c r="C298" i="1"/>
  <c r="B298" i="1"/>
  <c r="D297" i="1"/>
  <c r="C297" i="1"/>
  <c r="B297" i="1"/>
  <c r="D296" i="1"/>
  <c r="C296" i="1"/>
  <c r="B296" i="1"/>
  <c r="D295" i="1"/>
  <c r="C295" i="1"/>
  <c r="B295" i="1"/>
  <c r="D294" i="1"/>
  <c r="C294" i="1"/>
  <c r="B294" i="1"/>
  <c r="D293" i="1"/>
  <c r="C293" i="1"/>
  <c r="B293" i="1"/>
  <c r="D292" i="1"/>
  <c r="C292" i="1"/>
  <c r="B292" i="1"/>
  <c r="D291" i="1"/>
  <c r="C291" i="1"/>
  <c r="B291" i="1"/>
  <c r="D290" i="1"/>
  <c r="C290" i="1"/>
  <c r="B290" i="1"/>
  <c r="D289" i="1"/>
  <c r="C289" i="1"/>
  <c r="B289" i="1"/>
  <c r="D288" i="1"/>
  <c r="C288" i="1"/>
  <c r="B288" i="1"/>
  <c r="D287" i="1"/>
  <c r="C287" i="1"/>
  <c r="B287" i="1"/>
  <c r="D286" i="1"/>
  <c r="C286" i="1"/>
  <c r="B286" i="1"/>
  <c r="D285" i="1"/>
  <c r="C285" i="1"/>
  <c r="B285" i="1"/>
  <c r="D284" i="1"/>
  <c r="C284" i="1"/>
  <c r="B284" i="1"/>
  <c r="D283" i="1"/>
  <c r="C283" i="1"/>
  <c r="B283" i="1"/>
  <c r="D282" i="1"/>
  <c r="C282" i="1"/>
  <c r="B282" i="1"/>
  <c r="D281" i="1"/>
  <c r="C281" i="1"/>
  <c r="B281" i="1"/>
  <c r="D280" i="1"/>
  <c r="C280" i="1"/>
  <c r="B280" i="1"/>
  <c r="D279" i="1"/>
  <c r="C279" i="1"/>
  <c r="B279" i="1"/>
  <c r="D278" i="1"/>
  <c r="C278" i="1"/>
  <c r="B278" i="1"/>
  <c r="D277" i="1"/>
  <c r="C277" i="1"/>
  <c r="B277" i="1"/>
  <c r="D276" i="1"/>
  <c r="C276" i="1"/>
  <c r="B276" i="1"/>
  <c r="D275" i="1"/>
  <c r="C275" i="1"/>
  <c r="B275" i="1"/>
  <c r="D274" i="1"/>
  <c r="C274" i="1"/>
  <c r="B274" i="1"/>
  <c r="D273" i="1"/>
  <c r="C273" i="1"/>
  <c r="B273" i="1"/>
  <c r="D272" i="1"/>
  <c r="C272" i="1"/>
  <c r="B272" i="1"/>
  <c r="D271" i="1"/>
  <c r="C271" i="1"/>
  <c r="B271" i="1"/>
  <c r="D270" i="1"/>
  <c r="C270" i="1"/>
  <c r="B270" i="1"/>
  <c r="D269" i="1"/>
  <c r="C269" i="1"/>
  <c r="B269" i="1"/>
  <c r="D268" i="1"/>
  <c r="C268" i="1"/>
  <c r="B268" i="1"/>
  <c r="D267" i="1"/>
  <c r="C267" i="1"/>
  <c r="B267" i="1"/>
  <c r="D266" i="1"/>
  <c r="C266" i="1"/>
  <c r="B266" i="1"/>
  <c r="D265" i="1"/>
  <c r="C265" i="1"/>
  <c r="B265" i="1"/>
  <c r="D264" i="1"/>
  <c r="C264" i="1"/>
  <c r="B264" i="1"/>
  <c r="D263" i="1"/>
  <c r="C263" i="1"/>
  <c r="B263" i="1"/>
  <c r="D262" i="1"/>
  <c r="C262" i="1"/>
  <c r="B262" i="1"/>
  <c r="D261" i="1"/>
  <c r="C261" i="1"/>
  <c r="B261" i="1"/>
  <c r="D260" i="1"/>
  <c r="C260" i="1"/>
  <c r="B260" i="1"/>
  <c r="D259" i="1"/>
  <c r="C259" i="1"/>
  <c r="B259" i="1"/>
  <c r="D258" i="1"/>
  <c r="C258" i="1"/>
  <c r="B258" i="1"/>
  <c r="D257" i="1"/>
  <c r="C257" i="1"/>
  <c r="B257" i="1"/>
  <c r="D256" i="1"/>
  <c r="C256" i="1"/>
  <c r="B256" i="1"/>
  <c r="D255" i="1"/>
  <c r="C255" i="1"/>
  <c r="B255" i="1"/>
  <c r="D254" i="1"/>
  <c r="C254" i="1"/>
  <c r="B254" i="1"/>
  <c r="D253" i="1"/>
  <c r="C253" i="1"/>
  <c r="B253" i="1"/>
  <c r="D252" i="1"/>
  <c r="C252" i="1"/>
  <c r="B252" i="1"/>
  <c r="D251" i="1"/>
  <c r="C251" i="1"/>
  <c r="B251" i="1"/>
  <c r="D250" i="1"/>
  <c r="C250" i="1"/>
  <c r="B250" i="1"/>
  <c r="D249" i="1"/>
  <c r="C249" i="1"/>
  <c r="B249" i="1"/>
  <c r="D248" i="1"/>
  <c r="C248" i="1"/>
  <c r="B248" i="1"/>
  <c r="D247" i="1"/>
  <c r="C247" i="1"/>
  <c r="B247" i="1"/>
  <c r="D246" i="1"/>
  <c r="C246" i="1"/>
  <c r="B246" i="1"/>
  <c r="D245" i="1"/>
  <c r="C245" i="1"/>
  <c r="B245" i="1"/>
  <c r="D244" i="1"/>
  <c r="C244" i="1"/>
  <c r="B244" i="1"/>
  <c r="D243" i="1"/>
  <c r="C243" i="1"/>
  <c r="B243" i="1"/>
  <c r="D242" i="1"/>
  <c r="C242" i="1"/>
  <c r="B242" i="1"/>
  <c r="D241" i="1"/>
  <c r="C241" i="1"/>
  <c r="B241" i="1"/>
  <c r="D240" i="1"/>
  <c r="C240" i="1"/>
  <c r="B240" i="1"/>
  <c r="D239" i="1"/>
  <c r="C239" i="1"/>
  <c r="B239" i="1"/>
  <c r="D238" i="1"/>
  <c r="C238" i="1"/>
  <c r="B238" i="1"/>
  <c r="D237" i="1"/>
  <c r="C237" i="1"/>
  <c r="B237" i="1"/>
  <c r="D236" i="1"/>
  <c r="C236" i="1"/>
  <c r="B236" i="1"/>
  <c r="D235" i="1"/>
  <c r="C235" i="1"/>
  <c r="B235" i="1"/>
  <c r="D234" i="1"/>
  <c r="C234" i="1"/>
  <c r="B234" i="1"/>
  <c r="D233" i="1"/>
  <c r="C233" i="1"/>
  <c r="B233" i="1"/>
  <c r="D232" i="1"/>
  <c r="C232" i="1"/>
  <c r="B232" i="1"/>
  <c r="D231" i="1"/>
  <c r="C231" i="1"/>
  <c r="B231" i="1"/>
  <c r="D230" i="1"/>
  <c r="C230" i="1"/>
  <c r="B230" i="1"/>
  <c r="D229" i="1"/>
  <c r="C229" i="1"/>
  <c r="B229" i="1"/>
  <c r="D228" i="1"/>
  <c r="C228" i="1"/>
  <c r="B228" i="1"/>
  <c r="D227" i="1"/>
  <c r="C227" i="1"/>
  <c r="B227" i="1"/>
  <c r="D226" i="1"/>
  <c r="C226" i="1"/>
  <c r="B226" i="1"/>
  <c r="D225" i="1"/>
  <c r="C225" i="1"/>
  <c r="B225" i="1"/>
  <c r="D224" i="1"/>
  <c r="C224" i="1"/>
  <c r="B224" i="1"/>
  <c r="D223" i="1"/>
  <c r="C223" i="1"/>
  <c r="B223" i="1"/>
  <c r="D222" i="1"/>
  <c r="C222" i="1"/>
  <c r="B222" i="1"/>
  <c r="D221" i="1"/>
  <c r="C221" i="1"/>
  <c r="B221" i="1"/>
  <c r="D220" i="1"/>
  <c r="C220" i="1"/>
  <c r="B220" i="1"/>
  <c r="D219" i="1"/>
  <c r="C219" i="1"/>
  <c r="B219" i="1"/>
  <c r="D218" i="1"/>
  <c r="C218" i="1"/>
  <c r="B218" i="1"/>
  <c r="D217" i="1"/>
  <c r="C217" i="1"/>
  <c r="B217" i="1"/>
  <c r="D216" i="1"/>
  <c r="C216" i="1"/>
  <c r="B216" i="1"/>
  <c r="D215" i="1"/>
  <c r="C215" i="1"/>
  <c r="B215" i="1"/>
  <c r="D214" i="1"/>
  <c r="C214" i="1"/>
  <c r="B214" i="1"/>
  <c r="D213" i="1"/>
  <c r="C213" i="1"/>
  <c r="B213" i="1"/>
  <c r="D212" i="1"/>
  <c r="C212" i="1"/>
  <c r="B212" i="1"/>
  <c r="D211" i="1"/>
  <c r="C211" i="1"/>
  <c r="B211" i="1"/>
  <c r="D210" i="1"/>
  <c r="C210" i="1"/>
  <c r="B210" i="1"/>
  <c r="D209" i="1"/>
  <c r="C209" i="1"/>
  <c r="B209" i="1"/>
  <c r="D208" i="1"/>
  <c r="C208" i="1"/>
  <c r="B208" i="1"/>
  <c r="D207" i="1"/>
  <c r="C207" i="1"/>
  <c r="B207" i="1"/>
  <c r="D206" i="1"/>
  <c r="C206" i="1"/>
  <c r="B206" i="1"/>
  <c r="D205" i="1"/>
  <c r="C205" i="1"/>
  <c r="B205" i="1"/>
  <c r="D204" i="1"/>
  <c r="C204" i="1"/>
  <c r="B204" i="1"/>
  <c r="D203" i="1"/>
  <c r="C203" i="1"/>
  <c r="B203" i="1"/>
  <c r="D202" i="1"/>
  <c r="C202" i="1"/>
  <c r="B202" i="1"/>
  <c r="D201" i="1"/>
  <c r="C201" i="1"/>
  <c r="B201" i="1"/>
  <c r="D200" i="1"/>
  <c r="C200" i="1"/>
  <c r="B200" i="1"/>
  <c r="D199" i="1"/>
  <c r="C199" i="1"/>
  <c r="B199" i="1"/>
  <c r="D198" i="1"/>
  <c r="C198" i="1"/>
  <c r="B198" i="1"/>
  <c r="D197" i="1"/>
  <c r="C197" i="1"/>
  <c r="B197" i="1"/>
  <c r="D196" i="1"/>
  <c r="C196" i="1"/>
  <c r="B196" i="1"/>
  <c r="D195" i="1"/>
  <c r="C195" i="1"/>
  <c r="B195" i="1"/>
  <c r="D194" i="1"/>
  <c r="C194" i="1"/>
  <c r="B194" i="1"/>
  <c r="D193" i="1"/>
  <c r="C193" i="1"/>
  <c r="B193" i="1"/>
  <c r="D192" i="1"/>
  <c r="C192" i="1"/>
  <c r="B192" i="1"/>
  <c r="D191" i="1"/>
  <c r="C191" i="1"/>
  <c r="B191" i="1"/>
  <c r="D190" i="1"/>
  <c r="C190" i="1"/>
  <c r="B190" i="1"/>
  <c r="D189" i="1"/>
  <c r="C189" i="1"/>
  <c r="B189" i="1"/>
  <c r="D188" i="1"/>
  <c r="C188" i="1"/>
  <c r="B188" i="1"/>
  <c r="D187" i="1"/>
  <c r="C187" i="1"/>
  <c r="B187" i="1"/>
  <c r="D186" i="1"/>
  <c r="C186" i="1"/>
  <c r="B186" i="1"/>
  <c r="D185" i="1"/>
  <c r="C185" i="1"/>
  <c r="B185" i="1"/>
  <c r="D184" i="1"/>
  <c r="C184" i="1"/>
  <c r="B184" i="1"/>
  <c r="D183" i="1"/>
  <c r="C183" i="1"/>
  <c r="B183" i="1"/>
  <c r="D182" i="1"/>
  <c r="C182" i="1"/>
  <c r="B182" i="1"/>
  <c r="D181" i="1"/>
  <c r="C181" i="1"/>
  <c r="B181" i="1"/>
  <c r="D180" i="1"/>
  <c r="C180" i="1"/>
  <c r="B180" i="1"/>
  <c r="D179" i="1"/>
  <c r="C179" i="1"/>
  <c r="B179" i="1"/>
  <c r="D178" i="1"/>
  <c r="C178" i="1"/>
  <c r="B178" i="1"/>
  <c r="D177" i="1"/>
  <c r="C177" i="1"/>
  <c r="B177" i="1"/>
  <c r="D176" i="1"/>
  <c r="C176" i="1"/>
  <c r="B176" i="1"/>
  <c r="D175" i="1"/>
  <c r="C175" i="1"/>
  <c r="B175" i="1"/>
  <c r="D174" i="1"/>
  <c r="C174" i="1"/>
  <c r="B174" i="1"/>
  <c r="D173" i="1"/>
  <c r="C173" i="1"/>
  <c r="B173" i="1"/>
  <c r="D172" i="1"/>
  <c r="C172" i="1"/>
  <c r="B172" i="1"/>
  <c r="D171" i="1"/>
  <c r="C171" i="1"/>
  <c r="B171" i="1"/>
  <c r="D170" i="1"/>
  <c r="C170" i="1"/>
  <c r="B170" i="1"/>
  <c r="D169" i="1"/>
  <c r="C169" i="1"/>
  <c r="B169" i="1"/>
  <c r="D168" i="1"/>
  <c r="C168" i="1"/>
  <c r="B168" i="1"/>
  <c r="D167" i="1"/>
  <c r="C167" i="1"/>
  <c r="B167" i="1"/>
  <c r="D166" i="1"/>
  <c r="C166" i="1"/>
  <c r="B166" i="1"/>
  <c r="D165" i="1"/>
  <c r="C165" i="1"/>
  <c r="B165" i="1"/>
  <c r="D164" i="1"/>
  <c r="C164" i="1"/>
  <c r="B164" i="1"/>
  <c r="D163" i="1"/>
  <c r="C163" i="1"/>
  <c r="B163" i="1"/>
  <c r="D162" i="1"/>
  <c r="C162" i="1"/>
  <c r="B162" i="1"/>
  <c r="D161" i="1"/>
  <c r="C161" i="1"/>
  <c r="B161" i="1"/>
  <c r="D160" i="1"/>
  <c r="C160" i="1"/>
  <c r="B160" i="1"/>
  <c r="D159" i="1"/>
  <c r="C159" i="1"/>
  <c r="B159" i="1"/>
  <c r="D158" i="1"/>
  <c r="C158" i="1"/>
  <c r="B158" i="1"/>
  <c r="D157" i="1"/>
  <c r="C157" i="1"/>
  <c r="B157" i="1"/>
  <c r="D156" i="1"/>
  <c r="C156" i="1"/>
  <c r="B156" i="1"/>
  <c r="D155" i="1"/>
  <c r="C155" i="1"/>
  <c r="B155" i="1"/>
  <c r="D154" i="1"/>
  <c r="C154" i="1"/>
  <c r="B154" i="1"/>
  <c r="D153" i="1"/>
  <c r="C153" i="1"/>
  <c r="B153" i="1"/>
  <c r="D152" i="1"/>
  <c r="C152" i="1"/>
  <c r="B152" i="1"/>
  <c r="D151" i="1"/>
  <c r="C151" i="1"/>
  <c r="B151" i="1"/>
  <c r="D150" i="1"/>
  <c r="C150" i="1"/>
  <c r="B150" i="1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D94" i="1"/>
  <c r="C94" i="1"/>
  <c r="B94" i="1"/>
  <c r="D93" i="1"/>
  <c r="C93" i="1"/>
  <c r="B93" i="1"/>
  <c r="D92" i="1"/>
  <c r="C92" i="1"/>
  <c r="B92" i="1"/>
  <c r="D91" i="1"/>
  <c r="C91" i="1"/>
  <c r="B91" i="1"/>
  <c r="D90" i="1"/>
  <c r="C90" i="1"/>
  <c r="B90" i="1"/>
  <c r="D89" i="1"/>
  <c r="C89" i="1"/>
  <c r="B89" i="1"/>
  <c r="D88" i="1"/>
  <c r="C88" i="1"/>
  <c r="B88" i="1"/>
  <c r="D87" i="1"/>
  <c r="C87" i="1"/>
  <c r="B87" i="1"/>
  <c r="D86" i="1"/>
  <c r="C86" i="1"/>
  <c r="B86" i="1"/>
  <c r="D85" i="1"/>
  <c r="C85" i="1"/>
  <c r="B85" i="1"/>
  <c r="D84" i="1"/>
  <c r="C84" i="1"/>
  <c r="B84" i="1"/>
  <c r="D83" i="1"/>
  <c r="C83" i="1"/>
  <c r="B83" i="1"/>
  <c r="D82" i="1"/>
  <c r="C82" i="1"/>
  <c r="B82" i="1"/>
  <c r="D81" i="1"/>
  <c r="C81" i="1"/>
  <c r="B81" i="1"/>
  <c r="D80" i="1"/>
  <c r="C80" i="1"/>
  <c r="B80" i="1"/>
  <c r="D79" i="1"/>
  <c r="C79" i="1"/>
  <c r="B79" i="1"/>
  <c r="D78" i="1"/>
  <c r="C78" i="1"/>
  <c r="B78" i="1"/>
  <c r="D77" i="1"/>
  <c r="C77" i="1"/>
  <c r="B77" i="1"/>
  <c r="D76" i="1"/>
  <c r="C76" i="1"/>
  <c r="B76" i="1"/>
  <c r="D75" i="1"/>
  <c r="C75" i="1"/>
  <c r="B75" i="1"/>
  <c r="D74" i="1"/>
  <c r="C74" i="1"/>
  <c r="B74" i="1"/>
  <c r="D73" i="1"/>
  <c r="C73" i="1"/>
  <c r="B73" i="1"/>
  <c r="D72" i="1"/>
  <c r="C72" i="1"/>
  <c r="B72" i="1"/>
  <c r="D71" i="1"/>
  <c r="C71" i="1"/>
  <c r="B71" i="1"/>
  <c r="D70" i="1"/>
  <c r="C70" i="1"/>
  <c r="B70" i="1"/>
  <c r="D69" i="1"/>
  <c r="C69" i="1"/>
  <c r="B69" i="1"/>
  <c r="D68" i="1"/>
  <c r="C68" i="1"/>
  <c r="B68" i="1"/>
  <c r="D67" i="1"/>
  <c r="C67" i="1"/>
  <c r="B67" i="1"/>
  <c r="D66" i="1"/>
  <c r="C66" i="1"/>
  <c r="B66" i="1"/>
  <c r="D65" i="1"/>
  <c r="C65" i="1"/>
  <c r="B65" i="1"/>
  <c r="D64" i="1"/>
  <c r="C64" i="1"/>
  <c r="B64" i="1"/>
  <c r="D63" i="1"/>
  <c r="C63" i="1"/>
  <c r="B63" i="1"/>
  <c r="D62" i="1"/>
  <c r="C62" i="1"/>
  <c r="B62" i="1"/>
  <c r="D61" i="1"/>
  <c r="C61" i="1"/>
  <c r="B61" i="1"/>
  <c r="D60" i="1"/>
  <c r="C60" i="1"/>
  <c r="B60" i="1"/>
  <c r="D59" i="1"/>
  <c r="C59" i="1"/>
  <c r="B59" i="1"/>
  <c r="D58" i="1"/>
  <c r="C58" i="1"/>
  <c r="B58" i="1"/>
  <c r="D57" i="1"/>
  <c r="C57" i="1"/>
  <c r="B57" i="1"/>
  <c r="D56" i="1"/>
  <c r="C56" i="1"/>
  <c r="B56" i="1"/>
  <c r="D55" i="1"/>
  <c r="C55" i="1"/>
  <c r="B55" i="1"/>
  <c r="D54" i="1"/>
  <c r="C54" i="1"/>
  <c r="B54" i="1"/>
  <c r="D53" i="1"/>
  <c r="C53" i="1"/>
  <c r="B53" i="1"/>
  <c r="D52" i="1"/>
  <c r="C52" i="1"/>
  <c r="B52" i="1"/>
  <c r="D51" i="1"/>
  <c r="C51" i="1"/>
  <c r="B51" i="1"/>
  <c r="D50" i="1"/>
  <c r="C50" i="1"/>
  <c r="B50" i="1"/>
  <c r="D49" i="1"/>
  <c r="C49" i="1"/>
  <c r="B49" i="1"/>
  <c r="D48" i="1"/>
  <c r="C48" i="1"/>
  <c r="B48" i="1"/>
  <c r="D47" i="1"/>
  <c r="C47" i="1"/>
  <c r="B47" i="1"/>
  <c r="D46" i="1"/>
  <c r="C46" i="1"/>
  <c r="B46" i="1"/>
  <c r="D45" i="1"/>
  <c r="C45" i="1"/>
  <c r="B45" i="1"/>
  <c r="D44" i="1"/>
  <c r="C44" i="1"/>
  <c r="B44" i="1"/>
  <c r="D43" i="1"/>
  <c r="C43" i="1"/>
  <c r="B43" i="1"/>
  <c r="D42" i="1"/>
  <c r="C42" i="1"/>
  <c r="B42" i="1"/>
  <c r="D41" i="1"/>
  <c r="C41" i="1"/>
  <c r="B41" i="1"/>
  <c r="D40" i="1"/>
  <c r="C40" i="1"/>
  <c r="B40" i="1"/>
  <c r="D39" i="1"/>
  <c r="C39" i="1"/>
  <c r="B39" i="1"/>
  <c r="D38" i="1"/>
  <c r="C38" i="1"/>
  <c r="B38" i="1"/>
  <c r="D37" i="1"/>
  <c r="C37" i="1"/>
  <c r="B37" i="1"/>
  <c r="D36" i="1"/>
  <c r="C36" i="1"/>
  <c r="B36" i="1"/>
  <c r="D35" i="1"/>
  <c r="C35" i="1"/>
  <c r="B35" i="1"/>
  <c r="D34" i="1"/>
  <c r="C34" i="1"/>
  <c r="B34" i="1"/>
  <c r="D33" i="1"/>
  <c r="C33" i="1"/>
  <c r="B33" i="1"/>
  <c r="D32" i="1"/>
  <c r="C32" i="1"/>
  <c r="B32" i="1"/>
  <c r="D31" i="1"/>
  <c r="C31" i="1"/>
  <c r="B31" i="1"/>
  <c r="D30" i="1"/>
  <c r="C30" i="1"/>
  <c r="B30" i="1"/>
  <c r="D29" i="1"/>
  <c r="C29" i="1"/>
  <c r="B29" i="1"/>
  <c r="D28" i="1"/>
  <c r="C28" i="1"/>
  <c r="B28" i="1"/>
  <c r="D27" i="1"/>
  <c r="C27" i="1"/>
  <c r="B27" i="1"/>
  <c r="D26" i="1"/>
  <c r="C26" i="1"/>
  <c r="B26" i="1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I4" i="2"/>
  <c r="H4" i="2"/>
  <c r="G4" i="2"/>
  <c r="F4" i="2"/>
  <c r="E4" i="2"/>
  <c r="D4" i="2"/>
  <c r="C4" i="2"/>
  <c r="C5" i="2" s="1"/>
  <c r="C6" i="2" s="1"/>
  <c r="B5" i="2"/>
  <c r="A32" i="5" l="1"/>
  <c r="B31" i="5"/>
  <c r="E31" i="5"/>
  <c r="K13" i="5"/>
  <c r="J13" i="5"/>
  <c r="I13" i="5"/>
  <c r="L13" i="5"/>
  <c r="M13" i="5"/>
  <c r="F13" i="5"/>
  <c r="G13" i="5"/>
  <c r="H13" i="5"/>
  <c r="M11" i="5"/>
  <c r="I12" i="5"/>
  <c r="J12" i="5"/>
  <c r="F11" i="5"/>
  <c r="K12" i="5"/>
  <c r="G11" i="5"/>
  <c r="G12" i="5"/>
  <c r="L11" i="5"/>
  <c r="H12" i="5"/>
  <c r="F12" i="5"/>
  <c r="I11" i="5"/>
  <c r="J11" i="5"/>
  <c r="H11" i="5"/>
  <c r="K11" i="5"/>
  <c r="M12" i="5"/>
  <c r="L12" i="5"/>
  <c r="C7" i="2"/>
  <c r="I7" i="2"/>
  <c r="H7" i="2"/>
  <c r="G7" i="2"/>
  <c r="F7" i="2"/>
  <c r="E7" i="2"/>
  <c r="D7" i="2"/>
  <c r="H5" i="2"/>
  <c r="H6" i="2" s="1"/>
  <c r="J6" i="2" s="1"/>
  <c r="I5" i="2"/>
  <c r="I6" i="2" s="1"/>
  <c r="D5" i="2"/>
  <c r="D6" i="2" s="1"/>
  <c r="E5" i="2"/>
  <c r="E6" i="2" s="1"/>
  <c r="F5" i="2"/>
  <c r="F6" i="2" s="1"/>
  <c r="G5" i="2"/>
  <c r="G6" i="2" s="1"/>
  <c r="M6" i="5"/>
  <c r="M7" i="5"/>
  <c r="M5" i="5"/>
  <c r="M9" i="5"/>
  <c r="M8" i="5"/>
  <c r="M10" i="5"/>
  <c r="I9" i="5"/>
  <c r="K7" i="5"/>
  <c r="I10" i="5"/>
  <c r="L9" i="5"/>
  <c r="H9" i="5"/>
  <c r="K8" i="5"/>
  <c r="G8" i="5"/>
  <c r="J7" i="5"/>
  <c r="I6" i="5"/>
  <c r="L5" i="5"/>
  <c r="H5" i="5"/>
  <c r="F5" i="5"/>
  <c r="J10" i="5"/>
  <c r="G7" i="5"/>
  <c r="I5" i="5"/>
  <c r="L10" i="5"/>
  <c r="H10" i="5"/>
  <c r="K9" i="5"/>
  <c r="G9" i="5"/>
  <c r="J8" i="5"/>
  <c r="I7" i="5"/>
  <c r="L6" i="5"/>
  <c r="H6" i="5"/>
  <c r="K5" i="5"/>
  <c r="G5" i="5"/>
  <c r="L8" i="5"/>
  <c r="J6" i="5"/>
  <c r="K10" i="5"/>
  <c r="G10" i="5"/>
  <c r="J9" i="5"/>
  <c r="I8" i="5"/>
  <c r="L7" i="5"/>
  <c r="H7" i="5"/>
  <c r="K6" i="5"/>
  <c r="G6" i="5"/>
  <c r="J5" i="5"/>
  <c r="H8" i="5"/>
  <c r="F7" i="5"/>
  <c r="F6" i="5"/>
  <c r="F8" i="5"/>
  <c r="F9" i="5"/>
  <c r="F10" i="5"/>
  <c r="G3" i="3"/>
  <c r="E3" i="3"/>
  <c r="F3" i="3"/>
  <c r="D3" i="3"/>
  <c r="J4" i="2"/>
  <c r="A33" i="5" l="1"/>
  <c r="B32" i="5"/>
  <c r="E32" i="5"/>
  <c r="J7" i="2"/>
  <c r="J5" i="2"/>
  <c r="D8" i="2"/>
  <c r="I8" i="2"/>
  <c r="H8" i="2"/>
  <c r="G8" i="2"/>
  <c r="F8" i="2"/>
  <c r="E8" i="2"/>
  <c r="C8" i="2"/>
  <c r="A34" i="5" l="1"/>
  <c r="B33" i="5"/>
  <c r="E33" i="5"/>
  <c r="J8" i="2"/>
  <c r="F9" i="2"/>
  <c r="E9" i="2"/>
  <c r="D9" i="2"/>
  <c r="I9" i="2"/>
  <c r="H9" i="2"/>
  <c r="G9" i="2"/>
  <c r="C9" i="2"/>
  <c r="A35" i="5" l="1"/>
  <c r="B34" i="5"/>
  <c r="E34" i="5"/>
  <c r="J9" i="2"/>
  <c r="H10" i="2"/>
  <c r="G10" i="2"/>
  <c r="F10" i="2"/>
  <c r="E10" i="2"/>
  <c r="D10" i="2"/>
  <c r="I10" i="2"/>
  <c r="C10" i="2"/>
  <c r="A36" i="5" l="1"/>
  <c r="B35" i="5"/>
  <c r="E35" i="5"/>
  <c r="J10" i="2"/>
  <c r="I11" i="2"/>
  <c r="H11" i="2"/>
  <c r="G11" i="2"/>
  <c r="G12" i="2" s="1"/>
  <c r="F11" i="2"/>
  <c r="E11" i="2"/>
  <c r="D11" i="2"/>
  <c r="C11" i="2"/>
  <c r="A37" i="5" l="1"/>
  <c r="B36" i="5"/>
  <c r="E36" i="5"/>
  <c r="C12" i="2"/>
  <c r="I12" i="2"/>
  <c r="J11" i="2"/>
  <c r="D12" i="2"/>
  <c r="E12" i="2"/>
  <c r="E13" i="2" s="1"/>
  <c r="F12" i="2"/>
  <c r="F13" i="2" s="1"/>
  <c r="H12" i="2"/>
  <c r="A38" i="5" l="1"/>
  <c r="B37" i="5"/>
  <c r="E37" i="5"/>
  <c r="J12" i="2"/>
  <c r="D13" i="2"/>
  <c r="H13" i="2"/>
  <c r="G13" i="2"/>
  <c r="I13" i="2"/>
  <c r="C13" i="2"/>
  <c r="A39" i="5" l="1"/>
  <c r="B38" i="5"/>
  <c r="E38" i="5"/>
  <c r="J13" i="2"/>
  <c r="D14" i="2"/>
  <c r="I14" i="2"/>
  <c r="H14" i="2"/>
  <c r="G14" i="2"/>
  <c r="F14" i="2"/>
  <c r="E14" i="2"/>
  <c r="C14" i="2"/>
  <c r="A40" i="5" l="1"/>
  <c r="B39" i="5"/>
  <c r="E39" i="5"/>
  <c r="J14" i="2"/>
  <c r="F15" i="2"/>
  <c r="E15" i="2"/>
  <c r="D15" i="2"/>
  <c r="I15" i="2"/>
  <c r="H15" i="2"/>
  <c r="G15" i="2"/>
  <c r="C15" i="2"/>
  <c r="A41" i="5" l="1"/>
  <c r="B40" i="5"/>
  <c r="E40" i="5"/>
  <c r="J15" i="2"/>
  <c r="H16" i="2"/>
  <c r="G16" i="2"/>
  <c r="F16" i="2"/>
  <c r="E16" i="2"/>
  <c r="D16" i="2"/>
  <c r="I16" i="2"/>
  <c r="C16" i="2"/>
  <c r="A42" i="5" l="1"/>
  <c r="B41" i="5"/>
  <c r="E41" i="5"/>
  <c r="I17" i="2"/>
  <c r="H17" i="2"/>
  <c r="G17" i="2"/>
  <c r="F17" i="2"/>
  <c r="E17" i="2"/>
  <c r="D17" i="2"/>
  <c r="C17" i="2"/>
  <c r="J16" i="2"/>
  <c r="E42" i="5" l="1"/>
  <c r="A43" i="5"/>
  <c r="B42" i="5"/>
  <c r="J17" i="2"/>
  <c r="D18" i="2"/>
  <c r="D19" i="2" s="1"/>
  <c r="I18" i="2"/>
  <c r="I19" i="2" s="1"/>
  <c r="H18" i="2"/>
  <c r="G18" i="2"/>
  <c r="G19" i="2" s="1"/>
  <c r="F18" i="2"/>
  <c r="F19" i="2" s="1"/>
  <c r="E18" i="2"/>
  <c r="E19" i="2" s="1"/>
  <c r="C18" i="2"/>
  <c r="C19" i="2" s="1"/>
  <c r="G42" i="5" l="1"/>
  <c r="I42" i="5"/>
  <c r="F42" i="5"/>
  <c r="H42" i="5"/>
  <c r="L42" i="5"/>
  <c r="J42" i="5"/>
  <c r="K42" i="5"/>
  <c r="M42" i="5"/>
  <c r="A44" i="5"/>
  <c r="B43" i="5"/>
  <c r="E43" i="5"/>
  <c r="J18" i="2"/>
  <c r="D20" i="2"/>
  <c r="H19" i="2"/>
  <c r="J19" i="2" s="1"/>
  <c r="L43" i="5" l="1"/>
  <c r="G43" i="5"/>
  <c r="H43" i="5"/>
  <c r="F43" i="5"/>
  <c r="I43" i="5"/>
  <c r="J43" i="5"/>
  <c r="K43" i="5"/>
  <c r="M43" i="5"/>
  <c r="E44" i="5"/>
  <c r="A45" i="5"/>
  <c r="B44" i="5"/>
  <c r="H20" i="2"/>
  <c r="I20" i="2"/>
  <c r="C20" i="2"/>
  <c r="G20" i="2"/>
  <c r="F20" i="2"/>
  <c r="E20" i="2"/>
  <c r="B45" i="5" l="1"/>
  <c r="E45" i="5"/>
  <c r="L44" i="5"/>
  <c r="J44" i="5"/>
  <c r="G44" i="5"/>
  <c r="I44" i="5"/>
  <c r="H44" i="5"/>
  <c r="F44" i="5"/>
  <c r="K44" i="5"/>
  <c r="M44" i="5"/>
  <c r="J20" i="2"/>
  <c r="F21" i="2"/>
  <c r="E21" i="2"/>
  <c r="D21" i="2"/>
  <c r="I21" i="2"/>
  <c r="H21" i="2"/>
  <c r="G21" i="2"/>
  <c r="C21" i="2"/>
  <c r="J45" i="5" l="1"/>
  <c r="L45" i="5"/>
  <c r="G45" i="5"/>
  <c r="K45" i="5"/>
  <c r="M45" i="5"/>
  <c r="F45" i="5"/>
  <c r="H45" i="5"/>
  <c r="I45" i="5"/>
  <c r="J21" i="2"/>
  <c r="H22" i="2"/>
  <c r="G22" i="2"/>
  <c r="F22" i="2"/>
  <c r="E22" i="2"/>
  <c r="D22" i="2"/>
  <c r="I22" i="2"/>
  <c r="C22" i="2"/>
  <c r="J22" i="2" l="1"/>
  <c r="I23" i="2"/>
  <c r="H23" i="2"/>
  <c r="G23" i="2"/>
  <c r="F23" i="2"/>
  <c r="E23" i="2"/>
  <c r="D23" i="2"/>
  <c r="C23" i="2"/>
  <c r="J23" i="2" l="1"/>
  <c r="D24" i="2"/>
  <c r="I24" i="2"/>
  <c r="H24" i="2"/>
  <c r="G24" i="2"/>
  <c r="F24" i="2"/>
  <c r="E24" i="2"/>
  <c r="C24" i="2"/>
  <c r="J24" i="2" l="1"/>
  <c r="F25" i="2"/>
  <c r="F26" i="2" s="1"/>
  <c r="E25" i="2"/>
  <c r="E26" i="2" s="1"/>
  <c r="D25" i="2"/>
  <c r="D26" i="2" s="1"/>
  <c r="I25" i="2"/>
  <c r="I26" i="2" s="1"/>
  <c r="H25" i="2"/>
  <c r="G25" i="2"/>
  <c r="G26" i="2" s="1"/>
  <c r="C25" i="2"/>
  <c r="C26" i="2" s="1"/>
  <c r="J25" i="2" l="1"/>
  <c r="E27" i="2"/>
  <c r="H26" i="2"/>
  <c r="J26" i="2" s="1"/>
  <c r="H27" i="2" l="1"/>
  <c r="C27" i="2"/>
  <c r="D27" i="2"/>
  <c r="I27" i="2"/>
  <c r="F27" i="2"/>
  <c r="G27" i="2"/>
  <c r="J27" i="2" l="1"/>
  <c r="H28" i="2"/>
  <c r="G28" i="2"/>
  <c r="F28" i="2"/>
  <c r="E28" i="2"/>
  <c r="D28" i="2"/>
  <c r="I28" i="2"/>
  <c r="C28" i="2"/>
  <c r="J28" i="2" l="1"/>
  <c r="I29" i="2"/>
  <c r="H29" i="2"/>
  <c r="G29" i="2"/>
  <c r="F29" i="2"/>
  <c r="E29" i="2"/>
  <c r="D29" i="2"/>
  <c r="C29" i="2"/>
  <c r="J29" i="2" l="1"/>
  <c r="D30" i="2"/>
  <c r="I30" i="2"/>
  <c r="H30" i="2"/>
  <c r="G30" i="2"/>
  <c r="F30" i="2"/>
  <c r="E30" i="2"/>
  <c r="C30" i="2"/>
  <c r="J30" i="2" l="1"/>
  <c r="F31" i="2"/>
  <c r="E31" i="2"/>
  <c r="D31" i="2"/>
  <c r="I31" i="2"/>
  <c r="H31" i="2"/>
  <c r="G31" i="2"/>
  <c r="C31" i="2"/>
  <c r="J31" i="2" l="1"/>
  <c r="H32" i="2"/>
  <c r="G32" i="2"/>
  <c r="G33" i="2" s="1"/>
  <c r="F32" i="2"/>
  <c r="F33" i="2" s="1"/>
  <c r="E32" i="2"/>
  <c r="E33" i="2" s="1"/>
  <c r="D32" i="2"/>
  <c r="D33" i="2" s="1"/>
  <c r="I32" i="2"/>
  <c r="I33" i="2" s="1"/>
  <c r="C32" i="2"/>
  <c r="C33" i="2" s="1"/>
  <c r="J32" i="2" l="1"/>
  <c r="C34" i="2"/>
  <c r="H33" i="2"/>
  <c r="J33" i="2" s="1"/>
  <c r="G34" i="2" l="1"/>
  <c r="H34" i="2"/>
  <c r="J34" i="2" s="1"/>
  <c r="E34" i="2"/>
  <c r="I34" i="2"/>
  <c r="F34" i="2"/>
  <c r="D34" i="2"/>
  <c r="I35" i="2" l="1"/>
  <c r="H35" i="2"/>
  <c r="G35" i="2"/>
  <c r="F35" i="2"/>
  <c r="E35" i="2"/>
  <c r="D35" i="2"/>
  <c r="C35" i="2"/>
  <c r="J35" i="2" l="1"/>
  <c r="D36" i="2"/>
  <c r="I36" i="2"/>
  <c r="H36" i="2"/>
  <c r="G36" i="2"/>
  <c r="F36" i="2"/>
  <c r="E36" i="2"/>
  <c r="C36" i="2"/>
  <c r="F37" i="2" l="1"/>
  <c r="E37" i="2"/>
  <c r="D37" i="2"/>
  <c r="I37" i="2"/>
  <c r="H37" i="2"/>
  <c r="G37" i="2"/>
  <c r="C37" i="2"/>
  <c r="J36" i="2"/>
  <c r="H38" i="2" l="1"/>
  <c r="G38" i="2"/>
  <c r="F38" i="2"/>
  <c r="E38" i="2"/>
  <c r="D38" i="2"/>
  <c r="I38" i="2"/>
  <c r="C38" i="2"/>
  <c r="J37" i="2"/>
  <c r="J38" i="2" l="1"/>
  <c r="I39" i="2"/>
  <c r="I40" i="2" s="1"/>
  <c r="H39" i="2"/>
  <c r="G39" i="2"/>
  <c r="G40" i="2" s="1"/>
  <c r="F39" i="2"/>
  <c r="F40" i="2" s="1"/>
  <c r="E39" i="2"/>
  <c r="E40" i="2" s="1"/>
  <c r="D39" i="2"/>
  <c r="D40" i="2" s="1"/>
  <c r="C39" i="2"/>
  <c r="C40" i="2" s="1"/>
  <c r="J39" i="2" l="1"/>
  <c r="H40" i="2"/>
  <c r="J40" i="2" s="1"/>
  <c r="H41" i="2" l="1"/>
  <c r="I41" i="2"/>
  <c r="G41" i="2"/>
  <c r="F41" i="2"/>
  <c r="E41" i="2"/>
  <c r="D41" i="2"/>
  <c r="C41" i="2"/>
  <c r="J41" i="2" l="1"/>
  <c r="D42" i="2"/>
  <c r="I42" i="2"/>
  <c r="H42" i="2"/>
  <c r="G42" i="2"/>
  <c r="F42" i="2"/>
  <c r="E42" i="2"/>
  <c r="C42" i="2"/>
  <c r="J42" i="2" l="1"/>
  <c r="F43" i="2"/>
  <c r="E43" i="2"/>
  <c r="D43" i="2"/>
  <c r="I43" i="2"/>
  <c r="H43" i="2"/>
  <c r="G43" i="2"/>
  <c r="C43" i="2"/>
  <c r="J43" i="2" l="1"/>
  <c r="H44" i="2"/>
  <c r="G44" i="2"/>
  <c r="F44" i="2"/>
  <c r="E44" i="2"/>
  <c r="D44" i="2"/>
  <c r="I44" i="2"/>
  <c r="C44" i="2"/>
  <c r="J44" i="2" l="1"/>
  <c r="I45" i="2"/>
  <c r="H45" i="2"/>
  <c r="G45" i="2"/>
  <c r="F45" i="2"/>
  <c r="E45" i="2"/>
  <c r="D45" i="2"/>
  <c r="C45" i="2"/>
  <c r="J45" i="2" l="1"/>
  <c r="D46" i="2"/>
  <c r="I46" i="2"/>
  <c r="H46" i="2"/>
  <c r="G46" i="2"/>
  <c r="G47" i="2" s="1"/>
  <c r="F46" i="2"/>
  <c r="E46" i="2"/>
  <c r="E47" i="2" s="1"/>
  <c r="C46" i="2"/>
  <c r="J46" i="2" l="1"/>
  <c r="F47" i="2"/>
  <c r="F48" i="2" s="1"/>
  <c r="I47" i="2"/>
  <c r="I48" i="2" s="1"/>
  <c r="D47" i="2"/>
  <c r="D48" i="2" s="1"/>
  <c r="H47" i="2"/>
  <c r="C47" i="2"/>
  <c r="C48" i="2" s="1"/>
  <c r="J47" i="2" l="1"/>
  <c r="H48" i="2"/>
  <c r="J48" i="2" s="1"/>
  <c r="E48" i="2"/>
  <c r="G48" i="2"/>
  <c r="F49" i="2" l="1"/>
  <c r="E49" i="2"/>
  <c r="D49" i="2"/>
  <c r="I49" i="2"/>
  <c r="H49" i="2"/>
  <c r="G49" i="2"/>
  <c r="C49" i="2"/>
  <c r="J49" i="2" l="1"/>
  <c r="H50" i="2"/>
  <c r="G50" i="2"/>
  <c r="F50" i="2"/>
  <c r="E50" i="2"/>
  <c r="D50" i="2"/>
  <c r="I50" i="2"/>
  <c r="C50" i="2"/>
  <c r="J50" i="2" l="1"/>
  <c r="I51" i="2"/>
  <c r="H51" i="2"/>
  <c r="G51" i="2"/>
  <c r="F51" i="2"/>
  <c r="E51" i="2"/>
  <c r="D51" i="2"/>
  <c r="C51" i="2"/>
  <c r="J51" i="2" l="1"/>
  <c r="D52" i="2"/>
  <c r="I52" i="2"/>
  <c r="H52" i="2"/>
  <c r="G52" i="2"/>
  <c r="F52" i="2"/>
  <c r="E52" i="2"/>
  <c r="C52" i="2"/>
  <c r="J52" i="2" l="1"/>
  <c r="F53" i="2"/>
  <c r="F54" i="2" s="1"/>
  <c r="E53" i="2"/>
  <c r="D53" i="2"/>
  <c r="I53" i="2"/>
  <c r="I54" i="2" s="1"/>
  <c r="H53" i="2"/>
  <c r="G53" i="2"/>
  <c r="G54" i="2" s="1"/>
  <c r="C53" i="2"/>
  <c r="C54" i="2" s="1"/>
  <c r="D54" i="2" l="1"/>
  <c r="E54" i="2"/>
  <c r="J53" i="2"/>
  <c r="I55" i="2"/>
  <c r="H54" i="2"/>
  <c r="J54" i="2" s="1"/>
  <c r="F55" i="2" l="1"/>
  <c r="E55" i="2"/>
  <c r="D55" i="2"/>
  <c r="H55" i="2"/>
  <c r="C55" i="2"/>
  <c r="G55" i="2"/>
  <c r="J55" i="2" l="1"/>
  <c r="H56" i="2"/>
  <c r="G56" i="2"/>
  <c r="F56" i="2"/>
  <c r="E56" i="2"/>
  <c r="D56" i="2"/>
  <c r="I56" i="2"/>
  <c r="C56" i="2"/>
  <c r="J56" i="2" l="1"/>
  <c r="I57" i="2"/>
  <c r="H57" i="2"/>
  <c r="G57" i="2"/>
  <c r="F57" i="2"/>
  <c r="E57" i="2"/>
  <c r="D57" i="2"/>
  <c r="C57" i="2"/>
  <c r="J57" i="2" l="1"/>
  <c r="D58" i="2"/>
  <c r="I58" i="2"/>
  <c r="H58" i="2"/>
  <c r="G58" i="2"/>
  <c r="F58" i="2"/>
  <c r="E58" i="2"/>
  <c r="C58" i="2"/>
  <c r="J58" i="2" l="1"/>
  <c r="F59" i="2"/>
  <c r="E59" i="2"/>
  <c r="D59" i="2"/>
  <c r="I59" i="2"/>
  <c r="H59" i="2"/>
  <c r="G59" i="2"/>
  <c r="C59" i="2"/>
  <c r="J59" i="2" l="1"/>
  <c r="H60" i="2"/>
  <c r="G60" i="2"/>
  <c r="G61" i="2" s="1"/>
  <c r="F60" i="2"/>
  <c r="F61" i="2" s="1"/>
  <c r="E60" i="2"/>
  <c r="E61" i="2" s="1"/>
  <c r="D60" i="2"/>
  <c r="D61" i="2" s="1"/>
  <c r="I60" i="2"/>
  <c r="I61" i="2" s="1"/>
  <c r="C60" i="2"/>
  <c r="C61" i="2" s="1"/>
  <c r="J60" i="2" l="1"/>
  <c r="G62" i="2"/>
  <c r="H61" i="2"/>
  <c r="J61" i="2" s="1"/>
  <c r="C62" i="2"/>
  <c r="H62" i="2" l="1"/>
  <c r="J62" i="2" s="1"/>
  <c r="F62" i="2"/>
  <c r="E62" i="2"/>
  <c r="D62" i="2"/>
  <c r="I62" i="2"/>
  <c r="I63" i="2" l="1"/>
  <c r="H63" i="2"/>
  <c r="G63" i="2"/>
  <c r="F63" i="2"/>
  <c r="E63" i="2"/>
  <c r="D63" i="2"/>
  <c r="C63" i="2"/>
  <c r="J63" i="2" l="1"/>
  <c r="D64" i="2"/>
  <c r="I64" i="2"/>
  <c r="H64" i="2"/>
  <c r="G64" i="2"/>
  <c r="F64" i="2"/>
  <c r="E64" i="2"/>
  <c r="C64" i="2"/>
  <c r="J64" i="2" l="1"/>
  <c r="F65" i="2"/>
  <c r="E65" i="2"/>
  <c r="D65" i="2"/>
  <c r="I65" i="2"/>
  <c r="H65" i="2"/>
  <c r="G65" i="2"/>
  <c r="C65" i="2"/>
  <c r="J65" i="2" l="1"/>
  <c r="H66" i="2"/>
  <c r="G66" i="2"/>
  <c r="F66" i="2"/>
  <c r="E66" i="2"/>
  <c r="D66" i="2"/>
  <c r="I66" i="2"/>
  <c r="C66" i="2"/>
  <c r="J66" i="2" l="1"/>
  <c r="I67" i="2"/>
  <c r="I68" i="2" s="1"/>
  <c r="H67" i="2"/>
  <c r="G67" i="2"/>
  <c r="G68" i="2" s="1"/>
  <c r="F67" i="2"/>
  <c r="F68" i="2" s="1"/>
  <c r="E67" i="2"/>
  <c r="E68" i="2" s="1"/>
  <c r="D67" i="2"/>
  <c r="D68" i="2" s="1"/>
  <c r="C67" i="2"/>
  <c r="C68" i="2" s="1"/>
  <c r="J67" i="2" l="1"/>
  <c r="D69" i="2"/>
  <c r="H68" i="2"/>
  <c r="J68" i="2" s="1"/>
  <c r="E69" i="2" l="1"/>
  <c r="I69" i="2"/>
  <c r="H69" i="2"/>
  <c r="G69" i="2"/>
  <c r="C69" i="2"/>
  <c r="F69" i="2"/>
  <c r="J69" i="2" l="1"/>
  <c r="D70" i="2"/>
  <c r="I70" i="2"/>
  <c r="H70" i="2"/>
  <c r="G70" i="2"/>
  <c r="F70" i="2"/>
  <c r="E70" i="2"/>
  <c r="C70" i="2"/>
  <c r="J70" i="2" l="1"/>
  <c r="F71" i="2"/>
  <c r="E71" i="2"/>
  <c r="D71" i="2"/>
  <c r="I71" i="2"/>
  <c r="H71" i="2"/>
  <c r="G71" i="2"/>
  <c r="C71" i="2"/>
  <c r="J71" i="2" l="1"/>
  <c r="H72" i="2"/>
  <c r="G72" i="2"/>
  <c r="F72" i="2"/>
  <c r="E72" i="2"/>
  <c r="D72" i="2"/>
  <c r="I72" i="2"/>
  <c r="C72" i="2"/>
  <c r="J72" i="2" l="1"/>
  <c r="I73" i="2"/>
  <c r="H73" i="2"/>
  <c r="G73" i="2"/>
  <c r="F73" i="2"/>
  <c r="E73" i="2"/>
  <c r="D73" i="2"/>
  <c r="C73" i="2"/>
  <c r="J73" i="2" l="1"/>
  <c r="D74" i="2"/>
  <c r="D75" i="2" s="1"/>
  <c r="I74" i="2"/>
  <c r="I75" i="2" s="1"/>
  <c r="H74" i="2"/>
  <c r="G74" i="2"/>
  <c r="G75" i="2" s="1"/>
  <c r="F74" i="2"/>
  <c r="F75" i="2" s="1"/>
  <c r="E74" i="2"/>
  <c r="E75" i="2" s="1"/>
  <c r="C74" i="2"/>
  <c r="C75" i="2" s="1"/>
  <c r="J74" i="2" l="1"/>
  <c r="C76" i="2"/>
  <c r="H75" i="2"/>
  <c r="J75" i="2" s="1"/>
  <c r="E76" i="2" l="1"/>
  <c r="H76" i="2"/>
  <c r="J76" i="2" s="1"/>
  <c r="D76" i="2"/>
  <c r="I76" i="2"/>
  <c r="G76" i="2"/>
  <c r="F76" i="2"/>
  <c r="F77" i="2" l="1"/>
  <c r="E77" i="2"/>
  <c r="D77" i="2"/>
  <c r="I77" i="2"/>
  <c r="H77" i="2"/>
  <c r="G77" i="2"/>
  <c r="C77" i="2"/>
  <c r="J77" i="2" l="1"/>
  <c r="H78" i="2"/>
  <c r="G78" i="2"/>
  <c r="F78" i="2"/>
  <c r="E78" i="2"/>
  <c r="D78" i="2"/>
  <c r="I78" i="2"/>
  <c r="C78" i="2"/>
  <c r="J78" i="2" l="1"/>
  <c r="I79" i="2"/>
  <c r="H79" i="2"/>
  <c r="G79" i="2"/>
  <c r="F79" i="2"/>
  <c r="E79" i="2"/>
  <c r="D79" i="2"/>
  <c r="C79" i="2"/>
  <c r="J79" i="2" l="1"/>
  <c r="D80" i="2"/>
  <c r="I80" i="2"/>
  <c r="H80" i="2"/>
  <c r="G80" i="2"/>
  <c r="F80" i="2"/>
  <c r="E80" i="2"/>
  <c r="C80" i="2"/>
  <c r="J80" i="2" l="1"/>
  <c r="F81" i="2"/>
  <c r="E81" i="2"/>
  <c r="D81" i="2"/>
  <c r="D82" i="2" s="1"/>
  <c r="I81" i="2"/>
  <c r="I82" i="2" s="1"/>
  <c r="H81" i="2"/>
  <c r="G81" i="2"/>
  <c r="C81" i="2"/>
  <c r="J81" i="2" l="1"/>
  <c r="H82" i="2"/>
  <c r="C82" i="2"/>
  <c r="G82" i="2"/>
  <c r="G83" i="2" s="1"/>
  <c r="I83" i="2"/>
  <c r="E82" i="2"/>
  <c r="E83" i="2" s="1"/>
  <c r="F82" i="2"/>
  <c r="F83" i="2" s="1"/>
  <c r="J82" i="2" l="1"/>
  <c r="H83" i="2"/>
  <c r="C83" i="2"/>
  <c r="D83" i="2"/>
  <c r="J83" i="2" l="1"/>
  <c r="H84" i="2"/>
  <c r="G84" i="2"/>
  <c r="F84" i="2"/>
  <c r="E84" i="2"/>
  <c r="D84" i="2"/>
  <c r="I84" i="2"/>
  <c r="C84" i="2"/>
  <c r="J84" i="2" l="1"/>
  <c r="I85" i="2"/>
  <c r="H85" i="2"/>
  <c r="G85" i="2"/>
  <c r="F85" i="2"/>
  <c r="E85" i="2"/>
  <c r="D85" i="2"/>
  <c r="C85" i="2"/>
  <c r="D86" i="2" l="1"/>
  <c r="I86" i="2"/>
  <c r="H86" i="2"/>
  <c r="G86" i="2"/>
  <c r="F86" i="2"/>
  <c r="E86" i="2"/>
  <c r="C86" i="2"/>
  <c r="J85" i="2"/>
  <c r="J86" i="2" l="1"/>
  <c r="F87" i="2"/>
  <c r="E87" i="2"/>
  <c r="D87" i="2"/>
  <c r="I87" i="2"/>
  <c r="H87" i="2"/>
  <c r="G87" i="2"/>
  <c r="C87" i="2"/>
  <c r="J87" i="2" l="1"/>
  <c r="H88" i="2"/>
  <c r="G88" i="2"/>
  <c r="G89" i="2" s="1"/>
  <c r="F88" i="2"/>
  <c r="F89" i="2" s="1"/>
  <c r="E88" i="2"/>
  <c r="E89" i="2" s="1"/>
  <c r="D88" i="2"/>
  <c r="D89" i="2" s="1"/>
  <c r="I88" i="2"/>
  <c r="I89" i="2" s="1"/>
  <c r="C88" i="2"/>
  <c r="C89" i="2" s="1"/>
  <c r="J88" i="2" l="1"/>
  <c r="I90" i="2"/>
  <c r="H89" i="2"/>
  <c r="J89" i="2" s="1"/>
  <c r="H90" i="2" l="1"/>
  <c r="G90" i="2"/>
  <c r="C90" i="2"/>
  <c r="F90" i="2"/>
  <c r="E90" i="2"/>
  <c r="D90" i="2"/>
  <c r="J90" i="2" l="1"/>
  <c r="I91" i="2"/>
  <c r="H91" i="2"/>
  <c r="G91" i="2"/>
  <c r="F91" i="2"/>
  <c r="E91" i="2"/>
  <c r="D91" i="2"/>
  <c r="C91" i="2"/>
  <c r="J91" i="2" l="1"/>
  <c r="D92" i="2"/>
  <c r="I92" i="2"/>
  <c r="H92" i="2"/>
  <c r="G92" i="2"/>
  <c r="F92" i="2"/>
  <c r="E92" i="2"/>
  <c r="C92" i="2"/>
  <c r="J92" i="2" l="1"/>
  <c r="F93" i="2"/>
  <c r="E93" i="2"/>
  <c r="D93" i="2"/>
  <c r="I93" i="2"/>
  <c r="H93" i="2"/>
  <c r="G93" i="2"/>
  <c r="C93" i="2"/>
  <c r="J93" i="2" l="1"/>
  <c r="H94" i="2"/>
  <c r="G94" i="2"/>
  <c r="F94" i="2"/>
  <c r="E94" i="2"/>
  <c r="D94" i="2"/>
  <c r="I94" i="2"/>
  <c r="C94" i="2"/>
  <c r="J94" i="2" l="1"/>
  <c r="I95" i="2"/>
  <c r="I96" i="2" s="1"/>
  <c r="H95" i="2"/>
  <c r="G95" i="2"/>
  <c r="G96" i="2" s="1"/>
  <c r="F95" i="2"/>
  <c r="F96" i="2" s="1"/>
  <c r="E95" i="2"/>
  <c r="E96" i="2" s="1"/>
  <c r="D95" i="2"/>
  <c r="D96" i="2" s="1"/>
  <c r="C95" i="2"/>
  <c r="C96" i="2" s="1"/>
  <c r="J95" i="2" l="1"/>
  <c r="H96" i="2"/>
  <c r="J96" i="2" s="1"/>
  <c r="H97" i="2" l="1"/>
  <c r="I97" i="2"/>
  <c r="G97" i="2"/>
  <c r="F97" i="2"/>
  <c r="E97" i="2"/>
  <c r="D97" i="2"/>
  <c r="C97" i="2"/>
  <c r="J97" i="2" l="1"/>
  <c r="D98" i="2"/>
  <c r="I98" i="2"/>
  <c r="H98" i="2"/>
  <c r="G98" i="2"/>
  <c r="F98" i="2"/>
  <c r="E98" i="2"/>
  <c r="C98" i="2"/>
  <c r="J98" i="2" l="1"/>
  <c r="F99" i="2"/>
  <c r="E99" i="2"/>
  <c r="D99" i="2"/>
  <c r="I99" i="2"/>
  <c r="H99" i="2"/>
  <c r="G99" i="2"/>
  <c r="C99" i="2"/>
  <c r="J99" i="2" l="1"/>
  <c r="H100" i="2"/>
  <c r="G100" i="2"/>
  <c r="F100" i="2"/>
  <c r="E100" i="2"/>
  <c r="D100" i="2"/>
  <c r="I100" i="2"/>
  <c r="C100" i="2"/>
  <c r="J100" i="2" l="1"/>
  <c r="I101" i="2"/>
  <c r="H101" i="2"/>
  <c r="G101" i="2"/>
  <c r="F101" i="2"/>
  <c r="E101" i="2"/>
  <c r="D101" i="2"/>
  <c r="C101" i="2"/>
  <c r="J101" i="2" l="1"/>
  <c r="D102" i="2"/>
  <c r="D103" i="2" s="1"/>
  <c r="I102" i="2"/>
  <c r="I103" i="2" s="1"/>
  <c r="H102" i="2"/>
  <c r="G102" i="2"/>
  <c r="G103" i="2" s="1"/>
  <c r="F102" i="2"/>
  <c r="F103" i="2" s="1"/>
  <c r="E102" i="2"/>
  <c r="E103" i="2" s="1"/>
  <c r="C102" i="2"/>
  <c r="C103" i="2" s="1"/>
  <c r="J102" i="2" l="1"/>
  <c r="H103" i="2"/>
  <c r="J103" i="2" s="1"/>
  <c r="H104" i="2" l="1"/>
  <c r="C104" i="2"/>
  <c r="G104" i="2"/>
  <c r="D104" i="2"/>
  <c r="I104" i="2"/>
  <c r="F104" i="2"/>
  <c r="E104" i="2"/>
  <c r="J104" i="2" l="1"/>
  <c r="F105" i="2"/>
  <c r="E105" i="2"/>
  <c r="D105" i="2"/>
  <c r="I105" i="2"/>
  <c r="H105" i="2"/>
  <c r="G105" i="2"/>
  <c r="C105" i="2"/>
  <c r="J105" i="2" l="1"/>
  <c r="H106" i="2"/>
  <c r="G106" i="2"/>
  <c r="F106" i="2"/>
  <c r="E106" i="2"/>
  <c r="D106" i="2"/>
  <c r="I106" i="2"/>
  <c r="C106" i="2"/>
  <c r="J106" i="2" l="1"/>
  <c r="I107" i="2"/>
  <c r="H107" i="2"/>
  <c r="G107" i="2"/>
  <c r="F107" i="2"/>
  <c r="E107" i="2"/>
  <c r="D107" i="2"/>
  <c r="C107" i="2"/>
  <c r="J107" i="2" l="1"/>
  <c r="D108" i="2"/>
  <c r="I108" i="2"/>
  <c r="H108" i="2"/>
  <c r="G108" i="2"/>
  <c r="F108" i="2"/>
  <c r="E108" i="2"/>
  <c r="C108" i="2"/>
  <c r="J108" i="2" l="1"/>
  <c r="F109" i="2"/>
  <c r="F110" i="2" s="1"/>
  <c r="E109" i="2"/>
  <c r="E110" i="2" s="1"/>
  <c r="D109" i="2"/>
  <c r="D110" i="2" s="1"/>
  <c r="I109" i="2"/>
  <c r="I110" i="2" s="1"/>
  <c r="H109" i="2"/>
  <c r="G109" i="2"/>
  <c r="G110" i="2" s="1"/>
  <c r="C109" i="2"/>
  <c r="C110" i="2" s="1"/>
  <c r="J109" i="2" l="1"/>
  <c r="F111" i="2"/>
  <c r="H110" i="2"/>
  <c r="J110" i="2" s="1"/>
  <c r="C111" i="2"/>
  <c r="H111" i="2" l="1"/>
  <c r="J111" i="2" s="1"/>
  <c r="E111" i="2"/>
  <c r="D111" i="2"/>
  <c r="I111" i="2"/>
  <c r="G111" i="2"/>
  <c r="H112" i="2" l="1"/>
  <c r="G112" i="2"/>
  <c r="F112" i="2"/>
  <c r="E112" i="2"/>
  <c r="D112" i="2"/>
  <c r="I112" i="2"/>
  <c r="C112" i="2"/>
  <c r="J112" i="2" l="1"/>
  <c r="I113" i="2"/>
  <c r="H113" i="2"/>
  <c r="G113" i="2"/>
  <c r="F113" i="2"/>
  <c r="E113" i="2"/>
  <c r="D113" i="2"/>
  <c r="C113" i="2"/>
  <c r="J113" i="2" l="1"/>
  <c r="D114" i="2"/>
  <c r="I114" i="2"/>
  <c r="H114" i="2"/>
  <c r="G114" i="2"/>
  <c r="F114" i="2"/>
  <c r="E114" i="2"/>
  <c r="C114" i="2"/>
  <c r="J114" i="2" l="1"/>
  <c r="F115" i="2"/>
  <c r="E115" i="2"/>
  <c r="D115" i="2"/>
  <c r="I115" i="2"/>
  <c r="H115" i="2"/>
  <c r="G115" i="2"/>
  <c r="C115" i="2"/>
  <c r="J115" i="2" l="1"/>
  <c r="H116" i="2"/>
  <c r="G116" i="2"/>
  <c r="G117" i="2" s="1"/>
  <c r="F116" i="2"/>
  <c r="F117" i="2" s="1"/>
  <c r="E116" i="2"/>
  <c r="E117" i="2" s="1"/>
  <c r="D116" i="2"/>
  <c r="D117" i="2" s="1"/>
  <c r="I116" i="2"/>
  <c r="I117" i="2" s="1"/>
  <c r="C116" i="2"/>
  <c r="C117" i="2" s="1"/>
  <c r="H117" i="2" l="1"/>
  <c r="J117" i="2" s="1"/>
  <c r="J116" i="2"/>
  <c r="H118" i="2" l="1"/>
  <c r="C118" i="2"/>
  <c r="G118" i="2"/>
  <c r="F118" i="2"/>
  <c r="E118" i="2"/>
  <c r="D118" i="2"/>
  <c r="I118" i="2"/>
  <c r="J118" i="2" l="1"/>
  <c r="I119" i="2"/>
  <c r="H119" i="2"/>
  <c r="G119" i="2"/>
  <c r="F119" i="2"/>
  <c r="E119" i="2"/>
  <c r="D119" i="2"/>
  <c r="C119" i="2"/>
  <c r="J119" i="2" l="1"/>
  <c r="D120" i="2"/>
  <c r="I120" i="2"/>
  <c r="H120" i="2"/>
  <c r="G120" i="2"/>
  <c r="F120" i="2"/>
  <c r="E120" i="2"/>
  <c r="C120" i="2"/>
  <c r="J120" i="2" l="1"/>
  <c r="F121" i="2"/>
  <c r="E121" i="2"/>
  <c r="D121" i="2"/>
  <c r="I121" i="2"/>
  <c r="H121" i="2"/>
  <c r="G121" i="2"/>
  <c r="C121" i="2"/>
  <c r="J121" i="2" l="1"/>
  <c r="H122" i="2"/>
  <c r="G122" i="2"/>
  <c r="F122" i="2"/>
  <c r="E122" i="2"/>
  <c r="D122" i="2"/>
  <c r="I122" i="2"/>
  <c r="C122" i="2"/>
  <c r="J122" i="2" l="1"/>
  <c r="I123" i="2"/>
  <c r="I124" i="2" s="1"/>
  <c r="H123" i="2"/>
  <c r="G123" i="2"/>
  <c r="G124" i="2" s="1"/>
  <c r="F123" i="2"/>
  <c r="F124" i="2" s="1"/>
  <c r="E123" i="2"/>
  <c r="E124" i="2" s="1"/>
  <c r="D123" i="2"/>
  <c r="D124" i="2" s="1"/>
  <c r="C123" i="2"/>
  <c r="C124" i="2" s="1"/>
  <c r="J123" i="2" l="1"/>
  <c r="H124" i="2"/>
  <c r="J124" i="2" s="1"/>
  <c r="D125" i="2"/>
  <c r="C125" i="2"/>
  <c r="H125" i="2" l="1"/>
  <c r="J125" i="2" s="1"/>
  <c r="I125" i="2"/>
  <c r="G125" i="2"/>
  <c r="F125" i="2"/>
  <c r="E125" i="2"/>
  <c r="D126" i="2" l="1"/>
  <c r="I126" i="2"/>
  <c r="H126" i="2"/>
  <c r="G126" i="2"/>
  <c r="F126" i="2"/>
  <c r="E126" i="2"/>
  <c r="C126" i="2"/>
  <c r="J126" i="2" l="1"/>
  <c r="F127" i="2"/>
  <c r="E127" i="2"/>
  <c r="D127" i="2"/>
  <c r="I127" i="2"/>
  <c r="H127" i="2"/>
  <c r="G127" i="2"/>
  <c r="C127" i="2"/>
  <c r="J127" i="2" l="1"/>
  <c r="H128" i="2"/>
  <c r="G128" i="2"/>
  <c r="F128" i="2"/>
  <c r="E128" i="2"/>
  <c r="D128" i="2"/>
  <c r="I128" i="2"/>
  <c r="C128" i="2"/>
  <c r="J128" i="2" l="1"/>
  <c r="I129" i="2"/>
  <c r="H129" i="2"/>
  <c r="G129" i="2"/>
  <c r="F129" i="2"/>
  <c r="E129" i="2"/>
  <c r="D129" i="2"/>
  <c r="C129" i="2"/>
  <c r="D130" i="2" l="1"/>
  <c r="D131" i="2" s="1"/>
  <c r="I130" i="2"/>
  <c r="I131" i="2" s="1"/>
  <c r="H130" i="2"/>
  <c r="G130" i="2"/>
  <c r="G131" i="2" s="1"/>
  <c r="F130" i="2"/>
  <c r="F131" i="2" s="1"/>
  <c r="E130" i="2"/>
  <c r="E131" i="2" s="1"/>
  <c r="C130" i="2"/>
  <c r="C131" i="2" s="1"/>
  <c r="J129" i="2"/>
  <c r="J130" i="2" l="1"/>
  <c r="H131" i="2"/>
  <c r="J131" i="2" s="1"/>
  <c r="H132" i="2" l="1"/>
  <c r="D132" i="2"/>
  <c r="I132" i="2"/>
  <c r="C132" i="2"/>
  <c r="G132" i="2"/>
  <c r="F132" i="2"/>
  <c r="E132" i="2"/>
  <c r="J132" i="2" l="1"/>
  <c r="F133" i="2"/>
  <c r="E133" i="2"/>
  <c r="D133" i="2"/>
  <c r="I133" i="2"/>
  <c r="H133" i="2"/>
  <c r="G133" i="2"/>
  <c r="C133" i="2"/>
  <c r="J133" i="2" l="1"/>
  <c r="H134" i="2"/>
  <c r="G134" i="2"/>
  <c r="F134" i="2"/>
  <c r="E134" i="2"/>
  <c r="D134" i="2"/>
  <c r="I134" i="2"/>
  <c r="C134" i="2"/>
  <c r="J134" i="2" l="1"/>
  <c r="I135" i="2"/>
  <c r="H135" i="2"/>
  <c r="G135" i="2"/>
  <c r="F135" i="2"/>
  <c r="E135" i="2"/>
  <c r="D135" i="2"/>
  <c r="C135" i="2"/>
  <c r="J135" i="2" l="1"/>
  <c r="D136" i="2"/>
  <c r="I136" i="2"/>
  <c r="H136" i="2"/>
  <c r="G136" i="2"/>
  <c r="F136" i="2"/>
  <c r="E136" i="2"/>
  <c r="C136" i="2"/>
  <c r="J136" i="2" l="1"/>
  <c r="F137" i="2"/>
  <c r="F138" i="2" s="1"/>
  <c r="E137" i="2"/>
  <c r="E138" i="2" s="1"/>
  <c r="D137" i="2"/>
  <c r="D138" i="2" s="1"/>
  <c r="I137" i="2"/>
  <c r="I138" i="2" s="1"/>
  <c r="H137" i="2"/>
  <c r="G137" i="2"/>
  <c r="G138" i="2" s="1"/>
  <c r="C137" i="2"/>
  <c r="C138" i="2" s="1"/>
  <c r="J137" i="2" l="1"/>
  <c r="C139" i="2"/>
  <c r="H138" i="2"/>
  <c r="J138" i="2" s="1"/>
  <c r="F139" i="2" l="1"/>
  <c r="E139" i="2"/>
  <c r="D139" i="2"/>
  <c r="I139" i="2"/>
  <c r="H139" i="2"/>
  <c r="J139" i="2" s="1"/>
  <c r="G139" i="2"/>
  <c r="H140" i="2" l="1"/>
  <c r="G140" i="2"/>
  <c r="F140" i="2"/>
  <c r="E140" i="2"/>
  <c r="D140" i="2"/>
  <c r="I140" i="2"/>
  <c r="C140" i="2"/>
  <c r="J140" i="2" l="1"/>
  <c r="I141" i="2"/>
  <c r="H141" i="2"/>
  <c r="G141" i="2"/>
  <c r="F141" i="2"/>
  <c r="E141" i="2"/>
  <c r="D141" i="2"/>
  <c r="C141" i="2"/>
  <c r="J141" i="2" l="1"/>
  <c r="D142" i="2"/>
  <c r="I142" i="2"/>
  <c r="H142" i="2"/>
  <c r="G142" i="2"/>
  <c r="F142" i="2"/>
  <c r="E142" i="2"/>
  <c r="C142" i="2"/>
  <c r="J142" i="2" l="1"/>
  <c r="F143" i="2"/>
  <c r="E143" i="2"/>
  <c r="D143" i="2"/>
  <c r="I143" i="2"/>
  <c r="H143" i="2"/>
  <c r="G143" i="2"/>
  <c r="C143" i="2"/>
  <c r="J143" i="2" l="1"/>
  <c r="H144" i="2"/>
  <c r="G144" i="2"/>
  <c r="G145" i="2" s="1"/>
  <c r="F144" i="2"/>
  <c r="F145" i="2" s="1"/>
  <c r="E144" i="2"/>
  <c r="E145" i="2" s="1"/>
  <c r="D144" i="2"/>
  <c r="D145" i="2" s="1"/>
  <c r="I144" i="2"/>
  <c r="I145" i="2" s="1"/>
  <c r="C144" i="2"/>
  <c r="C145" i="2" s="1"/>
  <c r="J144" i="2" l="1"/>
  <c r="H145" i="2"/>
  <c r="J145" i="2" s="1"/>
  <c r="H146" i="2" l="1"/>
  <c r="C146" i="2"/>
  <c r="G146" i="2"/>
  <c r="F146" i="2"/>
  <c r="E146" i="2"/>
  <c r="D146" i="2"/>
  <c r="I146" i="2"/>
  <c r="J146" i="2" l="1"/>
  <c r="I147" i="2"/>
  <c r="H147" i="2"/>
  <c r="G147" i="2"/>
  <c r="F147" i="2"/>
  <c r="E147" i="2"/>
  <c r="D147" i="2"/>
  <c r="C147" i="2"/>
  <c r="J147" i="2" l="1"/>
  <c r="D148" i="2"/>
  <c r="I148" i="2"/>
  <c r="H148" i="2"/>
  <c r="G148" i="2"/>
  <c r="F148" i="2"/>
  <c r="E148" i="2"/>
  <c r="C148" i="2"/>
  <c r="J148" i="2" l="1"/>
  <c r="F149" i="2"/>
  <c r="E149" i="2"/>
  <c r="D149" i="2"/>
  <c r="I149" i="2"/>
  <c r="H149" i="2"/>
  <c r="G149" i="2"/>
  <c r="C149" i="2"/>
  <c r="J149" i="2" l="1"/>
  <c r="H150" i="2"/>
  <c r="G150" i="2"/>
  <c r="F150" i="2"/>
  <c r="E150" i="2"/>
  <c r="D150" i="2"/>
  <c r="I150" i="2"/>
  <c r="C150" i="2"/>
  <c r="J150" i="2" l="1"/>
  <c r="I151" i="2"/>
  <c r="I152" i="2" s="1"/>
  <c r="H151" i="2"/>
  <c r="G151" i="2"/>
  <c r="G152" i="2" s="1"/>
  <c r="F151" i="2"/>
  <c r="F152" i="2" s="1"/>
  <c r="E151" i="2"/>
  <c r="E152" i="2" s="1"/>
  <c r="D151" i="2"/>
  <c r="D152" i="2" s="1"/>
  <c r="C151" i="2"/>
  <c r="C152" i="2" s="1"/>
  <c r="J151" i="2" l="1"/>
  <c r="D153" i="2"/>
  <c r="H152" i="2"/>
  <c r="J152" i="2" s="1"/>
  <c r="E153" i="2" l="1"/>
  <c r="H153" i="2"/>
  <c r="C153" i="2"/>
  <c r="I153" i="2"/>
  <c r="G153" i="2"/>
  <c r="F153" i="2"/>
  <c r="J153" i="2" l="1"/>
  <c r="D154" i="2"/>
  <c r="I154" i="2"/>
  <c r="H154" i="2"/>
  <c r="G154" i="2"/>
  <c r="F154" i="2"/>
  <c r="E154" i="2"/>
  <c r="C154" i="2"/>
  <c r="J154" i="2" l="1"/>
  <c r="F155" i="2"/>
  <c r="E155" i="2"/>
  <c r="D155" i="2"/>
  <c r="I155" i="2"/>
  <c r="H155" i="2"/>
  <c r="G155" i="2"/>
  <c r="C155" i="2"/>
  <c r="J155" i="2" l="1"/>
  <c r="H156" i="2"/>
  <c r="G156" i="2"/>
  <c r="F156" i="2"/>
  <c r="E156" i="2"/>
  <c r="D156" i="2"/>
  <c r="I156" i="2"/>
  <c r="C156" i="2"/>
  <c r="J156" i="2" l="1"/>
  <c r="I157" i="2"/>
  <c r="H157" i="2"/>
  <c r="G157" i="2"/>
  <c r="F157" i="2"/>
  <c r="E157" i="2"/>
  <c r="D157" i="2"/>
  <c r="C157" i="2"/>
  <c r="J157" i="2" l="1"/>
  <c r="D158" i="2"/>
  <c r="D159" i="2" s="1"/>
  <c r="I158" i="2"/>
  <c r="I159" i="2" s="1"/>
  <c r="H158" i="2"/>
  <c r="G158" i="2"/>
  <c r="G159" i="2" s="1"/>
  <c r="F158" i="2"/>
  <c r="F159" i="2" s="1"/>
  <c r="E158" i="2"/>
  <c r="E159" i="2" s="1"/>
  <c r="C158" i="2"/>
  <c r="C159" i="2" s="1"/>
  <c r="J158" i="2" l="1"/>
  <c r="D160" i="2"/>
  <c r="H159" i="2"/>
  <c r="J159" i="2" s="1"/>
  <c r="H160" i="2" l="1"/>
  <c r="G160" i="2"/>
  <c r="F160" i="2"/>
  <c r="E160" i="2"/>
  <c r="I160" i="2"/>
  <c r="C160" i="2"/>
  <c r="J160" i="2" l="1"/>
  <c r="F161" i="2"/>
  <c r="E161" i="2"/>
  <c r="D161" i="2"/>
  <c r="I161" i="2"/>
  <c r="H161" i="2"/>
  <c r="G161" i="2"/>
  <c r="C161" i="2"/>
  <c r="J161" i="2" l="1"/>
  <c r="H162" i="2"/>
  <c r="G162" i="2"/>
  <c r="F162" i="2"/>
  <c r="E162" i="2"/>
  <c r="D162" i="2"/>
  <c r="I162" i="2"/>
  <c r="C162" i="2"/>
  <c r="J162" i="2" l="1"/>
  <c r="I163" i="2"/>
  <c r="H163" i="2"/>
  <c r="G163" i="2"/>
  <c r="F163" i="2"/>
  <c r="E163" i="2"/>
  <c r="D163" i="2"/>
  <c r="C163" i="2"/>
  <c r="J163" i="2" l="1"/>
  <c r="D164" i="2"/>
  <c r="I164" i="2"/>
  <c r="H164" i="2"/>
  <c r="G164" i="2"/>
  <c r="F164" i="2"/>
  <c r="E164" i="2"/>
  <c r="C164" i="2"/>
  <c r="J164" i="2" l="1"/>
  <c r="F165" i="2"/>
  <c r="F166" i="2" s="1"/>
  <c r="E165" i="2"/>
  <c r="E166" i="2" s="1"/>
  <c r="D165" i="2"/>
  <c r="D166" i="2" s="1"/>
  <c r="I165" i="2"/>
  <c r="I166" i="2" s="1"/>
  <c r="H165" i="2"/>
  <c r="G165" i="2"/>
  <c r="G166" i="2" s="1"/>
  <c r="C165" i="2"/>
  <c r="C166" i="2" s="1"/>
  <c r="J165" i="2" l="1"/>
  <c r="H166" i="2"/>
  <c r="J166" i="2" s="1"/>
  <c r="H167" i="2" l="1"/>
  <c r="C167" i="2"/>
  <c r="F167" i="2"/>
  <c r="E167" i="2"/>
  <c r="D167" i="2"/>
  <c r="I167" i="2"/>
  <c r="G167" i="2"/>
  <c r="J167" i="2" l="1"/>
  <c r="H168" i="2"/>
  <c r="G168" i="2"/>
  <c r="F168" i="2"/>
  <c r="E168" i="2"/>
  <c r="D168" i="2"/>
  <c r="I168" i="2"/>
  <c r="C168" i="2"/>
  <c r="J168" i="2" l="1"/>
  <c r="I169" i="2"/>
  <c r="H169" i="2"/>
  <c r="G169" i="2"/>
  <c r="F169" i="2"/>
  <c r="E169" i="2"/>
  <c r="D169" i="2"/>
  <c r="C169" i="2"/>
  <c r="D170" i="2" l="1"/>
  <c r="I170" i="2"/>
  <c r="H170" i="2"/>
  <c r="G170" i="2"/>
  <c r="F170" i="2"/>
  <c r="E170" i="2"/>
  <c r="C170" i="2"/>
  <c r="J169" i="2"/>
  <c r="J170" i="2" l="1"/>
  <c r="F171" i="2"/>
  <c r="E171" i="2"/>
  <c r="D171" i="2"/>
  <c r="I171" i="2"/>
  <c r="H171" i="2"/>
  <c r="G171" i="2"/>
  <c r="C171" i="2"/>
  <c r="J171" i="2" l="1"/>
  <c r="H172" i="2"/>
  <c r="G172" i="2"/>
  <c r="F172" i="2"/>
  <c r="E172" i="2"/>
  <c r="E173" i="2" s="1"/>
  <c r="D172" i="2"/>
  <c r="I172" i="2"/>
  <c r="C172" i="2"/>
  <c r="C173" i="2" l="1"/>
  <c r="C174" i="2" s="1"/>
  <c r="H173" i="2"/>
  <c r="I173" i="2"/>
  <c r="I174" i="2" s="1"/>
  <c r="D173" i="2"/>
  <c r="D174" i="2" s="1"/>
  <c r="F173" i="2"/>
  <c r="F174" i="2" s="1"/>
  <c r="G173" i="2"/>
  <c r="G174" i="2" s="1"/>
  <c r="J172" i="2"/>
  <c r="J173" i="2" l="1"/>
  <c r="H174" i="2"/>
  <c r="J174" i="2" s="1"/>
  <c r="E174" i="2"/>
  <c r="I175" i="2" l="1"/>
  <c r="H175" i="2"/>
  <c r="G175" i="2"/>
  <c r="F175" i="2"/>
  <c r="E175" i="2"/>
  <c r="D175" i="2"/>
  <c r="C175" i="2"/>
  <c r="J175" i="2" l="1"/>
  <c r="D176" i="2"/>
  <c r="I176" i="2"/>
  <c r="H176" i="2"/>
  <c r="G176" i="2"/>
  <c r="F176" i="2"/>
  <c r="E176" i="2"/>
  <c r="C176" i="2"/>
  <c r="J176" i="2" l="1"/>
  <c r="F177" i="2"/>
  <c r="E177" i="2"/>
  <c r="D177" i="2"/>
  <c r="I177" i="2"/>
  <c r="H177" i="2"/>
  <c r="G177" i="2"/>
  <c r="C177" i="2"/>
  <c r="J177" i="2" l="1"/>
  <c r="H178" i="2"/>
  <c r="G178" i="2"/>
  <c r="F178" i="2"/>
  <c r="E178" i="2"/>
  <c r="D178" i="2"/>
  <c r="I178" i="2"/>
  <c r="C178" i="2"/>
  <c r="J178" i="2" l="1"/>
  <c r="I179" i="2"/>
  <c r="I180" i="2" s="1"/>
  <c r="H179" i="2"/>
  <c r="G179" i="2"/>
  <c r="G180" i="2" s="1"/>
  <c r="F179" i="2"/>
  <c r="F180" i="2" s="1"/>
  <c r="E179" i="2"/>
  <c r="E180" i="2" s="1"/>
  <c r="D179" i="2"/>
  <c r="D180" i="2" s="1"/>
  <c r="C179" i="2"/>
  <c r="C180" i="2" s="1"/>
  <c r="J179" i="2" l="1"/>
  <c r="D181" i="2"/>
  <c r="H180" i="2"/>
  <c r="J180" i="2" s="1"/>
  <c r="E181" i="2" l="1"/>
  <c r="H181" i="2"/>
  <c r="C181" i="2"/>
  <c r="I181" i="2"/>
  <c r="G181" i="2"/>
  <c r="F181" i="2"/>
  <c r="J181" i="2" l="1"/>
  <c r="D182" i="2"/>
  <c r="I182" i="2"/>
  <c r="H182" i="2"/>
  <c r="G182" i="2"/>
  <c r="F182" i="2"/>
  <c r="E182" i="2"/>
  <c r="C182" i="2"/>
  <c r="J182" i="2" l="1"/>
  <c r="F183" i="2"/>
  <c r="E183" i="2"/>
  <c r="D183" i="2"/>
  <c r="I183" i="2"/>
  <c r="H183" i="2"/>
  <c r="G183" i="2"/>
  <c r="C183" i="2"/>
  <c r="J183" i="2" l="1"/>
  <c r="H184" i="2"/>
  <c r="G184" i="2"/>
  <c r="F184" i="2"/>
  <c r="E184" i="2"/>
  <c r="D184" i="2"/>
  <c r="I184" i="2"/>
  <c r="C184" i="2"/>
  <c r="J184" i="2" l="1"/>
  <c r="I185" i="2"/>
  <c r="H185" i="2"/>
  <c r="G185" i="2"/>
  <c r="F185" i="2"/>
  <c r="E185" i="2"/>
  <c r="D185" i="2"/>
  <c r="C185" i="2"/>
  <c r="J185" i="2" l="1"/>
  <c r="D186" i="2"/>
  <c r="D187" i="2" s="1"/>
  <c r="I186" i="2"/>
  <c r="I187" i="2" s="1"/>
  <c r="H186" i="2"/>
  <c r="G186" i="2"/>
  <c r="G187" i="2" s="1"/>
  <c r="F186" i="2"/>
  <c r="F187" i="2" s="1"/>
  <c r="E186" i="2"/>
  <c r="E187" i="2" s="1"/>
  <c r="C186" i="2"/>
  <c r="C187" i="2" s="1"/>
  <c r="J186" i="2" l="1"/>
  <c r="H187" i="2"/>
  <c r="J187" i="2" s="1"/>
  <c r="H188" i="2" l="1"/>
  <c r="D188" i="2"/>
  <c r="I188" i="2"/>
  <c r="C188" i="2"/>
  <c r="G188" i="2"/>
  <c r="F188" i="2"/>
  <c r="E188" i="2"/>
  <c r="J188" i="2" l="1"/>
  <c r="F189" i="2"/>
  <c r="E189" i="2"/>
  <c r="D189" i="2"/>
  <c r="I189" i="2"/>
  <c r="H189" i="2"/>
  <c r="G189" i="2"/>
  <c r="C189" i="2"/>
  <c r="J189" i="2" l="1"/>
  <c r="H190" i="2"/>
  <c r="G190" i="2"/>
  <c r="F190" i="2"/>
  <c r="E190" i="2"/>
  <c r="D190" i="2"/>
  <c r="I190" i="2"/>
  <c r="C190" i="2"/>
  <c r="J190" i="2" l="1"/>
  <c r="I191" i="2"/>
  <c r="H191" i="2"/>
  <c r="G191" i="2"/>
  <c r="F191" i="2"/>
  <c r="E191" i="2"/>
  <c r="D191" i="2"/>
  <c r="C191" i="2"/>
  <c r="J191" i="2" l="1"/>
  <c r="D192" i="2"/>
  <c r="I192" i="2"/>
  <c r="H192" i="2"/>
  <c r="G192" i="2"/>
  <c r="F192" i="2"/>
  <c r="E192" i="2"/>
  <c r="C192" i="2"/>
  <c r="J192" i="2" l="1"/>
  <c r="F193" i="2"/>
  <c r="F194" i="2" s="1"/>
  <c r="E193" i="2"/>
  <c r="E194" i="2" s="1"/>
  <c r="D193" i="2"/>
  <c r="D194" i="2" s="1"/>
  <c r="I193" i="2"/>
  <c r="I194" i="2" s="1"/>
  <c r="H193" i="2"/>
  <c r="G193" i="2"/>
  <c r="G194" i="2" s="1"/>
  <c r="C193" i="2"/>
  <c r="C194" i="2" s="1"/>
  <c r="J193" i="2" l="1"/>
  <c r="H194" i="2"/>
  <c r="J194" i="2" s="1"/>
  <c r="C195" i="2"/>
  <c r="H195" i="2" l="1"/>
  <c r="J195" i="2" s="1"/>
  <c r="G195" i="2"/>
  <c r="F195" i="2"/>
  <c r="E195" i="2"/>
  <c r="D195" i="2"/>
  <c r="I195" i="2"/>
  <c r="H196" i="2" l="1"/>
  <c r="G196" i="2"/>
  <c r="F196" i="2"/>
  <c r="E196" i="2"/>
  <c r="D196" i="2"/>
  <c r="I196" i="2"/>
  <c r="C196" i="2"/>
  <c r="J196" i="2" l="1"/>
  <c r="I197" i="2"/>
  <c r="H197" i="2"/>
  <c r="G197" i="2"/>
  <c r="F197" i="2"/>
  <c r="E197" i="2"/>
  <c r="D197" i="2"/>
  <c r="C197" i="2"/>
  <c r="D198" i="2" l="1"/>
  <c r="I198" i="2"/>
  <c r="H198" i="2"/>
  <c r="G198" i="2"/>
  <c r="F198" i="2"/>
  <c r="E198" i="2"/>
  <c r="C198" i="2"/>
  <c r="J197" i="2"/>
  <c r="J198" i="2" l="1"/>
  <c r="F199" i="2"/>
  <c r="E199" i="2"/>
  <c r="D199" i="2"/>
  <c r="I199" i="2"/>
  <c r="H199" i="2"/>
  <c r="G199" i="2"/>
  <c r="C199" i="2"/>
  <c r="J199" i="2" l="1"/>
  <c r="H200" i="2"/>
  <c r="G200" i="2"/>
  <c r="G201" i="2" s="1"/>
  <c r="F200" i="2"/>
  <c r="F201" i="2" s="1"/>
  <c r="E200" i="2"/>
  <c r="E201" i="2" s="1"/>
  <c r="D200" i="2"/>
  <c r="D201" i="2" s="1"/>
  <c r="I200" i="2"/>
  <c r="I201" i="2" s="1"/>
  <c r="C200" i="2"/>
  <c r="C201" i="2" s="1"/>
  <c r="J200" i="2" l="1"/>
  <c r="F202" i="2"/>
  <c r="H201" i="2"/>
  <c r="J201" i="2" s="1"/>
  <c r="G202" i="2" l="1"/>
  <c r="D202" i="2"/>
  <c r="H202" i="2"/>
  <c r="E202" i="2"/>
  <c r="I202" i="2"/>
  <c r="C202" i="2"/>
  <c r="J202" i="2" l="1"/>
  <c r="I203" i="2"/>
  <c r="H203" i="2"/>
  <c r="G203" i="2"/>
  <c r="F203" i="2"/>
  <c r="E203" i="2"/>
  <c r="D203" i="2"/>
  <c r="C203" i="2"/>
  <c r="J203" i="2" l="1"/>
  <c r="D204" i="2"/>
  <c r="I204" i="2"/>
  <c r="H204" i="2"/>
  <c r="G204" i="2"/>
  <c r="F204" i="2"/>
  <c r="E204" i="2"/>
  <c r="C204" i="2"/>
  <c r="J204" i="2" l="1"/>
  <c r="F205" i="2"/>
  <c r="E205" i="2"/>
  <c r="D205" i="2"/>
  <c r="I205" i="2"/>
  <c r="H205" i="2"/>
  <c r="G205" i="2"/>
  <c r="C205" i="2"/>
  <c r="J205" i="2" l="1"/>
  <c r="H206" i="2"/>
  <c r="G206" i="2"/>
  <c r="F206" i="2"/>
  <c r="E206" i="2"/>
  <c r="D206" i="2"/>
  <c r="I206" i="2"/>
  <c r="C206" i="2"/>
  <c r="J206" i="2" l="1"/>
  <c r="I207" i="2"/>
  <c r="I208" i="2" s="1"/>
  <c r="H207" i="2"/>
  <c r="G207" i="2"/>
  <c r="G208" i="2" s="1"/>
  <c r="F207" i="2"/>
  <c r="F208" i="2" s="1"/>
  <c r="E207" i="2"/>
  <c r="E208" i="2" s="1"/>
  <c r="D207" i="2"/>
  <c r="D208" i="2" s="1"/>
  <c r="C207" i="2"/>
  <c r="C208" i="2" s="1"/>
  <c r="J207" i="2" l="1"/>
  <c r="H208" i="2"/>
  <c r="J208" i="2" s="1"/>
  <c r="H209" i="2" l="1"/>
  <c r="E209" i="2"/>
  <c r="F209" i="2"/>
  <c r="C209" i="2"/>
  <c r="G209" i="2"/>
  <c r="I209" i="2"/>
  <c r="D209" i="2"/>
  <c r="J209" i="2" l="1"/>
  <c r="D210" i="2"/>
  <c r="I210" i="2"/>
  <c r="H210" i="2"/>
  <c r="G210" i="2"/>
  <c r="F210" i="2"/>
  <c r="E210" i="2"/>
  <c r="C210" i="2"/>
  <c r="J210" i="2" l="1"/>
  <c r="F211" i="2"/>
  <c r="E211" i="2"/>
  <c r="D211" i="2"/>
  <c r="I211" i="2"/>
  <c r="H211" i="2"/>
  <c r="G211" i="2"/>
  <c r="C211" i="2"/>
  <c r="J211" i="2" l="1"/>
  <c r="H212" i="2"/>
  <c r="G212" i="2"/>
  <c r="F212" i="2"/>
  <c r="E212" i="2"/>
  <c r="D212" i="2"/>
  <c r="I212" i="2"/>
  <c r="C212" i="2"/>
  <c r="J212" i="2" l="1"/>
  <c r="I213" i="2"/>
  <c r="H213" i="2"/>
  <c r="G213" i="2"/>
  <c r="F213" i="2"/>
  <c r="E213" i="2"/>
  <c r="D213" i="2"/>
  <c r="C213" i="2"/>
  <c r="J213" i="2" l="1"/>
  <c r="D214" i="2"/>
  <c r="D215" i="2" s="1"/>
  <c r="I214" i="2"/>
  <c r="I215" i="2" s="1"/>
  <c r="H214" i="2"/>
  <c r="G214" i="2"/>
  <c r="G215" i="2" s="1"/>
  <c r="F214" i="2"/>
  <c r="F215" i="2" s="1"/>
  <c r="E214" i="2"/>
  <c r="E215" i="2" s="1"/>
  <c r="C214" i="2"/>
  <c r="C215" i="2" s="1"/>
  <c r="J214" i="2" l="1"/>
  <c r="E216" i="2"/>
  <c r="H215" i="2"/>
  <c r="J215" i="2" s="1"/>
  <c r="C216" i="2"/>
  <c r="D216" i="2" l="1"/>
  <c r="I216" i="2"/>
  <c r="G216" i="2"/>
  <c r="H216" i="2"/>
  <c r="J216" i="2" s="1"/>
  <c r="F216" i="2"/>
  <c r="F217" i="2" l="1"/>
  <c r="E217" i="2"/>
  <c r="D217" i="2"/>
  <c r="I217" i="2"/>
  <c r="H217" i="2"/>
  <c r="G217" i="2"/>
  <c r="C217" i="2"/>
  <c r="J217" i="2" l="1"/>
  <c r="H218" i="2"/>
  <c r="G218" i="2"/>
  <c r="F218" i="2"/>
  <c r="E218" i="2"/>
  <c r="D218" i="2"/>
  <c r="I218" i="2"/>
  <c r="C218" i="2"/>
  <c r="J218" i="2" l="1"/>
  <c r="I219" i="2"/>
  <c r="H219" i="2"/>
  <c r="G219" i="2"/>
  <c r="F219" i="2"/>
  <c r="E219" i="2"/>
  <c r="D219" i="2"/>
  <c r="C219" i="2"/>
  <c r="J219" i="2" l="1"/>
  <c r="D220" i="2"/>
  <c r="I220" i="2"/>
  <c r="H220" i="2"/>
  <c r="G220" i="2"/>
  <c r="F220" i="2"/>
  <c r="E220" i="2"/>
  <c r="C220" i="2"/>
  <c r="J220" i="2" l="1"/>
  <c r="F221" i="2"/>
  <c r="F222" i="2" s="1"/>
  <c r="E221" i="2"/>
  <c r="E222" i="2" s="1"/>
  <c r="D221" i="2"/>
  <c r="D222" i="2" s="1"/>
  <c r="I221" i="2"/>
  <c r="I222" i="2" s="1"/>
  <c r="H221" i="2"/>
  <c r="G221" i="2"/>
  <c r="G222" i="2" s="1"/>
  <c r="C221" i="2"/>
  <c r="C222" i="2" s="1"/>
  <c r="J221" i="2" l="1"/>
  <c r="H222" i="2"/>
  <c r="J222" i="2" s="1"/>
  <c r="H223" i="2" l="1"/>
  <c r="C223" i="2"/>
  <c r="F223" i="2"/>
  <c r="E223" i="2"/>
  <c r="D223" i="2"/>
  <c r="I223" i="2"/>
  <c r="G223" i="2"/>
  <c r="J223" i="2" l="1"/>
  <c r="H224" i="2"/>
  <c r="G224" i="2"/>
  <c r="F224" i="2"/>
  <c r="E224" i="2"/>
  <c r="D224" i="2"/>
  <c r="I224" i="2"/>
  <c r="C224" i="2"/>
  <c r="J224" i="2" l="1"/>
  <c r="I225" i="2"/>
  <c r="H225" i="2"/>
  <c r="G225" i="2"/>
  <c r="F225" i="2"/>
  <c r="E225" i="2"/>
  <c r="D225" i="2"/>
  <c r="C225" i="2"/>
  <c r="J225" i="2" l="1"/>
  <c r="D226" i="2"/>
  <c r="I226" i="2"/>
  <c r="H226" i="2"/>
  <c r="G226" i="2"/>
  <c r="F226" i="2"/>
  <c r="E226" i="2"/>
  <c r="C226" i="2"/>
  <c r="J226" i="2" l="1"/>
  <c r="F227" i="2"/>
  <c r="E227" i="2"/>
  <c r="D227" i="2"/>
  <c r="I227" i="2"/>
  <c r="H227" i="2"/>
  <c r="G227" i="2"/>
  <c r="C227" i="2"/>
  <c r="J227" i="2" l="1"/>
  <c r="H228" i="2"/>
  <c r="G228" i="2"/>
  <c r="G229" i="2" s="1"/>
  <c r="F228" i="2"/>
  <c r="F229" i="2" s="1"/>
  <c r="E228" i="2"/>
  <c r="E229" i="2" s="1"/>
  <c r="D228" i="2"/>
  <c r="D229" i="2" s="1"/>
  <c r="I228" i="2"/>
  <c r="I229" i="2" s="1"/>
  <c r="C228" i="2"/>
  <c r="C229" i="2" s="1"/>
  <c r="J228" i="2" l="1"/>
  <c r="C230" i="2"/>
  <c r="H229" i="2"/>
  <c r="J229" i="2" s="1"/>
  <c r="E230" i="2" l="1"/>
  <c r="G230" i="2"/>
  <c r="H230" i="2"/>
  <c r="J230" i="2" s="1"/>
  <c r="F230" i="2"/>
  <c r="D230" i="2"/>
  <c r="I230" i="2"/>
  <c r="I231" i="2" l="1"/>
  <c r="H231" i="2"/>
  <c r="G231" i="2"/>
  <c r="F231" i="2"/>
  <c r="E231" i="2"/>
  <c r="D231" i="2"/>
  <c r="C231" i="2"/>
  <c r="J231" i="2" l="1"/>
  <c r="D232" i="2"/>
  <c r="I232" i="2"/>
  <c r="H232" i="2"/>
  <c r="G232" i="2"/>
  <c r="F232" i="2"/>
  <c r="E232" i="2"/>
  <c r="C232" i="2"/>
  <c r="J232" i="2" l="1"/>
  <c r="F233" i="2"/>
  <c r="E233" i="2"/>
  <c r="D233" i="2"/>
  <c r="I233" i="2"/>
  <c r="H233" i="2"/>
  <c r="G233" i="2"/>
  <c r="C233" i="2"/>
  <c r="J233" i="2" l="1"/>
  <c r="H234" i="2"/>
  <c r="G234" i="2"/>
  <c r="F234" i="2"/>
  <c r="E234" i="2"/>
  <c r="D234" i="2"/>
  <c r="I234" i="2"/>
  <c r="C234" i="2"/>
  <c r="I235" i="2" l="1"/>
  <c r="H235" i="2"/>
  <c r="G235" i="2"/>
  <c r="F235" i="2"/>
  <c r="E235" i="2"/>
  <c r="D235" i="2"/>
  <c r="C235" i="2"/>
  <c r="J234" i="2"/>
  <c r="J235" i="2" l="1"/>
  <c r="C236" i="2"/>
  <c r="C237" i="2" s="1"/>
  <c r="D236" i="2"/>
  <c r="D237" i="2" s="1"/>
  <c r="E236" i="2"/>
  <c r="E237" i="2" s="1"/>
  <c r="H236" i="2"/>
  <c r="F236" i="2"/>
  <c r="F237" i="2" s="1"/>
  <c r="G236" i="2"/>
  <c r="G237" i="2" s="1"/>
  <c r="I236" i="2"/>
  <c r="I237" i="2" s="1"/>
  <c r="J236" i="2" l="1"/>
  <c r="H237" i="2"/>
  <c r="J237" i="2" s="1"/>
  <c r="D238" i="2" l="1"/>
  <c r="I238" i="2"/>
  <c r="H238" i="2"/>
  <c r="G238" i="2"/>
  <c r="F238" i="2"/>
  <c r="E238" i="2"/>
  <c r="C238" i="2"/>
  <c r="J238" i="2" l="1"/>
  <c r="F239" i="2"/>
  <c r="E239" i="2"/>
  <c r="D239" i="2"/>
  <c r="I239" i="2"/>
  <c r="H239" i="2"/>
  <c r="G239" i="2"/>
  <c r="C239" i="2"/>
  <c r="J239" i="2" l="1"/>
  <c r="H240" i="2"/>
  <c r="G240" i="2"/>
  <c r="F240" i="2"/>
  <c r="E240" i="2"/>
  <c r="D240" i="2"/>
  <c r="I240" i="2"/>
  <c r="C240" i="2"/>
  <c r="I241" i="2" l="1"/>
  <c r="H241" i="2"/>
  <c r="G241" i="2"/>
  <c r="F241" i="2"/>
  <c r="E241" i="2"/>
  <c r="D241" i="2"/>
  <c r="C241" i="2"/>
  <c r="J240" i="2"/>
  <c r="D242" i="2" l="1"/>
  <c r="D243" i="2" s="1"/>
  <c r="I242" i="2"/>
  <c r="I243" i="2" s="1"/>
  <c r="H242" i="2"/>
  <c r="G242" i="2"/>
  <c r="G243" i="2" s="1"/>
  <c r="F242" i="2"/>
  <c r="F243" i="2" s="1"/>
  <c r="E242" i="2"/>
  <c r="E243" i="2" s="1"/>
  <c r="C242" i="2"/>
  <c r="C243" i="2" s="1"/>
  <c r="J241" i="2"/>
  <c r="J242" i="2" l="1"/>
  <c r="E244" i="2"/>
  <c r="H243" i="2"/>
  <c r="J243" i="2" s="1"/>
  <c r="C244" i="2" l="1"/>
  <c r="H244" i="2"/>
  <c r="D244" i="2"/>
  <c r="I244" i="2"/>
  <c r="G244" i="2"/>
  <c r="F244" i="2"/>
  <c r="J244" i="2" l="1"/>
  <c r="F245" i="2"/>
  <c r="E245" i="2"/>
  <c r="D245" i="2"/>
  <c r="I245" i="2"/>
  <c r="H245" i="2"/>
  <c r="G245" i="2"/>
  <c r="C245" i="2"/>
  <c r="H246" i="2" l="1"/>
  <c r="G246" i="2"/>
  <c r="F246" i="2"/>
  <c r="E246" i="2"/>
  <c r="D246" i="2"/>
  <c r="I246" i="2"/>
  <c r="C246" i="2"/>
  <c r="J245" i="2"/>
  <c r="J246" i="2" l="1"/>
  <c r="I247" i="2"/>
  <c r="H247" i="2"/>
  <c r="G247" i="2"/>
  <c r="F247" i="2"/>
  <c r="E247" i="2"/>
  <c r="D247" i="2"/>
  <c r="C247" i="2"/>
  <c r="J247" i="2" l="1"/>
  <c r="D248" i="2"/>
  <c r="I248" i="2"/>
  <c r="H248" i="2"/>
  <c r="G248" i="2"/>
  <c r="F248" i="2"/>
  <c r="E248" i="2"/>
  <c r="C248" i="2"/>
  <c r="J248" i="2" l="1"/>
  <c r="F249" i="2"/>
  <c r="F250" i="2" s="1"/>
  <c r="E249" i="2"/>
  <c r="E250" i="2" s="1"/>
  <c r="D249" i="2"/>
  <c r="D250" i="2" s="1"/>
  <c r="I249" i="2"/>
  <c r="I250" i="2" s="1"/>
  <c r="H249" i="2"/>
  <c r="G249" i="2"/>
  <c r="G250" i="2" s="1"/>
  <c r="C249" i="2"/>
  <c r="C250" i="2" s="1"/>
  <c r="J249" i="2" l="1"/>
  <c r="E251" i="2"/>
  <c r="H250" i="2"/>
  <c r="J250" i="2" s="1"/>
  <c r="I251" i="2" l="1"/>
  <c r="C251" i="2"/>
  <c r="F251" i="2"/>
  <c r="H251" i="2"/>
  <c r="D251" i="2"/>
  <c r="G251" i="2"/>
  <c r="J251" i="2" l="1"/>
  <c r="H252" i="2"/>
  <c r="G252" i="2"/>
  <c r="F252" i="2"/>
  <c r="E252" i="2"/>
  <c r="D252" i="2"/>
  <c r="I252" i="2"/>
  <c r="C252" i="2"/>
  <c r="J252" i="2" l="1"/>
  <c r="I253" i="2"/>
  <c r="H253" i="2"/>
  <c r="G253" i="2"/>
  <c r="F253" i="2"/>
  <c r="E253" i="2"/>
  <c r="D253" i="2"/>
  <c r="C253" i="2"/>
  <c r="J253" i="2" l="1"/>
  <c r="D254" i="2"/>
  <c r="I254" i="2"/>
  <c r="H254" i="2"/>
  <c r="G254" i="2"/>
  <c r="F254" i="2"/>
  <c r="E254" i="2"/>
  <c r="C254" i="2"/>
  <c r="J254" i="2" l="1"/>
  <c r="F255" i="2"/>
  <c r="E255" i="2"/>
  <c r="D255" i="2"/>
  <c r="I255" i="2"/>
  <c r="H255" i="2"/>
  <c r="G255" i="2"/>
  <c r="C255" i="2"/>
  <c r="J255" i="2" l="1"/>
  <c r="H256" i="2"/>
  <c r="G256" i="2"/>
  <c r="G257" i="2" s="1"/>
  <c r="F256" i="2"/>
  <c r="F257" i="2" s="1"/>
  <c r="E256" i="2"/>
  <c r="E257" i="2" s="1"/>
  <c r="D256" i="2"/>
  <c r="D257" i="2" s="1"/>
  <c r="I256" i="2"/>
  <c r="I257" i="2" s="1"/>
  <c r="C256" i="2"/>
  <c r="C257" i="2" s="1"/>
  <c r="J256" i="2" l="1"/>
  <c r="C258" i="2"/>
  <c r="H257" i="2"/>
  <c r="J257" i="2" s="1"/>
  <c r="G258" i="2" l="1"/>
  <c r="F258" i="2"/>
  <c r="E258" i="2"/>
  <c r="H258" i="2"/>
  <c r="J258" i="2" s="1"/>
  <c r="D258" i="2"/>
  <c r="I258" i="2"/>
  <c r="I259" i="2" l="1"/>
  <c r="H259" i="2"/>
  <c r="G259" i="2"/>
  <c r="F259" i="2"/>
  <c r="E259" i="2"/>
  <c r="D259" i="2"/>
  <c r="C259" i="2"/>
  <c r="J259" i="2" l="1"/>
  <c r="D260" i="2"/>
  <c r="I260" i="2"/>
  <c r="H260" i="2"/>
  <c r="G260" i="2"/>
  <c r="F260" i="2"/>
  <c r="E260" i="2"/>
  <c r="C260" i="2"/>
  <c r="J260" i="2" l="1"/>
  <c r="F261" i="2"/>
  <c r="E261" i="2"/>
  <c r="D261" i="2"/>
  <c r="I261" i="2"/>
  <c r="H261" i="2"/>
  <c r="G261" i="2"/>
  <c r="C261" i="2"/>
  <c r="J261" i="2" l="1"/>
  <c r="H262" i="2"/>
  <c r="G262" i="2"/>
  <c r="F262" i="2"/>
  <c r="E262" i="2"/>
  <c r="D262" i="2"/>
  <c r="I262" i="2"/>
  <c r="C262" i="2"/>
  <c r="J262" i="2" l="1"/>
  <c r="I263" i="2"/>
  <c r="I264" i="2" s="1"/>
  <c r="H263" i="2"/>
  <c r="G263" i="2"/>
  <c r="G264" i="2" s="1"/>
  <c r="F263" i="2"/>
  <c r="F264" i="2" s="1"/>
  <c r="E263" i="2"/>
  <c r="E264" i="2" s="1"/>
  <c r="D263" i="2"/>
  <c r="C263" i="2"/>
  <c r="C264" i="2" s="1"/>
  <c r="H264" i="2" l="1"/>
  <c r="J264" i="2" s="1"/>
  <c r="D264" i="2"/>
  <c r="D265" i="2" s="1"/>
  <c r="E265" i="2"/>
  <c r="F265" i="2"/>
  <c r="G265" i="2"/>
  <c r="J263" i="2"/>
  <c r="H265" i="2" l="1"/>
  <c r="C265" i="2"/>
  <c r="I265" i="2"/>
  <c r="J265" i="2" l="1"/>
  <c r="D266" i="2"/>
  <c r="I266" i="2"/>
  <c r="H266" i="2"/>
  <c r="G266" i="2"/>
  <c r="F266" i="2"/>
  <c r="E266" i="2"/>
  <c r="C266" i="2"/>
  <c r="J266" i="2" l="1"/>
  <c r="F267" i="2"/>
  <c r="E267" i="2"/>
  <c r="D267" i="2"/>
  <c r="I267" i="2"/>
  <c r="H267" i="2"/>
  <c r="G267" i="2"/>
  <c r="C267" i="2"/>
  <c r="J267" i="2" l="1"/>
  <c r="H268" i="2"/>
  <c r="G268" i="2"/>
  <c r="F268" i="2"/>
  <c r="E268" i="2"/>
  <c r="D268" i="2"/>
  <c r="I268" i="2"/>
  <c r="C268" i="2"/>
  <c r="J268" i="2" l="1"/>
  <c r="I269" i="2"/>
  <c r="H269" i="2"/>
  <c r="G269" i="2"/>
  <c r="F269" i="2"/>
  <c r="E269" i="2"/>
  <c r="D269" i="2"/>
  <c r="C269" i="2"/>
  <c r="G270" i="2" l="1"/>
  <c r="G271" i="2" s="1"/>
  <c r="F270" i="2"/>
  <c r="F271" i="2" s="1"/>
  <c r="E270" i="2"/>
  <c r="E271" i="2" s="1"/>
  <c r="D270" i="2"/>
  <c r="D271" i="2" s="1"/>
  <c r="I270" i="2"/>
  <c r="I271" i="2" s="1"/>
  <c r="H270" i="2"/>
  <c r="C270" i="2"/>
  <c r="C271" i="2" s="1"/>
  <c r="J269" i="2"/>
  <c r="J270" i="2" l="1"/>
  <c r="E272" i="2"/>
  <c r="H271" i="2"/>
  <c r="J271" i="2" s="1"/>
  <c r="H272" i="2" l="1"/>
  <c r="G272" i="2"/>
  <c r="F272" i="2"/>
  <c r="D272" i="2"/>
  <c r="I272" i="2"/>
  <c r="C272" i="2"/>
  <c r="J272" i="2" l="1"/>
  <c r="I273" i="2"/>
  <c r="H273" i="2"/>
  <c r="G273" i="2"/>
  <c r="F273" i="2"/>
  <c r="E273" i="2"/>
  <c r="D273" i="2"/>
  <c r="C273" i="2"/>
  <c r="J273" i="2" l="1"/>
  <c r="I274" i="2"/>
  <c r="H274" i="2"/>
  <c r="G274" i="2"/>
  <c r="F274" i="2"/>
  <c r="E274" i="2"/>
  <c r="D274" i="2"/>
  <c r="C274" i="2"/>
  <c r="J274" i="2" l="1"/>
  <c r="E275" i="2"/>
  <c r="D275" i="2"/>
  <c r="I275" i="2"/>
  <c r="H275" i="2"/>
  <c r="G275" i="2"/>
  <c r="F275" i="2"/>
  <c r="C275" i="2"/>
  <c r="J275" i="2" l="1"/>
  <c r="G276" i="2"/>
  <c r="F276" i="2"/>
  <c r="E276" i="2"/>
  <c r="D276" i="2"/>
  <c r="I276" i="2"/>
  <c r="H276" i="2"/>
  <c r="C276" i="2"/>
  <c r="J276" i="2" l="1"/>
  <c r="I277" i="2"/>
  <c r="I278" i="2" s="1"/>
  <c r="H277" i="2"/>
  <c r="G277" i="2"/>
  <c r="G278" i="2" s="1"/>
  <c r="F277" i="2"/>
  <c r="F278" i="2" s="1"/>
  <c r="E277" i="2"/>
  <c r="E278" i="2" s="1"/>
  <c r="D277" i="2"/>
  <c r="D278" i="2" s="1"/>
  <c r="C277" i="2"/>
  <c r="C278" i="2" s="1"/>
  <c r="J277" i="2" l="1"/>
  <c r="D279" i="2"/>
  <c r="H278" i="2"/>
  <c r="J278" i="2" s="1"/>
  <c r="I279" i="2" l="1"/>
  <c r="G279" i="2"/>
  <c r="F279" i="2"/>
  <c r="E279" i="2"/>
  <c r="H279" i="2"/>
  <c r="C279" i="2"/>
  <c r="J279" i="2" l="1"/>
  <c r="I280" i="2"/>
  <c r="H280" i="2"/>
  <c r="G280" i="2"/>
  <c r="F280" i="2"/>
  <c r="E280" i="2"/>
  <c r="D280" i="2"/>
  <c r="C280" i="2"/>
  <c r="E281" i="2" l="1"/>
  <c r="D281" i="2"/>
  <c r="I281" i="2"/>
  <c r="H281" i="2"/>
  <c r="G281" i="2"/>
  <c r="F281" i="2"/>
  <c r="C281" i="2"/>
  <c r="J280" i="2"/>
  <c r="J281" i="2" l="1"/>
  <c r="G282" i="2"/>
  <c r="F282" i="2"/>
  <c r="E282" i="2"/>
  <c r="D282" i="2"/>
  <c r="I282" i="2"/>
  <c r="H282" i="2"/>
  <c r="C282" i="2"/>
  <c r="J282" i="2" l="1"/>
  <c r="I283" i="2"/>
  <c r="H283" i="2"/>
  <c r="G283" i="2"/>
  <c r="F283" i="2"/>
  <c r="E283" i="2"/>
  <c r="D283" i="2"/>
  <c r="C283" i="2"/>
  <c r="J283" i="2" l="1"/>
  <c r="I284" i="2"/>
  <c r="I285" i="2" s="1"/>
  <c r="H284" i="2"/>
  <c r="G284" i="2"/>
  <c r="G285" i="2" s="1"/>
  <c r="F284" i="2"/>
  <c r="F285" i="2" s="1"/>
  <c r="E284" i="2"/>
  <c r="E285" i="2" s="1"/>
  <c r="D284" i="2"/>
  <c r="D285" i="2" s="1"/>
  <c r="C284" i="2"/>
  <c r="C285" i="2" s="1"/>
  <c r="J284" i="2" l="1"/>
  <c r="D286" i="2"/>
  <c r="H285" i="2"/>
  <c r="J285" i="2" s="1"/>
  <c r="H286" i="2" l="1"/>
  <c r="I286" i="2"/>
  <c r="G286" i="2"/>
  <c r="F286" i="2"/>
  <c r="C286" i="2"/>
  <c r="E286" i="2"/>
  <c r="J286" i="2" l="1"/>
  <c r="E287" i="2"/>
  <c r="D287" i="2"/>
  <c r="I287" i="2"/>
  <c r="H287" i="2"/>
  <c r="G287" i="2"/>
  <c r="F287" i="2"/>
  <c r="C287" i="2"/>
  <c r="J287" i="2" l="1"/>
  <c r="G288" i="2"/>
  <c r="F288" i="2"/>
  <c r="E288" i="2"/>
  <c r="D288" i="2"/>
  <c r="I288" i="2"/>
  <c r="H288" i="2"/>
  <c r="C288" i="2"/>
  <c r="J288" i="2" l="1"/>
  <c r="I289" i="2"/>
  <c r="H289" i="2"/>
  <c r="G289" i="2"/>
  <c r="F289" i="2"/>
  <c r="E289" i="2"/>
  <c r="D289" i="2"/>
  <c r="C289" i="2"/>
  <c r="J289" i="2" l="1"/>
  <c r="I290" i="2"/>
  <c r="H290" i="2"/>
  <c r="G290" i="2"/>
  <c r="F290" i="2"/>
  <c r="E290" i="2"/>
  <c r="D290" i="2"/>
  <c r="C290" i="2"/>
  <c r="J290" i="2" l="1"/>
  <c r="E291" i="2"/>
  <c r="E292" i="2" s="1"/>
  <c r="D291" i="2"/>
  <c r="D292" i="2" s="1"/>
  <c r="I291" i="2"/>
  <c r="I292" i="2" s="1"/>
  <c r="H291" i="2"/>
  <c r="G291" i="2"/>
  <c r="G292" i="2" s="1"/>
  <c r="F291" i="2"/>
  <c r="F292" i="2" s="1"/>
  <c r="C291" i="2"/>
  <c r="C292" i="2" s="1"/>
  <c r="J291" i="2" l="1"/>
  <c r="H292" i="2"/>
  <c r="J292" i="2" s="1"/>
  <c r="H293" i="2" l="1"/>
  <c r="C293" i="2"/>
  <c r="E293" i="2"/>
  <c r="D293" i="2"/>
  <c r="I293" i="2"/>
  <c r="F293" i="2"/>
  <c r="G293" i="2"/>
  <c r="J293" i="2" l="1"/>
  <c r="G294" i="2"/>
  <c r="F294" i="2"/>
  <c r="E294" i="2"/>
  <c r="D294" i="2"/>
  <c r="I294" i="2"/>
  <c r="H294" i="2"/>
  <c r="C294" i="2"/>
  <c r="J294" i="2" l="1"/>
  <c r="I295" i="2"/>
  <c r="H295" i="2"/>
  <c r="G295" i="2"/>
  <c r="F295" i="2"/>
  <c r="E295" i="2"/>
  <c r="D295" i="2"/>
  <c r="C295" i="2"/>
  <c r="I296" i="2" l="1"/>
  <c r="H296" i="2"/>
  <c r="G296" i="2"/>
  <c r="F296" i="2"/>
  <c r="E296" i="2"/>
  <c r="D296" i="2"/>
  <c r="C296" i="2"/>
  <c r="J295" i="2"/>
  <c r="J296" i="2" l="1"/>
  <c r="E297" i="2"/>
  <c r="D297" i="2"/>
  <c r="I297" i="2"/>
  <c r="H297" i="2"/>
  <c r="G297" i="2"/>
  <c r="F297" i="2"/>
  <c r="C297" i="2"/>
  <c r="J297" i="2" l="1"/>
  <c r="G298" i="2"/>
  <c r="G299" i="2" s="1"/>
  <c r="F298" i="2"/>
  <c r="F299" i="2" s="1"/>
  <c r="E298" i="2"/>
  <c r="E299" i="2" s="1"/>
  <c r="D298" i="2"/>
  <c r="D299" i="2" s="1"/>
  <c r="I298" i="2"/>
  <c r="I299" i="2" s="1"/>
  <c r="H298" i="2"/>
  <c r="C298" i="2"/>
  <c r="C299" i="2" s="1"/>
  <c r="J298" i="2" l="1"/>
  <c r="F300" i="2"/>
  <c r="H299" i="2"/>
  <c r="J299" i="2" s="1"/>
  <c r="I300" i="2" l="1"/>
  <c r="G300" i="2"/>
  <c r="H300" i="2"/>
  <c r="E300" i="2"/>
  <c r="C300" i="2"/>
  <c r="D300" i="2"/>
  <c r="J300" i="2" l="1"/>
  <c r="I301" i="2"/>
  <c r="H301" i="2"/>
  <c r="G301" i="2"/>
  <c r="F301" i="2"/>
  <c r="E301" i="2"/>
  <c r="D301" i="2"/>
  <c r="C301" i="2"/>
  <c r="J301" i="2" l="1"/>
  <c r="I302" i="2"/>
  <c r="H302" i="2"/>
  <c r="G302" i="2"/>
  <c r="F302" i="2"/>
  <c r="E302" i="2"/>
  <c r="D302" i="2"/>
  <c r="C302" i="2"/>
  <c r="J302" i="2" l="1"/>
  <c r="E303" i="2"/>
  <c r="D303" i="2"/>
  <c r="I303" i="2"/>
  <c r="H303" i="2"/>
  <c r="G303" i="2"/>
  <c r="F303" i="2"/>
  <c r="C303" i="2"/>
  <c r="G304" i="2" l="1"/>
  <c r="F304" i="2"/>
  <c r="E304" i="2"/>
  <c r="D304" i="2"/>
  <c r="I304" i="2"/>
  <c r="H304" i="2"/>
  <c r="C304" i="2"/>
  <c r="J303" i="2"/>
  <c r="J304" i="2" l="1"/>
  <c r="I305" i="2"/>
  <c r="H305" i="2"/>
  <c r="G305" i="2"/>
  <c r="G306" i="2" s="1"/>
  <c r="F305" i="2"/>
  <c r="F306" i="2" s="1"/>
  <c r="E305" i="2"/>
  <c r="E306" i="2" s="1"/>
  <c r="D305" i="2"/>
  <c r="D306" i="2" s="1"/>
  <c r="C305" i="2"/>
  <c r="J305" i="2" l="1"/>
  <c r="I306" i="2"/>
  <c r="I307" i="2" s="1"/>
  <c r="F307" i="2"/>
  <c r="H306" i="2"/>
  <c r="C306" i="2"/>
  <c r="C307" i="2" s="1"/>
  <c r="D307" i="2" l="1"/>
  <c r="J306" i="2"/>
  <c r="H307" i="2"/>
  <c r="J307" i="2" s="1"/>
  <c r="G307" i="2"/>
  <c r="E307" i="2"/>
  <c r="I308" i="2" l="1"/>
  <c r="H308" i="2"/>
  <c r="G308" i="2"/>
  <c r="F308" i="2"/>
  <c r="E308" i="2"/>
  <c r="D308" i="2"/>
  <c r="C308" i="2"/>
  <c r="J308" i="2" l="1"/>
  <c r="E309" i="2"/>
  <c r="D309" i="2"/>
  <c r="I309" i="2"/>
  <c r="H309" i="2"/>
  <c r="G309" i="2"/>
  <c r="F309" i="2"/>
  <c r="C309" i="2"/>
  <c r="J309" i="2" l="1"/>
  <c r="G310" i="2"/>
  <c r="F310" i="2"/>
  <c r="E310" i="2"/>
  <c r="D310" i="2"/>
  <c r="I310" i="2"/>
  <c r="H310" i="2"/>
  <c r="C310" i="2"/>
  <c r="J310" i="2" l="1"/>
  <c r="I311" i="2"/>
  <c r="H311" i="2"/>
  <c r="G311" i="2"/>
  <c r="F311" i="2"/>
  <c r="E311" i="2"/>
  <c r="D311" i="2"/>
  <c r="C311" i="2"/>
  <c r="J311" i="2" l="1"/>
  <c r="I312" i="2"/>
  <c r="I313" i="2" s="1"/>
  <c r="H312" i="2"/>
  <c r="G312" i="2"/>
  <c r="G313" i="2" s="1"/>
  <c r="F312" i="2"/>
  <c r="F313" i="2" s="1"/>
  <c r="E312" i="2"/>
  <c r="E313" i="2" s="1"/>
  <c r="D312" i="2"/>
  <c r="D313" i="2" s="1"/>
  <c r="C312" i="2"/>
  <c r="C313" i="2" s="1"/>
  <c r="J312" i="2" l="1"/>
  <c r="F314" i="2"/>
  <c r="H313" i="2"/>
  <c r="J313" i="2" s="1"/>
  <c r="C314" i="2"/>
  <c r="H314" i="2" l="1"/>
  <c r="J314" i="2" s="1"/>
  <c r="I314" i="2"/>
  <c r="D314" i="2"/>
  <c r="G314" i="2"/>
  <c r="E314" i="2"/>
  <c r="E315" i="2" l="1"/>
  <c r="D315" i="2"/>
  <c r="I315" i="2"/>
  <c r="H315" i="2"/>
  <c r="G315" i="2"/>
  <c r="F315" i="2"/>
  <c r="C315" i="2"/>
  <c r="J315" i="2" l="1"/>
  <c r="G316" i="2"/>
  <c r="F316" i="2"/>
  <c r="E316" i="2"/>
  <c r="D316" i="2"/>
  <c r="I316" i="2"/>
  <c r="H316" i="2"/>
  <c r="C316" i="2"/>
  <c r="J316" i="2" l="1"/>
  <c r="I317" i="2"/>
  <c r="H317" i="2"/>
  <c r="G317" i="2"/>
  <c r="F317" i="2"/>
  <c r="E317" i="2"/>
  <c r="D317" i="2"/>
  <c r="C317" i="2"/>
  <c r="J317" i="2" l="1"/>
  <c r="I318" i="2"/>
  <c r="H318" i="2"/>
  <c r="G318" i="2"/>
  <c r="F318" i="2"/>
  <c r="E318" i="2"/>
  <c r="D318" i="2"/>
  <c r="C318" i="2"/>
  <c r="J318" i="2" l="1"/>
  <c r="E319" i="2"/>
  <c r="E320" i="2" s="1"/>
  <c r="D319" i="2"/>
  <c r="D320" i="2" s="1"/>
  <c r="I319" i="2"/>
  <c r="I320" i="2" s="1"/>
  <c r="H319" i="2"/>
  <c r="G319" i="2"/>
  <c r="G320" i="2" s="1"/>
  <c r="F319" i="2"/>
  <c r="F320" i="2" s="1"/>
  <c r="C319" i="2"/>
  <c r="C320" i="2" s="1"/>
  <c r="J319" i="2" l="1"/>
  <c r="H320" i="2"/>
  <c r="J320" i="2" s="1"/>
  <c r="C321" i="2"/>
  <c r="H321" i="2" l="1"/>
  <c r="J321" i="2" s="1"/>
  <c r="I321" i="2"/>
  <c r="E321" i="2"/>
  <c r="D321" i="2"/>
  <c r="G321" i="2"/>
  <c r="F321" i="2"/>
  <c r="G322" i="2" l="1"/>
  <c r="F322" i="2"/>
  <c r="E322" i="2"/>
  <c r="D322" i="2"/>
  <c r="I322" i="2"/>
  <c r="H322" i="2"/>
  <c r="C322" i="2"/>
  <c r="J322" i="2" l="1"/>
  <c r="I323" i="2"/>
  <c r="H323" i="2"/>
  <c r="G323" i="2"/>
  <c r="F323" i="2"/>
  <c r="E323" i="2"/>
  <c r="D323" i="2"/>
  <c r="C323" i="2"/>
  <c r="J323" i="2" l="1"/>
  <c r="I324" i="2"/>
  <c r="H324" i="2"/>
  <c r="G324" i="2"/>
  <c r="F324" i="2"/>
  <c r="E324" i="2"/>
  <c r="D324" i="2"/>
  <c r="C324" i="2"/>
  <c r="J324" i="2" l="1"/>
  <c r="E325" i="2"/>
  <c r="D325" i="2"/>
  <c r="I325" i="2"/>
  <c r="H325" i="2"/>
  <c r="G325" i="2"/>
  <c r="F325" i="2"/>
  <c r="C325" i="2"/>
  <c r="J325" i="2" l="1"/>
  <c r="G326" i="2"/>
  <c r="G327" i="2" s="1"/>
  <c r="F326" i="2"/>
  <c r="F327" i="2" s="1"/>
  <c r="E326" i="2"/>
  <c r="E327" i="2" s="1"/>
  <c r="D326" i="2"/>
  <c r="D327" i="2" s="1"/>
  <c r="I326" i="2"/>
  <c r="I327" i="2" s="1"/>
  <c r="H326" i="2"/>
  <c r="C326" i="2"/>
  <c r="C327" i="2" s="1"/>
  <c r="J326" i="2" l="1"/>
  <c r="G328" i="2"/>
  <c r="H327" i="2"/>
  <c r="J327" i="2" s="1"/>
  <c r="H328" i="2" l="1"/>
  <c r="I328" i="2"/>
  <c r="F328" i="2"/>
  <c r="E328" i="2"/>
  <c r="D328" i="2"/>
  <c r="C328" i="2"/>
  <c r="I329" i="2" l="1"/>
  <c r="H329" i="2"/>
  <c r="G329" i="2"/>
  <c r="F329" i="2"/>
  <c r="E329" i="2"/>
  <c r="D329" i="2"/>
  <c r="C329" i="2"/>
  <c r="J328" i="2"/>
  <c r="J329" i="2" l="1"/>
  <c r="I330" i="2"/>
  <c r="H330" i="2"/>
  <c r="G330" i="2"/>
  <c r="F330" i="2"/>
  <c r="E330" i="2"/>
  <c r="D330" i="2"/>
  <c r="C330" i="2"/>
  <c r="J330" i="2" l="1"/>
  <c r="E331" i="2"/>
  <c r="D331" i="2"/>
  <c r="I331" i="2"/>
  <c r="H331" i="2"/>
  <c r="G331" i="2"/>
  <c r="F331" i="2"/>
  <c r="C331" i="2"/>
  <c r="J331" i="2" l="1"/>
  <c r="G332" i="2"/>
  <c r="F332" i="2"/>
  <c r="E332" i="2"/>
  <c r="D332" i="2"/>
  <c r="I332" i="2"/>
  <c r="H332" i="2"/>
  <c r="C332" i="2"/>
  <c r="J332" i="2" l="1"/>
  <c r="I333" i="2"/>
  <c r="I334" i="2" s="1"/>
  <c r="H333" i="2"/>
  <c r="G333" i="2"/>
  <c r="G334" i="2" s="1"/>
  <c r="F333" i="2"/>
  <c r="F334" i="2" s="1"/>
  <c r="E333" i="2"/>
  <c r="E334" i="2" s="1"/>
  <c r="D333" i="2"/>
  <c r="D334" i="2" s="1"/>
  <c r="C333" i="2"/>
  <c r="C334" i="2" s="1"/>
  <c r="J333" i="2" l="1"/>
  <c r="C335" i="2"/>
  <c r="H334" i="2"/>
  <c r="J334" i="2" s="1"/>
  <c r="H335" i="2" l="1"/>
  <c r="J335" i="2" s="1"/>
  <c r="I335" i="2"/>
  <c r="E335" i="2"/>
  <c r="G335" i="2"/>
  <c r="F335" i="2"/>
  <c r="D335" i="2"/>
  <c r="I336" i="2" l="1"/>
  <c r="H336" i="2"/>
  <c r="G336" i="2"/>
  <c r="F336" i="2"/>
  <c r="E336" i="2"/>
  <c r="D336" i="2"/>
  <c r="C336" i="2"/>
  <c r="J336" i="2" l="1"/>
  <c r="E337" i="2"/>
  <c r="D337" i="2"/>
  <c r="I337" i="2"/>
  <c r="H337" i="2"/>
  <c r="G337" i="2"/>
  <c r="F337" i="2"/>
  <c r="C337" i="2"/>
  <c r="J337" i="2" l="1"/>
  <c r="G338" i="2"/>
  <c r="F338" i="2"/>
  <c r="E338" i="2"/>
  <c r="D338" i="2"/>
  <c r="I338" i="2"/>
  <c r="H338" i="2"/>
  <c r="C338" i="2"/>
  <c r="J338" i="2" l="1"/>
  <c r="I339" i="2"/>
  <c r="H339" i="2"/>
  <c r="G339" i="2"/>
  <c r="F339" i="2"/>
  <c r="E339" i="2"/>
  <c r="D339" i="2"/>
  <c r="C339" i="2"/>
  <c r="J339" i="2" l="1"/>
  <c r="I340" i="2"/>
  <c r="I341" i="2" s="1"/>
  <c r="H340" i="2"/>
  <c r="G340" i="2"/>
  <c r="G341" i="2" s="1"/>
  <c r="F340" i="2"/>
  <c r="F341" i="2" s="1"/>
  <c r="E340" i="2"/>
  <c r="E341" i="2" s="1"/>
  <c r="D340" i="2"/>
  <c r="D341" i="2" s="1"/>
  <c r="C340" i="2"/>
  <c r="C341" i="2" s="1"/>
  <c r="J340" i="2" l="1"/>
  <c r="H341" i="2"/>
  <c r="J341" i="2" s="1"/>
  <c r="H342" i="2" l="1"/>
  <c r="G342" i="2"/>
  <c r="I342" i="2"/>
  <c r="F342" i="2"/>
  <c r="E342" i="2"/>
  <c r="C342" i="2"/>
  <c r="D342" i="2"/>
  <c r="J342" i="2" l="1"/>
  <c r="E343" i="2"/>
  <c r="D343" i="2"/>
  <c r="I343" i="2"/>
  <c r="H343" i="2"/>
  <c r="G343" i="2"/>
  <c r="F343" i="2"/>
  <c r="C343" i="2"/>
  <c r="J343" i="2" l="1"/>
  <c r="G344" i="2"/>
  <c r="F344" i="2"/>
  <c r="E344" i="2"/>
  <c r="D344" i="2"/>
  <c r="I344" i="2"/>
  <c r="H344" i="2"/>
  <c r="C344" i="2"/>
  <c r="J344" i="2" l="1"/>
  <c r="I345" i="2"/>
  <c r="H345" i="2"/>
  <c r="G345" i="2"/>
  <c r="F345" i="2"/>
  <c r="E345" i="2"/>
  <c r="D345" i="2"/>
  <c r="C345" i="2"/>
  <c r="J345" i="2" l="1"/>
  <c r="I346" i="2"/>
  <c r="H346" i="2"/>
  <c r="G346" i="2"/>
  <c r="F346" i="2"/>
  <c r="E346" i="2"/>
  <c r="D346" i="2"/>
  <c r="C346" i="2"/>
  <c r="J346" i="2" l="1"/>
  <c r="E347" i="2"/>
  <c r="E348" i="2" s="1"/>
  <c r="D347" i="2"/>
  <c r="D348" i="2" s="1"/>
  <c r="I347" i="2"/>
  <c r="I348" i="2" s="1"/>
  <c r="H347" i="2"/>
  <c r="G347" i="2"/>
  <c r="G348" i="2" s="1"/>
  <c r="F347" i="2"/>
  <c r="F348" i="2" s="1"/>
  <c r="C347" i="2"/>
  <c r="C348" i="2" s="1"/>
  <c r="J347" i="2" l="1"/>
  <c r="H348" i="2"/>
  <c r="J348" i="2" s="1"/>
  <c r="C349" i="2"/>
  <c r="H349" i="2" l="1"/>
  <c r="J349" i="2" s="1"/>
  <c r="D349" i="2"/>
  <c r="E349" i="2"/>
  <c r="I349" i="2"/>
  <c r="G349" i="2"/>
  <c r="F349" i="2"/>
  <c r="G350" i="2" l="1"/>
  <c r="F350" i="2"/>
  <c r="E350" i="2"/>
  <c r="D350" i="2"/>
  <c r="I350" i="2"/>
  <c r="H350" i="2"/>
  <c r="C350" i="2"/>
  <c r="J350" i="2" l="1"/>
  <c r="I351" i="2"/>
  <c r="H351" i="2"/>
  <c r="G351" i="2"/>
  <c r="F351" i="2"/>
  <c r="E351" i="2"/>
  <c r="D351" i="2"/>
  <c r="C351" i="2"/>
  <c r="J351" i="2" l="1"/>
  <c r="I352" i="2"/>
  <c r="H352" i="2"/>
  <c r="G352" i="2"/>
  <c r="F352" i="2"/>
  <c r="E352" i="2"/>
  <c r="D352" i="2"/>
  <c r="C352" i="2"/>
  <c r="J352" i="2" l="1"/>
  <c r="E353" i="2"/>
  <c r="D353" i="2"/>
  <c r="I353" i="2"/>
  <c r="H353" i="2"/>
  <c r="G353" i="2"/>
  <c r="F353" i="2"/>
  <c r="C353" i="2"/>
  <c r="J353" i="2" l="1"/>
  <c r="G354" i="2"/>
  <c r="G355" i="2" s="1"/>
  <c r="F354" i="2"/>
  <c r="F355" i="2" s="1"/>
  <c r="E354" i="2"/>
  <c r="E355" i="2" s="1"/>
  <c r="D354" i="2"/>
  <c r="D355" i="2" s="1"/>
  <c r="I354" i="2"/>
  <c r="I355" i="2" s="1"/>
  <c r="H354" i="2"/>
  <c r="C354" i="2"/>
  <c r="C355" i="2" s="1"/>
  <c r="J354" i="2" l="1"/>
  <c r="H355" i="2"/>
  <c r="J355" i="2" s="1"/>
  <c r="H356" i="2" l="1"/>
  <c r="F356" i="2"/>
  <c r="I356" i="2"/>
  <c r="G356" i="2"/>
  <c r="E356" i="2"/>
  <c r="D356" i="2"/>
  <c r="C356" i="2"/>
  <c r="J356" i="2" l="1"/>
  <c r="I357" i="2"/>
  <c r="H357" i="2"/>
  <c r="G357" i="2"/>
  <c r="F357" i="2"/>
  <c r="E357" i="2"/>
  <c r="D357" i="2"/>
  <c r="C357" i="2"/>
  <c r="J357" i="2" l="1"/>
  <c r="I358" i="2"/>
  <c r="H358" i="2"/>
  <c r="G358" i="2"/>
  <c r="F358" i="2"/>
  <c r="E358" i="2"/>
  <c r="D358" i="2"/>
  <c r="C358" i="2"/>
  <c r="J358" i="2" l="1"/>
  <c r="E359" i="2"/>
  <c r="D359" i="2"/>
  <c r="I359" i="2"/>
  <c r="H359" i="2"/>
  <c r="G359" i="2"/>
  <c r="F359" i="2"/>
  <c r="C359" i="2"/>
  <c r="J359" i="2" l="1"/>
  <c r="G360" i="2"/>
  <c r="F360" i="2"/>
  <c r="E360" i="2"/>
  <c r="D360" i="2"/>
  <c r="I360" i="2"/>
  <c r="H360" i="2"/>
  <c r="C360" i="2"/>
  <c r="J360" i="2" l="1"/>
  <c r="I361" i="2"/>
  <c r="I362" i="2" s="1"/>
  <c r="H361" i="2"/>
  <c r="G361" i="2"/>
  <c r="G362" i="2" s="1"/>
  <c r="F361" i="2"/>
  <c r="F362" i="2" s="1"/>
  <c r="E361" i="2"/>
  <c r="E362" i="2" s="1"/>
  <c r="D361" i="2"/>
  <c r="D362" i="2" s="1"/>
  <c r="C361" i="2"/>
  <c r="C362" i="2" s="1"/>
  <c r="J361" i="2" l="1"/>
  <c r="H362" i="2"/>
  <c r="J362" i="2" s="1"/>
  <c r="H363" i="2" l="1"/>
  <c r="I363" i="2"/>
  <c r="D363" i="2"/>
  <c r="G363" i="2"/>
  <c r="F363" i="2"/>
  <c r="E363" i="2"/>
  <c r="C363" i="2"/>
  <c r="J363" i="2" l="1"/>
  <c r="I364" i="2"/>
  <c r="H364" i="2"/>
  <c r="G364" i="2"/>
  <c r="F364" i="2"/>
  <c r="E364" i="2"/>
  <c r="D364" i="2"/>
  <c r="C364" i="2"/>
  <c r="J364" i="2" l="1"/>
  <c r="E365" i="2"/>
  <c r="D365" i="2"/>
  <c r="I365" i="2"/>
  <c r="H365" i="2"/>
  <c r="G365" i="2"/>
  <c r="F365" i="2"/>
  <c r="C365" i="2"/>
  <c r="J365" i="2" l="1"/>
  <c r="G366" i="2"/>
  <c r="F366" i="2"/>
  <c r="E366" i="2"/>
  <c r="D366" i="2"/>
  <c r="I366" i="2"/>
  <c r="H366" i="2"/>
  <c r="C366" i="2"/>
  <c r="J366" i="2" l="1"/>
  <c r="I367" i="2"/>
  <c r="H367" i="2"/>
  <c r="G367" i="2"/>
  <c r="F367" i="2"/>
  <c r="E367" i="2"/>
  <c r="D367" i="2"/>
  <c r="C367" i="2"/>
  <c r="J367" i="2" l="1"/>
  <c r="I368" i="2"/>
  <c r="I369" i="2" s="1"/>
  <c r="H368" i="2"/>
  <c r="G368" i="2"/>
  <c r="G369" i="2" s="1"/>
  <c r="F368" i="2"/>
  <c r="F369" i="2" s="1"/>
  <c r="E368" i="2"/>
  <c r="E369" i="2" s="1"/>
  <c r="D368" i="2"/>
  <c r="D369" i="2" s="1"/>
  <c r="C368" i="2"/>
  <c r="C369" i="2" s="1"/>
  <c r="J368" i="2" l="1"/>
  <c r="D370" i="2"/>
  <c r="H369" i="2"/>
  <c r="J369" i="2" s="1"/>
  <c r="G370" i="2" l="1"/>
  <c r="F370" i="2"/>
  <c r="H370" i="2"/>
  <c r="I370" i="2"/>
  <c r="C370" i="2"/>
  <c r="E370" i="2"/>
  <c r="J370" i="2" l="1"/>
  <c r="E371" i="2"/>
  <c r="D371" i="2"/>
  <c r="I371" i="2"/>
  <c r="H371" i="2"/>
  <c r="G371" i="2"/>
  <c r="F371" i="2"/>
  <c r="C371" i="2"/>
  <c r="J371" i="2" l="1"/>
  <c r="G372" i="2"/>
  <c r="F372" i="2"/>
  <c r="E372" i="2"/>
  <c r="D372" i="2"/>
  <c r="I372" i="2"/>
  <c r="H372" i="2"/>
  <c r="C372" i="2"/>
  <c r="J372" i="2" l="1"/>
  <c r="I373" i="2"/>
  <c r="H373" i="2"/>
  <c r="G373" i="2"/>
  <c r="F373" i="2"/>
  <c r="E373" i="2"/>
  <c r="D373" i="2"/>
  <c r="C373" i="2"/>
  <c r="J373" i="2" l="1"/>
  <c r="I374" i="2"/>
  <c r="H374" i="2"/>
  <c r="G374" i="2"/>
  <c r="F374" i="2"/>
  <c r="E374" i="2"/>
  <c r="D374" i="2"/>
  <c r="C374" i="2"/>
  <c r="J374" i="2" l="1"/>
  <c r="E375" i="2"/>
  <c r="E376" i="2" s="1"/>
  <c r="D375" i="2"/>
  <c r="D376" i="2" s="1"/>
  <c r="I375" i="2"/>
  <c r="I376" i="2" s="1"/>
  <c r="H375" i="2"/>
  <c r="G375" i="2"/>
  <c r="G376" i="2" s="1"/>
  <c r="F375" i="2"/>
  <c r="F376" i="2" s="1"/>
  <c r="C375" i="2"/>
  <c r="C376" i="2" s="1"/>
  <c r="J375" i="2" l="1"/>
  <c r="E377" i="2"/>
  <c r="H376" i="2"/>
  <c r="J376" i="2" s="1"/>
  <c r="H377" i="2" l="1"/>
  <c r="D377" i="2"/>
  <c r="I377" i="2"/>
  <c r="G377" i="2"/>
  <c r="F377" i="2"/>
  <c r="C377" i="2"/>
  <c r="J377" i="2" l="1"/>
  <c r="G378" i="2"/>
  <c r="F378" i="2"/>
  <c r="E378" i="2"/>
  <c r="D378" i="2"/>
  <c r="I378" i="2"/>
  <c r="H378" i="2"/>
  <c r="C378" i="2"/>
  <c r="J378" i="2" l="1"/>
  <c r="I379" i="2"/>
  <c r="H379" i="2"/>
  <c r="G379" i="2"/>
  <c r="F379" i="2"/>
  <c r="E379" i="2"/>
  <c r="D379" i="2"/>
  <c r="C379" i="2"/>
  <c r="J379" i="2" l="1"/>
  <c r="I380" i="2"/>
  <c r="H380" i="2"/>
  <c r="G380" i="2"/>
  <c r="F380" i="2"/>
  <c r="E380" i="2"/>
  <c r="D380" i="2"/>
  <c r="C380" i="2"/>
  <c r="J380" i="2" l="1"/>
  <c r="E381" i="2"/>
  <c r="D381" i="2"/>
  <c r="I381" i="2"/>
  <c r="H381" i="2"/>
  <c r="G381" i="2"/>
  <c r="F381" i="2"/>
  <c r="C381" i="2"/>
  <c r="J381" i="2" l="1"/>
  <c r="G382" i="2"/>
  <c r="G383" i="2" s="1"/>
  <c r="F382" i="2"/>
  <c r="F383" i="2" s="1"/>
  <c r="E382" i="2"/>
  <c r="E383" i="2" s="1"/>
  <c r="D382" i="2"/>
  <c r="D383" i="2" s="1"/>
  <c r="I382" i="2"/>
  <c r="I383" i="2" s="1"/>
  <c r="H382" i="2"/>
  <c r="C382" i="2"/>
  <c r="C383" i="2" s="1"/>
  <c r="J382" i="2" l="1"/>
  <c r="C384" i="2"/>
  <c r="H383" i="2"/>
  <c r="J383" i="2" s="1"/>
  <c r="H384" i="2" l="1"/>
  <c r="J384" i="2" s="1"/>
  <c r="G384" i="2"/>
  <c r="F384" i="2"/>
  <c r="E384" i="2"/>
  <c r="D384" i="2"/>
  <c r="I384" i="2"/>
  <c r="I385" i="2" l="1"/>
  <c r="H385" i="2"/>
  <c r="G385" i="2"/>
  <c r="F385" i="2"/>
  <c r="E385" i="2"/>
  <c r="D385" i="2"/>
  <c r="C385" i="2"/>
  <c r="J385" i="2" l="1"/>
  <c r="I386" i="2"/>
  <c r="H386" i="2"/>
  <c r="G386" i="2"/>
  <c r="F386" i="2"/>
  <c r="E386" i="2"/>
  <c r="D386" i="2"/>
  <c r="C386" i="2"/>
  <c r="J386" i="2" l="1"/>
  <c r="E387" i="2"/>
  <c r="D387" i="2"/>
  <c r="I387" i="2"/>
  <c r="H387" i="2"/>
  <c r="G387" i="2"/>
  <c r="F387" i="2"/>
  <c r="C387" i="2"/>
  <c r="J387" i="2" l="1"/>
  <c r="G388" i="2"/>
  <c r="F388" i="2"/>
  <c r="E388" i="2"/>
  <c r="D388" i="2"/>
  <c r="I388" i="2"/>
  <c r="H388" i="2"/>
  <c r="C388" i="2"/>
  <c r="J388" i="2" l="1"/>
  <c r="I389" i="2"/>
  <c r="I390" i="2" s="1"/>
  <c r="H389" i="2"/>
  <c r="G389" i="2"/>
  <c r="G390" i="2" s="1"/>
  <c r="F389" i="2"/>
  <c r="F390" i="2" s="1"/>
  <c r="E389" i="2"/>
  <c r="E390" i="2" s="1"/>
  <c r="D389" i="2"/>
  <c r="D390" i="2" s="1"/>
  <c r="C389" i="2"/>
  <c r="C390" i="2" s="1"/>
  <c r="J389" i="2" l="1"/>
  <c r="H390" i="2"/>
  <c r="J390" i="2" s="1"/>
  <c r="H391" i="2" l="1"/>
  <c r="C391" i="2"/>
  <c r="I391" i="2"/>
  <c r="E391" i="2"/>
  <c r="G391" i="2"/>
  <c r="F391" i="2"/>
  <c r="D391" i="2"/>
  <c r="J391" i="2" l="1"/>
  <c r="I392" i="2"/>
  <c r="H392" i="2"/>
  <c r="G392" i="2"/>
  <c r="F392" i="2"/>
  <c r="E392" i="2"/>
  <c r="D392" i="2"/>
  <c r="C392" i="2"/>
  <c r="J392" i="2" l="1"/>
  <c r="E393" i="2"/>
  <c r="D393" i="2"/>
  <c r="I393" i="2"/>
  <c r="H393" i="2"/>
  <c r="G393" i="2"/>
  <c r="F393" i="2"/>
  <c r="C393" i="2"/>
  <c r="J393" i="2" l="1"/>
  <c r="G394" i="2"/>
  <c r="F394" i="2"/>
  <c r="E394" i="2"/>
  <c r="D394" i="2"/>
  <c r="I394" i="2"/>
  <c r="H394" i="2"/>
  <c r="C394" i="2"/>
  <c r="J394" i="2" l="1"/>
  <c r="I395" i="2"/>
  <c r="H395" i="2"/>
  <c r="G395" i="2"/>
  <c r="F395" i="2"/>
  <c r="E395" i="2"/>
  <c r="D395" i="2"/>
  <c r="C395" i="2"/>
  <c r="J395" i="2" l="1"/>
  <c r="I396" i="2"/>
  <c r="I397" i="2" s="1"/>
  <c r="H396" i="2"/>
  <c r="G396" i="2"/>
  <c r="G397" i="2" s="1"/>
  <c r="F396" i="2"/>
  <c r="F397" i="2" s="1"/>
  <c r="E396" i="2"/>
  <c r="E397" i="2" s="1"/>
  <c r="D396" i="2"/>
  <c r="D397" i="2" s="1"/>
  <c r="C396" i="2"/>
  <c r="C397" i="2" s="1"/>
  <c r="J396" i="2" l="1"/>
  <c r="H397" i="2"/>
  <c r="J397" i="2" s="1"/>
  <c r="H398" i="2" l="1"/>
  <c r="C398" i="2"/>
  <c r="D398" i="2"/>
  <c r="I398" i="2"/>
  <c r="F398" i="2"/>
  <c r="G398" i="2"/>
  <c r="E398" i="2"/>
  <c r="J398" i="2" l="1"/>
  <c r="E399" i="2"/>
  <c r="D399" i="2"/>
  <c r="I399" i="2"/>
  <c r="H399" i="2"/>
  <c r="G399" i="2"/>
  <c r="F399" i="2"/>
  <c r="C399" i="2"/>
  <c r="J399" i="2" l="1"/>
  <c r="G400" i="2"/>
  <c r="F400" i="2"/>
  <c r="E400" i="2"/>
  <c r="D400" i="2"/>
  <c r="I400" i="2"/>
  <c r="H400" i="2"/>
  <c r="C400" i="2"/>
  <c r="J400" i="2" l="1"/>
  <c r="I401" i="2"/>
  <c r="H401" i="2"/>
  <c r="G401" i="2"/>
  <c r="F401" i="2"/>
  <c r="E401" i="2"/>
  <c r="D401" i="2"/>
  <c r="C401" i="2"/>
  <c r="I402" i="2" l="1"/>
  <c r="H402" i="2"/>
  <c r="G402" i="2"/>
  <c r="F402" i="2"/>
  <c r="E402" i="2"/>
  <c r="D402" i="2"/>
  <c r="C402" i="2"/>
  <c r="J401" i="2"/>
  <c r="J402" i="2" l="1"/>
  <c r="E403" i="2"/>
  <c r="E404" i="2" s="1"/>
  <c r="D403" i="2"/>
  <c r="D404" i="2" s="1"/>
  <c r="I403" i="2"/>
  <c r="I404" i="2" s="1"/>
  <c r="H403" i="2"/>
  <c r="G403" i="2"/>
  <c r="G404" i="2" s="1"/>
  <c r="F403" i="2"/>
  <c r="F404" i="2" s="1"/>
  <c r="C403" i="2"/>
  <c r="C404" i="2" s="1"/>
  <c r="J403" i="2" l="1"/>
  <c r="H404" i="2"/>
  <c r="J404" i="2" s="1"/>
  <c r="H405" i="2" l="1"/>
  <c r="E405" i="2"/>
  <c r="C405" i="2"/>
  <c r="I405" i="2"/>
  <c r="F405" i="2"/>
  <c r="D405" i="2"/>
  <c r="G405" i="2"/>
  <c r="J405" i="2" l="1"/>
  <c r="G406" i="2"/>
  <c r="F406" i="2"/>
  <c r="E406" i="2"/>
  <c r="D406" i="2"/>
  <c r="I406" i="2"/>
  <c r="H406" i="2"/>
  <c r="C406" i="2"/>
  <c r="I407" i="2" l="1"/>
  <c r="H407" i="2"/>
  <c r="G407" i="2"/>
  <c r="F407" i="2"/>
  <c r="E407" i="2"/>
  <c r="D407" i="2"/>
  <c r="C407" i="2"/>
  <c r="J406" i="2"/>
  <c r="J407" i="2" l="1"/>
  <c r="I408" i="2"/>
  <c r="H408" i="2"/>
  <c r="G408" i="2"/>
  <c r="F408" i="2"/>
  <c r="E408" i="2"/>
  <c r="D408" i="2"/>
  <c r="C408" i="2"/>
  <c r="J408" i="2" l="1"/>
  <c r="E409" i="2"/>
  <c r="D409" i="2"/>
  <c r="I409" i="2"/>
  <c r="H409" i="2"/>
  <c r="G409" i="2"/>
  <c r="F409" i="2"/>
  <c r="C409" i="2"/>
  <c r="J409" i="2" l="1"/>
  <c r="G410" i="2"/>
  <c r="G411" i="2" s="1"/>
  <c r="F410" i="2"/>
  <c r="F411" i="2" s="1"/>
  <c r="E410" i="2"/>
  <c r="E411" i="2" s="1"/>
  <c r="D410" i="2"/>
  <c r="D411" i="2" s="1"/>
  <c r="I410" i="2"/>
  <c r="I411" i="2" s="1"/>
  <c r="H410" i="2"/>
  <c r="C410" i="2"/>
  <c r="C411" i="2" s="1"/>
  <c r="J410" i="2" l="1"/>
  <c r="I412" i="2"/>
  <c r="H411" i="2"/>
  <c r="J411" i="2" s="1"/>
  <c r="C412" i="2"/>
  <c r="H412" i="2" l="1"/>
  <c r="J412" i="2" s="1"/>
  <c r="G412" i="2"/>
  <c r="E412" i="2"/>
  <c r="F412" i="2"/>
  <c r="D412" i="2"/>
  <c r="I413" i="2" l="1"/>
  <c r="H413" i="2"/>
  <c r="G413" i="2"/>
  <c r="F413" i="2"/>
  <c r="E413" i="2"/>
  <c r="D413" i="2"/>
  <c r="C413" i="2"/>
  <c r="J413" i="2" l="1"/>
  <c r="I414" i="2"/>
  <c r="H414" i="2"/>
  <c r="G414" i="2"/>
  <c r="F414" i="2"/>
  <c r="E414" i="2"/>
  <c r="D414" i="2"/>
  <c r="C414" i="2"/>
  <c r="J414" i="2" l="1"/>
  <c r="E415" i="2"/>
  <c r="D415" i="2"/>
  <c r="I415" i="2"/>
  <c r="H415" i="2"/>
  <c r="G415" i="2"/>
  <c r="F415" i="2"/>
  <c r="C415" i="2"/>
  <c r="J415" i="2" l="1"/>
  <c r="G416" i="2"/>
  <c r="F416" i="2"/>
  <c r="E416" i="2"/>
  <c r="D416" i="2"/>
  <c r="I416" i="2"/>
  <c r="H416" i="2"/>
  <c r="C416" i="2"/>
  <c r="J416" i="2" l="1"/>
  <c r="I417" i="2"/>
  <c r="I418" i="2" s="1"/>
  <c r="I419" i="2" s="1"/>
  <c r="H417" i="2"/>
  <c r="G417" i="2"/>
  <c r="G418" i="2" s="1"/>
  <c r="G419" i="2" s="1"/>
  <c r="F417" i="2"/>
  <c r="F418" i="2" s="1"/>
  <c r="F419" i="2" s="1"/>
  <c r="E417" i="2"/>
  <c r="E418" i="2" s="1"/>
  <c r="E419" i="2" s="1"/>
  <c r="D417" i="2"/>
  <c r="D418" i="2" s="1"/>
  <c r="D419" i="2" s="1"/>
  <c r="C417" i="2"/>
  <c r="C418" i="2" s="1"/>
  <c r="C419" i="2" s="1"/>
  <c r="H418" i="2" l="1"/>
  <c r="J418" i="2" s="1"/>
  <c r="J417" i="2"/>
  <c r="H419" i="2" l="1"/>
  <c r="J419" i="2" s="1"/>
  <c r="I420" i="2"/>
  <c r="H420" i="2"/>
  <c r="G420" i="2"/>
  <c r="F420" i="2"/>
  <c r="E420" i="2"/>
  <c r="D420" i="2"/>
  <c r="C420" i="2"/>
  <c r="E421" i="2" l="1"/>
  <c r="D421" i="2"/>
  <c r="I421" i="2"/>
  <c r="H421" i="2"/>
  <c r="G421" i="2"/>
  <c r="F421" i="2"/>
  <c r="C421" i="2"/>
  <c r="J420" i="2"/>
  <c r="J421" i="2" l="1"/>
  <c r="G422" i="2"/>
  <c r="F422" i="2"/>
  <c r="E422" i="2"/>
  <c r="D422" i="2"/>
  <c r="I422" i="2"/>
  <c r="H422" i="2"/>
  <c r="C422" i="2"/>
  <c r="J422" i="2" l="1"/>
  <c r="I423" i="2"/>
  <c r="H423" i="2"/>
  <c r="G423" i="2"/>
  <c r="F423" i="2"/>
  <c r="E423" i="2"/>
  <c r="D423" i="2"/>
  <c r="C423" i="2"/>
  <c r="J423" i="2" l="1"/>
  <c r="I424" i="2"/>
  <c r="I425" i="2" s="1"/>
  <c r="H424" i="2"/>
  <c r="G424" i="2"/>
  <c r="G425" i="2" s="1"/>
  <c r="F424" i="2"/>
  <c r="F425" i="2" s="1"/>
  <c r="E424" i="2"/>
  <c r="E425" i="2" s="1"/>
  <c r="D424" i="2"/>
  <c r="D425" i="2" s="1"/>
  <c r="C424" i="2"/>
  <c r="C425" i="2" s="1"/>
  <c r="J424" i="2" l="1"/>
  <c r="F426" i="2"/>
  <c r="H425" i="2"/>
  <c r="J425" i="2" s="1"/>
  <c r="G426" i="2"/>
  <c r="C426" i="2"/>
  <c r="I426" i="2" l="1"/>
  <c r="H426" i="2"/>
  <c r="J426" i="2" s="1"/>
  <c r="E426" i="2"/>
  <c r="D426" i="2"/>
  <c r="E427" i="2" l="1"/>
  <c r="D427" i="2"/>
  <c r="I427" i="2"/>
  <c r="H427" i="2"/>
  <c r="G427" i="2"/>
  <c r="F427" i="2"/>
  <c r="C427" i="2"/>
  <c r="J427" i="2" l="1"/>
  <c r="G428" i="2"/>
  <c r="F428" i="2"/>
  <c r="E428" i="2"/>
  <c r="D428" i="2"/>
  <c r="I428" i="2"/>
  <c r="H428" i="2"/>
  <c r="C428" i="2"/>
  <c r="J428" i="2" l="1"/>
  <c r="I429" i="2"/>
  <c r="H429" i="2"/>
  <c r="G429" i="2"/>
  <c r="F429" i="2"/>
  <c r="E429" i="2"/>
  <c r="D429" i="2"/>
  <c r="C429" i="2"/>
  <c r="J429" i="2" l="1"/>
  <c r="I430" i="2"/>
  <c r="H430" i="2"/>
  <c r="G430" i="2"/>
  <c r="F430" i="2"/>
  <c r="E430" i="2"/>
  <c r="D430" i="2"/>
  <c r="C430" i="2"/>
  <c r="J430" i="2" l="1"/>
  <c r="E431" i="2"/>
  <c r="E432" i="2" s="1"/>
  <c r="D431" i="2"/>
  <c r="D432" i="2" s="1"/>
  <c r="I431" i="2"/>
  <c r="I432" i="2" s="1"/>
  <c r="H431" i="2"/>
  <c r="G431" i="2"/>
  <c r="G432" i="2" s="1"/>
  <c r="F431" i="2"/>
  <c r="F432" i="2" s="1"/>
  <c r="C431" i="2"/>
  <c r="C432" i="2" s="1"/>
  <c r="J431" i="2" l="1"/>
  <c r="H432" i="2"/>
  <c r="J432" i="2" s="1"/>
  <c r="H433" i="2" l="1"/>
  <c r="I433" i="2"/>
  <c r="E433" i="2"/>
  <c r="D433" i="2"/>
  <c r="G433" i="2"/>
  <c r="C433" i="2"/>
  <c r="F433" i="2"/>
  <c r="J433" i="2" l="1"/>
  <c r="G434" i="2"/>
  <c r="F434" i="2"/>
  <c r="E434" i="2"/>
  <c r="D434" i="2"/>
  <c r="I434" i="2"/>
  <c r="H434" i="2"/>
  <c r="C434" i="2"/>
  <c r="J434" i="2" l="1"/>
  <c r="I435" i="2"/>
  <c r="H435" i="2"/>
  <c r="G435" i="2"/>
  <c r="F435" i="2"/>
  <c r="E435" i="2"/>
  <c r="D435" i="2"/>
  <c r="C435" i="2"/>
  <c r="J435" i="2" l="1"/>
  <c r="I436" i="2"/>
  <c r="H436" i="2"/>
  <c r="G436" i="2"/>
  <c r="F436" i="2"/>
  <c r="E436" i="2"/>
  <c r="D436" i="2"/>
  <c r="C436" i="2"/>
  <c r="J436" i="2" l="1"/>
  <c r="E437" i="2"/>
  <c r="D437" i="2"/>
  <c r="I437" i="2"/>
  <c r="H437" i="2"/>
  <c r="G437" i="2"/>
  <c r="F437" i="2"/>
  <c r="C437" i="2"/>
  <c r="J437" i="2" l="1"/>
  <c r="G438" i="2"/>
  <c r="G439" i="2" s="1"/>
  <c r="F438" i="2"/>
  <c r="F439" i="2" s="1"/>
  <c r="E438" i="2"/>
  <c r="E439" i="2" s="1"/>
  <c r="D438" i="2"/>
  <c r="D439" i="2" s="1"/>
  <c r="I438" i="2"/>
  <c r="I439" i="2" s="1"/>
  <c r="H438" i="2"/>
  <c r="C438" i="2"/>
  <c r="C439" i="2" s="1"/>
  <c r="J438" i="2" l="1"/>
  <c r="H439" i="2"/>
  <c r="J439" i="2" s="1"/>
  <c r="H440" i="2" l="1"/>
  <c r="C440" i="2"/>
  <c r="D440" i="2"/>
  <c r="F440" i="2"/>
  <c r="G440" i="2"/>
  <c r="E440" i="2"/>
  <c r="I440" i="2"/>
  <c r="J440" i="2" l="1"/>
  <c r="I441" i="2"/>
  <c r="H441" i="2"/>
  <c r="G441" i="2"/>
  <c r="F441" i="2"/>
  <c r="E441" i="2"/>
  <c r="D441" i="2"/>
  <c r="C441" i="2"/>
  <c r="J441" i="2" l="1"/>
  <c r="I442" i="2"/>
  <c r="H442" i="2"/>
  <c r="G442" i="2"/>
  <c r="F442" i="2"/>
  <c r="E442" i="2"/>
  <c r="D442" i="2"/>
  <c r="C442" i="2"/>
  <c r="J442" i="2" l="1"/>
  <c r="E443" i="2"/>
  <c r="D443" i="2"/>
  <c r="I443" i="2"/>
  <c r="H443" i="2"/>
  <c r="G443" i="2"/>
  <c r="F443" i="2"/>
  <c r="C443" i="2"/>
  <c r="J443" i="2" l="1"/>
  <c r="G444" i="2"/>
  <c r="F444" i="2"/>
  <c r="E444" i="2"/>
  <c r="D444" i="2"/>
  <c r="I444" i="2"/>
  <c r="H444" i="2"/>
  <c r="C444" i="2"/>
  <c r="J444" i="2" l="1"/>
  <c r="I445" i="2"/>
  <c r="I446" i="2" s="1"/>
  <c r="H445" i="2"/>
  <c r="G445" i="2"/>
  <c r="G446" i="2" s="1"/>
  <c r="F445" i="2"/>
  <c r="F446" i="2" s="1"/>
  <c r="E445" i="2"/>
  <c r="E446" i="2" s="1"/>
  <c r="D445" i="2"/>
  <c r="D446" i="2" s="1"/>
  <c r="C445" i="2"/>
  <c r="C446" i="2" s="1"/>
  <c r="J445" i="2" l="1"/>
  <c r="H446" i="2"/>
  <c r="J446" i="2" s="1"/>
  <c r="H447" i="2" l="1"/>
  <c r="F447" i="2"/>
  <c r="E447" i="2"/>
  <c r="G447" i="2"/>
  <c r="I447" i="2"/>
  <c r="D447" i="2"/>
  <c r="C447" i="2"/>
  <c r="J447" i="2" l="1"/>
  <c r="I448" i="2"/>
  <c r="H448" i="2"/>
  <c r="G448" i="2"/>
  <c r="F448" i="2"/>
  <c r="E448" i="2"/>
  <c r="D448" i="2"/>
  <c r="C448" i="2"/>
  <c r="J448" i="2" l="1"/>
  <c r="E449" i="2"/>
  <c r="D449" i="2"/>
  <c r="I449" i="2"/>
  <c r="H449" i="2"/>
  <c r="G449" i="2"/>
  <c r="F449" i="2"/>
  <c r="C449" i="2"/>
  <c r="J449" i="2" l="1"/>
  <c r="G450" i="2"/>
  <c r="F450" i="2"/>
  <c r="E450" i="2"/>
  <c r="D450" i="2"/>
  <c r="I450" i="2"/>
  <c r="H450" i="2"/>
  <c r="C450" i="2"/>
  <c r="J450" i="2" l="1"/>
  <c r="I451" i="2"/>
  <c r="H451" i="2"/>
  <c r="G451" i="2"/>
  <c r="F451" i="2"/>
  <c r="E451" i="2"/>
  <c r="D451" i="2"/>
  <c r="C451" i="2"/>
  <c r="J451" i="2" l="1"/>
  <c r="I452" i="2"/>
  <c r="I453" i="2" s="1"/>
  <c r="H452" i="2"/>
  <c r="G452" i="2"/>
  <c r="G453" i="2" s="1"/>
  <c r="F452" i="2"/>
  <c r="F453" i="2" s="1"/>
  <c r="E452" i="2"/>
  <c r="E453" i="2" s="1"/>
  <c r="D452" i="2"/>
  <c r="D453" i="2" s="1"/>
  <c r="C452" i="2"/>
  <c r="C453" i="2" s="1"/>
  <c r="J452" i="2" l="1"/>
  <c r="I454" i="2"/>
  <c r="H453" i="2"/>
  <c r="J453" i="2" s="1"/>
  <c r="C454" i="2"/>
  <c r="H454" i="2" l="1"/>
  <c r="J454" i="2" s="1"/>
  <c r="G454" i="2"/>
  <c r="F454" i="2"/>
  <c r="D454" i="2"/>
  <c r="E454" i="2"/>
  <c r="E455" i="2" l="1"/>
  <c r="D455" i="2"/>
  <c r="I455" i="2"/>
  <c r="H455" i="2"/>
  <c r="G455" i="2"/>
  <c r="F455" i="2"/>
  <c r="C455" i="2"/>
  <c r="J455" i="2" l="1"/>
  <c r="G456" i="2"/>
  <c r="F456" i="2"/>
  <c r="E456" i="2"/>
  <c r="D456" i="2"/>
  <c r="I456" i="2"/>
  <c r="H456" i="2"/>
  <c r="C456" i="2"/>
  <c r="J456" i="2" l="1"/>
  <c r="I457" i="2"/>
  <c r="H457" i="2"/>
  <c r="G457" i="2"/>
  <c r="F457" i="2"/>
  <c r="E457" i="2"/>
  <c r="D457" i="2"/>
  <c r="C457" i="2"/>
  <c r="J457" i="2" l="1"/>
  <c r="I458" i="2"/>
  <c r="H458" i="2"/>
  <c r="G458" i="2"/>
  <c r="F458" i="2"/>
  <c r="E458" i="2"/>
  <c r="D458" i="2"/>
  <c r="C458" i="2"/>
  <c r="J458" i="2" l="1"/>
  <c r="E459" i="2"/>
  <c r="D459" i="2"/>
  <c r="I459" i="2"/>
  <c r="H459" i="2"/>
  <c r="G459" i="2"/>
  <c r="G460" i="2" s="1"/>
  <c r="F459" i="2"/>
  <c r="C459" i="2"/>
  <c r="C460" i="2" s="1"/>
  <c r="C461" i="2" l="1"/>
  <c r="H460" i="2"/>
  <c r="J460" i="2" s="1"/>
  <c r="F460" i="2"/>
  <c r="F461" i="2" s="1"/>
  <c r="I460" i="2"/>
  <c r="I461" i="2" s="1"/>
  <c r="G461" i="2"/>
  <c r="D460" i="2"/>
  <c r="D461" i="2" s="1"/>
  <c r="J459" i="2"/>
  <c r="E460" i="2"/>
  <c r="E461" i="2" s="1"/>
  <c r="H461" i="2" l="1"/>
  <c r="J461" i="2" s="1"/>
  <c r="G462" i="2" l="1"/>
  <c r="F462" i="2"/>
  <c r="E462" i="2"/>
  <c r="D462" i="2"/>
  <c r="I462" i="2"/>
  <c r="H462" i="2"/>
  <c r="C462" i="2"/>
  <c r="J462" i="2" l="1"/>
  <c r="I463" i="2"/>
  <c r="H463" i="2"/>
  <c r="G463" i="2"/>
  <c r="F463" i="2"/>
  <c r="E463" i="2"/>
  <c r="D463" i="2"/>
  <c r="C463" i="2"/>
  <c r="J463" i="2" l="1"/>
  <c r="I464" i="2"/>
  <c r="H464" i="2"/>
  <c r="G464" i="2"/>
  <c r="F464" i="2"/>
  <c r="E464" i="2"/>
  <c r="D464" i="2"/>
  <c r="C464" i="2"/>
  <c r="J464" i="2" l="1"/>
  <c r="E465" i="2"/>
  <c r="D465" i="2"/>
  <c r="I465" i="2"/>
  <c r="H465" i="2"/>
  <c r="G465" i="2"/>
  <c r="F465" i="2"/>
  <c r="C465" i="2"/>
  <c r="J465" i="2" l="1"/>
  <c r="G466" i="2"/>
  <c r="G467" i="2" s="1"/>
  <c r="F466" i="2"/>
  <c r="F467" i="2" s="1"/>
  <c r="E466" i="2"/>
  <c r="E467" i="2" s="1"/>
  <c r="D466" i="2"/>
  <c r="D467" i="2" s="1"/>
  <c r="I466" i="2"/>
  <c r="I467" i="2" s="1"/>
  <c r="H466" i="2"/>
  <c r="C466" i="2"/>
  <c r="C467" i="2" l="1"/>
  <c r="J466" i="2"/>
  <c r="G468" i="2"/>
  <c r="H467" i="2"/>
  <c r="J467" i="2" l="1"/>
  <c r="C468" i="2"/>
  <c r="H468" i="2"/>
  <c r="D468" i="2"/>
  <c r="F468" i="2"/>
  <c r="E468" i="2"/>
  <c r="I468" i="2"/>
  <c r="J468" i="2" l="1"/>
  <c r="I469" i="2"/>
  <c r="H469" i="2"/>
  <c r="G469" i="2"/>
  <c r="F469" i="2"/>
  <c r="E469" i="2"/>
  <c r="D469" i="2"/>
  <c r="C469" i="2"/>
  <c r="J469" i="2" l="1"/>
  <c r="I470" i="2"/>
  <c r="H470" i="2"/>
  <c r="G470" i="2"/>
  <c r="F470" i="2"/>
  <c r="E470" i="2"/>
  <c r="D470" i="2"/>
  <c r="C470" i="2"/>
  <c r="J470" i="2" l="1"/>
  <c r="E471" i="2"/>
  <c r="D471" i="2"/>
  <c r="I471" i="2"/>
  <c r="H471" i="2"/>
  <c r="G471" i="2"/>
  <c r="F471" i="2"/>
  <c r="C471" i="2"/>
  <c r="J471" i="2" l="1"/>
  <c r="G472" i="2"/>
  <c r="F472" i="2"/>
  <c r="E472" i="2"/>
  <c r="D472" i="2"/>
  <c r="I472" i="2"/>
  <c r="H472" i="2"/>
  <c r="C472" i="2"/>
  <c r="J472" i="2" l="1"/>
  <c r="I473" i="2"/>
  <c r="I474" i="2" s="1"/>
  <c r="I475" i="2" s="1"/>
  <c r="H473" i="2"/>
  <c r="G473" i="2"/>
  <c r="G474" i="2" s="1"/>
  <c r="G475" i="2" s="1"/>
  <c r="F473" i="2"/>
  <c r="F474" i="2" s="1"/>
  <c r="F475" i="2" s="1"/>
  <c r="E473" i="2"/>
  <c r="E474" i="2" s="1"/>
  <c r="E475" i="2" s="1"/>
  <c r="D473" i="2"/>
  <c r="D474" i="2" s="1"/>
  <c r="D475" i="2" s="1"/>
  <c r="C473" i="2"/>
  <c r="C474" i="2" s="1"/>
  <c r="C475" i="2" s="1"/>
  <c r="H474" i="2" l="1"/>
  <c r="J474" i="2" s="1"/>
  <c r="J473" i="2"/>
  <c r="I476" i="2" l="1"/>
  <c r="H476" i="2"/>
  <c r="G476" i="2"/>
  <c r="F476" i="2"/>
  <c r="E476" i="2"/>
  <c r="D476" i="2"/>
  <c r="C476" i="2"/>
  <c r="H475" i="2"/>
  <c r="J475" i="2" s="1"/>
  <c r="J476" i="2" l="1"/>
  <c r="E477" i="2"/>
  <c r="D477" i="2"/>
  <c r="I477" i="2"/>
  <c r="H477" i="2"/>
  <c r="G477" i="2"/>
  <c r="F477" i="2"/>
  <c r="C477" i="2"/>
  <c r="J477" i="2" l="1"/>
  <c r="G478" i="2"/>
  <c r="F478" i="2"/>
  <c r="E478" i="2"/>
  <c r="D478" i="2"/>
  <c r="I478" i="2"/>
  <c r="H478" i="2"/>
  <c r="C478" i="2"/>
  <c r="J478" i="2" l="1"/>
  <c r="I479" i="2"/>
  <c r="H479" i="2"/>
  <c r="G479" i="2"/>
  <c r="F479" i="2"/>
  <c r="E479" i="2"/>
  <c r="D479" i="2"/>
  <c r="C479" i="2"/>
  <c r="I480" i="2" l="1"/>
  <c r="I481" i="2" s="1"/>
  <c r="H480" i="2"/>
  <c r="G480" i="2"/>
  <c r="G481" i="2" s="1"/>
  <c r="F480" i="2"/>
  <c r="F481" i="2" s="1"/>
  <c r="E480" i="2"/>
  <c r="E481" i="2" s="1"/>
  <c r="D480" i="2"/>
  <c r="D481" i="2" s="1"/>
  <c r="C480" i="2"/>
  <c r="C481" i="2" s="1"/>
  <c r="J479" i="2"/>
  <c r="J480" i="2" l="1"/>
  <c r="F482" i="2"/>
  <c r="H481" i="2"/>
  <c r="J481" i="2" s="1"/>
  <c r="H482" i="2" l="1"/>
  <c r="E482" i="2"/>
  <c r="I482" i="2"/>
  <c r="G482" i="2"/>
  <c r="D482" i="2"/>
  <c r="C482" i="2"/>
  <c r="J482" i="2" l="1"/>
  <c r="E483" i="2"/>
  <c r="D483" i="2"/>
  <c r="I483" i="2"/>
  <c r="H483" i="2"/>
  <c r="G483" i="2"/>
  <c r="F483" i="2"/>
  <c r="C483" i="2"/>
  <c r="J483" i="2" l="1"/>
  <c r="G484" i="2"/>
  <c r="F484" i="2"/>
  <c r="E484" i="2"/>
  <c r="D484" i="2"/>
  <c r="I484" i="2"/>
  <c r="H484" i="2"/>
  <c r="C484" i="2"/>
  <c r="J484" i="2" l="1"/>
  <c r="I485" i="2"/>
  <c r="H485" i="2"/>
  <c r="G485" i="2"/>
  <c r="F485" i="2"/>
  <c r="E485" i="2"/>
  <c r="D485" i="2"/>
  <c r="C485" i="2"/>
  <c r="J485" i="2" l="1"/>
  <c r="I486" i="2"/>
  <c r="H486" i="2"/>
  <c r="G486" i="2"/>
  <c r="F486" i="2"/>
  <c r="E486" i="2"/>
  <c r="D486" i="2"/>
  <c r="C486" i="2"/>
  <c r="E487" i="2" l="1"/>
  <c r="E488" i="2" s="1"/>
  <c r="D487" i="2"/>
  <c r="D488" i="2" s="1"/>
  <c r="I487" i="2"/>
  <c r="I488" i="2" s="1"/>
  <c r="H487" i="2"/>
  <c r="G487" i="2"/>
  <c r="G488" i="2" s="1"/>
  <c r="F487" i="2"/>
  <c r="F488" i="2" s="1"/>
  <c r="C487" i="2"/>
  <c r="C488" i="2" s="1"/>
  <c r="J486" i="2"/>
  <c r="J487" i="2" l="1"/>
  <c r="H488" i="2"/>
  <c r="J488" i="2" s="1"/>
  <c r="H489" i="2" l="1"/>
  <c r="I489" i="2"/>
  <c r="G489" i="2"/>
  <c r="E489" i="2"/>
  <c r="D489" i="2"/>
  <c r="F489" i="2"/>
  <c r="C489" i="2"/>
  <c r="G490" i="2" l="1"/>
  <c r="F490" i="2"/>
  <c r="E490" i="2"/>
  <c r="D490" i="2"/>
  <c r="I490" i="2"/>
  <c r="H490" i="2"/>
  <c r="C490" i="2"/>
  <c r="J489" i="2"/>
  <c r="J490" i="2" l="1"/>
  <c r="I491" i="2"/>
  <c r="H491" i="2"/>
  <c r="G491" i="2"/>
  <c r="F491" i="2"/>
  <c r="E491" i="2"/>
  <c r="D491" i="2"/>
  <c r="C491" i="2"/>
  <c r="J491" i="2" l="1"/>
  <c r="I492" i="2"/>
  <c r="H492" i="2"/>
  <c r="G492" i="2"/>
  <c r="F492" i="2"/>
  <c r="E492" i="2"/>
  <c r="D492" i="2"/>
  <c r="C492" i="2"/>
  <c r="J492" i="2" l="1"/>
  <c r="E493" i="2"/>
  <c r="D493" i="2"/>
  <c r="I493" i="2"/>
  <c r="H493" i="2"/>
  <c r="G493" i="2"/>
  <c r="F493" i="2"/>
  <c r="C493" i="2"/>
  <c r="J493" i="2" l="1"/>
  <c r="G494" i="2"/>
  <c r="G495" i="2" s="1"/>
  <c r="F494" i="2"/>
  <c r="F495" i="2" s="1"/>
  <c r="E494" i="2"/>
  <c r="E495" i="2" s="1"/>
  <c r="D494" i="2"/>
  <c r="D495" i="2" s="1"/>
  <c r="I494" i="2"/>
  <c r="I495" i="2" s="1"/>
  <c r="H494" i="2"/>
  <c r="C494" i="2"/>
  <c r="C495" i="2" s="1"/>
  <c r="J494" i="2" l="1"/>
  <c r="D496" i="2"/>
  <c r="H495" i="2"/>
  <c r="J495" i="2" s="1"/>
  <c r="H496" i="2" l="1"/>
  <c r="G496" i="2"/>
  <c r="F496" i="2"/>
  <c r="E496" i="2"/>
  <c r="I496" i="2"/>
  <c r="C496" i="2"/>
  <c r="J496" i="2" l="1"/>
  <c r="I497" i="2"/>
  <c r="H497" i="2"/>
  <c r="G497" i="2"/>
  <c r="F497" i="2"/>
  <c r="E497" i="2"/>
  <c r="D497" i="2"/>
  <c r="C497" i="2"/>
  <c r="J497" i="2" l="1"/>
  <c r="I498" i="2"/>
  <c r="H498" i="2"/>
  <c r="G498" i="2"/>
  <c r="F498" i="2"/>
  <c r="E498" i="2"/>
  <c r="D498" i="2"/>
  <c r="C498" i="2"/>
  <c r="J498" i="2" l="1"/>
  <c r="E499" i="2"/>
  <c r="D499" i="2"/>
  <c r="I499" i="2"/>
  <c r="H499" i="2"/>
  <c r="G499" i="2"/>
  <c r="F499" i="2"/>
  <c r="C499" i="2"/>
  <c r="J499" i="2" l="1"/>
  <c r="G500" i="2"/>
  <c r="F500" i="2"/>
  <c r="E500" i="2"/>
  <c r="D500" i="2"/>
  <c r="I500" i="2"/>
  <c r="H500" i="2"/>
  <c r="C500" i="2"/>
  <c r="J500" i="2" l="1"/>
  <c r="I501" i="2"/>
  <c r="I502" i="2" s="1"/>
  <c r="H501" i="2"/>
  <c r="G501" i="2"/>
  <c r="G502" i="2" s="1"/>
  <c r="F501" i="2"/>
  <c r="F502" i="2" s="1"/>
  <c r="E501" i="2"/>
  <c r="E502" i="2" s="1"/>
  <c r="D501" i="2"/>
  <c r="D502" i="2" s="1"/>
  <c r="C501" i="2"/>
  <c r="C502" i="2" s="1"/>
  <c r="J501" i="2" l="1"/>
  <c r="H502" i="2"/>
  <c r="J502" i="2" s="1"/>
  <c r="H503" i="2" l="1"/>
  <c r="G503" i="2"/>
  <c r="E503" i="2"/>
  <c r="I503" i="2"/>
  <c r="F503" i="2"/>
  <c r="C503" i="2"/>
  <c r="D503" i="2"/>
  <c r="J503" i="2" l="1"/>
  <c r="I504" i="2"/>
  <c r="H504" i="2"/>
  <c r="G504" i="2"/>
  <c r="F504" i="2"/>
  <c r="E504" i="2"/>
  <c r="D504" i="2"/>
  <c r="C504" i="2"/>
  <c r="J504" i="2" l="1"/>
  <c r="E505" i="2"/>
  <c r="D505" i="2"/>
  <c r="I505" i="2"/>
  <c r="H505" i="2"/>
  <c r="G505" i="2"/>
  <c r="F505" i="2"/>
  <c r="C505" i="2"/>
  <c r="J505" i="2" l="1"/>
  <c r="G506" i="2"/>
  <c r="F506" i="2"/>
  <c r="E506" i="2"/>
  <c r="D506" i="2"/>
  <c r="I506" i="2"/>
  <c r="H506" i="2"/>
  <c r="C506" i="2"/>
  <c r="J506" i="2" l="1"/>
  <c r="I507" i="2"/>
  <c r="H507" i="2"/>
  <c r="G507" i="2"/>
  <c r="F507" i="2"/>
  <c r="E507" i="2"/>
  <c r="D507" i="2"/>
  <c r="C507" i="2"/>
  <c r="J507" i="2" l="1"/>
  <c r="H508" i="2"/>
  <c r="I508" i="2"/>
  <c r="I509" i="2" s="1"/>
  <c r="G508" i="2"/>
  <c r="G509" i="2" s="1"/>
  <c r="F508" i="2"/>
  <c r="F509" i="2" s="1"/>
  <c r="E508" i="2"/>
  <c r="E509" i="2" s="1"/>
  <c r="D508" i="2"/>
  <c r="D509" i="2" s="1"/>
  <c r="C508" i="2"/>
  <c r="C509" i="2" s="1"/>
  <c r="J508" i="2" l="1"/>
  <c r="G510" i="2"/>
  <c r="H509" i="2"/>
  <c r="J509" i="2" s="1"/>
  <c r="C510" i="2"/>
  <c r="D510" i="2" l="1"/>
  <c r="H510" i="2"/>
  <c r="J510" i="2" s="1"/>
  <c r="I510" i="2"/>
  <c r="F510" i="2"/>
  <c r="E510" i="2"/>
  <c r="F511" i="2" l="1"/>
  <c r="G511" i="2"/>
  <c r="H511" i="2"/>
  <c r="E511" i="2"/>
  <c r="D511" i="2"/>
  <c r="I511" i="2"/>
  <c r="C511" i="2"/>
  <c r="J511" i="2" l="1"/>
  <c r="H512" i="2"/>
  <c r="D512" i="2"/>
  <c r="I512" i="2"/>
  <c r="G512" i="2"/>
  <c r="F512" i="2"/>
  <c r="E512" i="2"/>
  <c r="C512" i="2"/>
  <c r="J512" i="2" l="1"/>
  <c r="F513" i="2"/>
  <c r="H513" i="2"/>
  <c r="G513" i="2"/>
  <c r="E513" i="2"/>
  <c r="D513" i="2"/>
  <c r="I513" i="2"/>
  <c r="C513" i="2"/>
  <c r="J513" i="2" l="1"/>
  <c r="D514" i="2"/>
  <c r="H514" i="2"/>
  <c r="E514" i="2"/>
  <c r="I514" i="2"/>
  <c r="G514" i="2"/>
  <c r="F514" i="2"/>
  <c r="C514" i="2"/>
  <c r="J514" i="2" l="1"/>
  <c r="F515" i="2"/>
  <c r="F516" i="2" s="1"/>
  <c r="G515" i="2"/>
  <c r="G516" i="2" s="1"/>
  <c r="I515" i="2"/>
  <c r="I516" i="2" s="1"/>
  <c r="H515" i="2"/>
  <c r="E515" i="2"/>
  <c r="E516" i="2" s="1"/>
  <c r="D515" i="2"/>
  <c r="D516" i="2" s="1"/>
  <c r="C515" i="2"/>
  <c r="C516" i="2" s="1"/>
  <c r="J515" i="2" l="1"/>
  <c r="F517" i="2"/>
  <c r="H516" i="2"/>
  <c r="J516" i="2" s="1"/>
  <c r="C517" i="2" l="1"/>
  <c r="H517" i="2"/>
  <c r="G517" i="2"/>
  <c r="I517" i="2"/>
  <c r="E517" i="2"/>
  <c r="D517" i="2"/>
  <c r="J517" i="2" l="1"/>
  <c r="H518" i="2"/>
  <c r="D518" i="2"/>
  <c r="I518" i="2"/>
  <c r="G518" i="2"/>
  <c r="F518" i="2"/>
  <c r="E518" i="2"/>
  <c r="C518" i="2"/>
  <c r="J518" i="2" l="1"/>
  <c r="I519" i="2"/>
  <c r="G519" i="2"/>
  <c r="F519" i="2"/>
  <c r="H519" i="2"/>
  <c r="E519" i="2"/>
  <c r="D519" i="2"/>
  <c r="C519" i="2"/>
  <c r="J519" i="2" l="1"/>
  <c r="D520" i="2"/>
  <c r="I520" i="2"/>
  <c r="H520" i="2"/>
  <c r="E520" i="2"/>
  <c r="G520" i="2"/>
  <c r="F520" i="2"/>
  <c r="C520" i="2"/>
  <c r="J520" i="2" l="1"/>
  <c r="F521" i="2"/>
  <c r="E521" i="2"/>
  <c r="G521" i="2"/>
  <c r="I521" i="2"/>
  <c r="H521" i="2"/>
  <c r="D521" i="2"/>
  <c r="C521" i="2"/>
  <c r="J521" i="2" l="1"/>
  <c r="H522" i="2"/>
  <c r="G522" i="2"/>
  <c r="G523" i="2" s="1"/>
  <c r="E522" i="2"/>
  <c r="E523" i="2" s="1"/>
  <c r="D522" i="2"/>
  <c r="D523" i="2" s="1"/>
  <c r="I522" i="2"/>
  <c r="I523" i="2" s="1"/>
  <c r="F522" i="2"/>
  <c r="F523" i="2" s="1"/>
  <c r="C522" i="2"/>
  <c r="C523" i="2" s="1"/>
  <c r="J522" i="2" l="1"/>
  <c r="H523" i="2"/>
  <c r="J523" i="2" s="1"/>
  <c r="H524" i="2" l="1"/>
  <c r="F524" i="2"/>
  <c r="C524" i="2"/>
  <c r="E524" i="2"/>
  <c r="G524" i="2"/>
  <c r="D524" i="2"/>
  <c r="I524" i="2"/>
  <c r="J524" i="2" l="1"/>
  <c r="I525" i="2"/>
  <c r="G525" i="2"/>
  <c r="F525" i="2"/>
  <c r="H525" i="2"/>
  <c r="E525" i="2"/>
  <c r="D525" i="2"/>
  <c r="C525" i="2"/>
  <c r="J525" i="2" l="1"/>
  <c r="D526" i="2"/>
  <c r="I526" i="2"/>
  <c r="H526" i="2"/>
  <c r="E526" i="2"/>
  <c r="F526" i="2"/>
  <c r="G526" i="2"/>
  <c r="C526" i="2"/>
  <c r="J526" i="2" l="1"/>
  <c r="F527" i="2"/>
  <c r="E527" i="2"/>
  <c r="G527" i="2"/>
  <c r="I527" i="2"/>
  <c r="H527" i="2"/>
  <c r="D527" i="2"/>
  <c r="C527" i="2"/>
  <c r="J527" i="2" l="1"/>
  <c r="H528" i="2"/>
  <c r="G528" i="2"/>
  <c r="E528" i="2"/>
  <c r="D528" i="2"/>
  <c r="I528" i="2"/>
  <c r="F528" i="2"/>
  <c r="C528" i="2"/>
  <c r="J528" i="2" l="1"/>
  <c r="I529" i="2"/>
  <c r="I530" i="2" s="1"/>
  <c r="I531" i="2" s="1"/>
  <c r="G529" i="2"/>
  <c r="G530" i="2" s="1"/>
  <c r="G531" i="2" s="1"/>
  <c r="F529" i="2"/>
  <c r="F530" i="2" s="1"/>
  <c r="F531" i="2" s="1"/>
  <c r="H529" i="2"/>
  <c r="E529" i="2"/>
  <c r="E530" i="2" s="1"/>
  <c r="E531" i="2" s="1"/>
  <c r="D529" i="2"/>
  <c r="D530" i="2" s="1"/>
  <c r="D531" i="2" s="1"/>
  <c r="C529" i="2"/>
  <c r="C530" i="2" s="1"/>
  <c r="C531" i="2" s="1"/>
  <c r="H530" i="2" l="1"/>
  <c r="J530" i="2" s="1"/>
  <c r="J529" i="2"/>
  <c r="D532" i="2" l="1"/>
  <c r="I532" i="2"/>
  <c r="H532" i="2"/>
  <c r="E532" i="2"/>
  <c r="G532" i="2"/>
  <c r="F532" i="2"/>
  <c r="C532" i="2"/>
  <c r="H531" i="2"/>
  <c r="J531" i="2" s="1"/>
  <c r="J532" i="2" l="1"/>
  <c r="F533" i="2"/>
  <c r="E533" i="2"/>
  <c r="G533" i="2"/>
  <c r="I533" i="2"/>
  <c r="H533" i="2"/>
  <c r="D533" i="2"/>
  <c r="C533" i="2"/>
  <c r="J533" i="2" l="1"/>
  <c r="H534" i="2"/>
  <c r="G534" i="2"/>
  <c r="E534" i="2"/>
  <c r="D534" i="2"/>
  <c r="I534" i="2"/>
  <c r="F534" i="2"/>
  <c r="C534" i="2"/>
  <c r="I535" i="2" l="1"/>
  <c r="G535" i="2"/>
  <c r="F535" i="2"/>
  <c r="E535" i="2"/>
  <c r="D535" i="2"/>
  <c r="H535" i="2"/>
  <c r="C535" i="2"/>
  <c r="J534" i="2"/>
  <c r="J535" i="2" l="1"/>
  <c r="D536" i="2"/>
  <c r="D537" i="2" s="1"/>
  <c r="I536" i="2"/>
  <c r="I537" i="2" s="1"/>
  <c r="H536" i="2"/>
  <c r="E536" i="2"/>
  <c r="E537" i="2" s="1"/>
  <c r="G536" i="2"/>
  <c r="G537" i="2" s="1"/>
  <c r="F536" i="2"/>
  <c r="F537" i="2" s="1"/>
  <c r="C536" i="2"/>
  <c r="C537" i="2" s="1"/>
  <c r="J536" i="2" l="1"/>
  <c r="H537" i="2"/>
  <c r="J537" i="2" s="1"/>
  <c r="H538" i="2" l="1"/>
  <c r="D538" i="2"/>
  <c r="I538" i="2"/>
  <c r="G538" i="2"/>
  <c r="C538" i="2"/>
  <c r="E538" i="2"/>
  <c r="F538" i="2"/>
  <c r="J538" i="2" l="1"/>
  <c r="F539" i="2"/>
  <c r="E539" i="2"/>
  <c r="G539" i="2"/>
  <c r="I539" i="2"/>
  <c r="H539" i="2"/>
  <c r="D539" i="2"/>
  <c r="C539" i="2"/>
  <c r="J539" i="2" l="1"/>
  <c r="H540" i="2"/>
  <c r="G540" i="2"/>
  <c r="E540" i="2"/>
  <c r="D540" i="2"/>
  <c r="I540" i="2"/>
  <c r="F540" i="2"/>
  <c r="C540" i="2"/>
  <c r="J540" i="2" l="1"/>
  <c r="I541" i="2"/>
  <c r="G541" i="2"/>
  <c r="F541" i="2"/>
  <c r="D541" i="2"/>
  <c r="E541" i="2"/>
  <c r="H541" i="2"/>
  <c r="C541" i="2"/>
  <c r="J541" i="2" l="1"/>
  <c r="D542" i="2"/>
  <c r="I542" i="2"/>
  <c r="H542" i="2"/>
  <c r="F542" i="2"/>
  <c r="E542" i="2"/>
  <c r="G542" i="2"/>
  <c r="C542" i="2"/>
  <c r="J542" i="2" l="1"/>
  <c r="F543" i="2"/>
  <c r="F544" i="2" s="1"/>
  <c r="E543" i="2"/>
  <c r="E544" i="2" s="1"/>
  <c r="H543" i="2"/>
  <c r="G543" i="2"/>
  <c r="G544" i="2" s="1"/>
  <c r="I543" i="2"/>
  <c r="I544" i="2" s="1"/>
  <c r="D543" i="2"/>
  <c r="D544" i="2" s="1"/>
  <c r="C543" i="2"/>
  <c r="C544" i="2" s="1"/>
  <c r="J543" i="2" l="1"/>
  <c r="D545" i="2"/>
  <c r="H544" i="2"/>
  <c r="J544" i="2" s="1"/>
  <c r="C545" i="2" l="1"/>
  <c r="I545" i="2"/>
  <c r="E545" i="2"/>
  <c r="F545" i="2"/>
  <c r="H545" i="2"/>
  <c r="G545" i="2"/>
  <c r="J545" i="2" l="1"/>
  <c r="H546" i="2"/>
  <c r="G546" i="2"/>
  <c r="E546" i="2"/>
  <c r="D546" i="2"/>
  <c r="I546" i="2"/>
  <c r="F546" i="2"/>
  <c r="C546" i="2"/>
  <c r="J546" i="2" l="1"/>
  <c r="I547" i="2"/>
  <c r="G547" i="2"/>
  <c r="F547" i="2"/>
  <c r="D547" i="2"/>
  <c r="H547" i="2"/>
  <c r="E547" i="2"/>
  <c r="C547" i="2"/>
  <c r="J547" i="2" l="1"/>
  <c r="D548" i="2"/>
  <c r="I548" i="2"/>
  <c r="H548" i="2"/>
  <c r="F548" i="2"/>
  <c r="E548" i="2"/>
  <c r="G548" i="2"/>
  <c r="C548" i="2"/>
  <c r="J548" i="2" l="1"/>
  <c r="F549" i="2"/>
  <c r="E549" i="2"/>
  <c r="H549" i="2"/>
  <c r="G549" i="2"/>
  <c r="I549" i="2"/>
  <c r="D549" i="2"/>
  <c r="C549" i="2"/>
  <c r="J549" i="2" l="1"/>
  <c r="H550" i="2"/>
  <c r="G550" i="2"/>
  <c r="G551" i="2" s="1"/>
  <c r="E550" i="2"/>
  <c r="E551" i="2" s="1"/>
  <c r="D550" i="2"/>
  <c r="D551" i="2" s="1"/>
  <c r="I550" i="2"/>
  <c r="I551" i="2" s="1"/>
  <c r="F550" i="2"/>
  <c r="F551" i="2" s="1"/>
  <c r="C550" i="2"/>
  <c r="C551" i="2" s="1"/>
  <c r="J550" i="2" l="1"/>
  <c r="H551" i="2"/>
  <c r="J551" i="2" s="1"/>
  <c r="H552" i="2" l="1"/>
  <c r="F552" i="2"/>
  <c r="G552" i="2"/>
  <c r="E552" i="2"/>
  <c r="D552" i="2"/>
  <c r="I552" i="2"/>
  <c r="C552" i="2"/>
  <c r="J552" i="2" l="1"/>
  <c r="I553" i="2"/>
  <c r="G553" i="2"/>
  <c r="F553" i="2"/>
  <c r="D553" i="2"/>
  <c r="H553" i="2"/>
  <c r="E553" i="2"/>
  <c r="C553" i="2"/>
  <c r="J553" i="2" l="1"/>
  <c r="D554" i="2"/>
  <c r="I554" i="2"/>
  <c r="H554" i="2"/>
  <c r="F554" i="2"/>
  <c r="E554" i="2"/>
  <c r="G554" i="2"/>
  <c r="C554" i="2"/>
  <c r="J554" i="2" l="1"/>
  <c r="F555" i="2"/>
  <c r="E555" i="2"/>
  <c r="H555" i="2"/>
  <c r="G555" i="2"/>
  <c r="I555" i="2"/>
  <c r="D555" i="2"/>
  <c r="C555" i="2"/>
  <c r="J555" i="2" l="1"/>
  <c r="H556" i="2"/>
  <c r="G556" i="2"/>
  <c r="E556" i="2"/>
  <c r="D556" i="2"/>
  <c r="I556" i="2"/>
  <c r="F556" i="2"/>
  <c r="C556" i="2"/>
  <c r="J556" i="2" l="1"/>
  <c r="I557" i="2"/>
  <c r="I558" i="2" s="1"/>
  <c r="G557" i="2"/>
  <c r="G558" i="2" s="1"/>
  <c r="F557" i="2"/>
  <c r="F558" i="2" s="1"/>
  <c r="D557" i="2"/>
  <c r="D558" i="2" s="1"/>
  <c r="H557" i="2"/>
  <c r="E557" i="2"/>
  <c r="E558" i="2" s="1"/>
  <c r="C557" i="2"/>
  <c r="C558" i="2" s="1"/>
  <c r="J557" i="2" l="1"/>
  <c r="C559" i="2"/>
  <c r="H558" i="2"/>
  <c r="J558" i="2" s="1"/>
  <c r="H559" i="2" l="1"/>
  <c r="J559" i="2" s="1"/>
  <c r="G559" i="2"/>
  <c r="I559" i="2"/>
  <c r="F559" i="2"/>
  <c r="D559" i="2"/>
  <c r="E559" i="2"/>
  <c r="D560" i="2" l="1"/>
  <c r="I560" i="2"/>
  <c r="H560" i="2"/>
  <c r="F560" i="2"/>
  <c r="E560" i="2"/>
  <c r="G560" i="2"/>
  <c r="C560" i="2"/>
  <c r="J560" i="2" l="1"/>
  <c r="F561" i="2"/>
  <c r="E561" i="2"/>
  <c r="H561" i="2"/>
  <c r="G561" i="2"/>
  <c r="I561" i="2"/>
  <c r="D561" i="2"/>
  <c r="C561" i="2"/>
  <c r="J561" i="2" l="1"/>
  <c r="H562" i="2"/>
  <c r="G562" i="2"/>
  <c r="E562" i="2"/>
  <c r="D562" i="2"/>
  <c r="I562" i="2"/>
  <c r="F562" i="2"/>
  <c r="C562" i="2"/>
  <c r="J562" i="2" l="1"/>
  <c r="I563" i="2"/>
  <c r="G563" i="2"/>
  <c r="F563" i="2"/>
  <c r="D563" i="2"/>
  <c r="E563" i="2"/>
  <c r="C563" i="2"/>
  <c r="H563" i="2"/>
  <c r="D564" i="2" l="1"/>
  <c r="I564" i="2"/>
  <c r="H564" i="2"/>
  <c r="F564" i="2"/>
  <c r="E564" i="2"/>
  <c r="E565" i="2" s="1"/>
  <c r="G564" i="2"/>
  <c r="G565" i="2" s="1"/>
  <c r="C564" i="2"/>
  <c r="C565" i="2" s="1"/>
  <c r="J563" i="2"/>
  <c r="G566" i="2" l="1"/>
  <c r="H565" i="2"/>
  <c r="J565" i="2" s="1"/>
  <c r="F565" i="2"/>
  <c r="F566" i="2" s="1"/>
  <c r="J564" i="2"/>
  <c r="C566" i="2"/>
  <c r="I565" i="2"/>
  <c r="I566" i="2" s="1"/>
  <c r="E566" i="2"/>
  <c r="D565" i="2"/>
  <c r="D566" i="2" s="1"/>
  <c r="H566" i="2" l="1"/>
  <c r="J566" i="2" s="1"/>
  <c r="F567" i="2" l="1"/>
  <c r="E567" i="2"/>
  <c r="H567" i="2"/>
  <c r="G567" i="2"/>
  <c r="I567" i="2"/>
  <c r="D567" i="2"/>
  <c r="C567" i="2"/>
  <c r="H568" i="2" l="1"/>
  <c r="G568" i="2"/>
  <c r="E568" i="2"/>
  <c r="D568" i="2"/>
  <c r="I568" i="2"/>
  <c r="F568" i="2"/>
  <c r="C568" i="2"/>
  <c r="J567" i="2"/>
  <c r="J568" i="2" l="1"/>
  <c r="I569" i="2"/>
  <c r="G569" i="2"/>
  <c r="F569" i="2"/>
  <c r="D569" i="2"/>
  <c r="H569" i="2"/>
  <c r="E569" i="2"/>
  <c r="C569" i="2"/>
  <c r="J569" i="2" l="1"/>
  <c r="D570" i="2"/>
  <c r="I570" i="2"/>
  <c r="H570" i="2"/>
  <c r="F570" i="2"/>
  <c r="E570" i="2"/>
  <c r="G570" i="2"/>
  <c r="C570" i="2"/>
  <c r="J570" i="2" l="1"/>
  <c r="F571" i="2"/>
  <c r="F572" i="2" s="1"/>
  <c r="E571" i="2"/>
  <c r="E572" i="2" s="1"/>
  <c r="H571" i="2"/>
  <c r="G571" i="2"/>
  <c r="G572" i="2" s="1"/>
  <c r="I571" i="2"/>
  <c r="I572" i="2" s="1"/>
  <c r="D571" i="2"/>
  <c r="D572" i="2" s="1"/>
  <c r="C571" i="2"/>
  <c r="C572" i="2" s="1"/>
  <c r="J571" i="2" l="1"/>
  <c r="F573" i="2"/>
  <c r="H572" i="2"/>
  <c r="J572" i="2" s="1"/>
  <c r="C573" i="2"/>
  <c r="D573" i="2" l="1"/>
  <c r="H573" i="2"/>
  <c r="J573" i="2" s="1"/>
  <c r="E573" i="2"/>
  <c r="G573" i="2"/>
  <c r="I573" i="2"/>
  <c r="H574" i="2" l="1"/>
  <c r="G574" i="2"/>
  <c r="E574" i="2"/>
  <c r="D574" i="2"/>
  <c r="I574" i="2"/>
  <c r="F574" i="2"/>
  <c r="C574" i="2"/>
  <c r="J574" i="2" l="1"/>
  <c r="I575" i="2"/>
  <c r="G575" i="2"/>
  <c r="F575" i="2"/>
  <c r="D575" i="2"/>
  <c r="H575" i="2"/>
  <c r="E575" i="2"/>
  <c r="C575" i="2"/>
  <c r="J575" i="2" l="1"/>
  <c r="D576" i="2"/>
  <c r="I576" i="2"/>
  <c r="H576" i="2"/>
  <c r="F576" i="2"/>
  <c r="E576" i="2"/>
  <c r="G576" i="2"/>
  <c r="C576" i="2"/>
  <c r="J576" i="2" l="1"/>
  <c r="F577" i="2"/>
  <c r="E577" i="2"/>
  <c r="H577" i="2"/>
  <c r="G577" i="2"/>
  <c r="I577" i="2"/>
  <c r="D577" i="2"/>
  <c r="C577" i="2"/>
  <c r="J577" i="2" l="1"/>
  <c r="H578" i="2"/>
  <c r="G578" i="2"/>
  <c r="E578" i="2"/>
  <c r="D578" i="2"/>
  <c r="D579" i="2" s="1"/>
  <c r="D580" i="2" s="1"/>
  <c r="I578" i="2"/>
  <c r="I579" i="2" s="1"/>
  <c r="I580" i="2" s="1"/>
  <c r="F578" i="2"/>
  <c r="C578" i="2"/>
  <c r="C579" i="2" s="1"/>
  <c r="C580" i="2" s="1"/>
  <c r="H579" i="2" l="1"/>
  <c r="J579" i="2" s="1"/>
  <c r="J578" i="2"/>
  <c r="F579" i="2"/>
  <c r="F580" i="2" s="1"/>
  <c r="E579" i="2"/>
  <c r="E580" i="2" s="1"/>
  <c r="G579" i="2"/>
  <c r="G580" i="2" s="1"/>
  <c r="H580" i="2" l="1"/>
  <c r="J580" i="2" s="1"/>
  <c r="I581" i="2"/>
  <c r="G581" i="2"/>
  <c r="F581" i="2"/>
  <c r="D581" i="2"/>
  <c r="H581" i="2"/>
  <c r="E581" i="2"/>
  <c r="C581" i="2"/>
  <c r="J581" i="2" l="1"/>
  <c r="D582" i="2"/>
  <c r="I582" i="2"/>
  <c r="H582" i="2"/>
  <c r="F582" i="2"/>
  <c r="E582" i="2"/>
  <c r="G582" i="2"/>
  <c r="C582" i="2"/>
  <c r="J582" i="2" l="1"/>
  <c r="F583" i="2"/>
  <c r="E583" i="2"/>
  <c r="H583" i="2"/>
  <c r="G583" i="2"/>
  <c r="I583" i="2"/>
  <c r="D583" i="2"/>
  <c r="C583" i="2"/>
  <c r="J583" i="2" l="1"/>
  <c r="H584" i="2"/>
  <c r="G584" i="2"/>
  <c r="E584" i="2"/>
  <c r="D584" i="2"/>
  <c r="I584" i="2"/>
  <c r="F584" i="2"/>
  <c r="C584" i="2"/>
  <c r="J584" i="2" l="1"/>
  <c r="I585" i="2"/>
  <c r="I586" i="2" s="1"/>
  <c r="G585" i="2"/>
  <c r="G586" i="2" s="1"/>
  <c r="F585" i="2"/>
  <c r="F586" i="2" s="1"/>
  <c r="D585" i="2"/>
  <c r="D586" i="2" s="1"/>
  <c r="E585" i="2"/>
  <c r="E586" i="2" s="1"/>
  <c r="H585" i="2"/>
  <c r="C585" i="2"/>
  <c r="C586" i="2" s="1"/>
  <c r="J585" i="2" l="1"/>
  <c r="H586" i="2"/>
  <c r="J586" i="2" s="1"/>
  <c r="H587" i="2" l="1"/>
  <c r="G587" i="2"/>
  <c r="I587" i="2"/>
  <c r="F587" i="2"/>
  <c r="C587" i="2"/>
  <c r="D587" i="2"/>
  <c r="E587" i="2"/>
  <c r="J587" i="2" l="1"/>
  <c r="D588" i="2"/>
  <c r="I588" i="2"/>
  <c r="H588" i="2"/>
  <c r="F588" i="2"/>
  <c r="E588" i="2"/>
  <c r="G588" i="2"/>
  <c r="C588" i="2"/>
  <c r="J588" i="2" l="1"/>
  <c r="F589" i="2"/>
  <c r="E589" i="2"/>
  <c r="H589" i="2"/>
  <c r="G589" i="2"/>
  <c r="I589" i="2"/>
  <c r="D589" i="2"/>
  <c r="C589" i="2"/>
  <c r="J589" i="2" l="1"/>
  <c r="H590" i="2"/>
  <c r="G590" i="2"/>
  <c r="E590" i="2"/>
  <c r="D590" i="2"/>
  <c r="I590" i="2"/>
  <c r="F590" i="2"/>
  <c r="C590" i="2"/>
  <c r="I591" i="2" l="1"/>
  <c r="G591" i="2"/>
  <c r="F591" i="2"/>
  <c r="D591" i="2"/>
  <c r="H591" i="2"/>
  <c r="E591" i="2"/>
  <c r="C591" i="2"/>
  <c r="J590" i="2"/>
  <c r="J591" i="2" l="1"/>
  <c r="D592" i="2"/>
  <c r="D593" i="2" s="1"/>
  <c r="I592" i="2"/>
  <c r="I593" i="2" s="1"/>
  <c r="H592" i="2"/>
  <c r="F592" i="2"/>
  <c r="F593" i="2" s="1"/>
  <c r="E592" i="2"/>
  <c r="E593" i="2" s="1"/>
  <c r="G592" i="2"/>
  <c r="G593" i="2" s="1"/>
  <c r="C592" i="2"/>
  <c r="C593" i="2" s="1"/>
  <c r="J592" i="2" l="1"/>
  <c r="H593" i="2"/>
  <c r="J593" i="2" s="1"/>
  <c r="H594" i="2" l="1"/>
  <c r="G594" i="2"/>
  <c r="I594" i="2"/>
  <c r="D594" i="2"/>
  <c r="C594" i="2"/>
  <c r="F594" i="2"/>
  <c r="E594" i="2"/>
  <c r="J594" i="2" l="1"/>
  <c r="F595" i="2"/>
  <c r="E595" i="2"/>
  <c r="H595" i="2"/>
  <c r="G595" i="2"/>
  <c r="I595" i="2"/>
  <c r="D595" i="2"/>
  <c r="C595" i="2"/>
  <c r="J595" i="2" l="1"/>
  <c r="H596" i="2"/>
  <c r="G596" i="2"/>
  <c r="E596" i="2"/>
  <c r="D596" i="2"/>
  <c r="I596" i="2"/>
  <c r="F596" i="2"/>
  <c r="C596" i="2"/>
  <c r="J596" i="2" l="1"/>
  <c r="I597" i="2"/>
  <c r="G597" i="2"/>
  <c r="F597" i="2"/>
  <c r="D597" i="2"/>
  <c r="H597" i="2"/>
  <c r="E597" i="2"/>
  <c r="C597" i="2"/>
  <c r="J597" i="2" l="1"/>
  <c r="D598" i="2"/>
  <c r="I598" i="2"/>
  <c r="H598" i="2"/>
  <c r="F598" i="2"/>
  <c r="E598" i="2"/>
  <c r="G598" i="2"/>
  <c r="C598" i="2"/>
  <c r="J598" i="2" l="1"/>
  <c r="F599" i="2"/>
  <c r="F600" i="2" s="1"/>
  <c r="E599" i="2"/>
  <c r="E600" i="2" s="1"/>
  <c r="H599" i="2"/>
  <c r="G599" i="2"/>
  <c r="G600" i="2" s="1"/>
  <c r="I599" i="2"/>
  <c r="I600" i="2" s="1"/>
  <c r="D599" i="2"/>
  <c r="D600" i="2" s="1"/>
  <c r="C599" i="2"/>
  <c r="C600" i="2" s="1"/>
  <c r="J599" i="2" l="1"/>
  <c r="G601" i="2"/>
  <c r="H600" i="2"/>
  <c r="J600" i="2" s="1"/>
  <c r="H601" i="2" l="1"/>
  <c r="F601" i="2"/>
  <c r="E601" i="2"/>
  <c r="I601" i="2"/>
  <c r="D601" i="2"/>
  <c r="C601" i="2"/>
  <c r="J601" i="2" l="1"/>
  <c r="H602" i="2"/>
  <c r="G602" i="2"/>
  <c r="E602" i="2"/>
  <c r="D602" i="2"/>
  <c r="I602" i="2"/>
  <c r="F602" i="2"/>
  <c r="C602" i="2"/>
  <c r="J602" i="2" l="1"/>
  <c r="I603" i="2"/>
  <c r="G603" i="2"/>
  <c r="F603" i="2"/>
  <c r="D603" i="2"/>
  <c r="H603" i="2"/>
  <c r="E603" i="2"/>
  <c r="C603" i="2"/>
  <c r="J603" i="2" l="1"/>
  <c r="D604" i="2"/>
  <c r="I604" i="2"/>
  <c r="H604" i="2"/>
  <c r="F604" i="2"/>
  <c r="E604" i="2"/>
  <c r="G604" i="2"/>
  <c r="C604" i="2"/>
  <c r="J604" i="2" l="1"/>
  <c r="F605" i="2"/>
  <c r="E605" i="2"/>
  <c r="H605" i="2"/>
  <c r="G605" i="2"/>
  <c r="I605" i="2"/>
  <c r="D605" i="2"/>
  <c r="C605" i="2"/>
  <c r="J605" i="2" l="1"/>
  <c r="H606" i="2"/>
  <c r="G606" i="2"/>
  <c r="G607" i="2" s="1"/>
  <c r="E606" i="2"/>
  <c r="E607" i="2" s="1"/>
  <c r="D606" i="2"/>
  <c r="D607" i="2" s="1"/>
  <c r="I606" i="2"/>
  <c r="I607" i="2" s="1"/>
  <c r="F606" i="2"/>
  <c r="F607" i="2" s="1"/>
  <c r="C606" i="2"/>
  <c r="C607" i="2" s="1"/>
  <c r="J606" i="2" l="1"/>
  <c r="E608" i="2"/>
  <c r="H607" i="2"/>
  <c r="J607" i="2" s="1"/>
  <c r="F608" i="2" l="1"/>
  <c r="C608" i="2"/>
  <c r="D608" i="2"/>
  <c r="H608" i="2"/>
  <c r="G608" i="2"/>
  <c r="I608" i="2"/>
  <c r="J608" i="2" l="1"/>
  <c r="I609" i="2"/>
  <c r="G609" i="2"/>
  <c r="F609" i="2"/>
  <c r="D609" i="2"/>
  <c r="E609" i="2"/>
  <c r="H609" i="2"/>
  <c r="C609" i="2"/>
  <c r="J609" i="2" l="1"/>
  <c r="D610" i="2"/>
  <c r="I610" i="2"/>
  <c r="H610" i="2"/>
  <c r="F610" i="2"/>
  <c r="E610" i="2"/>
  <c r="G610" i="2"/>
  <c r="C610" i="2"/>
  <c r="J610" i="2" l="1"/>
  <c r="F611" i="2"/>
  <c r="E611" i="2"/>
  <c r="H611" i="2"/>
  <c r="G611" i="2"/>
  <c r="I611" i="2"/>
  <c r="D611" i="2"/>
  <c r="C611" i="2"/>
  <c r="J611" i="2" l="1"/>
  <c r="H612" i="2"/>
  <c r="G612" i="2"/>
  <c r="E612" i="2"/>
  <c r="D612" i="2"/>
  <c r="I612" i="2"/>
  <c r="F612" i="2"/>
  <c r="C612" i="2"/>
  <c r="J612" i="2" l="1"/>
  <c r="I613" i="2"/>
  <c r="I614" i="2" s="1"/>
  <c r="G613" i="2"/>
  <c r="G614" i="2" s="1"/>
  <c r="F613" i="2"/>
  <c r="F614" i="2" s="1"/>
  <c r="D613" i="2"/>
  <c r="D614" i="2" s="1"/>
  <c r="H613" i="2"/>
  <c r="E613" i="2"/>
  <c r="E614" i="2" s="1"/>
  <c r="C613" i="2"/>
  <c r="C614" i="2" s="1"/>
  <c r="J613" i="2" l="1"/>
  <c r="D615" i="2"/>
  <c r="H614" i="2"/>
  <c r="J614" i="2" s="1"/>
  <c r="F615" i="2" l="1"/>
  <c r="I615" i="2"/>
  <c r="H615" i="2"/>
  <c r="G615" i="2"/>
  <c r="C615" i="2"/>
  <c r="E615" i="2"/>
  <c r="J615" i="2" l="1"/>
  <c r="D616" i="2"/>
  <c r="I616" i="2"/>
  <c r="H616" i="2"/>
  <c r="F616" i="2"/>
  <c r="E616" i="2"/>
  <c r="G616" i="2"/>
  <c r="C616" i="2"/>
  <c r="J616" i="2" l="1"/>
  <c r="F617" i="2"/>
  <c r="E617" i="2"/>
  <c r="H617" i="2"/>
  <c r="G617" i="2"/>
  <c r="I617" i="2"/>
  <c r="D617" i="2"/>
  <c r="C617" i="2"/>
  <c r="J617" i="2" l="1"/>
  <c r="H618" i="2"/>
  <c r="G618" i="2"/>
  <c r="E618" i="2"/>
  <c r="D618" i="2"/>
  <c r="I618" i="2"/>
  <c r="F618" i="2"/>
  <c r="C618" i="2"/>
  <c r="J618" i="2" l="1"/>
  <c r="I619" i="2"/>
  <c r="G619" i="2"/>
  <c r="F619" i="2"/>
  <c r="D619" i="2"/>
  <c r="H619" i="2"/>
  <c r="E619" i="2"/>
  <c r="C619" i="2"/>
  <c r="J619" i="2" l="1"/>
  <c r="D620" i="2"/>
  <c r="D621" i="2" s="1"/>
  <c r="I620" i="2"/>
  <c r="I621" i="2" s="1"/>
  <c r="H620" i="2"/>
  <c r="F620" i="2"/>
  <c r="F621" i="2" s="1"/>
  <c r="E620" i="2"/>
  <c r="E621" i="2" s="1"/>
  <c r="G620" i="2"/>
  <c r="G621" i="2" s="1"/>
  <c r="C620" i="2"/>
  <c r="C621" i="2" s="1"/>
  <c r="J620" i="2" l="1"/>
  <c r="H621" i="2"/>
  <c r="J621" i="2" s="1"/>
  <c r="H622" i="2" l="1"/>
  <c r="C622" i="2"/>
  <c r="D622" i="2"/>
  <c r="I622" i="2"/>
  <c r="F622" i="2"/>
  <c r="E622" i="2"/>
  <c r="G622" i="2"/>
  <c r="J622" i="2" l="1"/>
  <c r="F623" i="2"/>
  <c r="E623" i="2"/>
  <c r="H623" i="2"/>
  <c r="G623" i="2"/>
  <c r="I623" i="2"/>
  <c r="D623" i="2"/>
  <c r="C623" i="2"/>
  <c r="J623" i="2" l="1"/>
  <c r="H624" i="2"/>
  <c r="G624" i="2"/>
  <c r="E624" i="2"/>
  <c r="D624" i="2"/>
  <c r="I624" i="2"/>
  <c r="F624" i="2"/>
  <c r="C624" i="2"/>
  <c r="J624" i="2" l="1"/>
  <c r="I625" i="2"/>
  <c r="G625" i="2"/>
  <c r="F625" i="2"/>
  <c r="D625" i="2"/>
  <c r="H625" i="2"/>
  <c r="E625" i="2"/>
  <c r="C625" i="2"/>
  <c r="J625" i="2" l="1"/>
  <c r="D626" i="2"/>
  <c r="I626" i="2"/>
  <c r="H626" i="2"/>
  <c r="F626" i="2"/>
  <c r="E626" i="2"/>
  <c r="G626" i="2"/>
  <c r="C626" i="2"/>
  <c r="J626" i="2" l="1"/>
  <c r="F627" i="2"/>
  <c r="F628" i="2" s="1"/>
  <c r="E627" i="2"/>
  <c r="E628" i="2" s="1"/>
  <c r="H627" i="2"/>
  <c r="G627" i="2"/>
  <c r="G628" i="2" s="1"/>
  <c r="I627" i="2"/>
  <c r="I628" i="2" s="1"/>
  <c r="D627" i="2"/>
  <c r="D628" i="2" s="1"/>
  <c r="C627" i="2"/>
  <c r="C628" i="2" s="1"/>
  <c r="J627" i="2" l="1"/>
  <c r="H628" i="2"/>
  <c r="J628" i="2" s="1"/>
  <c r="C629" i="2"/>
  <c r="H629" i="2" l="1"/>
  <c r="J629" i="2" s="1"/>
  <c r="F629" i="2"/>
  <c r="E629" i="2"/>
  <c r="G629" i="2"/>
  <c r="D629" i="2"/>
  <c r="I629" i="2"/>
  <c r="H630" i="2" l="1"/>
  <c r="G630" i="2"/>
  <c r="E630" i="2"/>
  <c r="D630" i="2"/>
  <c r="I630" i="2"/>
  <c r="F630" i="2"/>
  <c r="C630" i="2"/>
  <c r="J630" i="2" l="1"/>
  <c r="I631" i="2"/>
  <c r="G631" i="2"/>
  <c r="F631" i="2"/>
  <c r="D631" i="2"/>
  <c r="E631" i="2"/>
  <c r="H631" i="2"/>
  <c r="C631" i="2"/>
  <c r="J631" i="2" l="1"/>
  <c r="D632" i="2"/>
  <c r="I632" i="2"/>
  <c r="H632" i="2"/>
  <c r="F632" i="2"/>
  <c r="E632" i="2"/>
  <c r="G632" i="2"/>
  <c r="C632" i="2"/>
  <c r="J632" i="2" l="1"/>
  <c r="F633" i="2"/>
  <c r="E633" i="2"/>
  <c r="H633" i="2"/>
  <c r="G633" i="2"/>
  <c r="I633" i="2"/>
  <c r="D633" i="2"/>
  <c r="C633" i="2"/>
  <c r="J633" i="2" l="1"/>
  <c r="H634" i="2"/>
  <c r="G634" i="2"/>
  <c r="G635" i="2" s="1"/>
  <c r="E634" i="2"/>
  <c r="E635" i="2" s="1"/>
  <c r="D634" i="2"/>
  <c r="D635" i="2" s="1"/>
  <c r="I634" i="2"/>
  <c r="I635" i="2" s="1"/>
  <c r="F634" i="2"/>
  <c r="F635" i="2" s="1"/>
  <c r="C634" i="2"/>
  <c r="C635" i="2" s="1"/>
  <c r="J634" i="2" l="1"/>
  <c r="H635" i="2"/>
  <c r="J635" i="2" s="1"/>
  <c r="H636" i="2" l="1"/>
  <c r="D636" i="2"/>
  <c r="I636" i="2"/>
  <c r="G636" i="2"/>
  <c r="E636" i="2"/>
  <c r="F636" i="2"/>
  <c r="C636" i="2"/>
  <c r="J636" i="2" l="1"/>
  <c r="I637" i="2"/>
  <c r="G637" i="2"/>
  <c r="F637" i="2"/>
  <c r="D637" i="2"/>
  <c r="H637" i="2"/>
  <c r="E637" i="2"/>
  <c r="C637" i="2"/>
  <c r="J637" i="2" l="1"/>
  <c r="D638" i="2"/>
  <c r="I638" i="2"/>
  <c r="H638" i="2"/>
  <c r="F638" i="2"/>
  <c r="E638" i="2"/>
  <c r="G638" i="2"/>
  <c r="C638" i="2"/>
  <c r="J638" i="2" l="1"/>
  <c r="F639" i="2"/>
  <c r="E639" i="2"/>
  <c r="H639" i="2"/>
  <c r="G639" i="2"/>
  <c r="I639" i="2"/>
  <c r="D639" i="2"/>
  <c r="C639" i="2"/>
  <c r="J639" i="2" l="1"/>
  <c r="H640" i="2"/>
  <c r="G640" i="2"/>
  <c r="E640" i="2"/>
  <c r="D640" i="2"/>
  <c r="I640" i="2"/>
  <c r="F640" i="2"/>
  <c r="C640" i="2"/>
  <c r="J640" i="2" l="1"/>
  <c r="I641" i="2"/>
  <c r="I642" i="2" s="1"/>
  <c r="G641" i="2"/>
  <c r="G642" i="2" s="1"/>
  <c r="F641" i="2"/>
  <c r="F642" i="2" s="1"/>
  <c r="D641" i="2"/>
  <c r="D642" i="2" s="1"/>
  <c r="H641" i="2"/>
  <c r="E641" i="2"/>
  <c r="E642" i="2" s="1"/>
  <c r="C641" i="2"/>
  <c r="C642" i="2" s="1"/>
  <c r="J641" i="2" l="1"/>
  <c r="H642" i="2"/>
  <c r="J642" i="2" s="1"/>
  <c r="H643" i="2" l="1"/>
  <c r="E643" i="2"/>
  <c r="G643" i="2"/>
  <c r="I643" i="2"/>
  <c r="D643" i="2"/>
  <c r="C643" i="2"/>
  <c r="F643" i="2"/>
  <c r="D644" i="2" l="1"/>
  <c r="I644" i="2"/>
  <c r="H644" i="2"/>
  <c r="F644" i="2"/>
  <c r="E644" i="2"/>
  <c r="G644" i="2"/>
  <c r="C644" i="2"/>
  <c r="J643" i="2"/>
  <c r="J644" i="2" l="1"/>
  <c r="F645" i="2"/>
  <c r="E645" i="2"/>
  <c r="H645" i="2"/>
  <c r="G645" i="2"/>
  <c r="I645" i="2"/>
  <c r="D645" i="2"/>
  <c r="C645" i="2"/>
  <c r="J645" i="2" l="1"/>
  <c r="H646" i="2"/>
  <c r="G646" i="2"/>
  <c r="E646" i="2"/>
  <c r="D646" i="2"/>
  <c r="I646" i="2"/>
  <c r="F646" i="2"/>
  <c r="C646" i="2"/>
  <c r="J646" i="2" l="1"/>
  <c r="I647" i="2"/>
  <c r="G647" i="2"/>
  <c r="F647" i="2"/>
  <c r="D647" i="2"/>
  <c r="H647" i="2"/>
  <c r="E647" i="2"/>
  <c r="C647" i="2"/>
  <c r="J647" i="2" l="1"/>
  <c r="D648" i="2"/>
  <c r="D649" i="2" s="1"/>
  <c r="I648" i="2"/>
  <c r="I649" i="2" s="1"/>
  <c r="H648" i="2"/>
  <c r="F648" i="2"/>
  <c r="F649" i="2" s="1"/>
  <c r="E648" i="2"/>
  <c r="E649" i="2" s="1"/>
  <c r="G648" i="2"/>
  <c r="G649" i="2" s="1"/>
  <c r="C648" i="2"/>
  <c r="C649" i="2" l="1"/>
  <c r="J648" i="2"/>
  <c r="E650" i="2"/>
  <c r="H649" i="2"/>
  <c r="J649" i="2" l="1"/>
  <c r="H650" i="2"/>
  <c r="I650" i="2"/>
  <c r="D650" i="2"/>
  <c r="F650" i="2"/>
  <c r="G650" i="2"/>
  <c r="C650" i="2"/>
  <c r="J650" i="2" l="1"/>
  <c r="F651" i="2"/>
  <c r="E651" i="2"/>
  <c r="H651" i="2"/>
  <c r="G651" i="2"/>
  <c r="I651" i="2"/>
  <c r="D651" i="2"/>
  <c r="C651" i="2"/>
  <c r="J651" i="2" l="1"/>
  <c r="H652" i="2"/>
  <c r="G652" i="2"/>
  <c r="E652" i="2"/>
  <c r="D652" i="2"/>
  <c r="I652" i="2"/>
  <c r="F652" i="2"/>
  <c r="C652" i="2"/>
  <c r="J652" i="2" l="1"/>
  <c r="I653" i="2"/>
  <c r="G653" i="2"/>
  <c r="F653" i="2"/>
  <c r="D653" i="2"/>
  <c r="E653" i="2"/>
  <c r="H653" i="2"/>
  <c r="C653" i="2"/>
  <c r="J653" i="2" l="1"/>
  <c r="E654" i="2"/>
  <c r="D654" i="2"/>
  <c r="I654" i="2"/>
  <c r="G654" i="2"/>
  <c r="F654" i="2"/>
  <c r="H654" i="2"/>
  <c r="C654" i="2"/>
  <c r="J654" i="2" l="1"/>
  <c r="G655" i="2"/>
  <c r="G656" i="2" s="1"/>
  <c r="H655" i="2"/>
  <c r="F655" i="2"/>
  <c r="F656" i="2" s="1"/>
  <c r="D655" i="2"/>
  <c r="D656" i="2" s="1"/>
  <c r="I655" i="2"/>
  <c r="I656" i="2" s="1"/>
  <c r="E655" i="2"/>
  <c r="E656" i="2" s="1"/>
  <c r="C655" i="2"/>
  <c r="C656" i="2" s="1"/>
  <c r="J655" i="2" l="1"/>
  <c r="H656" i="2"/>
  <c r="J656" i="2" s="1"/>
  <c r="H657" i="2" l="1"/>
  <c r="G657" i="2"/>
  <c r="F657" i="2"/>
  <c r="D657" i="2"/>
  <c r="I657" i="2"/>
  <c r="C657" i="2"/>
  <c r="E657" i="2"/>
  <c r="I658" i="2" l="1"/>
  <c r="G658" i="2"/>
  <c r="F658" i="2"/>
  <c r="D658" i="2"/>
  <c r="H658" i="2"/>
  <c r="E658" i="2"/>
  <c r="C658" i="2"/>
  <c r="J657" i="2"/>
  <c r="J658" i="2" l="1"/>
  <c r="I659" i="2"/>
  <c r="E659" i="2"/>
  <c r="D659" i="2"/>
  <c r="G659" i="2"/>
  <c r="F659" i="2"/>
  <c r="H659" i="2"/>
  <c r="C659" i="2"/>
  <c r="J659" i="2" l="1"/>
  <c r="E660" i="2"/>
  <c r="I660" i="2"/>
  <c r="H660" i="2"/>
  <c r="F660" i="2"/>
  <c r="D660" i="2"/>
  <c r="G660" i="2"/>
  <c r="C660" i="2"/>
  <c r="J660" i="2" l="1"/>
  <c r="G661" i="2"/>
  <c r="E661" i="2"/>
  <c r="I661" i="2"/>
  <c r="F661" i="2"/>
  <c r="D661" i="2"/>
  <c r="H661" i="2"/>
  <c r="C661" i="2"/>
  <c r="J661" i="2" l="1"/>
  <c r="I662" i="2"/>
  <c r="G662" i="2"/>
  <c r="H662" i="2"/>
  <c r="F662" i="2"/>
  <c r="F663" i="2" s="1"/>
  <c r="D662" i="2"/>
  <c r="D663" i="2" s="1"/>
  <c r="E662" i="2"/>
  <c r="E663" i="2" s="1"/>
  <c r="C662" i="2"/>
  <c r="C663" i="2" l="1"/>
  <c r="C664" i="2" s="1"/>
  <c r="J662" i="2"/>
  <c r="E664" i="2"/>
  <c r="H663" i="2"/>
  <c r="G663" i="2"/>
  <c r="G664" i="2" s="1"/>
  <c r="D664" i="2"/>
  <c r="I663" i="2"/>
  <c r="I664" i="2" s="1"/>
  <c r="J663" i="2" l="1"/>
  <c r="H664" i="2"/>
  <c r="J664" i="2" s="1"/>
  <c r="F664" i="2"/>
  <c r="I665" i="2" l="1"/>
  <c r="H665" i="2"/>
  <c r="G665" i="2"/>
  <c r="E665" i="2"/>
  <c r="D665" i="2"/>
  <c r="F665" i="2"/>
  <c r="C665" i="2"/>
  <c r="J665" i="2" l="1"/>
  <c r="E666" i="2"/>
  <c r="G666" i="2"/>
  <c r="F666" i="2"/>
  <c r="I666" i="2"/>
  <c r="H666" i="2"/>
  <c r="D666" i="2"/>
  <c r="C666" i="2"/>
  <c r="J666" i="2" l="1"/>
  <c r="G667" i="2"/>
  <c r="E667" i="2"/>
  <c r="H667" i="2"/>
  <c r="F667" i="2"/>
  <c r="I667" i="2"/>
  <c r="D667" i="2"/>
  <c r="C667" i="2"/>
  <c r="J667" i="2" l="1"/>
  <c r="I668" i="2"/>
  <c r="G668" i="2"/>
  <c r="E668" i="2"/>
  <c r="D668" i="2"/>
  <c r="H668" i="2"/>
  <c r="F668" i="2"/>
  <c r="C668" i="2"/>
  <c r="J668" i="2" l="1"/>
  <c r="I669" i="2"/>
  <c r="I670" i="2" s="1"/>
  <c r="H669" i="2"/>
  <c r="F669" i="2"/>
  <c r="F670" i="2" s="1"/>
  <c r="E669" i="2"/>
  <c r="E670" i="2" s="1"/>
  <c r="G669" i="2"/>
  <c r="G670" i="2" s="1"/>
  <c r="D669" i="2"/>
  <c r="D670" i="2" s="1"/>
  <c r="C669" i="2"/>
  <c r="C670" i="2" l="1"/>
  <c r="J669" i="2"/>
  <c r="H670" i="2"/>
  <c r="J670" i="2" l="1"/>
  <c r="C671" i="2"/>
  <c r="H671" i="2"/>
  <c r="I671" i="2"/>
  <c r="E671" i="2"/>
  <c r="F671" i="2"/>
  <c r="G671" i="2"/>
  <c r="D671" i="2"/>
  <c r="J671" i="2" l="1"/>
  <c r="E672" i="2"/>
  <c r="D672" i="2"/>
  <c r="I672" i="2"/>
  <c r="G672" i="2"/>
  <c r="F672" i="2"/>
  <c r="H672" i="2"/>
  <c r="C672" i="2"/>
  <c r="J672" i="2" l="1"/>
  <c r="G673" i="2"/>
  <c r="E673" i="2"/>
  <c r="I673" i="2"/>
  <c r="H673" i="2"/>
  <c r="D673" i="2"/>
  <c r="F673" i="2"/>
  <c r="C673" i="2"/>
  <c r="J673" i="2" l="1"/>
  <c r="I674" i="2"/>
  <c r="G674" i="2"/>
  <c r="H674" i="2"/>
  <c r="E674" i="2"/>
  <c r="D674" i="2"/>
  <c r="F674" i="2"/>
  <c r="C674" i="2"/>
  <c r="J674" i="2" l="1"/>
  <c r="I675" i="2"/>
  <c r="G675" i="2"/>
  <c r="F675" i="2"/>
  <c r="D675" i="2"/>
  <c r="H675" i="2"/>
  <c r="E675" i="2"/>
  <c r="C675" i="2"/>
  <c r="J675" i="2" l="1"/>
  <c r="E676" i="2"/>
  <c r="H676" i="2"/>
  <c r="G676" i="2"/>
  <c r="G677" i="2" s="1"/>
  <c r="G678" i="2" s="1"/>
  <c r="D676" i="2"/>
  <c r="I676" i="2"/>
  <c r="I677" i="2" s="1"/>
  <c r="I678" i="2" s="1"/>
  <c r="F676" i="2"/>
  <c r="C676" i="2"/>
  <c r="F677" i="2" l="1"/>
  <c r="F678" i="2" s="1"/>
  <c r="D677" i="2"/>
  <c r="D678" i="2" s="1"/>
  <c r="C677" i="2"/>
  <c r="C678" i="2" s="1"/>
  <c r="H677" i="2"/>
  <c r="J676" i="2"/>
  <c r="E677" i="2"/>
  <c r="E678" i="2" s="1"/>
  <c r="J677" i="2" l="1"/>
  <c r="H678" i="2"/>
  <c r="J678" i="2" s="1"/>
  <c r="G679" i="2"/>
  <c r="E679" i="2"/>
  <c r="F679" i="2"/>
  <c r="D679" i="2"/>
  <c r="I679" i="2"/>
  <c r="H679" i="2"/>
  <c r="C679" i="2"/>
  <c r="J679" i="2" l="1"/>
  <c r="I680" i="2"/>
  <c r="G680" i="2"/>
  <c r="F680" i="2"/>
  <c r="E680" i="2"/>
  <c r="H680" i="2"/>
  <c r="D680" i="2"/>
  <c r="C680" i="2"/>
  <c r="J680" i="2" l="1"/>
  <c r="I681" i="2"/>
  <c r="E681" i="2"/>
  <c r="D681" i="2"/>
  <c r="G681" i="2"/>
  <c r="F681" i="2"/>
  <c r="H681" i="2"/>
  <c r="C681" i="2"/>
  <c r="J681" i="2" l="1"/>
  <c r="E682" i="2"/>
  <c r="I682" i="2"/>
  <c r="H682" i="2"/>
  <c r="F682" i="2"/>
  <c r="D682" i="2"/>
  <c r="G682" i="2"/>
  <c r="C682" i="2"/>
  <c r="J682" i="2" l="1"/>
  <c r="G683" i="2"/>
  <c r="G684" i="2" s="1"/>
  <c r="E683" i="2"/>
  <c r="E684" i="2" s="1"/>
  <c r="I683" i="2"/>
  <c r="I684" i="2" s="1"/>
  <c r="F683" i="2"/>
  <c r="F684" i="2" s="1"/>
  <c r="D683" i="2"/>
  <c r="D684" i="2" s="1"/>
  <c r="H683" i="2"/>
  <c r="C683" i="2"/>
  <c r="C684" i="2" s="1"/>
  <c r="J683" i="2" l="1"/>
  <c r="G685" i="2"/>
  <c r="H684" i="2"/>
  <c r="J684" i="2" s="1"/>
  <c r="C685" i="2"/>
  <c r="H685" i="2" l="1"/>
  <c r="J685" i="2" s="1"/>
  <c r="I685" i="2"/>
  <c r="F685" i="2"/>
  <c r="E685" i="2"/>
  <c r="D685" i="2"/>
  <c r="I686" i="2" l="1"/>
  <c r="G686" i="2"/>
  <c r="H686" i="2"/>
  <c r="F686" i="2"/>
  <c r="D686" i="2"/>
  <c r="E686" i="2"/>
  <c r="C686" i="2"/>
  <c r="J686" i="2" l="1"/>
  <c r="I687" i="2"/>
  <c r="H687" i="2"/>
  <c r="G687" i="2"/>
  <c r="E687" i="2"/>
  <c r="D687" i="2"/>
  <c r="F687" i="2"/>
  <c r="C687" i="2"/>
  <c r="J687" i="2" l="1"/>
  <c r="E688" i="2"/>
  <c r="G688" i="2"/>
  <c r="F688" i="2"/>
  <c r="I688" i="2"/>
  <c r="H688" i="2"/>
  <c r="D688" i="2"/>
  <c r="C688" i="2"/>
  <c r="J688" i="2" l="1"/>
  <c r="G689" i="2"/>
  <c r="E689" i="2"/>
  <c r="H689" i="2"/>
  <c r="F689" i="2"/>
  <c r="I689" i="2"/>
  <c r="D689" i="2"/>
  <c r="C689" i="2"/>
  <c r="J689" i="2" l="1"/>
  <c r="I690" i="2"/>
  <c r="I691" i="2" s="1"/>
  <c r="G690" i="2"/>
  <c r="G691" i="2" s="1"/>
  <c r="E690" i="2"/>
  <c r="E691" i="2" s="1"/>
  <c r="D690" i="2"/>
  <c r="D691" i="2" s="1"/>
  <c r="H690" i="2"/>
  <c r="F690" i="2"/>
  <c r="F691" i="2" s="1"/>
  <c r="C690" i="2"/>
  <c r="C691" i="2" s="1"/>
  <c r="J690" i="2" l="1"/>
  <c r="H691" i="2"/>
  <c r="J691" i="2" s="1"/>
  <c r="C692" i="2"/>
  <c r="H692" i="2" l="1"/>
  <c r="J692" i="2" s="1"/>
  <c r="I692" i="2"/>
  <c r="G692" i="2"/>
  <c r="E692" i="2"/>
  <c r="D692" i="2"/>
  <c r="F692" i="2"/>
  <c r="I693" i="2" l="1"/>
  <c r="H693" i="2"/>
  <c r="F693" i="2"/>
  <c r="E693" i="2"/>
  <c r="D693" i="2"/>
  <c r="G693" i="2"/>
  <c r="C693" i="2"/>
  <c r="J693" i="2" l="1"/>
  <c r="E694" i="2"/>
  <c r="D694" i="2"/>
  <c r="I694" i="2"/>
  <c r="G694" i="2"/>
  <c r="F694" i="2"/>
  <c r="H694" i="2"/>
  <c r="C694" i="2"/>
  <c r="J694" i="2" l="1"/>
  <c r="G695" i="2"/>
  <c r="E695" i="2"/>
  <c r="I695" i="2"/>
  <c r="H695" i="2"/>
  <c r="D695" i="2"/>
  <c r="F695" i="2"/>
  <c r="C695" i="2"/>
  <c r="J695" i="2" l="1"/>
  <c r="I696" i="2"/>
  <c r="G696" i="2"/>
  <c r="H696" i="2"/>
  <c r="E696" i="2"/>
  <c r="D696" i="2"/>
  <c r="F696" i="2"/>
  <c r="C696" i="2"/>
  <c r="J696" i="2" l="1"/>
  <c r="I697" i="2"/>
  <c r="I698" i="2" s="1"/>
  <c r="G697" i="2"/>
  <c r="G698" i="2" s="1"/>
  <c r="F697" i="2"/>
  <c r="F698" i="2" s="1"/>
  <c r="D697" i="2"/>
  <c r="D698" i="2" s="1"/>
  <c r="H697" i="2"/>
  <c r="E697" i="2"/>
  <c r="E698" i="2" s="1"/>
  <c r="C697" i="2"/>
  <c r="C698" i="2" s="1"/>
  <c r="J697" i="2" l="1"/>
  <c r="G699" i="2"/>
  <c r="H698" i="2"/>
  <c r="J698" i="2" s="1"/>
  <c r="E699" i="2" l="1"/>
  <c r="C699" i="2"/>
  <c r="H699" i="2"/>
  <c r="F699" i="2"/>
  <c r="I699" i="2"/>
  <c r="D699" i="2"/>
  <c r="J699" i="2" l="1"/>
  <c r="E700" i="2"/>
  <c r="H700" i="2"/>
  <c r="G700" i="2"/>
  <c r="D700" i="2"/>
  <c r="I700" i="2"/>
  <c r="F700" i="2"/>
  <c r="C700" i="2"/>
  <c r="J700" i="2" l="1"/>
  <c r="G701" i="2"/>
  <c r="E701" i="2"/>
  <c r="F701" i="2"/>
  <c r="D701" i="2"/>
  <c r="I701" i="2"/>
  <c r="H701" i="2"/>
  <c r="C701" i="2"/>
  <c r="J701" i="2" l="1"/>
  <c r="I702" i="2"/>
  <c r="G702" i="2"/>
  <c r="F702" i="2"/>
  <c r="E702" i="2"/>
  <c r="D702" i="2"/>
  <c r="H702" i="2"/>
  <c r="C702" i="2"/>
  <c r="J702" i="2" l="1"/>
  <c r="I703" i="2"/>
  <c r="E703" i="2"/>
  <c r="D703" i="2"/>
  <c r="G703" i="2"/>
  <c r="F703" i="2"/>
  <c r="H703" i="2"/>
  <c r="C703" i="2"/>
  <c r="J703" i="2" l="1"/>
  <c r="E704" i="2"/>
  <c r="E705" i="2" s="1"/>
  <c r="I704" i="2"/>
  <c r="I705" i="2" s="1"/>
  <c r="H704" i="2"/>
  <c r="F704" i="2"/>
  <c r="F705" i="2" s="1"/>
  <c r="D704" i="2"/>
  <c r="D705" i="2" s="1"/>
  <c r="G704" i="2"/>
  <c r="G705" i="2" s="1"/>
  <c r="C704" i="2"/>
  <c r="C705" i="2" s="1"/>
  <c r="J704" i="2" l="1"/>
  <c r="F706" i="2"/>
  <c r="H705" i="2"/>
  <c r="J705" i="2" s="1"/>
  <c r="C706" i="2" l="1"/>
  <c r="H706" i="2"/>
  <c r="E706" i="2"/>
  <c r="I706" i="2"/>
  <c r="D706" i="2"/>
  <c r="G706" i="2"/>
  <c r="J706" i="2" l="1"/>
  <c r="G707" i="2"/>
  <c r="E707" i="2"/>
  <c r="I707" i="2"/>
  <c r="F707" i="2"/>
  <c r="D707" i="2"/>
  <c r="H707" i="2"/>
  <c r="C707" i="2"/>
  <c r="J707" i="2" l="1"/>
  <c r="I708" i="2"/>
  <c r="G708" i="2"/>
  <c r="H708" i="2"/>
  <c r="F708" i="2"/>
  <c r="D708" i="2"/>
  <c r="E708" i="2"/>
  <c r="C708" i="2"/>
  <c r="I709" i="2" l="1"/>
  <c r="H709" i="2"/>
  <c r="G709" i="2"/>
  <c r="E709" i="2"/>
  <c r="D709" i="2"/>
  <c r="F709" i="2"/>
  <c r="C709" i="2"/>
  <c r="J708" i="2"/>
  <c r="J709" i="2" l="1"/>
  <c r="E710" i="2"/>
  <c r="G710" i="2"/>
  <c r="F710" i="2"/>
  <c r="I710" i="2"/>
  <c r="H710" i="2"/>
  <c r="D710" i="2"/>
  <c r="C710" i="2"/>
  <c r="J710" i="2" l="1"/>
  <c r="G711" i="2"/>
  <c r="G712" i="2" s="1"/>
  <c r="E711" i="2"/>
  <c r="E712" i="2" s="1"/>
  <c r="H711" i="2"/>
  <c r="F711" i="2"/>
  <c r="F712" i="2" s="1"/>
  <c r="D711" i="2"/>
  <c r="D712" i="2" s="1"/>
  <c r="I711" i="2"/>
  <c r="I712" i="2" s="1"/>
  <c r="C711" i="2"/>
  <c r="C712" i="2" s="1"/>
  <c r="J711" i="2" l="1"/>
  <c r="C713" i="2"/>
  <c r="H712" i="2"/>
  <c r="J712" i="2" s="1"/>
  <c r="H713" i="2" l="1"/>
  <c r="J713" i="2" s="1"/>
  <c r="I713" i="2"/>
  <c r="G713" i="2"/>
  <c r="E713" i="2"/>
  <c r="F713" i="2"/>
  <c r="D713" i="2"/>
  <c r="I714" i="2" l="1"/>
  <c r="G714" i="2"/>
  <c r="E714" i="2"/>
  <c r="D714" i="2"/>
  <c r="H714" i="2"/>
  <c r="F714" i="2"/>
  <c r="C714" i="2"/>
  <c r="J714" i="2" l="1"/>
  <c r="I715" i="2"/>
  <c r="H715" i="2"/>
  <c r="F715" i="2"/>
  <c r="E715" i="2"/>
  <c r="G715" i="2"/>
  <c r="D715" i="2"/>
  <c r="C715" i="2"/>
  <c r="J715" i="2" l="1"/>
  <c r="E716" i="2"/>
  <c r="D716" i="2"/>
  <c r="I716" i="2"/>
  <c r="G716" i="2"/>
  <c r="F716" i="2"/>
  <c r="H716" i="2"/>
  <c r="C716" i="2"/>
  <c r="J716" i="2" l="1"/>
  <c r="G717" i="2"/>
  <c r="E717" i="2"/>
  <c r="I717" i="2"/>
  <c r="H717" i="2"/>
  <c r="D717" i="2"/>
  <c r="F717" i="2"/>
  <c r="C717" i="2"/>
  <c r="J717" i="2" l="1"/>
  <c r="I718" i="2"/>
  <c r="I719" i="2" s="1"/>
  <c r="G718" i="2"/>
  <c r="G719" i="2" s="1"/>
  <c r="H718" i="2"/>
  <c r="E718" i="2"/>
  <c r="E719" i="2" s="1"/>
  <c r="D718" i="2"/>
  <c r="D719" i="2" s="1"/>
  <c r="F718" i="2"/>
  <c r="F719" i="2" s="1"/>
  <c r="C718" i="2"/>
  <c r="C719" i="2" s="1"/>
  <c r="J718" i="2" l="1"/>
  <c r="H719" i="2"/>
  <c r="J719" i="2" s="1"/>
  <c r="H720" i="2" l="1"/>
  <c r="I720" i="2"/>
  <c r="E720" i="2"/>
  <c r="F720" i="2"/>
  <c r="D720" i="2"/>
  <c r="G720" i="2"/>
  <c r="C720" i="2"/>
  <c r="I721" i="2" l="1"/>
  <c r="G721" i="2"/>
  <c r="F721" i="2"/>
  <c r="D721" i="2"/>
  <c r="H721" i="2"/>
  <c r="E721" i="2"/>
  <c r="C721" i="2"/>
  <c r="J720" i="2"/>
  <c r="J721" i="2" l="1"/>
  <c r="E722" i="2"/>
  <c r="H722" i="2"/>
  <c r="G722" i="2"/>
  <c r="D722" i="2"/>
  <c r="F722" i="2"/>
  <c r="I722" i="2"/>
  <c r="C722" i="2"/>
  <c r="J722" i="2" l="1"/>
  <c r="G723" i="2"/>
  <c r="E723" i="2"/>
  <c r="F723" i="2"/>
  <c r="D723" i="2"/>
  <c r="I723" i="2"/>
  <c r="H723" i="2"/>
  <c r="C723" i="2"/>
  <c r="J723" i="2" l="1"/>
  <c r="I724" i="2"/>
  <c r="G724" i="2"/>
  <c r="F724" i="2"/>
  <c r="E724" i="2"/>
  <c r="H724" i="2"/>
  <c r="D724" i="2"/>
  <c r="C724" i="2"/>
  <c r="J724" i="2" l="1"/>
  <c r="I725" i="2"/>
  <c r="I726" i="2" s="1"/>
  <c r="E725" i="2"/>
  <c r="E726" i="2" s="1"/>
  <c r="D725" i="2"/>
  <c r="D726" i="2" s="1"/>
  <c r="G725" i="2"/>
  <c r="G726" i="2" s="1"/>
  <c r="F725" i="2"/>
  <c r="F726" i="2" s="1"/>
  <c r="H725" i="2"/>
  <c r="C725" i="2"/>
  <c r="C726" i="2" s="1"/>
  <c r="J725" i="2" l="1"/>
  <c r="G727" i="2"/>
  <c r="H726" i="2"/>
  <c r="J726" i="2" s="1"/>
  <c r="H727" i="2" l="1"/>
  <c r="I727" i="2"/>
  <c r="E727" i="2"/>
  <c r="D727" i="2"/>
  <c r="F727" i="2"/>
  <c r="C727" i="2"/>
  <c r="J727" i="2" l="1"/>
  <c r="E728" i="2"/>
  <c r="I728" i="2"/>
  <c r="H728" i="2"/>
  <c r="F728" i="2"/>
  <c r="D728" i="2"/>
  <c r="G728" i="2"/>
  <c r="C728" i="2"/>
  <c r="J728" i="2" l="1"/>
  <c r="G729" i="2"/>
  <c r="E729" i="2"/>
  <c r="I729" i="2"/>
  <c r="F729" i="2"/>
  <c r="D729" i="2"/>
  <c r="H729" i="2"/>
  <c r="C729" i="2"/>
  <c r="J729" i="2" l="1"/>
  <c r="I730" i="2"/>
  <c r="G730" i="2"/>
  <c r="H730" i="2"/>
  <c r="F730" i="2"/>
  <c r="D730" i="2"/>
  <c r="E730" i="2"/>
  <c r="C730" i="2"/>
  <c r="I731" i="2" l="1"/>
  <c r="H731" i="2"/>
  <c r="G731" i="2"/>
  <c r="E731" i="2"/>
  <c r="D731" i="2"/>
  <c r="F731" i="2"/>
  <c r="C731" i="2"/>
  <c r="J730" i="2"/>
  <c r="J731" i="2" l="1"/>
  <c r="E732" i="2"/>
  <c r="E733" i="2" s="1"/>
  <c r="E734" i="2" s="1"/>
  <c r="G732" i="2"/>
  <c r="G733" i="2" s="1"/>
  <c r="G734" i="2" s="1"/>
  <c r="F732" i="2"/>
  <c r="F733" i="2" s="1"/>
  <c r="F734" i="2" s="1"/>
  <c r="I732" i="2"/>
  <c r="I733" i="2" s="1"/>
  <c r="I734" i="2" s="1"/>
  <c r="H732" i="2"/>
  <c r="D732" i="2"/>
  <c r="D733" i="2" s="1"/>
  <c r="D734" i="2" s="1"/>
  <c r="C732" i="2"/>
  <c r="C733" i="2" s="1"/>
  <c r="C734" i="2" s="1"/>
  <c r="H733" i="2" l="1"/>
  <c r="J733" i="2" s="1"/>
  <c r="J732" i="2"/>
  <c r="H734" i="2" l="1"/>
  <c r="J734" i="2" s="1"/>
  <c r="G735" i="2"/>
  <c r="E735" i="2"/>
  <c r="H735" i="2"/>
  <c r="F735" i="2"/>
  <c r="I735" i="2"/>
  <c r="D735" i="2"/>
  <c r="C735" i="2"/>
  <c r="J735" i="2" l="1"/>
  <c r="I736" i="2"/>
  <c r="G736" i="2"/>
  <c r="E736" i="2"/>
  <c r="D736" i="2"/>
  <c r="H736" i="2"/>
  <c r="F736" i="2"/>
  <c r="C736" i="2"/>
  <c r="J736" i="2" l="1"/>
  <c r="I737" i="2"/>
  <c r="H737" i="2"/>
  <c r="F737" i="2"/>
  <c r="E737" i="2"/>
  <c r="G737" i="2"/>
  <c r="D737" i="2"/>
  <c r="C737" i="2"/>
  <c r="J737" i="2" l="1"/>
  <c r="E738" i="2"/>
  <c r="D738" i="2"/>
  <c r="I738" i="2"/>
  <c r="G738" i="2"/>
  <c r="F738" i="2"/>
  <c r="H738" i="2"/>
  <c r="C738" i="2"/>
  <c r="J738" i="2" l="1"/>
  <c r="G739" i="2"/>
  <c r="G740" i="2" s="1"/>
  <c r="E739" i="2"/>
  <c r="E740" i="2" s="1"/>
  <c r="I739" i="2"/>
  <c r="I740" i="2" s="1"/>
  <c r="H739" i="2"/>
  <c r="D739" i="2"/>
  <c r="D740" i="2" s="1"/>
  <c r="F739" i="2"/>
  <c r="F740" i="2" s="1"/>
  <c r="C739" i="2"/>
  <c r="C740" i="2" s="1"/>
  <c r="J739" i="2" l="1"/>
  <c r="C741" i="2"/>
  <c r="H740" i="2"/>
  <c r="J740" i="2" s="1"/>
  <c r="H741" i="2" l="1"/>
  <c r="J741" i="2" s="1"/>
  <c r="G741" i="2"/>
  <c r="E741" i="2"/>
  <c r="I741" i="2"/>
  <c r="D741" i="2"/>
  <c r="F741" i="2"/>
  <c r="I742" i="2" l="1"/>
  <c r="G742" i="2"/>
  <c r="H742" i="2"/>
  <c r="E742" i="2"/>
  <c r="D742" i="2"/>
  <c r="F742" i="2"/>
  <c r="C742" i="2"/>
  <c r="J742" i="2" l="1"/>
  <c r="I743" i="2"/>
  <c r="G743" i="2"/>
  <c r="F743" i="2"/>
  <c r="D743" i="2"/>
  <c r="H743" i="2"/>
  <c r="E743" i="2"/>
  <c r="C743" i="2"/>
  <c r="J743" i="2" l="1"/>
  <c r="E744" i="2"/>
  <c r="H744" i="2"/>
  <c r="G744" i="2"/>
  <c r="D744" i="2"/>
  <c r="I744" i="2"/>
  <c r="F744" i="2"/>
  <c r="C744" i="2"/>
  <c r="J744" i="2" l="1"/>
  <c r="G745" i="2"/>
  <c r="E745" i="2"/>
  <c r="F745" i="2"/>
  <c r="D745" i="2"/>
  <c r="I745" i="2"/>
  <c r="H745" i="2"/>
  <c r="C745" i="2"/>
  <c r="J745" i="2" l="1"/>
  <c r="I746" i="2"/>
  <c r="I747" i="2" s="1"/>
  <c r="I748" i="2" s="1"/>
  <c r="G746" i="2"/>
  <c r="G747" i="2" s="1"/>
  <c r="G748" i="2" s="1"/>
  <c r="F746" i="2"/>
  <c r="F747" i="2" s="1"/>
  <c r="F748" i="2" s="1"/>
  <c r="E746" i="2"/>
  <c r="E747" i="2" s="1"/>
  <c r="E748" i="2" s="1"/>
  <c r="H746" i="2"/>
  <c r="D746" i="2"/>
  <c r="D747" i="2" s="1"/>
  <c r="D748" i="2" s="1"/>
  <c r="C746" i="2"/>
  <c r="C747" i="2" s="1"/>
  <c r="C748" i="2" s="1"/>
  <c r="H747" i="2" l="1"/>
  <c r="J747" i="2" s="1"/>
  <c r="J746" i="2"/>
  <c r="H748" i="2" l="1"/>
  <c r="J748" i="2" s="1"/>
  <c r="I749" i="2"/>
  <c r="E749" i="2"/>
  <c r="D749" i="2"/>
  <c r="G749" i="2"/>
  <c r="F749" i="2"/>
  <c r="H749" i="2"/>
  <c r="C749" i="2"/>
  <c r="J749" i="2" l="1"/>
  <c r="E750" i="2"/>
  <c r="I750" i="2"/>
  <c r="H750" i="2"/>
  <c r="F750" i="2"/>
  <c r="D750" i="2"/>
  <c r="G750" i="2"/>
  <c r="C750" i="2"/>
  <c r="J750" i="2" l="1"/>
  <c r="G751" i="2"/>
  <c r="E751" i="2"/>
  <c r="I751" i="2"/>
  <c r="F751" i="2"/>
  <c r="D751" i="2"/>
  <c r="H751" i="2"/>
  <c r="C751" i="2"/>
  <c r="J751" i="2" l="1"/>
  <c r="I752" i="2"/>
  <c r="G752" i="2"/>
  <c r="H752" i="2"/>
  <c r="F752" i="2"/>
  <c r="D752" i="2"/>
  <c r="E752" i="2"/>
  <c r="C752" i="2"/>
  <c r="J752" i="2" l="1"/>
  <c r="I753" i="2"/>
  <c r="I754" i="2" s="1"/>
  <c r="H753" i="2"/>
  <c r="G753" i="2"/>
  <c r="G754" i="2" s="1"/>
  <c r="E753" i="2"/>
  <c r="E754" i="2" s="1"/>
  <c r="D753" i="2"/>
  <c r="D754" i="2" s="1"/>
  <c r="F753" i="2"/>
  <c r="F754" i="2" s="1"/>
  <c r="C753" i="2"/>
  <c r="C754" i="2" s="1"/>
  <c r="J753" i="2" l="1"/>
  <c r="D755" i="2"/>
  <c r="H754" i="2"/>
  <c r="J754" i="2" s="1"/>
  <c r="G755" i="2" l="1"/>
  <c r="H755" i="2"/>
  <c r="I755" i="2"/>
  <c r="C755" i="2"/>
  <c r="F755" i="2"/>
  <c r="E755" i="2"/>
  <c r="E756" i="2" l="1"/>
  <c r="G756" i="2"/>
  <c r="F756" i="2"/>
  <c r="I756" i="2"/>
  <c r="H756" i="2"/>
  <c r="D756" i="2"/>
  <c r="C756" i="2"/>
  <c r="J755" i="2"/>
  <c r="J756" i="2" l="1"/>
  <c r="G757" i="2"/>
  <c r="E757" i="2"/>
  <c r="H757" i="2"/>
  <c r="F757" i="2"/>
  <c r="I757" i="2"/>
  <c r="D757" i="2"/>
  <c r="C757" i="2"/>
  <c r="J757" i="2" l="1"/>
  <c r="I758" i="2"/>
  <c r="G758" i="2"/>
  <c r="E758" i="2"/>
  <c r="D758" i="2"/>
  <c r="H758" i="2"/>
  <c r="F758" i="2"/>
  <c r="C758" i="2"/>
  <c r="J758" i="2" l="1"/>
  <c r="I759" i="2"/>
  <c r="H759" i="2"/>
  <c r="F759" i="2"/>
  <c r="E759" i="2"/>
  <c r="G759" i="2"/>
  <c r="D759" i="2"/>
  <c r="C759" i="2"/>
  <c r="E760" i="2" l="1"/>
  <c r="E761" i="2" s="1"/>
  <c r="E762" i="2" s="1"/>
  <c r="D760" i="2"/>
  <c r="D761" i="2" s="1"/>
  <c r="D762" i="2" s="1"/>
  <c r="I760" i="2"/>
  <c r="I761" i="2" s="1"/>
  <c r="I762" i="2" s="1"/>
  <c r="G760" i="2"/>
  <c r="G761" i="2" s="1"/>
  <c r="G762" i="2" s="1"/>
  <c r="F760" i="2"/>
  <c r="F761" i="2" s="1"/>
  <c r="F762" i="2" s="1"/>
  <c r="H760" i="2"/>
  <c r="C760" i="2"/>
  <c r="C761" i="2" s="1"/>
  <c r="C762" i="2" s="1"/>
  <c r="J759" i="2"/>
  <c r="H761" i="2" l="1"/>
  <c r="J761" i="2" s="1"/>
  <c r="J760" i="2"/>
  <c r="H762" i="2" l="1"/>
  <c r="J762" i="2" s="1"/>
  <c r="G763" i="2"/>
  <c r="E763" i="2"/>
  <c r="I763" i="2"/>
  <c r="H763" i="2"/>
  <c r="D763" i="2"/>
  <c r="F763" i="2"/>
  <c r="C763" i="2"/>
  <c r="J763" i="2" l="1"/>
  <c r="I764" i="2"/>
  <c r="G764" i="2"/>
  <c r="H764" i="2"/>
  <c r="E764" i="2"/>
  <c r="D764" i="2"/>
  <c r="F764" i="2"/>
  <c r="C764" i="2"/>
  <c r="J764" i="2" l="1"/>
  <c r="I765" i="2"/>
  <c r="G765" i="2"/>
  <c r="F765" i="2"/>
  <c r="D765" i="2"/>
  <c r="H765" i="2"/>
  <c r="E765" i="2"/>
  <c r="C765" i="2"/>
  <c r="J765" i="2" l="1"/>
  <c r="E766" i="2"/>
  <c r="H766" i="2"/>
  <c r="G766" i="2"/>
  <c r="D766" i="2"/>
  <c r="I766" i="2"/>
  <c r="F766" i="2"/>
  <c r="C766" i="2"/>
  <c r="J766" i="2" l="1"/>
  <c r="G767" i="2"/>
  <c r="G768" i="2" s="1"/>
  <c r="E767" i="2"/>
  <c r="E768" i="2" s="1"/>
  <c r="F767" i="2"/>
  <c r="F768" i="2" s="1"/>
  <c r="D767" i="2"/>
  <c r="D768" i="2" s="1"/>
  <c r="I767" i="2"/>
  <c r="I768" i="2" s="1"/>
  <c r="H767" i="2"/>
  <c r="C767" i="2"/>
  <c r="C768" i="2" s="1"/>
  <c r="J767" i="2" l="1"/>
  <c r="F769" i="2"/>
  <c r="H768" i="2"/>
  <c r="J768" i="2" s="1"/>
  <c r="H769" i="2" l="1"/>
  <c r="E769" i="2"/>
  <c r="G769" i="2"/>
  <c r="D769" i="2"/>
  <c r="C769" i="2"/>
  <c r="I769" i="2"/>
  <c r="J769" i="2" l="1"/>
  <c r="I770" i="2"/>
  <c r="G770" i="2"/>
  <c r="F770" i="2"/>
  <c r="E770" i="2"/>
  <c r="H770" i="2"/>
  <c r="D770" i="2"/>
  <c r="C770" i="2"/>
  <c r="J770" i="2" l="1"/>
  <c r="I771" i="2"/>
  <c r="E771" i="2"/>
  <c r="D771" i="2"/>
  <c r="G771" i="2"/>
  <c r="F771" i="2"/>
  <c r="H771" i="2"/>
  <c r="C771" i="2"/>
  <c r="J771" i="2" l="1"/>
  <c r="E772" i="2"/>
  <c r="I772" i="2"/>
  <c r="H772" i="2"/>
  <c r="F772" i="2"/>
  <c r="D772" i="2"/>
  <c r="G772" i="2"/>
  <c r="C772" i="2"/>
  <c r="J772" i="2" l="1"/>
  <c r="G773" i="2"/>
  <c r="E773" i="2"/>
  <c r="I773" i="2"/>
  <c r="F773" i="2"/>
  <c r="D773" i="2"/>
  <c r="H773" i="2"/>
  <c r="C773" i="2"/>
  <c r="J773" i="2" l="1"/>
  <c r="I774" i="2"/>
  <c r="I775" i="2" s="1"/>
  <c r="G774" i="2"/>
  <c r="G775" i="2" s="1"/>
  <c r="H774" i="2"/>
  <c r="F774" i="2"/>
  <c r="F775" i="2" s="1"/>
  <c r="D774" i="2"/>
  <c r="D775" i="2" s="1"/>
  <c r="E774" i="2"/>
  <c r="E775" i="2" s="1"/>
  <c r="C774" i="2"/>
  <c r="C775" i="2" s="1"/>
  <c r="J774" i="2" l="1"/>
  <c r="G776" i="2"/>
  <c r="H775" i="2"/>
  <c r="J775" i="2" s="1"/>
  <c r="H776" i="2" l="1"/>
  <c r="I776" i="2"/>
  <c r="F776" i="2"/>
  <c r="D776" i="2"/>
  <c r="E776" i="2"/>
  <c r="C776" i="2"/>
  <c r="I777" i="2" l="1"/>
  <c r="H777" i="2"/>
  <c r="G777" i="2"/>
  <c r="E777" i="2"/>
  <c r="D777" i="2"/>
  <c r="F777" i="2"/>
  <c r="C777" i="2"/>
  <c r="J776" i="2"/>
  <c r="J777" i="2" l="1"/>
  <c r="E778" i="2"/>
  <c r="G778" i="2"/>
  <c r="F778" i="2"/>
  <c r="I778" i="2"/>
  <c r="H778" i="2"/>
  <c r="D778" i="2"/>
  <c r="C778" i="2"/>
  <c r="J778" i="2" l="1"/>
  <c r="G779" i="2"/>
  <c r="E779" i="2"/>
  <c r="H779" i="2"/>
  <c r="F779" i="2"/>
  <c r="I779" i="2"/>
  <c r="D779" i="2"/>
  <c r="C779" i="2"/>
  <c r="J779" i="2" l="1"/>
  <c r="I780" i="2"/>
  <c r="G780" i="2"/>
  <c r="E780" i="2"/>
  <c r="D780" i="2"/>
  <c r="H780" i="2"/>
  <c r="F780" i="2"/>
  <c r="C780" i="2"/>
  <c r="J780" i="2" l="1"/>
  <c r="I781" i="2"/>
  <c r="I782" i="2" s="1"/>
  <c r="H781" i="2"/>
  <c r="F781" i="2"/>
  <c r="F782" i="2" s="1"/>
  <c r="E781" i="2"/>
  <c r="E782" i="2" s="1"/>
  <c r="D781" i="2"/>
  <c r="D782" i="2" s="1"/>
  <c r="G781" i="2"/>
  <c r="G782" i="2" s="1"/>
  <c r="C781" i="2"/>
  <c r="C782" i="2" s="1"/>
  <c r="J781" i="2" l="1"/>
  <c r="H782" i="2"/>
  <c r="J782" i="2" s="1"/>
  <c r="H783" i="2" l="1"/>
  <c r="D783" i="2"/>
  <c r="I783" i="2"/>
  <c r="F783" i="2"/>
  <c r="E783" i="2"/>
  <c r="G783" i="2"/>
  <c r="C783" i="2"/>
  <c r="E784" i="2" l="1"/>
  <c r="D784" i="2"/>
  <c r="I784" i="2"/>
  <c r="G784" i="2"/>
  <c r="F784" i="2"/>
  <c r="H784" i="2"/>
  <c r="C784" i="2"/>
  <c r="J783" i="2"/>
  <c r="J784" i="2" l="1"/>
  <c r="G785" i="2"/>
  <c r="E785" i="2"/>
  <c r="I785" i="2"/>
  <c r="H785" i="2"/>
  <c r="D785" i="2"/>
  <c r="F785" i="2"/>
  <c r="C785" i="2"/>
  <c r="J785" i="2" l="1"/>
  <c r="I786" i="2"/>
  <c r="G786" i="2"/>
  <c r="H786" i="2"/>
  <c r="E786" i="2"/>
  <c r="D786" i="2"/>
  <c r="F786" i="2"/>
  <c r="C786" i="2"/>
  <c r="J786" i="2" l="1"/>
  <c r="I787" i="2"/>
  <c r="G787" i="2"/>
  <c r="F787" i="2"/>
  <c r="D787" i="2"/>
  <c r="H787" i="2"/>
  <c r="E787" i="2"/>
  <c r="C787" i="2"/>
  <c r="J787" i="2" l="1"/>
  <c r="E788" i="2"/>
  <c r="E789" i="2" s="1"/>
  <c r="H788" i="2"/>
  <c r="G788" i="2"/>
  <c r="G789" i="2" s="1"/>
  <c r="D788" i="2"/>
  <c r="D789" i="2" s="1"/>
  <c r="I788" i="2"/>
  <c r="I789" i="2" s="1"/>
  <c r="F788" i="2"/>
  <c r="F789" i="2" s="1"/>
  <c r="C788" i="2"/>
  <c r="C789" i="2" s="1"/>
  <c r="J788" i="2" l="1"/>
  <c r="E790" i="2"/>
  <c r="H789" i="2"/>
  <c r="J789" i="2" s="1"/>
  <c r="H790" i="2" l="1"/>
  <c r="I790" i="2"/>
  <c r="G790" i="2"/>
  <c r="D790" i="2"/>
  <c r="F790" i="2"/>
  <c r="C790" i="2"/>
  <c r="G791" i="2" l="1"/>
  <c r="E791" i="2"/>
  <c r="F791" i="2"/>
  <c r="D791" i="2"/>
  <c r="I791" i="2"/>
  <c r="H791" i="2"/>
  <c r="C791" i="2"/>
  <c r="J790" i="2"/>
  <c r="J791" i="2" l="1"/>
  <c r="I792" i="2"/>
  <c r="G792" i="2"/>
  <c r="F792" i="2"/>
  <c r="E792" i="2"/>
  <c r="D792" i="2"/>
  <c r="H792" i="2"/>
  <c r="C792" i="2"/>
  <c r="J792" i="2" l="1"/>
  <c r="I793" i="2"/>
  <c r="E793" i="2"/>
  <c r="D793" i="2"/>
  <c r="G793" i="2"/>
  <c r="F793" i="2"/>
  <c r="H793" i="2"/>
  <c r="C793" i="2"/>
  <c r="J793" i="2" l="1"/>
  <c r="G794" i="2"/>
  <c r="F794" i="2"/>
  <c r="E794" i="2"/>
  <c r="D794" i="2"/>
  <c r="I794" i="2"/>
  <c r="H794" i="2"/>
  <c r="C794" i="2"/>
  <c r="J794" i="2" l="1"/>
  <c r="I795" i="2"/>
  <c r="I796" i="2" s="1"/>
  <c r="H795" i="2"/>
  <c r="G795" i="2"/>
  <c r="G796" i="2" s="1"/>
  <c r="F795" i="2"/>
  <c r="F796" i="2" s="1"/>
  <c r="E795" i="2"/>
  <c r="E796" i="2" s="1"/>
  <c r="D795" i="2"/>
  <c r="D796" i="2" s="1"/>
  <c r="C795" i="2"/>
  <c r="C796" i="2" s="1"/>
  <c r="J795" i="2" l="1"/>
  <c r="G797" i="2"/>
  <c r="H796" i="2"/>
  <c r="J796" i="2" s="1"/>
  <c r="I797" i="2" l="1"/>
  <c r="E797" i="2"/>
  <c r="H797" i="2"/>
  <c r="F797" i="2"/>
  <c r="D797" i="2"/>
  <c r="C797" i="2"/>
  <c r="J797" i="2" l="1"/>
  <c r="I798" i="2"/>
  <c r="H798" i="2"/>
  <c r="G798" i="2"/>
  <c r="E798" i="2"/>
  <c r="F798" i="2"/>
  <c r="D798" i="2"/>
  <c r="C798" i="2"/>
  <c r="J798" i="2" l="1"/>
  <c r="E799" i="2"/>
  <c r="D799" i="2"/>
  <c r="I799" i="2"/>
  <c r="G799" i="2"/>
  <c r="F799" i="2"/>
  <c r="H799" i="2"/>
  <c r="C799" i="2"/>
  <c r="J799" i="2" l="1"/>
  <c r="G800" i="2"/>
  <c r="F800" i="2"/>
  <c r="E800" i="2"/>
  <c r="D800" i="2"/>
  <c r="I800" i="2"/>
  <c r="H800" i="2"/>
  <c r="C800" i="2"/>
  <c r="J800" i="2" l="1"/>
  <c r="I801" i="2"/>
  <c r="H801" i="2"/>
  <c r="G801" i="2"/>
  <c r="F801" i="2"/>
  <c r="E801" i="2"/>
  <c r="D801" i="2"/>
  <c r="C801" i="2"/>
  <c r="J801" i="2" l="1"/>
  <c r="I802" i="2"/>
  <c r="I803" i="2" s="1"/>
  <c r="H802" i="2"/>
  <c r="G802" i="2"/>
  <c r="G803" i="2" s="1"/>
  <c r="E802" i="2"/>
  <c r="E803" i="2" s="1"/>
  <c r="F802" i="2"/>
  <c r="F803" i="2" s="1"/>
  <c r="D802" i="2"/>
  <c r="D803" i="2" s="1"/>
  <c r="C802" i="2"/>
  <c r="C803" i="2" s="1"/>
  <c r="J802" i="2" l="1"/>
  <c r="H803" i="2"/>
  <c r="J803" i="2" s="1"/>
  <c r="H804" i="2" l="1"/>
  <c r="I804" i="2"/>
  <c r="G804" i="2"/>
  <c r="E804" i="2"/>
  <c r="F804" i="2"/>
  <c r="D804" i="2"/>
  <c r="C804" i="2"/>
  <c r="J804" i="2" l="1"/>
  <c r="E805" i="2"/>
  <c r="D805" i="2"/>
  <c r="I805" i="2"/>
  <c r="G805" i="2"/>
  <c r="H805" i="2"/>
  <c r="F805" i="2"/>
  <c r="C805" i="2"/>
  <c r="J805" i="2" l="1"/>
  <c r="G806" i="2"/>
  <c r="F806" i="2"/>
  <c r="E806" i="2"/>
  <c r="D806" i="2"/>
  <c r="I806" i="2"/>
  <c r="H806" i="2"/>
  <c r="C806" i="2"/>
  <c r="J806" i="2" l="1"/>
  <c r="I807" i="2"/>
  <c r="H807" i="2"/>
  <c r="G807" i="2"/>
  <c r="F807" i="2"/>
  <c r="E807" i="2"/>
  <c r="D807" i="2"/>
  <c r="C807" i="2"/>
  <c r="J807" i="2" l="1"/>
  <c r="I808" i="2"/>
  <c r="H808" i="2"/>
  <c r="G808" i="2"/>
  <c r="E808" i="2"/>
  <c r="D808" i="2"/>
  <c r="F808" i="2"/>
  <c r="C808" i="2"/>
  <c r="J808" i="2" l="1"/>
  <c r="E809" i="2"/>
  <c r="E810" i="2" s="1"/>
  <c r="D809" i="2"/>
  <c r="D810" i="2" s="1"/>
  <c r="I809" i="2"/>
  <c r="I810" i="2" s="1"/>
  <c r="G809" i="2"/>
  <c r="G810" i="2" s="1"/>
  <c r="H809" i="2"/>
  <c r="F809" i="2"/>
  <c r="F810" i="2" s="1"/>
  <c r="C809" i="2"/>
  <c r="C810" i="2" s="1"/>
  <c r="J809" i="2" l="1"/>
  <c r="D811" i="2"/>
  <c r="H810" i="2"/>
  <c r="J810" i="2" s="1"/>
  <c r="E811" i="2" l="1"/>
  <c r="H811" i="2"/>
  <c r="I811" i="2"/>
  <c r="G811" i="2"/>
  <c r="C811" i="2"/>
  <c r="F811" i="2"/>
  <c r="J811" i="2" l="1"/>
  <c r="G812" i="2"/>
  <c r="F812" i="2"/>
  <c r="E812" i="2"/>
  <c r="D812" i="2"/>
  <c r="I812" i="2"/>
  <c r="H812" i="2"/>
  <c r="C812" i="2"/>
  <c r="J812" i="2" l="1"/>
  <c r="I813" i="2"/>
  <c r="H813" i="2"/>
  <c r="G813" i="2"/>
  <c r="F813" i="2"/>
  <c r="E813" i="2"/>
  <c r="D813" i="2"/>
  <c r="C813" i="2"/>
  <c r="J813" i="2" l="1"/>
  <c r="I814" i="2"/>
  <c r="H814" i="2"/>
  <c r="G814" i="2"/>
  <c r="E814" i="2"/>
  <c r="D814" i="2"/>
  <c r="F814" i="2"/>
  <c r="C814" i="2"/>
  <c r="J814" i="2" l="1"/>
  <c r="E815" i="2"/>
  <c r="D815" i="2"/>
  <c r="I815" i="2"/>
  <c r="G815" i="2"/>
  <c r="F815" i="2"/>
  <c r="H815" i="2"/>
  <c r="C815" i="2"/>
  <c r="J815" i="2" l="1"/>
  <c r="G816" i="2"/>
  <c r="F816" i="2"/>
  <c r="E816" i="2"/>
  <c r="E817" i="2" s="1"/>
  <c r="D816" i="2"/>
  <c r="I816" i="2"/>
  <c r="I817" i="2" s="1"/>
  <c r="H816" i="2"/>
  <c r="C816" i="2"/>
  <c r="C817" i="2" s="1"/>
  <c r="J816" i="2" l="1"/>
  <c r="D817" i="2"/>
  <c r="F817" i="2"/>
  <c r="F818" i="2" s="1"/>
  <c r="G817" i="2"/>
  <c r="G818" i="2" s="1"/>
  <c r="I818" i="2"/>
  <c r="H817" i="2"/>
  <c r="J817" i="2" s="1"/>
  <c r="D818" i="2" l="1"/>
  <c r="H818" i="2"/>
  <c r="C818" i="2"/>
  <c r="E818" i="2"/>
  <c r="J818" i="2" l="1"/>
  <c r="I819" i="2"/>
  <c r="H819" i="2"/>
  <c r="G819" i="2"/>
  <c r="F819" i="2"/>
  <c r="E819" i="2"/>
  <c r="D819" i="2"/>
  <c r="C819" i="2"/>
  <c r="J819" i="2" l="1"/>
  <c r="I820" i="2"/>
  <c r="H820" i="2"/>
  <c r="G820" i="2"/>
  <c r="E820" i="2"/>
  <c r="F820" i="2"/>
  <c r="D820" i="2"/>
  <c r="C820" i="2"/>
  <c r="J820" i="2" l="1"/>
  <c r="E821" i="2"/>
  <c r="D821" i="2"/>
  <c r="I821" i="2"/>
  <c r="G821" i="2"/>
  <c r="F821" i="2"/>
  <c r="H821" i="2"/>
  <c r="C821" i="2"/>
  <c r="J821" i="2" l="1"/>
  <c r="G822" i="2"/>
  <c r="F822" i="2"/>
  <c r="E822" i="2"/>
  <c r="D822" i="2"/>
  <c r="I822" i="2"/>
  <c r="H822" i="2"/>
  <c r="C822" i="2"/>
  <c r="J822" i="2" l="1"/>
  <c r="I823" i="2"/>
  <c r="I824" i="2" s="1"/>
  <c r="H823" i="2"/>
  <c r="G823" i="2"/>
  <c r="G824" i="2" s="1"/>
  <c r="F823" i="2"/>
  <c r="F824" i="2" s="1"/>
  <c r="E823" i="2"/>
  <c r="E824" i="2" s="1"/>
  <c r="D823" i="2"/>
  <c r="D824" i="2" s="1"/>
  <c r="C823" i="2"/>
  <c r="C824" i="2" s="1"/>
  <c r="J823" i="2" l="1"/>
  <c r="H824" i="2"/>
  <c r="J824" i="2" s="1"/>
  <c r="H825" i="2" l="1"/>
  <c r="G825" i="2"/>
  <c r="I825" i="2"/>
  <c r="C825" i="2"/>
  <c r="F825" i="2"/>
  <c r="E825" i="2"/>
  <c r="D825" i="2"/>
  <c r="J825" i="2" l="1"/>
  <c r="I826" i="2"/>
  <c r="H826" i="2"/>
  <c r="G826" i="2"/>
  <c r="E826" i="2"/>
  <c r="F826" i="2"/>
  <c r="D826" i="2"/>
  <c r="C826" i="2"/>
  <c r="J826" i="2" l="1"/>
  <c r="E827" i="2"/>
  <c r="D827" i="2"/>
  <c r="I827" i="2"/>
  <c r="G827" i="2"/>
  <c r="H827" i="2"/>
  <c r="F827" i="2"/>
  <c r="C827" i="2"/>
  <c r="J827" i="2" l="1"/>
  <c r="G828" i="2"/>
  <c r="F828" i="2"/>
  <c r="E828" i="2"/>
  <c r="D828" i="2"/>
  <c r="I828" i="2"/>
  <c r="H828" i="2"/>
  <c r="C828" i="2"/>
  <c r="J828" i="2" l="1"/>
  <c r="I829" i="2"/>
  <c r="H829" i="2"/>
  <c r="G829" i="2"/>
  <c r="F829" i="2"/>
  <c r="E829" i="2"/>
  <c r="D829" i="2"/>
  <c r="C829" i="2"/>
  <c r="J829" i="2" l="1"/>
  <c r="I830" i="2"/>
  <c r="I831" i="2" s="1"/>
  <c r="H830" i="2"/>
  <c r="G830" i="2"/>
  <c r="G831" i="2" s="1"/>
  <c r="E830" i="2"/>
  <c r="E831" i="2" s="1"/>
  <c r="D830" i="2"/>
  <c r="D831" i="2" s="1"/>
  <c r="F830" i="2"/>
  <c r="F831" i="2" s="1"/>
  <c r="C830" i="2"/>
  <c r="C831" i="2" s="1"/>
  <c r="J830" i="2" l="1"/>
  <c r="H831" i="2"/>
  <c r="J831" i="2" s="1"/>
  <c r="H832" i="2" l="1"/>
  <c r="I832" i="2"/>
  <c r="G832" i="2"/>
  <c r="C832" i="2"/>
  <c r="D832" i="2"/>
  <c r="E832" i="2"/>
  <c r="F832" i="2"/>
  <c r="J832" i="2" l="1"/>
  <c r="E833" i="2"/>
  <c r="D833" i="2"/>
  <c r="I833" i="2"/>
  <c r="G833" i="2"/>
  <c r="H833" i="2"/>
  <c r="F833" i="2"/>
  <c r="C833" i="2"/>
  <c r="J833" i="2" l="1"/>
  <c r="G834" i="2"/>
  <c r="F834" i="2"/>
  <c r="E834" i="2"/>
  <c r="D834" i="2"/>
  <c r="I834" i="2"/>
  <c r="H834" i="2"/>
  <c r="C834" i="2"/>
  <c r="J834" i="2" l="1"/>
  <c r="I835" i="2"/>
  <c r="H835" i="2"/>
  <c r="G835" i="2"/>
  <c r="F835" i="2"/>
  <c r="E835" i="2"/>
  <c r="D835" i="2"/>
  <c r="C835" i="2"/>
  <c r="I836" i="2" l="1"/>
  <c r="H836" i="2"/>
  <c r="G836" i="2"/>
  <c r="E836" i="2"/>
  <c r="D836" i="2"/>
  <c r="F836" i="2"/>
  <c r="C836" i="2"/>
  <c r="J835" i="2"/>
  <c r="J836" i="2" l="1"/>
  <c r="E837" i="2"/>
  <c r="D837" i="2"/>
  <c r="I837" i="2"/>
  <c r="G837" i="2"/>
  <c r="G838" i="2" s="1"/>
  <c r="G839" i="2" s="1"/>
  <c r="F837" i="2"/>
  <c r="F838" i="2" s="1"/>
  <c r="F839" i="2" s="1"/>
  <c r="H837" i="2"/>
  <c r="C837" i="2"/>
  <c r="C838" i="2" s="1"/>
  <c r="C839" i="2" s="1"/>
  <c r="I838" i="2" l="1"/>
  <c r="I839" i="2" s="1"/>
  <c r="D838" i="2"/>
  <c r="D839" i="2" s="1"/>
  <c r="E838" i="2"/>
  <c r="E839" i="2" s="1"/>
  <c r="H838" i="2"/>
  <c r="J838" i="2" s="1"/>
  <c r="J837" i="2"/>
  <c r="H839" i="2" l="1"/>
  <c r="J839" i="2" s="1"/>
  <c r="G840" i="2"/>
  <c r="F840" i="2"/>
  <c r="E840" i="2"/>
  <c r="D840" i="2"/>
  <c r="I840" i="2"/>
  <c r="H840" i="2"/>
  <c r="C840" i="2"/>
  <c r="J840" i="2" l="1"/>
  <c r="I841" i="2"/>
  <c r="H841" i="2"/>
  <c r="G841" i="2"/>
  <c r="F841" i="2"/>
  <c r="E841" i="2"/>
  <c r="D841" i="2"/>
  <c r="C841" i="2"/>
  <c r="J841" i="2" l="1"/>
  <c r="I842" i="2"/>
  <c r="H842" i="2"/>
  <c r="G842" i="2"/>
  <c r="E842" i="2"/>
  <c r="F842" i="2"/>
  <c r="D842" i="2"/>
  <c r="C842" i="2"/>
  <c r="J842" i="2" l="1"/>
  <c r="E843" i="2"/>
  <c r="D843" i="2"/>
  <c r="I843" i="2"/>
  <c r="G843" i="2"/>
  <c r="F843" i="2"/>
  <c r="H843" i="2"/>
  <c r="C843" i="2"/>
  <c r="J843" i="2" l="1"/>
  <c r="G844" i="2"/>
  <c r="G845" i="2" s="1"/>
  <c r="F844" i="2"/>
  <c r="F845" i="2" s="1"/>
  <c r="E844" i="2"/>
  <c r="E845" i="2" s="1"/>
  <c r="D844" i="2"/>
  <c r="D845" i="2" s="1"/>
  <c r="I844" i="2"/>
  <c r="I845" i="2" s="1"/>
  <c r="H844" i="2"/>
  <c r="C844" i="2"/>
  <c r="C845" i="2" s="1"/>
  <c r="J844" i="2" l="1"/>
  <c r="H845" i="2"/>
  <c r="J845" i="2" s="1"/>
  <c r="H846" i="2" l="1"/>
  <c r="C846" i="2"/>
  <c r="G846" i="2"/>
  <c r="F846" i="2"/>
  <c r="D846" i="2"/>
  <c r="E846" i="2"/>
  <c r="I846" i="2"/>
  <c r="J846" i="2" l="1"/>
  <c r="I847" i="2"/>
  <c r="H847" i="2"/>
  <c r="G847" i="2"/>
  <c r="F847" i="2"/>
  <c r="E847" i="2"/>
  <c r="D847" i="2"/>
  <c r="C847" i="2"/>
  <c r="J847" i="2" l="1"/>
  <c r="I848" i="2"/>
  <c r="H848" i="2"/>
  <c r="G848" i="2"/>
  <c r="E848" i="2"/>
  <c r="F848" i="2"/>
  <c r="D848" i="2"/>
  <c r="C848" i="2"/>
  <c r="J848" i="2" l="1"/>
  <c r="E849" i="2"/>
  <c r="D849" i="2"/>
  <c r="I849" i="2"/>
  <c r="G849" i="2"/>
  <c r="H849" i="2"/>
  <c r="F849" i="2"/>
  <c r="C849" i="2"/>
  <c r="J849" i="2" l="1"/>
  <c r="G850" i="2"/>
  <c r="F850" i="2"/>
  <c r="E850" i="2"/>
  <c r="D850" i="2"/>
  <c r="I850" i="2"/>
  <c r="H850" i="2"/>
  <c r="C850" i="2"/>
  <c r="J850" i="2" l="1"/>
  <c r="I851" i="2"/>
  <c r="I852" i="2" s="1"/>
  <c r="H851" i="2"/>
  <c r="G851" i="2"/>
  <c r="G852" i="2" s="1"/>
  <c r="F851" i="2"/>
  <c r="F852" i="2" s="1"/>
  <c r="E851" i="2"/>
  <c r="E852" i="2" s="1"/>
  <c r="D851" i="2"/>
  <c r="D852" i="2" s="1"/>
  <c r="C851" i="2"/>
  <c r="C852" i="2" s="1"/>
  <c r="J851" i="2" l="1"/>
  <c r="C853" i="2"/>
  <c r="H852" i="2"/>
  <c r="J852" i="2" s="1"/>
  <c r="I853" i="2" l="1"/>
  <c r="H853" i="2"/>
  <c r="J853" i="2" s="1"/>
  <c r="G853" i="2"/>
  <c r="F853" i="2"/>
  <c r="E853" i="2"/>
  <c r="D853" i="2"/>
  <c r="I854" i="2" l="1"/>
  <c r="H854" i="2"/>
  <c r="G854" i="2"/>
  <c r="E854" i="2"/>
  <c r="D854" i="2"/>
  <c r="F854" i="2"/>
  <c r="C854" i="2"/>
  <c r="J854" i="2" l="1"/>
  <c r="E855" i="2"/>
  <c r="D855" i="2"/>
  <c r="I855" i="2"/>
  <c r="G855" i="2"/>
  <c r="H855" i="2"/>
  <c r="F855" i="2"/>
  <c r="C855" i="2"/>
  <c r="J855" i="2" l="1"/>
  <c r="G856" i="2"/>
  <c r="F856" i="2"/>
  <c r="E856" i="2"/>
  <c r="D856" i="2"/>
  <c r="I856" i="2"/>
  <c r="H856" i="2"/>
  <c r="C856" i="2"/>
  <c r="J856" i="2" l="1"/>
  <c r="I857" i="2"/>
  <c r="H857" i="2"/>
  <c r="G857" i="2"/>
  <c r="F857" i="2"/>
  <c r="E857" i="2"/>
  <c r="D857" i="2"/>
  <c r="C857" i="2"/>
  <c r="J857" i="2" l="1"/>
  <c r="I858" i="2"/>
  <c r="I859" i="2" s="1"/>
  <c r="H858" i="2"/>
  <c r="G858" i="2"/>
  <c r="G859" i="2" s="1"/>
  <c r="E858" i="2"/>
  <c r="E859" i="2" s="1"/>
  <c r="D858" i="2"/>
  <c r="D859" i="2" s="1"/>
  <c r="F858" i="2"/>
  <c r="F859" i="2" s="1"/>
  <c r="C858" i="2"/>
  <c r="C859" i="2" s="1"/>
  <c r="J858" i="2" l="1"/>
  <c r="C860" i="2"/>
  <c r="H859" i="2"/>
  <c r="J859" i="2" s="1"/>
  <c r="F860" i="2" l="1"/>
  <c r="I860" i="2"/>
  <c r="H860" i="2"/>
  <c r="J860" i="2" s="1"/>
  <c r="D860" i="2"/>
  <c r="G860" i="2"/>
  <c r="E860" i="2"/>
  <c r="E861" i="2" l="1"/>
  <c r="D861" i="2"/>
  <c r="I861" i="2"/>
  <c r="G861" i="2"/>
  <c r="F861" i="2"/>
  <c r="H861" i="2"/>
  <c r="C861" i="2"/>
  <c r="J861" i="2" l="1"/>
  <c r="G862" i="2"/>
  <c r="F862" i="2"/>
  <c r="E862" i="2"/>
  <c r="D862" i="2"/>
  <c r="I862" i="2"/>
  <c r="H862" i="2"/>
  <c r="C862" i="2"/>
  <c r="J862" i="2" l="1"/>
  <c r="I863" i="2"/>
  <c r="H863" i="2"/>
  <c r="G863" i="2"/>
  <c r="F863" i="2"/>
  <c r="E863" i="2"/>
  <c r="D863" i="2"/>
  <c r="C863" i="2"/>
  <c r="J863" i="2" l="1"/>
  <c r="I864" i="2"/>
  <c r="H864" i="2"/>
  <c r="G864" i="2"/>
  <c r="E864" i="2"/>
  <c r="F864" i="2"/>
  <c r="D864" i="2"/>
  <c r="C864" i="2"/>
  <c r="J864" i="2" l="1"/>
  <c r="E865" i="2"/>
  <c r="E866" i="2" s="1"/>
  <c r="D865" i="2"/>
  <c r="D866" i="2" s="1"/>
  <c r="I865" i="2"/>
  <c r="I866" i="2" s="1"/>
  <c r="G865" i="2"/>
  <c r="G866" i="2" s="1"/>
  <c r="F865" i="2"/>
  <c r="F866" i="2" s="1"/>
  <c r="H865" i="2"/>
  <c r="C865" i="2"/>
  <c r="C866" i="2" s="1"/>
  <c r="J865" i="2" l="1"/>
  <c r="D867" i="2"/>
  <c r="H866" i="2"/>
  <c r="J866" i="2" s="1"/>
  <c r="C867" i="2" l="1"/>
  <c r="H867" i="2"/>
  <c r="E867" i="2"/>
  <c r="I867" i="2"/>
  <c r="G867" i="2"/>
  <c r="F867" i="2"/>
  <c r="J867" i="2" l="1"/>
  <c r="G868" i="2"/>
  <c r="F868" i="2"/>
  <c r="E868" i="2"/>
  <c r="D868" i="2"/>
  <c r="I868" i="2"/>
  <c r="H868" i="2"/>
  <c r="C868" i="2"/>
  <c r="J868" i="2" l="1"/>
  <c r="I869" i="2"/>
  <c r="H869" i="2"/>
  <c r="G869" i="2"/>
  <c r="F869" i="2"/>
  <c r="E869" i="2"/>
  <c r="D869" i="2"/>
  <c r="C869" i="2"/>
  <c r="J869" i="2" l="1"/>
  <c r="I870" i="2"/>
  <c r="H870" i="2"/>
  <c r="G870" i="2"/>
  <c r="E870" i="2"/>
  <c r="F870" i="2"/>
  <c r="D870" i="2"/>
  <c r="C870" i="2"/>
  <c r="J870" i="2" l="1"/>
  <c r="E871" i="2"/>
  <c r="D871" i="2"/>
  <c r="I871" i="2"/>
  <c r="G871" i="2"/>
  <c r="H871" i="2"/>
  <c r="F871" i="2"/>
  <c r="C871" i="2"/>
  <c r="J871" i="2" l="1"/>
  <c r="G872" i="2"/>
  <c r="G873" i="2" s="1"/>
  <c r="F872" i="2"/>
  <c r="F873" i="2" s="1"/>
  <c r="E872" i="2"/>
  <c r="E873" i="2" s="1"/>
  <c r="D872" i="2"/>
  <c r="D873" i="2" s="1"/>
  <c r="I872" i="2"/>
  <c r="I873" i="2" s="1"/>
  <c r="H872" i="2"/>
  <c r="C872" i="2"/>
  <c r="C873" i="2" s="1"/>
  <c r="J872" i="2" l="1"/>
  <c r="D874" i="2"/>
  <c r="H873" i="2"/>
  <c r="J873" i="2" s="1"/>
  <c r="H874" i="2" l="1"/>
  <c r="G874" i="2"/>
  <c r="F874" i="2"/>
  <c r="E874" i="2"/>
  <c r="I874" i="2"/>
  <c r="C874" i="2"/>
  <c r="J874" i="2" l="1"/>
  <c r="I875" i="2"/>
  <c r="H875" i="2"/>
  <c r="G875" i="2"/>
  <c r="F875" i="2"/>
  <c r="E875" i="2"/>
  <c r="D875" i="2"/>
  <c r="C875" i="2"/>
  <c r="J875" i="2" l="1"/>
  <c r="I876" i="2"/>
  <c r="H876" i="2"/>
  <c r="G876" i="2"/>
  <c r="E876" i="2"/>
  <c r="D876" i="2"/>
  <c r="F876" i="2"/>
  <c r="C876" i="2"/>
  <c r="E877" i="2" l="1"/>
  <c r="D877" i="2"/>
  <c r="I877" i="2"/>
  <c r="G877" i="2"/>
  <c r="H877" i="2"/>
  <c r="F877" i="2"/>
  <c r="C877" i="2"/>
  <c r="J876" i="2"/>
  <c r="J877" i="2" l="1"/>
  <c r="G878" i="2"/>
  <c r="F878" i="2"/>
  <c r="E878" i="2"/>
  <c r="D878" i="2"/>
  <c r="I878" i="2"/>
  <c r="H878" i="2"/>
  <c r="C878" i="2"/>
  <c r="J878" i="2" l="1"/>
  <c r="I879" i="2"/>
  <c r="I880" i="2" s="1"/>
  <c r="H879" i="2"/>
  <c r="G879" i="2"/>
  <c r="G880" i="2" s="1"/>
  <c r="F879" i="2"/>
  <c r="F880" i="2" s="1"/>
  <c r="E879" i="2"/>
  <c r="E880" i="2" s="1"/>
  <c r="D879" i="2"/>
  <c r="D880" i="2" s="1"/>
  <c r="C879" i="2"/>
  <c r="C880" i="2" s="1"/>
  <c r="J879" i="2" l="1"/>
  <c r="H880" i="2"/>
  <c r="J880" i="2" s="1"/>
  <c r="H881" i="2" l="1"/>
  <c r="I881" i="2"/>
  <c r="G881" i="2"/>
  <c r="F881" i="2"/>
  <c r="E881" i="2"/>
  <c r="D881" i="2"/>
  <c r="C881" i="2"/>
  <c r="J881" i="2" l="1"/>
  <c r="I882" i="2"/>
  <c r="H882" i="2"/>
  <c r="G882" i="2"/>
  <c r="E882" i="2"/>
  <c r="D882" i="2"/>
  <c r="F882" i="2"/>
  <c r="C882" i="2"/>
  <c r="J882" i="2" l="1"/>
  <c r="E883" i="2"/>
  <c r="D883" i="2"/>
  <c r="I883" i="2"/>
  <c r="G883" i="2"/>
  <c r="F883" i="2"/>
  <c r="H883" i="2"/>
  <c r="C883" i="2"/>
  <c r="J883" i="2" l="1"/>
  <c r="G884" i="2"/>
  <c r="F884" i="2"/>
  <c r="E884" i="2"/>
  <c r="D884" i="2"/>
  <c r="I884" i="2"/>
  <c r="H884" i="2"/>
  <c r="C884" i="2"/>
  <c r="J884" i="2" l="1"/>
  <c r="I885" i="2"/>
  <c r="H885" i="2"/>
  <c r="G885" i="2"/>
  <c r="F885" i="2"/>
  <c r="E885" i="2"/>
  <c r="D885" i="2"/>
  <c r="C885" i="2"/>
  <c r="I886" i="2" l="1"/>
  <c r="I887" i="2" s="1"/>
  <c r="H886" i="2"/>
  <c r="G886" i="2"/>
  <c r="G887" i="2" s="1"/>
  <c r="E886" i="2"/>
  <c r="E887" i="2" s="1"/>
  <c r="F886" i="2"/>
  <c r="F887" i="2" s="1"/>
  <c r="D886" i="2"/>
  <c r="D887" i="2" s="1"/>
  <c r="C886" i="2"/>
  <c r="C887" i="2" s="1"/>
  <c r="J885" i="2"/>
  <c r="J886" i="2" l="1"/>
  <c r="I888" i="2"/>
  <c r="H887" i="2"/>
  <c r="J887" i="2" s="1"/>
  <c r="D888" i="2" l="1"/>
  <c r="H888" i="2"/>
  <c r="C888" i="2"/>
  <c r="G888" i="2"/>
  <c r="E888" i="2"/>
  <c r="F888" i="2"/>
  <c r="J888" i="2" l="1"/>
  <c r="E889" i="2"/>
  <c r="D889" i="2"/>
  <c r="I889" i="2"/>
  <c r="G889" i="2"/>
  <c r="F889" i="2"/>
  <c r="H889" i="2"/>
  <c r="C889" i="2"/>
  <c r="J889" i="2" l="1"/>
  <c r="G890" i="2"/>
  <c r="F890" i="2"/>
  <c r="E890" i="2"/>
  <c r="D890" i="2"/>
  <c r="I890" i="2"/>
  <c r="H890" i="2"/>
  <c r="C890" i="2"/>
  <c r="J890" i="2" l="1"/>
  <c r="I891" i="2"/>
  <c r="H891" i="2"/>
  <c r="G891" i="2"/>
  <c r="F891" i="2"/>
  <c r="E891" i="2"/>
  <c r="D891" i="2"/>
  <c r="C891" i="2"/>
  <c r="J891" i="2" l="1"/>
  <c r="I892" i="2"/>
  <c r="H892" i="2"/>
  <c r="G892" i="2"/>
  <c r="E892" i="2"/>
  <c r="F892" i="2"/>
  <c r="D892" i="2"/>
  <c r="C892" i="2"/>
  <c r="J892" i="2" l="1"/>
  <c r="E893" i="2"/>
  <c r="E894" i="2" s="1"/>
  <c r="D893" i="2"/>
  <c r="D894" i="2" s="1"/>
  <c r="I893" i="2"/>
  <c r="I894" i="2" s="1"/>
  <c r="G893" i="2"/>
  <c r="G894" i="2" s="1"/>
  <c r="H893" i="2"/>
  <c r="F893" i="2"/>
  <c r="F894" i="2" s="1"/>
  <c r="C893" i="2"/>
  <c r="C894" i="2" s="1"/>
  <c r="J893" i="2" l="1"/>
  <c r="C895" i="2"/>
  <c r="H894" i="2"/>
  <c r="J894" i="2" s="1"/>
  <c r="F895" i="2" l="1"/>
  <c r="H895" i="2"/>
  <c r="J895" i="2" s="1"/>
  <c r="I895" i="2"/>
  <c r="E895" i="2"/>
  <c r="D895" i="2"/>
  <c r="G895" i="2"/>
  <c r="G896" i="2" l="1"/>
  <c r="F896" i="2"/>
  <c r="E896" i="2"/>
  <c r="D896" i="2"/>
  <c r="I896" i="2"/>
  <c r="H896" i="2"/>
  <c r="C896" i="2"/>
  <c r="J896" i="2" l="1"/>
  <c r="I897" i="2"/>
  <c r="H897" i="2"/>
  <c r="G897" i="2"/>
  <c r="F897" i="2"/>
  <c r="E897" i="2"/>
  <c r="D897" i="2"/>
  <c r="C897" i="2"/>
  <c r="J897" i="2" l="1"/>
  <c r="I898" i="2"/>
  <c r="H898" i="2"/>
  <c r="G898" i="2"/>
  <c r="E898" i="2"/>
  <c r="D898" i="2"/>
  <c r="F898" i="2"/>
  <c r="C898" i="2"/>
  <c r="J898" i="2" l="1"/>
  <c r="E899" i="2"/>
  <c r="D899" i="2"/>
  <c r="I899" i="2"/>
  <c r="G899" i="2"/>
  <c r="H899" i="2"/>
  <c r="F899" i="2"/>
  <c r="C899" i="2"/>
  <c r="J899" i="2" l="1"/>
  <c r="G900" i="2"/>
  <c r="F900" i="2"/>
  <c r="E900" i="2"/>
  <c r="D900" i="2"/>
  <c r="D901" i="2" s="1"/>
  <c r="I900" i="2"/>
  <c r="I901" i="2" s="1"/>
  <c r="H900" i="2"/>
  <c r="C900" i="2"/>
  <c r="C901" i="2" s="1"/>
  <c r="J900" i="2" l="1"/>
  <c r="C902" i="2"/>
  <c r="H901" i="2"/>
  <c r="J901" i="2" s="1"/>
  <c r="E901" i="2"/>
  <c r="E902" i="2" s="1"/>
  <c r="I902" i="2"/>
  <c r="F901" i="2"/>
  <c r="F902" i="2" s="1"/>
  <c r="D902" i="2"/>
  <c r="G901" i="2"/>
  <c r="G902" i="2" s="1"/>
  <c r="H902" i="2" l="1"/>
  <c r="J902" i="2" s="1"/>
  <c r="I903" i="2" l="1"/>
  <c r="H903" i="2"/>
  <c r="G903" i="2"/>
  <c r="F903" i="2"/>
  <c r="E903" i="2"/>
  <c r="D903" i="2"/>
  <c r="C903" i="2"/>
  <c r="J903" i="2" l="1"/>
  <c r="I904" i="2"/>
  <c r="H904" i="2"/>
  <c r="G904" i="2"/>
  <c r="E904" i="2"/>
  <c r="D904" i="2"/>
  <c r="F904" i="2"/>
  <c r="C904" i="2"/>
  <c r="J904" i="2" l="1"/>
  <c r="E905" i="2"/>
  <c r="D905" i="2"/>
  <c r="I905" i="2"/>
  <c r="G905" i="2"/>
  <c r="F905" i="2"/>
  <c r="H905" i="2"/>
  <c r="C905" i="2"/>
  <c r="J905" i="2" l="1"/>
  <c r="G906" i="2"/>
  <c r="F906" i="2"/>
  <c r="E906" i="2"/>
  <c r="D906" i="2"/>
  <c r="I906" i="2"/>
  <c r="H906" i="2"/>
  <c r="C906" i="2"/>
  <c r="J906" i="2" l="1"/>
  <c r="I907" i="2"/>
  <c r="I908" i="2" s="1"/>
  <c r="H907" i="2"/>
  <c r="G907" i="2"/>
  <c r="G908" i="2" s="1"/>
  <c r="F907" i="2"/>
  <c r="F908" i="2" s="1"/>
  <c r="E907" i="2"/>
  <c r="E908" i="2" s="1"/>
  <c r="D907" i="2"/>
  <c r="D908" i="2" s="1"/>
  <c r="C907" i="2"/>
  <c r="C908" i="2" s="1"/>
  <c r="J907" i="2" l="1"/>
  <c r="H908" i="2"/>
  <c r="J908" i="2" s="1"/>
  <c r="H909" i="2" l="1"/>
  <c r="I909" i="2"/>
  <c r="G909" i="2"/>
  <c r="F909" i="2"/>
  <c r="E909" i="2"/>
  <c r="C909" i="2"/>
  <c r="D909" i="2"/>
  <c r="J909" i="2" l="1"/>
  <c r="I910" i="2"/>
  <c r="H910" i="2"/>
  <c r="G910" i="2"/>
  <c r="E910" i="2"/>
  <c r="F910" i="2"/>
  <c r="D910" i="2"/>
  <c r="C910" i="2"/>
  <c r="J910" i="2" l="1"/>
  <c r="E911" i="2"/>
  <c r="D911" i="2"/>
  <c r="I911" i="2"/>
  <c r="G911" i="2"/>
  <c r="F911" i="2"/>
  <c r="H911" i="2"/>
  <c r="C911" i="2"/>
  <c r="J911" i="2" l="1"/>
  <c r="G912" i="2"/>
  <c r="F912" i="2"/>
  <c r="E912" i="2"/>
  <c r="D912" i="2"/>
  <c r="I912" i="2"/>
  <c r="H912" i="2"/>
  <c r="C912" i="2"/>
  <c r="J912" i="2" l="1"/>
  <c r="I913" i="2"/>
  <c r="H913" i="2"/>
  <c r="G913" i="2"/>
  <c r="F913" i="2"/>
  <c r="E913" i="2"/>
  <c r="D913" i="2"/>
  <c r="C913" i="2"/>
  <c r="J913" i="2" l="1"/>
  <c r="I914" i="2"/>
  <c r="I915" i="2" s="1"/>
  <c r="I916" i="2" s="1"/>
  <c r="H914" i="2"/>
  <c r="G914" i="2"/>
  <c r="G915" i="2" s="1"/>
  <c r="G916" i="2" s="1"/>
  <c r="E914" i="2"/>
  <c r="E915" i="2" s="1"/>
  <c r="E916" i="2" s="1"/>
  <c r="F914" i="2"/>
  <c r="F915" i="2" s="1"/>
  <c r="F916" i="2" s="1"/>
  <c r="D914" i="2"/>
  <c r="D915" i="2" s="1"/>
  <c r="D916" i="2" s="1"/>
  <c r="C914" i="2"/>
  <c r="C915" i="2" s="1"/>
  <c r="C916" i="2" s="1"/>
  <c r="H915" i="2" l="1"/>
  <c r="J915" i="2" s="1"/>
  <c r="J914" i="2"/>
  <c r="H916" i="2" l="1"/>
  <c r="J916" i="2" s="1"/>
  <c r="E917" i="2"/>
  <c r="D917" i="2"/>
  <c r="I917" i="2"/>
  <c r="G917" i="2"/>
  <c r="H917" i="2"/>
  <c r="F917" i="2"/>
  <c r="C917" i="2"/>
  <c r="J917" i="2" l="1"/>
  <c r="G918" i="2"/>
  <c r="F918" i="2"/>
  <c r="E918" i="2"/>
  <c r="D918" i="2"/>
  <c r="I918" i="2"/>
  <c r="H918" i="2"/>
  <c r="C918" i="2"/>
  <c r="J918" i="2" l="1"/>
  <c r="I919" i="2"/>
  <c r="H919" i="2"/>
  <c r="G919" i="2"/>
  <c r="F919" i="2"/>
  <c r="E919" i="2"/>
  <c r="D919" i="2"/>
  <c r="C919" i="2"/>
  <c r="J919" i="2" l="1"/>
  <c r="I920" i="2"/>
  <c r="H920" i="2"/>
  <c r="G920" i="2"/>
  <c r="E920" i="2"/>
  <c r="D920" i="2"/>
  <c r="F920" i="2"/>
  <c r="C920" i="2"/>
  <c r="J920" i="2" l="1"/>
  <c r="E921" i="2"/>
  <c r="E922" i="2" s="1"/>
  <c r="D921" i="2"/>
  <c r="D922" i="2" s="1"/>
  <c r="I921" i="2"/>
  <c r="I922" i="2" s="1"/>
  <c r="G921" i="2"/>
  <c r="G922" i="2" s="1"/>
  <c r="H921" i="2"/>
  <c r="F921" i="2"/>
  <c r="F922" i="2" s="1"/>
  <c r="C921" i="2"/>
  <c r="C922" i="2" s="1"/>
  <c r="J921" i="2" l="1"/>
  <c r="E923" i="2"/>
  <c r="H922" i="2"/>
  <c r="J922" i="2" s="1"/>
  <c r="F923" i="2" l="1"/>
  <c r="H923" i="2"/>
  <c r="D923" i="2"/>
  <c r="I923" i="2"/>
  <c r="G923" i="2"/>
  <c r="C923" i="2"/>
  <c r="G924" i="2" l="1"/>
  <c r="F924" i="2"/>
  <c r="E924" i="2"/>
  <c r="D924" i="2"/>
  <c r="I924" i="2"/>
  <c r="H924" i="2"/>
  <c r="C924" i="2"/>
  <c r="J923" i="2"/>
  <c r="J924" i="2" l="1"/>
  <c r="I925" i="2"/>
  <c r="H925" i="2"/>
  <c r="G925" i="2"/>
  <c r="F925" i="2"/>
  <c r="E925" i="2"/>
  <c r="D925" i="2"/>
  <c r="C925" i="2"/>
  <c r="J925" i="2" l="1"/>
  <c r="I926" i="2"/>
  <c r="H926" i="2"/>
  <c r="G926" i="2"/>
  <c r="E926" i="2"/>
  <c r="D926" i="2"/>
  <c r="F926" i="2"/>
  <c r="C926" i="2"/>
  <c r="J926" i="2" l="1"/>
  <c r="E927" i="2"/>
  <c r="D927" i="2"/>
  <c r="I927" i="2"/>
  <c r="G927" i="2"/>
  <c r="F927" i="2"/>
  <c r="H927" i="2"/>
  <c r="C927" i="2"/>
  <c r="J927" i="2" l="1"/>
  <c r="G928" i="2"/>
  <c r="F928" i="2"/>
  <c r="E928" i="2"/>
  <c r="D928" i="2"/>
  <c r="D929" i="2" s="1"/>
  <c r="I928" i="2"/>
  <c r="I929" i="2" s="1"/>
  <c r="H928" i="2"/>
  <c r="C928" i="2"/>
  <c r="C929" i="2" s="1"/>
  <c r="J928" i="2" l="1"/>
  <c r="I930" i="2"/>
  <c r="H929" i="2"/>
  <c r="J929" i="2" s="1"/>
  <c r="E929" i="2"/>
  <c r="E930" i="2" s="1"/>
  <c r="D930" i="2"/>
  <c r="F929" i="2"/>
  <c r="F930" i="2" s="1"/>
  <c r="C930" i="2"/>
  <c r="G929" i="2"/>
  <c r="G930" i="2" s="1"/>
  <c r="H930" i="2" l="1"/>
  <c r="J930" i="2" s="1"/>
  <c r="I931" i="2" l="1"/>
  <c r="H931" i="2"/>
  <c r="G931" i="2"/>
  <c r="F931" i="2"/>
  <c r="E931" i="2"/>
  <c r="D931" i="2"/>
  <c r="C931" i="2"/>
  <c r="J931" i="2" l="1"/>
  <c r="I932" i="2"/>
  <c r="H932" i="2"/>
  <c r="G932" i="2"/>
  <c r="E932" i="2"/>
  <c r="F932" i="2"/>
  <c r="D932" i="2"/>
  <c r="C932" i="2"/>
  <c r="J932" i="2" l="1"/>
  <c r="E933" i="2"/>
  <c r="D933" i="2"/>
  <c r="I933" i="2"/>
  <c r="G933" i="2"/>
  <c r="F933" i="2"/>
  <c r="H933" i="2"/>
  <c r="C933" i="2"/>
  <c r="J933" i="2" l="1"/>
  <c r="G934" i="2"/>
  <c r="F934" i="2"/>
  <c r="E934" i="2"/>
  <c r="D934" i="2"/>
  <c r="I934" i="2"/>
  <c r="H934" i="2"/>
  <c r="C934" i="2"/>
  <c r="J934" i="2" l="1"/>
  <c r="I935" i="2"/>
  <c r="I936" i="2" s="1"/>
  <c r="H935" i="2"/>
  <c r="G935" i="2"/>
  <c r="G936" i="2" s="1"/>
  <c r="F935" i="2"/>
  <c r="F936" i="2" s="1"/>
  <c r="E935" i="2"/>
  <c r="E936" i="2" s="1"/>
  <c r="D935" i="2"/>
  <c r="D936" i="2" s="1"/>
  <c r="C935" i="2"/>
  <c r="C936" i="2" s="1"/>
  <c r="J935" i="2" l="1"/>
  <c r="C937" i="2"/>
  <c r="H936" i="2"/>
  <c r="J936" i="2" s="1"/>
  <c r="H937" i="2" l="1"/>
  <c r="J937" i="2" s="1"/>
  <c r="E937" i="2"/>
  <c r="I937" i="2"/>
  <c r="G937" i="2"/>
  <c r="F937" i="2"/>
  <c r="D937" i="2"/>
  <c r="I938" i="2" l="1"/>
  <c r="H938" i="2"/>
  <c r="G938" i="2"/>
  <c r="E938" i="2"/>
  <c r="F938" i="2"/>
  <c r="D938" i="2"/>
  <c r="C938" i="2"/>
  <c r="J938" i="2" l="1"/>
  <c r="E939" i="2"/>
  <c r="D939" i="2"/>
  <c r="I939" i="2"/>
  <c r="G939" i="2"/>
  <c r="H939" i="2"/>
  <c r="F939" i="2"/>
  <c r="C939" i="2"/>
  <c r="J939" i="2" l="1"/>
  <c r="G940" i="2"/>
  <c r="F940" i="2"/>
  <c r="E940" i="2"/>
  <c r="D940" i="2"/>
  <c r="I940" i="2"/>
  <c r="H940" i="2"/>
  <c r="C940" i="2"/>
  <c r="J940" i="2" l="1"/>
  <c r="I941" i="2"/>
  <c r="H941" i="2"/>
  <c r="G941" i="2"/>
  <c r="F941" i="2"/>
  <c r="E941" i="2"/>
  <c r="D941" i="2"/>
  <c r="C941" i="2"/>
  <c r="J941" i="2" l="1"/>
  <c r="I942" i="2"/>
  <c r="I943" i="2" s="1"/>
  <c r="H942" i="2"/>
  <c r="G942" i="2"/>
  <c r="G943" i="2" s="1"/>
  <c r="E942" i="2"/>
  <c r="E943" i="2" s="1"/>
  <c r="D942" i="2"/>
  <c r="D943" i="2" s="1"/>
  <c r="F942" i="2"/>
  <c r="F943" i="2" s="1"/>
  <c r="C942" i="2"/>
  <c r="C943" i="2" s="1"/>
  <c r="J942" i="2" l="1"/>
  <c r="E944" i="2"/>
  <c r="H943" i="2"/>
  <c r="J943" i="2" s="1"/>
  <c r="D944" i="2" l="1"/>
  <c r="I944" i="2"/>
  <c r="H944" i="2"/>
  <c r="G944" i="2"/>
  <c r="F944" i="2"/>
  <c r="C944" i="2"/>
  <c r="J944" i="2" l="1"/>
  <c r="E945" i="2"/>
  <c r="D945" i="2"/>
  <c r="I945" i="2"/>
  <c r="G945" i="2"/>
  <c r="H945" i="2"/>
  <c r="F945" i="2"/>
  <c r="C945" i="2"/>
  <c r="J945" i="2" l="1"/>
  <c r="G946" i="2"/>
  <c r="F946" i="2"/>
  <c r="E946" i="2"/>
  <c r="D946" i="2"/>
  <c r="I946" i="2"/>
  <c r="H946" i="2"/>
  <c r="C946" i="2"/>
  <c r="J946" i="2" l="1"/>
  <c r="I947" i="2"/>
  <c r="H947" i="2"/>
  <c r="G947" i="2"/>
  <c r="F947" i="2"/>
  <c r="E947" i="2"/>
  <c r="D947" i="2"/>
  <c r="C947" i="2"/>
  <c r="I948" i="2" l="1"/>
  <c r="H948" i="2"/>
  <c r="G948" i="2"/>
  <c r="E948" i="2"/>
  <c r="D948" i="2"/>
  <c r="F948" i="2"/>
  <c r="C948" i="2"/>
  <c r="J947" i="2"/>
  <c r="J948" i="2" l="1"/>
  <c r="E949" i="2"/>
  <c r="E950" i="2" s="1"/>
  <c r="D949" i="2"/>
  <c r="D950" i="2" s="1"/>
  <c r="I949" i="2"/>
  <c r="I950" i="2" s="1"/>
  <c r="G949" i="2"/>
  <c r="G950" i="2" s="1"/>
  <c r="F949" i="2"/>
  <c r="F950" i="2" s="1"/>
  <c r="H949" i="2"/>
  <c r="C949" i="2"/>
  <c r="C950" i="2" s="1"/>
  <c r="J949" i="2" l="1"/>
  <c r="I951" i="2"/>
  <c r="H950" i="2"/>
  <c r="J950" i="2" s="1"/>
  <c r="C951" i="2"/>
  <c r="H951" i="2" l="1"/>
  <c r="J951" i="2" s="1"/>
  <c r="D951" i="2"/>
  <c r="E951" i="2"/>
  <c r="G951" i="2"/>
  <c r="F951" i="2"/>
  <c r="G952" i="2" l="1"/>
  <c r="F952" i="2"/>
  <c r="E952" i="2"/>
  <c r="D952" i="2"/>
  <c r="I952" i="2"/>
  <c r="H952" i="2"/>
  <c r="C952" i="2"/>
  <c r="J952" i="2" l="1"/>
  <c r="I953" i="2"/>
  <c r="H953" i="2"/>
  <c r="G953" i="2"/>
  <c r="F953" i="2"/>
  <c r="E953" i="2"/>
  <c r="D953" i="2"/>
  <c r="C953" i="2"/>
  <c r="J953" i="2" l="1"/>
  <c r="I954" i="2"/>
  <c r="H954" i="2"/>
  <c r="G954" i="2"/>
  <c r="E954" i="2"/>
  <c r="F954" i="2"/>
  <c r="D954" i="2"/>
  <c r="C954" i="2"/>
  <c r="J954" i="2" l="1"/>
  <c r="E955" i="2"/>
  <c r="D955" i="2"/>
  <c r="I955" i="2"/>
  <c r="G955" i="2"/>
  <c r="F955" i="2"/>
  <c r="H955" i="2"/>
  <c r="C955" i="2"/>
  <c r="J955" i="2" l="1"/>
  <c r="G956" i="2"/>
  <c r="G957" i="2" s="1"/>
  <c r="F956" i="2"/>
  <c r="F957" i="2" s="1"/>
  <c r="E956" i="2"/>
  <c r="E957" i="2" s="1"/>
  <c r="D956" i="2"/>
  <c r="D957" i="2" s="1"/>
  <c r="I956" i="2"/>
  <c r="I957" i="2" s="1"/>
  <c r="H956" i="2"/>
  <c r="C956" i="2"/>
  <c r="C957" i="2" s="1"/>
  <c r="J956" i="2" l="1"/>
  <c r="G958" i="2"/>
  <c r="H957" i="2"/>
  <c r="J957" i="2" s="1"/>
  <c r="H958" i="2" l="1"/>
  <c r="F958" i="2"/>
  <c r="D958" i="2"/>
  <c r="I958" i="2"/>
  <c r="E958" i="2"/>
  <c r="C958" i="2"/>
  <c r="I959" i="2" l="1"/>
  <c r="H959" i="2"/>
  <c r="G959" i="2"/>
  <c r="F959" i="2"/>
  <c r="E959" i="2"/>
  <c r="D959" i="2"/>
  <c r="C959" i="2"/>
  <c r="J958" i="2"/>
  <c r="J959" i="2" l="1"/>
  <c r="I960" i="2"/>
  <c r="H960" i="2"/>
  <c r="G960" i="2"/>
  <c r="E960" i="2"/>
  <c r="F960" i="2"/>
  <c r="D960" i="2"/>
  <c r="C960" i="2"/>
  <c r="J960" i="2" l="1"/>
  <c r="E961" i="2"/>
  <c r="D961" i="2"/>
  <c r="I961" i="2"/>
  <c r="G961" i="2"/>
  <c r="H961" i="2"/>
  <c r="F961" i="2"/>
  <c r="C961" i="2"/>
  <c r="J961" i="2" l="1"/>
  <c r="G962" i="2"/>
  <c r="F962" i="2"/>
  <c r="E962" i="2"/>
  <c r="D962" i="2"/>
  <c r="I962" i="2"/>
  <c r="H962" i="2"/>
  <c r="C962" i="2"/>
  <c r="J962" i="2" l="1"/>
  <c r="I963" i="2"/>
  <c r="I964" i="2" s="1"/>
  <c r="H963" i="2"/>
  <c r="G963" i="2"/>
  <c r="G964" i="2" s="1"/>
  <c r="F963" i="2"/>
  <c r="F964" i="2" s="1"/>
  <c r="E963" i="2"/>
  <c r="E964" i="2" s="1"/>
  <c r="D963" i="2"/>
  <c r="D964" i="2" s="1"/>
  <c r="C963" i="2"/>
  <c r="C964" i="2" s="1"/>
  <c r="J963" i="2" l="1"/>
  <c r="F965" i="2"/>
  <c r="H964" i="2"/>
  <c r="J964" i="2" s="1"/>
  <c r="H965" i="2" l="1"/>
  <c r="I965" i="2"/>
  <c r="G965" i="2"/>
  <c r="D965" i="2"/>
  <c r="E965" i="2"/>
  <c r="C965" i="2"/>
  <c r="I966" i="2" l="1"/>
  <c r="H966" i="2"/>
  <c r="G966" i="2"/>
  <c r="E966" i="2"/>
  <c r="D966" i="2"/>
  <c r="F966" i="2"/>
  <c r="C966" i="2"/>
  <c r="J965" i="2"/>
  <c r="J966" i="2" l="1"/>
  <c r="E967" i="2"/>
  <c r="D967" i="2"/>
  <c r="I967" i="2"/>
  <c r="G967" i="2"/>
  <c r="H967" i="2"/>
  <c r="F967" i="2"/>
  <c r="C967" i="2"/>
  <c r="J967" i="2" l="1"/>
  <c r="G968" i="2"/>
  <c r="F968" i="2"/>
  <c r="E968" i="2"/>
  <c r="D968" i="2"/>
  <c r="I968" i="2"/>
  <c r="H968" i="2"/>
  <c r="C968" i="2"/>
  <c r="J968" i="2" l="1"/>
  <c r="I969" i="2"/>
  <c r="H969" i="2"/>
  <c r="G969" i="2"/>
  <c r="F969" i="2"/>
  <c r="E969" i="2"/>
  <c r="D969" i="2"/>
  <c r="C969" i="2"/>
  <c r="J969" i="2" l="1"/>
  <c r="I970" i="2"/>
  <c r="I971" i="2" s="1"/>
  <c r="H970" i="2"/>
  <c r="G970" i="2"/>
  <c r="G971" i="2" s="1"/>
  <c r="E970" i="2"/>
  <c r="E971" i="2" s="1"/>
  <c r="D970" i="2"/>
  <c r="D971" i="2" s="1"/>
  <c r="F970" i="2"/>
  <c r="F971" i="2" s="1"/>
  <c r="C970" i="2"/>
  <c r="C971" i="2" s="1"/>
  <c r="J970" i="2" l="1"/>
  <c r="H971" i="2"/>
  <c r="J971" i="2" s="1"/>
  <c r="H972" i="2" l="1"/>
  <c r="I972" i="2"/>
  <c r="G972" i="2"/>
  <c r="C972" i="2"/>
  <c r="D972" i="2"/>
  <c r="E972" i="2"/>
  <c r="F972" i="2"/>
  <c r="J972" i="2" l="1"/>
  <c r="E973" i="2"/>
  <c r="D973" i="2"/>
  <c r="I973" i="2"/>
  <c r="G973" i="2"/>
  <c r="F973" i="2"/>
  <c r="H973" i="2"/>
  <c r="C973" i="2"/>
  <c r="J973" i="2" l="1"/>
  <c r="G974" i="2"/>
  <c r="F974" i="2"/>
  <c r="E974" i="2"/>
  <c r="D974" i="2"/>
  <c r="I974" i="2"/>
  <c r="H974" i="2"/>
  <c r="C974" i="2"/>
  <c r="J974" i="2" l="1"/>
  <c r="I975" i="2"/>
  <c r="H975" i="2"/>
  <c r="G975" i="2"/>
  <c r="F975" i="2"/>
  <c r="E975" i="2"/>
  <c r="D975" i="2"/>
  <c r="C975" i="2"/>
  <c r="J975" i="2" l="1"/>
  <c r="I976" i="2"/>
  <c r="H976" i="2"/>
  <c r="G976" i="2"/>
  <c r="E976" i="2"/>
  <c r="F976" i="2"/>
  <c r="D976" i="2"/>
  <c r="C976" i="2"/>
  <c r="J976" i="2" l="1"/>
  <c r="E977" i="2"/>
  <c r="E978" i="2" s="1"/>
  <c r="D977" i="2"/>
  <c r="D978" i="2" s="1"/>
  <c r="I977" i="2"/>
  <c r="I978" i="2" s="1"/>
  <c r="G977" i="2"/>
  <c r="G978" i="2" s="1"/>
  <c r="F977" i="2"/>
  <c r="F978" i="2" s="1"/>
  <c r="H977" i="2"/>
  <c r="C977" i="2"/>
  <c r="C978" i="2" s="1"/>
  <c r="J977" i="2" l="1"/>
  <c r="I979" i="2"/>
  <c r="H978" i="2"/>
  <c r="J978" i="2" s="1"/>
  <c r="F979" i="2" l="1"/>
  <c r="C979" i="2"/>
  <c r="H979" i="2"/>
  <c r="E979" i="2"/>
  <c r="D979" i="2"/>
  <c r="G979" i="2"/>
  <c r="J979" i="2" l="1"/>
  <c r="G980" i="2"/>
  <c r="F980" i="2"/>
  <c r="E980" i="2"/>
  <c r="D980" i="2"/>
  <c r="I980" i="2"/>
  <c r="H980" i="2"/>
  <c r="C980" i="2"/>
  <c r="J980" i="2" l="1"/>
  <c r="I981" i="2"/>
  <c r="H981" i="2"/>
  <c r="G981" i="2"/>
  <c r="F981" i="2"/>
  <c r="E981" i="2"/>
  <c r="D981" i="2"/>
  <c r="C981" i="2"/>
  <c r="J981" i="2" l="1"/>
  <c r="I982" i="2"/>
  <c r="H982" i="2"/>
  <c r="G982" i="2"/>
  <c r="E982" i="2"/>
  <c r="F982" i="2"/>
  <c r="D982" i="2"/>
  <c r="C982" i="2"/>
  <c r="J982" i="2" l="1"/>
  <c r="E983" i="2"/>
  <c r="D983" i="2"/>
  <c r="I983" i="2"/>
  <c r="G983" i="2"/>
  <c r="F983" i="2"/>
  <c r="H983" i="2"/>
  <c r="C983" i="2"/>
  <c r="J983" i="2" l="1"/>
  <c r="G984" i="2"/>
  <c r="G985" i="2" s="1"/>
  <c r="F984" i="2"/>
  <c r="F985" i="2" s="1"/>
  <c r="E984" i="2"/>
  <c r="E985" i="2" s="1"/>
  <c r="D984" i="2"/>
  <c r="D985" i="2" s="1"/>
  <c r="I984" i="2"/>
  <c r="I985" i="2" s="1"/>
  <c r="H984" i="2"/>
  <c r="C984" i="2"/>
  <c r="C985" i="2" s="1"/>
  <c r="J984" i="2" l="1"/>
  <c r="H985" i="2"/>
  <c r="J985" i="2" s="1"/>
  <c r="H986" i="2" l="1"/>
  <c r="D986" i="2"/>
  <c r="G986" i="2"/>
  <c r="F986" i="2"/>
  <c r="E986" i="2"/>
  <c r="I986" i="2"/>
  <c r="C986" i="2"/>
  <c r="I987" i="2" l="1"/>
  <c r="H987" i="2"/>
  <c r="G987" i="2"/>
  <c r="F987" i="2"/>
  <c r="E987" i="2"/>
  <c r="D987" i="2"/>
  <c r="C987" i="2"/>
  <c r="J986" i="2"/>
  <c r="J987" i="2" l="1"/>
  <c r="I988" i="2"/>
  <c r="H988" i="2"/>
  <c r="G988" i="2"/>
  <c r="E988" i="2"/>
  <c r="D988" i="2"/>
  <c r="F988" i="2"/>
  <c r="C988" i="2"/>
  <c r="J988" i="2" l="1"/>
  <c r="E989" i="2"/>
  <c r="D989" i="2"/>
  <c r="I989" i="2"/>
  <c r="G989" i="2"/>
  <c r="F989" i="2"/>
  <c r="H989" i="2"/>
  <c r="C989" i="2"/>
  <c r="J989" i="2" l="1"/>
  <c r="G990" i="2"/>
  <c r="F990" i="2"/>
  <c r="E990" i="2"/>
  <c r="D990" i="2"/>
  <c r="I990" i="2"/>
  <c r="H990" i="2"/>
  <c r="C990" i="2"/>
  <c r="J990" i="2" l="1"/>
  <c r="I991" i="2"/>
  <c r="I992" i="2" s="1"/>
  <c r="H991" i="2"/>
  <c r="G991" i="2"/>
  <c r="G992" i="2" s="1"/>
  <c r="F991" i="2"/>
  <c r="F992" i="2" s="1"/>
  <c r="E991" i="2"/>
  <c r="E992" i="2" s="1"/>
  <c r="D991" i="2"/>
  <c r="D992" i="2" s="1"/>
  <c r="C991" i="2"/>
  <c r="C992" i="2" s="1"/>
  <c r="J991" i="2" l="1"/>
  <c r="H992" i="2"/>
  <c r="J992" i="2" s="1"/>
  <c r="H993" i="2" l="1"/>
  <c r="I993" i="2"/>
  <c r="C993" i="2"/>
  <c r="G993" i="2"/>
  <c r="F993" i="2"/>
  <c r="E993" i="2"/>
  <c r="D993" i="2"/>
  <c r="I994" i="2" l="1"/>
  <c r="H994" i="2"/>
  <c r="G994" i="2"/>
  <c r="E994" i="2"/>
  <c r="D994" i="2"/>
  <c r="F994" i="2"/>
  <c r="C994" i="2"/>
  <c r="J993" i="2"/>
  <c r="J994" i="2" l="1"/>
  <c r="E995" i="2"/>
  <c r="D995" i="2"/>
  <c r="I995" i="2"/>
  <c r="G995" i="2"/>
  <c r="F995" i="2"/>
  <c r="H995" i="2"/>
  <c r="C995" i="2"/>
  <c r="J995" i="2" l="1"/>
  <c r="G996" i="2"/>
  <c r="F996" i="2"/>
  <c r="E996" i="2"/>
  <c r="D996" i="2"/>
  <c r="I996" i="2"/>
  <c r="H996" i="2"/>
  <c r="C996" i="2"/>
  <c r="J996" i="2" l="1"/>
  <c r="I997" i="2"/>
  <c r="H997" i="2"/>
  <c r="G997" i="2"/>
  <c r="F997" i="2"/>
  <c r="E997" i="2"/>
  <c r="D997" i="2"/>
  <c r="C997" i="2"/>
  <c r="J997" i="2" l="1"/>
  <c r="I998" i="2"/>
  <c r="I999" i="2" s="1"/>
  <c r="H998" i="2"/>
  <c r="G998" i="2"/>
  <c r="G999" i="2" s="1"/>
  <c r="E998" i="2"/>
  <c r="E999" i="2" s="1"/>
  <c r="D998" i="2"/>
  <c r="D999" i="2" s="1"/>
  <c r="F998" i="2"/>
  <c r="F999" i="2" s="1"/>
  <c r="C998" i="2"/>
  <c r="C999" i="2" s="1"/>
  <c r="J998" i="2" l="1"/>
  <c r="H999" i="2"/>
  <c r="J999" i="2" s="1"/>
  <c r="H1000" i="2" l="1"/>
  <c r="F1000" i="2"/>
  <c r="G1000" i="2"/>
  <c r="I1000" i="2"/>
  <c r="C1000" i="2"/>
  <c r="E1000" i="2"/>
  <c r="D1000" i="2"/>
  <c r="J1000" i="2" l="1"/>
  <c r="E1001" i="2"/>
  <c r="D1001" i="2"/>
  <c r="I1001" i="2"/>
  <c r="G1001" i="2"/>
  <c r="F1001" i="2"/>
  <c r="H1001" i="2"/>
  <c r="C1001" i="2"/>
  <c r="J1001" i="2" l="1"/>
  <c r="G1002" i="2"/>
  <c r="F1002" i="2"/>
  <c r="E1002" i="2"/>
  <c r="D1002" i="2"/>
  <c r="I1002" i="2"/>
  <c r="H1002" i="2"/>
  <c r="C1002" i="2"/>
  <c r="J1002" i="2" l="1"/>
  <c r="I1003" i="2"/>
  <c r="H1003" i="2"/>
  <c r="G1003" i="2"/>
  <c r="F1003" i="2"/>
  <c r="E1003" i="2"/>
  <c r="D1003" i="2"/>
  <c r="C1003" i="2"/>
  <c r="J1003" i="2" l="1"/>
  <c r="I1004" i="2"/>
  <c r="H1004" i="2"/>
  <c r="G1004" i="2"/>
  <c r="E1004" i="2"/>
  <c r="D1004" i="2"/>
  <c r="F1004" i="2"/>
  <c r="C1004" i="2"/>
  <c r="J1004" i="2" l="1"/>
  <c r="E1005" i="2"/>
  <c r="E1006" i="2" s="1"/>
  <c r="D1005" i="2"/>
  <c r="D1006" i="2" s="1"/>
  <c r="I1005" i="2"/>
  <c r="I1006" i="2" s="1"/>
  <c r="G1005" i="2"/>
  <c r="G1006" i="2" s="1"/>
  <c r="F1005" i="2"/>
  <c r="F1006" i="2" s="1"/>
  <c r="H1005" i="2"/>
  <c r="C1005" i="2"/>
  <c r="C1006" i="2" s="1"/>
  <c r="J1005" i="2" l="1"/>
  <c r="I1007" i="2"/>
  <c r="H1006" i="2"/>
  <c r="J1006" i="2" s="1"/>
  <c r="C1007" i="2"/>
  <c r="D1007" i="2" l="1"/>
  <c r="H1007" i="2"/>
  <c r="J1007" i="2" s="1"/>
  <c r="E1007" i="2"/>
  <c r="G1007" i="2"/>
  <c r="F1007" i="2"/>
  <c r="G1008" i="2" l="1"/>
  <c r="F1008" i="2"/>
  <c r="E1008" i="2"/>
  <c r="D1008" i="2"/>
  <c r="I1008" i="2"/>
  <c r="H1008" i="2"/>
  <c r="C1008" i="2"/>
  <c r="J1008" i="2" l="1"/>
  <c r="I1009" i="2"/>
  <c r="H1009" i="2"/>
  <c r="G1009" i="2"/>
  <c r="F1009" i="2"/>
  <c r="E1009" i="2"/>
  <c r="D1009" i="2"/>
  <c r="C1009" i="2"/>
  <c r="J1009" i="2" l="1"/>
  <c r="I1010" i="2"/>
  <c r="H1010" i="2"/>
  <c r="G1010" i="2"/>
  <c r="E1010" i="2"/>
  <c r="D1010" i="2"/>
  <c r="F1010" i="2"/>
  <c r="C1010" i="2"/>
  <c r="J1010" i="2" l="1"/>
  <c r="E1011" i="2"/>
  <c r="D1011" i="2"/>
  <c r="I1011" i="2"/>
  <c r="G1011" i="2"/>
  <c r="F1011" i="2"/>
  <c r="H1011" i="2"/>
  <c r="C1011" i="2"/>
  <c r="J1011" i="2" l="1"/>
  <c r="G1012" i="2"/>
  <c r="G1013" i="2" s="1"/>
  <c r="G1014" i="2" s="1"/>
  <c r="F1012" i="2"/>
  <c r="F1013" i="2" s="1"/>
  <c r="F1014" i="2" s="1"/>
  <c r="E1012" i="2"/>
  <c r="E1013" i="2" s="1"/>
  <c r="E1014" i="2" s="1"/>
  <c r="D1012" i="2"/>
  <c r="D1013" i="2" s="1"/>
  <c r="D1014" i="2" s="1"/>
  <c r="I1012" i="2"/>
  <c r="I1013" i="2" s="1"/>
  <c r="I1014" i="2" s="1"/>
  <c r="H1012" i="2"/>
  <c r="C1012" i="2"/>
  <c r="C1013" i="2" s="1"/>
  <c r="C1014" i="2" s="1"/>
  <c r="H1013" i="2" l="1"/>
  <c r="J1013" i="2" s="1"/>
  <c r="J1012" i="2"/>
  <c r="I1015" i="2" l="1"/>
  <c r="H1015" i="2"/>
  <c r="G1015" i="2"/>
  <c r="F1015" i="2"/>
  <c r="E1015" i="2"/>
  <c r="D1015" i="2"/>
  <c r="C1015" i="2"/>
  <c r="H1014" i="2"/>
  <c r="J1014" i="2" s="1"/>
  <c r="J1015" i="2" l="1"/>
  <c r="I1016" i="2"/>
  <c r="H1016" i="2"/>
  <c r="G1016" i="2"/>
  <c r="E1016" i="2"/>
  <c r="D1016" i="2"/>
  <c r="F1016" i="2"/>
  <c r="C1016" i="2"/>
  <c r="J1016" i="2" l="1"/>
  <c r="F1017" i="2"/>
  <c r="E1017" i="2"/>
  <c r="D1017" i="2"/>
  <c r="H1017" i="2"/>
  <c r="G1017" i="2"/>
  <c r="I1017" i="2"/>
  <c r="C1017" i="2"/>
  <c r="J1017" i="2" l="1"/>
  <c r="H1018" i="2"/>
  <c r="D1018" i="2"/>
  <c r="I1018" i="2"/>
  <c r="G1018" i="2"/>
  <c r="F1018" i="2"/>
  <c r="E1018" i="2"/>
  <c r="C1018" i="2"/>
  <c r="J1018" i="2" l="1"/>
  <c r="F1019" i="2"/>
  <c r="F1020" i="2" s="1"/>
  <c r="D1019" i="2"/>
  <c r="D1020" i="2" s="1"/>
  <c r="I1019" i="2"/>
  <c r="I1020" i="2" s="1"/>
  <c r="G1019" i="2"/>
  <c r="G1020" i="2" s="1"/>
  <c r="E1019" i="2"/>
  <c r="E1020" i="2" s="1"/>
  <c r="H1019" i="2"/>
  <c r="C1019" i="2"/>
  <c r="C1020" i="2" s="1"/>
  <c r="J1019" i="2" l="1"/>
  <c r="F1021" i="2"/>
  <c r="H1020" i="2"/>
  <c r="J1020" i="2" s="1"/>
  <c r="H1021" i="2" l="1"/>
  <c r="D1021" i="2"/>
  <c r="I1021" i="2"/>
  <c r="G1021" i="2"/>
  <c r="E1021" i="2"/>
  <c r="C1021" i="2"/>
  <c r="D1022" i="2" l="1"/>
  <c r="H1022" i="2"/>
  <c r="I1022" i="2"/>
  <c r="G1022" i="2"/>
  <c r="F1022" i="2"/>
  <c r="E1022" i="2"/>
  <c r="C1022" i="2"/>
  <c r="J1021" i="2"/>
  <c r="J1022" i="2" l="1"/>
  <c r="G1023" i="2"/>
  <c r="F1023" i="2"/>
  <c r="I1023" i="2"/>
  <c r="E1023" i="2"/>
  <c r="D1023" i="2"/>
  <c r="H1023" i="2"/>
  <c r="C1023" i="2"/>
  <c r="J1023" i="2" l="1"/>
  <c r="I1024" i="2"/>
  <c r="H1024" i="2"/>
  <c r="G1024" i="2"/>
  <c r="D1024" i="2"/>
  <c r="F1024" i="2"/>
  <c r="E1024" i="2"/>
  <c r="C1024" i="2"/>
  <c r="J1024" i="2" l="1"/>
  <c r="I1025" i="2"/>
  <c r="F1025" i="2"/>
  <c r="E1025" i="2"/>
  <c r="D1025" i="2"/>
  <c r="H1025" i="2"/>
  <c r="G1025" i="2"/>
  <c r="C1025" i="2"/>
  <c r="J1025" i="2" l="1"/>
  <c r="E1026" i="2"/>
  <c r="D1026" i="2"/>
  <c r="H1026" i="2"/>
  <c r="I1026" i="2"/>
  <c r="I1027" i="2" s="1"/>
  <c r="I1028" i="2" s="1"/>
  <c r="G1026" i="2"/>
  <c r="G1027" i="2" s="1"/>
  <c r="G1028" i="2" s="1"/>
  <c r="F1026" i="2"/>
  <c r="F1027" i="2" s="1"/>
  <c r="F1028" i="2" s="1"/>
  <c r="C1026" i="2"/>
  <c r="C1027" i="2" s="1"/>
  <c r="C1028" i="2" s="1"/>
  <c r="H1027" i="2" l="1"/>
  <c r="J1027" i="2" s="1"/>
  <c r="J1026" i="2"/>
  <c r="D1027" i="2"/>
  <c r="D1028" i="2" s="1"/>
  <c r="E1027" i="2"/>
  <c r="E1028" i="2" s="1"/>
  <c r="H1028" i="2" l="1"/>
  <c r="J1028" i="2" s="1"/>
  <c r="G1029" i="2"/>
  <c r="F1029" i="2"/>
  <c r="E1029" i="2"/>
  <c r="I1029" i="2"/>
  <c r="H1029" i="2"/>
  <c r="D1029" i="2"/>
  <c r="C1029" i="2"/>
  <c r="J1029" i="2" l="1"/>
  <c r="I1030" i="2"/>
  <c r="H1030" i="2"/>
  <c r="G1030" i="2"/>
  <c r="D1030" i="2"/>
  <c r="F1030" i="2"/>
  <c r="E1030" i="2"/>
  <c r="C1030" i="2"/>
  <c r="J1030" i="2" l="1"/>
  <c r="I1031" i="2"/>
  <c r="F1031" i="2"/>
  <c r="H1031" i="2"/>
  <c r="G1031" i="2"/>
  <c r="E1031" i="2"/>
  <c r="D1031" i="2"/>
  <c r="C1031" i="2"/>
  <c r="J1031" i="2" l="1"/>
  <c r="E1032" i="2"/>
  <c r="D1032" i="2"/>
  <c r="H1032" i="2"/>
  <c r="G1032" i="2"/>
  <c r="F1032" i="2"/>
  <c r="I1032" i="2"/>
  <c r="C1032" i="2"/>
  <c r="J1032" i="2" l="1"/>
  <c r="G1033" i="2"/>
  <c r="G1034" i="2" s="1"/>
  <c r="F1033" i="2"/>
  <c r="F1034" i="2" s="1"/>
  <c r="E1033" i="2"/>
  <c r="E1034" i="2" s="1"/>
  <c r="I1033" i="2"/>
  <c r="I1034" i="2" s="1"/>
  <c r="D1033" i="2"/>
  <c r="D1034" i="2" s="1"/>
  <c r="H1033" i="2"/>
  <c r="C1033" i="2"/>
  <c r="C1034" i="2" s="1"/>
  <c r="J1033" i="2" l="1"/>
  <c r="H1034" i="2"/>
  <c r="J1034" i="2" s="1"/>
  <c r="H1035" i="2" l="1"/>
  <c r="F1035" i="2"/>
  <c r="G1035" i="2"/>
  <c r="E1035" i="2"/>
  <c r="C1035" i="2"/>
  <c r="I1035" i="2"/>
  <c r="D1035" i="2"/>
  <c r="J1035" i="2" l="1"/>
  <c r="I1036" i="2"/>
  <c r="H1036" i="2"/>
  <c r="G1036" i="2"/>
  <c r="D1036" i="2"/>
  <c r="F1036" i="2"/>
  <c r="E1036" i="2"/>
  <c r="C1036" i="2"/>
  <c r="J1036" i="2" l="1"/>
  <c r="I1037" i="2"/>
  <c r="F1037" i="2"/>
  <c r="E1037" i="2"/>
  <c r="D1037" i="2"/>
  <c r="H1037" i="2"/>
  <c r="G1037" i="2"/>
  <c r="C1037" i="2"/>
  <c r="J1037" i="2" l="1"/>
  <c r="E1038" i="2"/>
  <c r="D1038" i="2"/>
  <c r="H1038" i="2"/>
  <c r="I1038" i="2"/>
  <c r="G1038" i="2"/>
  <c r="F1038" i="2"/>
  <c r="C1038" i="2"/>
  <c r="J1038" i="2" l="1"/>
  <c r="H1039" i="2"/>
  <c r="G1039" i="2"/>
  <c r="F1039" i="2"/>
  <c r="E1039" i="2"/>
  <c r="I1039" i="2"/>
  <c r="D1039" i="2"/>
  <c r="C1039" i="2"/>
  <c r="J1039" i="2" l="1"/>
  <c r="I1040" i="2"/>
  <c r="I1041" i="2" s="1"/>
  <c r="H1040" i="2"/>
  <c r="G1040" i="2"/>
  <c r="G1041" i="2" s="1"/>
  <c r="D1040" i="2"/>
  <c r="D1041" i="2" s="1"/>
  <c r="E1040" i="2"/>
  <c r="E1041" i="2" s="1"/>
  <c r="F1040" i="2"/>
  <c r="F1041" i="2" s="1"/>
  <c r="C1040" i="2"/>
  <c r="C1041" i="2" s="1"/>
  <c r="J1040" i="2" l="1"/>
  <c r="H1041" i="2"/>
  <c r="J1041" i="2" s="1"/>
  <c r="C1042" i="2"/>
  <c r="H1042" i="2" l="1"/>
  <c r="J1042" i="2" s="1"/>
  <c r="I1042" i="2"/>
  <c r="G1042" i="2"/>
  <c r="D1042" i="2"/>
  <c r="E1042" i="2"/>
  <c r="F1042" i="2"/>
  <c r="D1043" i="2" l="1"/>
  <c r="I1043" i="2"/>
  <c r="F1043" i="2"/>
  <c r="H1043" i="2"/>
  <c r="E1043" i="2"/>
  <c r="G1043" i="2"/>
  <c r="C1043" i="2"/>
  <c r="J1043" i="2" l="1"/>
  <c r="F1044" i="2"/>
  <c r="E1044" i="2"/>
  <c r="D1044" i="2"/>
  <c r="H1044" i="2"/>
  <c r="I1044" i="2"/>
  <c r="G1044" i="2"/>
  <c r="C1044" i="2"/>
  <c r="J1044" i="2" l="1"/>
  <c r="H1045" i="2"/>
  <c r="G1045" i="2"/>
  <c r="F1045" i="2"/>
  <c r="E1045" i="2"/>
  <c r="I1045" i="2"/>
  <c r="D1045" i="2"/>
  <c r="C1045" i="2"/>
  <c r="J1045" i="2" l="1"/>
  <c r="I1046" i="2"/>
  <c r="H1046" i="2"/>
  <c r="G1046" i="2"/>
  <c r="D1046" i="2"/>
  <c r="F1046" i="2"/>
  <c r="E1046" i="2"/>
  <c r="C1046" i="2"/>
  <c r="J1046" i="2" l="1"/>
  <c r="D1047" i="2"/>
  <c r="D1048" i="2" s="1"/>
  <c r="I1047" i="2"/>
  <c r="I1048" i="2" s="1"/>
  <c r="F1047" i="2"/>
  <c r="F1048" i="2" s="1"/>
  <c r="H1047" i="2"/>
  <c r="G1047" i="2"/>
  <c r="G1048" i="2" s="1"/>
  <c r="E1047" i="2"/>
  <c r="E1048" i="2" s="1"/>
  <c r="C1047" i="2"/>
  <c r="C1048" i="2" s="1"/>
  <c r="J1047" i="2" l="1"/>
  <c r="I1049" i="2"/>
  <c r="H1048" i="2"/>
  <c r="J1048" i="2" s="1"/>
  <c r="C1049" i="2" l="1"/>
  <c r="H1049" i="2"/>
  <c r="D1049" i="2"/>
  <c r="G1049" i="2"/>
  <c r="F1049" i="2"/>
  <c r="E1049" i="2"/>
  <c r="J1049" i="2" l="1"/>
  <c r="F1050" i="2"/>
  <c r="E1050" i="2"/>
  <c r="D1050" i="2"/>
  <c r="H1050" i="2"/>
  <c r="I1050" i="2"/>
  <c r="G1050" i="2"/>
  <c r="C1050" i="2"/>
  <c r="J1050" i="2" l="1"/>
  <c r="H1051" i="2"/>
  <c r="G1051" i="2"/>
  <c r="F1051" i="2"/>
  <c r="E1051" i="2"/>
  <c r="D1051" i="2"/>
  <c r="I1051" i="2"/>
  <c r="C1051" i="2"/>
  <c r="J1051" i="2" l="1"/>
  <c r="I1052" i="2"/>
  <c r="H1052" i="2"/>
  <c r="G1052" i="2"/>
  <c r="D1052" i="2"/>
  <c r="E1052" i="2"/>
  <c r="F1052" i="2"/>
  <c r="C1052" i="2"/>
  <c r="J1052" i="2" l="1"/>
  <c r="D1053" i="2"/>
  <c r="I1053" i="2"/>
  <c r="F1053" i="2"/>
  <c r="H1053" i="2"/>
  <c r="G1053" i="2"/>
  <c r="E1053" i="2"/>
  <c r="C1053" i="2"/>
  <c r="J1053" i="2" l="1"/>
  <c r="F1054" i="2"/>
  <c r="F1055" i="2" s="1"/>
  <c r="E1054" i="2"/>
  <c r="E1055" i="2" s="1"/>
  <c r="D1054" i="2"/>
  <c r="D1055" i="2" s="1"/>
  <c r="H1054" i="2"/>
  <c r="I1054" i="2"/>
  <c r="I1055" i="2" s="1"/>
  <c r="G1054" i="2"/>
  <c r="G1055" i="2" s="1"/>
  <c r="C1054" i="2"/>
  <c r="C1055" i="2" s="1"/>
  <c r="J1054" i="2" l="1"/>
  <c r="G1056" i="2"/>
  <c r="H1055" i="2"/>
  <c r="J1055" i="2" s="1"/>
  <c r="C1056" i="2"/>
  <c r="H1056" i="2" l="1"/>
  <c r="J1056" i="2" s="1"/>
  <c r="D1056" i="2"/>
  <c r="F1056" i="2"/>
  <c r="E1056" i="2"/>
  <c r="I1056" i="2"/>
  <c r="H1057" i="2" l="1"/>
  <c r="G1057" i="2"/>
  <c r="F1057" i="2"/>
  <c r="E1057" i="2"/>
  <c r="I1057" i="2"/>
  <c r="D1057" i="2"/>
  <c r="C1057" i="2"/>
  <c r="J1057" i="2" l="1"/>
  <c r="I1058" i="2"/>
  <c r="H1058" i="2"/>
  <c r="G1058" i="2"/>
  <c r="D1058" i="2"/>
  <c r="F1058" i="2"/>
  <c r="E1058" i="2"/>
  <c r="C1058" i="2"/>
  <c r="J1058" i="2" l="1"/>
  <c r="D1059" i="2"/>
  <c r="I1059" i="2"/>
  <c r="F1059" i="2"/>
  <c r="H1059" i="2"/>
  <c r="G1059" i="2"/>
  <c r="E1059" i="2"/>
  <c r="C1059" i="2"/>
  <c r="J1059" i="2" l="1"/>
  <c r="F1060" i="2"/>
  <c r="E1060" i="2"/>
  <c r="D1060" i="2"/>
  <c r="H1060" i="2"/>
  <c r="G1060" i="2"/>
  <c r="I1060" i="2"/>
  <c r="C1060" i="2"/>
  <c r="J1060" i="2" l="1"/>
  <c r="H1061" i="2"/>
  <c r="G1061" i="2"/>
  <c r="G1062" i="2" s="1"/>
  <c r="F1061" i="2"/>
  <c r="F1062" i="2" s="1"/>
  <c r="E1061" i="2"/>
  <c r="E1062" i="2" s="1"/>
  <c r="D1061" i="2"/>
  <c r="D1062" i="2" s="1"/>
  <c r="I1061" i="2"/>
  <c r="I1062" i="2" s="1"/>
  <c r="C1061" i="2"/>
  <c r="C1062" i="2" s="1"/>
  <c r="J1061" i="2" l="1"/>
  <c r="F1063" i="2"/>
  <c r="H1062" i="2"/>
  <c r="J1062" i="2" s="1"/>
  <c r="H1063" i="2" l="1"/>
  <c r="G1063" i="2"/>
  <c r="E1063" i="2"/>
  <c r="D1063" i="2"/>
  <c r="C1063" i="2"/>
  <c r="I1063" i="2"/>
  <c r="J1063" i="2" l="1"/>
  <c r="I1064" i="2"/>
  <c r="H1064" i="2"/>
  <c r="G1064" i="2"/>
  <c r="D1064" i="2"/>
  <c r="F1064" i="2"/>
  <c r="E1064" i="2"/>
  <c r="C1064" i="2"/>
  <c r="J1064" i="2" l="1"/>
  <c r="D1065" i="2"/>
  <c r="I1065" i="2"/>
  <c r="F1065" i="2"/>
  <c r="H1065" i="2"/>
  <c r="G1065" i="2"/>
  <c r="E1065" i="2"/>
  <c r="C1065" i="2"/>
  <c r="J1065" i="2" l="1"/>
  <c r="F1066" i="2"/>
  <c r="E1066" i="2"/>
  <c r="D1066" i="2"/>
  <c r="H1066" i="2"/>
  <c r="I1066" i="2"/>
  <c r="G1066" i="2"/>
  <c r="C1066" i="2"/>
  <c r="J1066" i="2" l="1"/>
  <c r="H1067" i="2"/>
  <c r="G1067" i="2"/>
  <c r="F1067" i="2"/>
  <c r="E1067" i="2"/>
  <c r="I1067" i="2"/>
  <c r="D1067" i="2"/>
  <c r="C1067" i="2"/>
  <c r="J1067" i="2" l="1"/>
  <c r="I1068" i="2"/>
  <c r="I1069" i="2" s="1"/>
  <c r="H1068" i="2"/>
  <c r="G1068" i="2"/>
  <c r="G1069" i="2" s="1"/>
  <c r="D1068" i="2"/>
  <c r="D1069" i="2" s="1"/>
  <c r="F1068" i="2"/>
  <c r="F1069" i="2" s="1"/>
  <c r="E1068" i="2"/>
  <c r="E1069" i="2" s="1"/>
  <c r="C1068" i="2"/>
  <c r="C1069" i="2" s="1"/>
  <c r="J1068" i="2" l="1"/>
  <c r="F1070" i="2"/>
  <c r="H1069" i="2"/>
  <c r="J1069" i="2" s="1"/>
  <c r="G1070" i="2" l="1"/>
  <c r="D1070" i="2"/>
  <c r="H1070" i="2"/>
  <c r="I1070" i="2"/>
  <c r="C1070" i="2"/>
  <c r="E1070" i="2"/>
  <c r="J1070" i="2" l="1"/>
  <c r="D1071" i="2"/>
  <c r="I1071" i="2"/>
  <c r="F1071" i="2"/>
  <c r="G1071" i="2"/>
  <c r="E1071" i="2"/>
  <c r="H1071" i="2"/>
  <c r="C1071" i="2"/>
  <c r="J1071" i="2" l="1"/>
  <c r="F1072" i="2"/>
  <c r="E1072" i="2"/>
  <c r="D1072" i="2"/>
  <c r="H1072" i="2"/>
  <c r="G1072" i="2"/>
  <c r="I1072" i="2"/>
  <c r="C1072" i="2"/>
  <c r="J1072" i="2" l="1"/>
  <c r="H1073" i="2"/>
  <c r="G1073" i="2"/>
  <c r="F1073" i="2"/>
  <c r="E1073" i="2"/>
  <c r="I1073" i="2"/>
  <c r="D1073" i="2"/>
  <c r="C1073" i="2"/>
  <c r="J1073" i="2" l="1"/>
  <c r="I1074" i="2"/>
  <c r="H1074" i="2"/>
  <c r="G1074" i="2"/>
  <c r="D1074" i="2"/>
  <c r="F1074" i="2"/>
  <c r="E1074" i="2"/>
  <c r="C1074" i="2"/>
  <c r="J1074" i="2" l="1"/>
  <c r="D1075" i="2"/>
  <c r="D1076" i="2" s="1"/>
  <c r="I1075" i="2"/>
  <c r="I1076" i="2" s="1"/>
  <c r="F1075" i="2"/>
  <c r="F1076" i="2" s="1"/>
  <c r="E1075" i="2"/>
  <c r="E1076" i="2" s="1"/>
  <c r="H1075" i="2"/>
  <c r="G1075" i="2"/>
  <c r="G1076" i="2" s="1"/>
  <c r="C1075" i="2"/>
  <c r="C1076" i="2" s="1"/>
  <c r="J1075" i="2" l="1"/>
  <c r="F1077" i="2"/>
  <c r="H1076" i="2"/>
  <c r="J1076" i="2" s="1"/>
  <c r="H1077" i="2" l="1"/>
  <c r="I1077" i="2"/>
  <c r="E1077" i="2"/>
  <c r="D1077" i="2"/>
  <c r="G1077" i="2"/>
  <c r="C1077" i="2"/>
  <c r="J1077" i="2" l="1"/>
  <c r="F1078" i="2"/>
  <c r="E1078" i="2"/>
  <c r="D1078" i="2"/>
  <c r="H1078" i="2"/>
  <c r="I1078" i="2"/>
  <c r="G1078" i="2"/>
  <c r="C1078" i="2"/>
  <c r="J1078" i="2" l="1"/>
  <c r="H1079" i="2"/>
  <c r="G1079" i="2"/>
  <c r="F1079" i="2"/>
  <c r="E1079" i="2"/>
  <c r="I1079" i="2"/>
  <c r="D1079" i="2"/>
  <c r="C1079" i="2"/>
  <c r="J1079" i="2" l="1"/>
  <c r="I1080" i="2"/>
  <c r="H1080" i="2"/>
  <c r="G1080" i="2"/>
  <c r="D1080" i="2"/>
  <c r="F1080" i="2"/>
  <c r="E1080" i="2"/>
  <c r="C1080" i="2"/>
  <c r="J1080" i="2" l="1"/>
  <c r="D1081" i="2"/>
  <c r="I1081" i="2"/>
  <c r="F1081" i="2"/>
  <c r="G1081" i="2"/>
  <c r="E1081" i="2"/>
  <c r="H1081" i="2"/>
  <c r="C1081" i="2"/>
  <c r="J1081" i="2" l="1"/>
  <c r="F1082" i="2"/>
  <c r="F1083" i="2" s="1"/>
  <c r="E1082" i="2"/>
  <c r="E1083" i="2" s="1"/>
  <c r="D1082" i="2"/>
  <c r="D1083" i="2" s="1"/>
  <c r="H1082" i="2"/>
  <c r="I1082" i="2"/>
  <c r="I1083" i="2" s="1"/>
  <c r="G1082" i="2"/>
  <c r="G1083" i="2" s="1"/>
  <c r="C1082" i="2"/>
  <c r="C1083" i="2" s="1"/>
  <c r="J1082" i="2" l="1"/>
  <c r="H1083" i="2"/>
  <c r="J1083" i="2" s="1"/>
  <c r="C1084" i="2"/>
  <c r="H1084" i="2" l="1"/>
  <c r="J1084" i="2" s="1"/>
  <c r="D1084" i="2"/>
  <c r="F1084" i="2"/>
  <c r="E1084" i="2"/>
  <c r="I1084" i="2"/>
  <c r="G1084" i="2"/>
  <c r="H1085" i="2" l="1"/>
  <c r="G1085" i="2"/>
  <c r="F1085" i="2"/>
  <c r="E1085" i="2"/>
  <c r="I1085" i="2"/>
  <c r="D1085" i="2"/>
  <c r="C1085" i="2"/>
  <c r="J1085" i="2" l="1"/>
  <c r="I1086" i="2"/>
  <c r="H1086" i="2"/>
  <c r="G1086" i="2"/>
  <c r="D1086" i="2"/>
  <c r="E1086" i="2"/>
  <c r="F1086" i="2"/>
  <c r="C1086" i="2"/>
  <c r="J1086" i="2" l="1"/>
  <c r="D1087" i="2"/>
  <c r="I1087" i="2"/>
  <c r="F1087" i="2"/>
  <c r="H1087" i="2"/>
  <c r="E1087" i="2"/>
  <c r="G1087" i="2"/>
  <c r="C1087" i="2"/>
  <c r="J1087" i="2" l="1"/>
  <c r="F1088" i="2"/>
  <c r="E1088" i="2"/>
  <c r="D1088" i="2"/>
  <c r="H1088" i="2"/>
  <c r="I1088" i="2"/>
  <c r="G1088" i="2"/>
  <c r="C1088" i="2"/>
  <c r="J1088" i="2" l="1"/>
  <c r="H1089" i="2"/>
  <c r="G1089" i="2"/>
  <c r="G1090" i="2" s="1"/>
  <c r="F1089" i="2"/>
  <c r="F1090" i="2" s="1"/>
  <c r="E1089" i="2"/>
  <c r="E1090" i="2" s="1"/>
  <c r="I1089" i="2"/>
  <c r="I1090" i="2" s="1"/>
  <c r="D1089" i="2"/>
  <c r="D1090" i="2" s="1"/>
  <c r="C1089" i="2"/>
  <c r="C1090" i="2" s="1"/>
  <c r="J1089" i="2" l="1"/>
  <c r="H1090" i="2"/>
  <c r="J1090" i="2" s="1"/>
  <c r="H1091" i="2" l="1"/>
  <c r="F1091" i="2"/>
  <c r="G1091" i="2"/>
  <c r="C1091" i="2"/>
  <c r="D1091" i="2"/>
  <c r="E1091" i="2"/>
  <c r="I1091" i="2"/>
  <c r="J1091" i="2" l="1"/>
  <c r="I1092" i="2"/>
  <c r="H1092" i="2"/>
  <c r="G1092" i="2"/>
  <c r="D1092" i="2"/>
  <c r="F1092" i="2"/>
  <c r="E1092" i="2"/>
  <c r="C1092" i="2"/>
  <c r="J1092" i="2" l="1"/>
  <c r="D1093" i="2"/>
  <c r="I1093" i="2"/>
  <c r="F1093" i="2"/>
  <c r="H1093" i="2"/>
  <c r="G1093" i="2"/>
  <c r="E1093" i="2"/>
  <c r="C1093" i="2"/>
  <c r="J1093" i="2" l="1"/>
  <c r="F1094" i="2"/>
  <c r="E1094" i="2"/>
  <c r="D1094" i="2"/>
  <c r="H1094" i="2"/>
  <c r="I1094" i="2"/>
  <c r="G1094" i="2"/>
  <c r="C1094" i="2"/>
  <c r="J1094" i="2" l="1"/>
  <c r="H1095" i="2"/>
  <c r="G1095" i="2"/>
  <c r="F1095" i="2"/>
  <c r="E1095" i="2"/>
  <c r="D1095" i="2"/>
  <c r="I1095" i="2"/>
  <c r="C1095" i="2"/>
  <c r="J1095" i="2" l="1"/>
  <c r="I1096" i="2"/>
  <c r="I1097" i="2" s="1"/>
  <c r="H1096" i="2"/>
  <c r="G1096" i="2"/>
  <c r="G1097" i="2" s="1"/>
  <c r="D1096" i="2"/>
  <c r="D1097" i="2" s="1"/>
  <c r="E1096" i="2"/>
  <c r="E1097" i="2" s="1"/>
  <c r="F1096" i="2"/>
  <c r="F1097" i="2" s="1"/>
  <c r="C1096" i="2"/>
  <c r="C1097" i="2" s="1"/>
  <c r="J1096" i="2" l="1"/>
  <c r="D1098" i="2"/>
  <c r="H1097" i="2"/>
  <c r="J1097" i="2" s="1"/>
  <c r="H1098" i="2" l="1"/>
  <c r="I1098" i="2"/>
  <c r="G1098" i="2"/>
  <c r="E1098" i="2"/>
  <c r="C1098" i="2"/>
  <c r="F1098" i="2"/>
  <c r="D1099" i="2" l="1"/>
  <c r="I1099" i="2"/>
  <c r="F1099" i="2"/>
  <c r="H1099" i="2"/>
  <c r="G1099" i="2"/>
  <c r="E1099" i="2"/>
  <c r="C1099" i="2"/>
  <c r="J1098" i="2"/>
  <c r="J1099" i="2" l="1"/>
  <c r="F1100" i="2"/>
  <c r="E1100" i="2"/>
  <c r="D1100" i="2"/>
  <c r="H1100" i="2"/>
  <c r="I1100" i="2"/>
  <c r="G1100" i="2"/>
  <c r="C1100" i="2"/>
  <c r="J1100" i="2" l="1"/>
  <c r="H1101" i="2"/>
  <c r="G1101" i="2"/>
  <c r="F1101" i="2"/>
  <c r="E1101" i="2"/>
  <c r="I1101" i="2"/>
  <c r="D1101" i="2"/>
  <c r="C1101" i="2"/>
  <c r="J1101" i="2" l="1"/>
  <c r="I1102" i="2"/>
  <c r="H1102" i="2"/>
  <c r="G1102" i="2"/>
  <c r="D1102" i="2"/>
  <c r="F1102" i="2"/>
  <c r="E1102" i="2"/>
  <c r="C1102" i="2"/>
  <c r="J1102" i="2" l="1"/>
  <c r="D1103" i="2"/>
  <c r="D1104" i="2" s="1"/>
  <c r="I1103" i="2"/>
  <c r="I1104" i="2" s="1"/>
  <c r="F1103" i="2"/>
  <c r="F1104" i="2" s="1"/>
  <c r="H1103" i="2"/>
  <c r="G1103" i="2"/>
  <c r="G1104" i="2" s="1"/>
  <c r="E1103" i="2"/>
  <c r="E1104" i="2" s="1"/>
  <c r="C1103" i="2"/>
  <c r="C1104" i="2" s="1"/>
  <c r="J1103" i="2" l="1"/>
  <c r="C1105" i="2"/>
  <c r="H1104" i="2"/>
  <c r="J1104" i="2" s="1"/>
  <c r="E1105" i="2" l="1"/>
  <c r="H1105" i="2"/>
  <c r="J1105" i="2" s="1"/>
  <c r="I1105" i="2"/>
  <c r="D1105" i="2"/>
  <c r="F1105" i="2"/>
  <c r="G1105" i="2"/>
  <c r="F1106" i="2" l="1"/>
  <c r="E1106" i="2"/>
  <c r="D1106" i="2"/>
  <c r="H1106" i="2"/>
  <c r="G1106" i="2"/>
  <c r="I1106" i="2"/>
  <c r="C1106" i="2"/>
  <c r="J1106" i="2" l="1"/>
  <c r="H1107" i="2"/>
  <c r="G1107" i="2"/>
  <c r="F1107" i="2"/>
  <c r="E1107" i="2"/>
  <c r="D1107" i="2"/>
  <c r="I1107" i="2"/>
  <c r="C1107" i="2"/>
  <c r="J1107" i="2" l="1"/>
  <c r="I1108" i="2"/>
  <c r="H1108" i="2"/>
  <c r="G1108" i="2"/>
  <c r="D1108" i="2"/>
  <c r="F1108" i="2"/>
  <c r="E1108" i="2"/>
  <c r="C1108" i="2"/>
  <c r="J1108" i="2" l="1"/>
  <c r="D1109" i="2"/>
  <c r="I1109" i="2"/>
  <c r="F1109" i="2"/>
  <c r="H1109" i="2"/>
  <c r="G1109" i="2"/>
  <c r="E1109" i="2"/>
  <c r="C1109" i="2"/>
  <c r="J1109" i="2" l="1"/>
  <c r="F1110" i="2"/>
  <c r="F1111" i="2" s="1"/>
  <c r="E1110" i="2"/>
  <c r="E1111" i="2" s="1"/>
  <c r="D1110" i="2"/>
  <c r="D1111" i="2" s="1"/>
  <c r="H1110" i="2"/>
  <c r="I1110" i="2"/>
  <c r="I1111" i="2" s="1"/>
  <c r="G1110" i="2"/>
  <c r="G1111" i="2" s="1"/>
  <c r="C1110" i="2"/>
  <c r="C1111" i="2" s="1"/>
  <c r="J1110" i="2" l="1"/>
  <c r="C1112" i="2"/>
  <c r="H1111" i="2"/>
  <c r="J1111" i="2" s="1"/>
  <c r="H1112" i="2" l="1"/>
  <c r="J1112" i="2" s="1"/>
  <c r="F1112" i="2"/>
  <c r="E1112" i="2"/>
  <c r="D1112" i="2"/>
  <c r="I1112" i="2"/>
  <c r="G1112" i="2"/>
  <c r="H1113" i="2" l="1"/>
  <c r="G1113" i="2"/>
  <c r="F1113" i="2"/>
  <c r="E1113" i="2"/>
  <c r="I1113" i="2"/>
  <c r="D1113" i="2"/>
  <c r="C1113" i="2"/>
  <c r="J1113" i="2" l="1"/>
  <c r="I1114" i="2"/>
  <c r="H1114" i="2"/>
  <c r="G1114" i="2"/>
  <c r="D1114" i="2"/>
  <c r="F1114" i="2"/>
  <c r="E1114" i="2"/>
  <c r="C1114" i="2"/>
  <c r="J1114" i="2" l="1"/>
  <c r="D1115" i="2"/>
  <c r="I1115" i="2"/>
  <c r="F1115" i="2"/>
  <c r="G1115" i="2"/>
  <c r="E1115" i="2"/>
  <c r="H1115" i="2"/>
  <c r="C1115" i="2"/>
  <c r="J1115" i="2" l="1"/>
  <c r="F1116" i="2"/>
  <c r="E1116" i="2"/>
  <c r="D1116" i="2"/>
  <c r="H1116" i="2"/>
  <c r="G1116" i="2"/>
  <c r="I1116" i="2"/>
  <c r="C1116" i="2"/>
  <c r="J1116" i="2" l="1"/>
  <c r="H1117" i="2"/>
  <c r="G1117" i="2"/>
  <c r="G1118" i="2" s="1"/>
  <c r="F1117" i="2"/>
  <c r="F1118" i="2" s="1"/>
  <c r="E1117" i="2"/>
  <c r="E1118" i="2" s="1"/>
  <c r="I1117" i="2"/>
  <c r="I1118" i="2" s="1"/>
  <c r="D1117" i="2"/>
  <c r="D1118" i="2" s="1"/>
  <c r="C1117" i="2"/>
  <c r="C1118" i="2" s="1"/>
  <c r="J1117" i="2" l="1"/>
  <c r="H1118" i="2"/>
  <c r="J1118" i="2" s="1"/>
  <c r="H1119" i="2" l="1"/>
  <c r="F1119" i="2"/>
  <c r="G1119" i="2"/>
  <c r="D1119" i="2"/>
  <c r="E1119" i="2"/>
  <c r="I1119" i="2"/>
  <c r="C1119" i="2"/>
  <c r="I1120" i="2" l="1"/>
  <c r="H1120" i="2"/>
  <c r="G1120" i="2"/>
  <c r="D1120" i="2"/>
  <c r="F1120" i="2"/>
  <c r="E1120" i="2"/>
  <c r="C1120" i="2"/>
  <c r="J1119" i="2"/>
  <c r="J1120" i="2" l="1"/>
  <c r="D1121" i="2"/>
  <c r="I1121" i="2"/>
  <c r="F1121" i="2"/>
  <c r="E1121" i="2"/>
  <c r="H1121" i="2"/>
  <c r="G1121" i="2"/>
  <c r="C1121" i="2"/>
  <c r="J1121" i="2" l="1"/>
  <c r="F1122" i="2"/>
  <c r="E1122" i="2"/>
  <c r="D1122" i="2"/>
  <c r="H1122" i="2"/>
  <c r="I1122" i="2"/>
  <c r="G1122" i="2"/>
  <c r="C1122" i="2"/>
  <c r="J1122" i="2" l="1"/>
  <c r="H1123" i="2"/>
  <c r="G1123" i="2"/>
  <c r="F1123" i="2"/>
  <c r="E1123" i="2"/>
  <c r="I1123" i="2"/>
  <c r="D1123" i="2"/>
  <c r="C1123" i="2"/>
  <c r="J1123" i="2" l="1"/>
  <c r="I1124" i="2"/>
  <c r="I1125" i="2" s="1"/>
  <c r="H1124" i="2"/>
  <c r="G1124" i="2"/>
  <c r="G1125" i="2" s="1"/>
  <c r="D1124" i="2"/>
  <c r="D1125" i="2" s="1"/>
  <c r="F1124" i="2"/>
  <c r="F1125" i="2" s="1"/>
  <c r="E1124" i="2"/>
  <c r="E1125" i="2" s="1"/>
  <c r="C1124" i="2"/>
  <c r="C1125" i="2" s="1"/>
  <c r="J1124" i="2" l="1"/>
  <c r="H1125" i="2"/>
  <c r="J1125" i="2" s="1"/>
  <c r="C1126" i="2"/>
  <c r="H1126" i="2" l="1"/>
  <c r="J1126" i="2" s="1"/>
  <c r="G1126" i="2"/>
  <c r="I1126" i="2"/>
  <c r="E1126" i="2"/>
  <c r="D1126" i="2"/>
  <c r="F1126" i="2"/>
  <c r="D1127" i="2" l="1"/>
  <c r="I1127" i="2"/>
  <c r="F1127" i="2"/>
  <c r="G1127" i="2"/>
  <c r="E1127" i="2"/>
  <c r="H1127" i="2"/>
  <c r="C1127" i="2"/>
  <c r="J1127" i="2" l="1"/>
  <c r="F1128" i="2"/>
  <c r="E1128" i="2"/>
  <c r="D1128" i="2"/>
  <c r="H1128" i="2"/>
  <c r="I1128" i="2"/>
  <c r="G1128" i="2"/>
  <c r="C1128" i="2"/>
  <c r="J1128" i="2" l="1"/>
  <c r="H1129" i="2"/>
  <c r="G1129" i="2"/>
  <c r="F1129" i="2"/>
  <c r="E1129" i="2"/>
  <c r="I1129" i="2"/>
  <c r="D1129" i="2"/>
  <c r="C1129" i="2"/>
  <c r="J1129" i="2" l="1"/>
  <c r="I1130" i="2"/>
  <c r="H1130" i="2"/>
  <c r="G1130" i="2"/>
  <c r="D1130" i="2"/>
  <c r="E1130" i="2"/>
  <c r="F1130" i="2"/>
  <c r="C1130" i="2"/>
  <c r="J1130" i="2" l="1"/>
  <c r="D1131" i="2"/>
  <c r="D1132" i="2" s="1"/>
  <c r="I1131" i="2"/>
  <c r="I1132" i="2" s="1"/>
  <c r="F1131" i="2"/>
  <c r="F1132" i="2" s="1"/>
  <c r="H1131" i="2"/>
  <c r="E1131" i="2"/>
  <c r="E1132" i="2" s="1"/>
  <c r="G1131" i="2"/>
  <c r="G1132" i="2" s="1"/>
  <c r="C1131" i="2"/>
  <c r="C1132" i="2" s="1"/>
  <c r="J1131" i="2" l="1"/>
  <c r="E1133" i="2"/>
  <c r="H1132" i="2"/>
  <c r="J1132" i="2" s="1"/>
  <c r="D1133" i="2" l="1"/>
  <c r="I1133" i="2"/>
  <c r="F1133" i="2"/>
  <c r="H1133" i="2"/>
  <c r="G1133" i="2"/>
  <c r="C1133" i="2"/>
  <c r="J1133" i="2" l="1"/>
  <c r="F1134" i="2"/>
  <c r="E1134" i="2"/>
  <c r="D1134" i="2"/>
  <c r="H1134" i="2"/>
  <c r="I1134" i="2"/>
  <c r="G1134" i="2"/>
  <c r="C1134" i="2"/>
  <c r="J1134" i="2" l="1"/>
  <c r="H1135" i="2"/>
  <c r="G1135" i="2"/>
  <c r="F1135" i="2"/>
  <c r="E1135" i="2"/>
  <c r="I1135" i="2"/>
  <c r="D1135" i="2"/>
  <c r="C1135" i="2"/>
  <c r="J1135" i="2" l="1"/>
  <c r="I1136" i="2"/>
  <c r="H1136" i="2"/>
  <c r="G1136" i="2"/>
  <c r="D1136" i="2"/>
  <c r="F1136" i="2"/>
  <c r="E1136" i="2"/>
  <c r="C1136" i="2"/>
  <c r="J1136" i="2" l="1"/>
  <c r="D1137" i="2"/>
  <c r="I1137" i="2"/>
  <c r="F1137" i="2"/>
  <c r="H1137" i="2"/>
  <c r="G1137" i="2"/>
  <c r="E1137" i="2"/>
  <c r="C1137" i="2"/>
  <c r="J1137" i="2" l="1"/>
  <c r="F1138" i="2"/>
  <c r="F1139" i="2" s="1"/>
  <c r="E1138" i="2"/>
  <c r="E1139" i="2" s="1"/>
  <c r="D1138" i="2"/>
  <c r="D1139" i="2" s="1"/>
  <c r="H1138" i="2"/>
  <c r="I1138" i="2"/>
  <c r="I1139" i="2" s="1"/>
  <c r="G1138" i="2"/>
  <c r="G1139" i="2" s="1"/>
  <c r="C1138" i="2"/>
  <c r="C1139" i="2" s="1"/>
  <c r="J1138" i="2" l="1"/>
  <c r="D1140" i="2"/>
  <c r="H1139" i="2"/>
  <c r="J1139" i="2" s="1"/>
  <c r="H1140" i="2" l="1"/>
  <c r="E1140" i="2"/>
  <c r="I1140" i="2"/>
  <c r="F1140" i="2"/>
  <c r="G1140" i="2"/>
  <c r="C1140" i="2"/>
  <c r="J1140" i="2" l="1"/>
  <c r="H1141" i="2"/>
  <c r="G1141" i="2"/>
  <c r="F1141" i="2"/>
  <c r="E1141" i="2"/>
  <c r="D1141" i="2"/>
  <c r="I1141" i="2"/>
  <c r="C1141" i="2"/>
  <c r="J1141" i="2" l="1"/>
  <c r="I1142" i="2"/>
  <c r="H1142" i="2"/>
  <c r="G1142" i="2"/>
  <c r="D1142" i="2"/>
  <c r="E1142" i="2"/>
  <c r="F1142" i="2"/>
  <c r="C1142" i="2"/>
  <c r="D1143" i="2" l="1"/>
  <c r="I1143" i="2"/>
  <c r="F1143" i="2"/>
  <c r="H1143" i="2"/>
  <c r="G1143" i="2"/>
  <c r="E1143" i="2"/>
  <c r="C1143" i="2"/>
  <c r="J1142" i="2"/>
  <c r="J1143" i="2" l="1"/>
  <c r="F1144" i="2"/>
  <c r="E1144" i="2"/>
  <c r="D1144" i="2"/>
  <c r="H1144" i="2"/>
  <c r="I1144" i="2"/>
  <c r="G1144" i="2"/>
  <c r="C1144" i="2"/>
  <c r="J1144" i="2" l="1"/>
  <c r="H1145" i="2"/>
  <c r="G1145" i="2"/>
  <c r="G1146" i="2" s="1"/>
  <c r="F1145" i="2"/>
  <c r="F1146" i="2" s="1"/>
  <c r="E1145" i="2"/>
  <c r="E1146" i="2" s="1"/>
  <c r="I1145" i="2"/>
  <c r="I1146" i="2" s="1"/>
  <c r="D1145" i="2"/>
  <c r="D1146" i="2" s="1"/>
  <c r="C1145" i="2"/>
  <c r="C1146" i="2" s="1"/>
  <c r="J1145" i="2" l="1"/>
  <c r="H1146" i="2"/>
  <c r="J1146" i="2" s="1"/>
  <c r="H1147" i="2" l="1"/>
  <c r="C1147" i="2"/>
  <c r="G1147" i="2"/>
  <c r="E1147" i="2"/>
  <c r="F1147" i="2"/>
  <c r="I1147" i="2"/>
  <c r="D1147" i="2"/>
  <c r="J1147" i="2" l="1"/>
  <c r="I1148" i="2"/>
  <c r="H1148" i="2"/>
  <c r="G1148" i="2"/>
  <c r="D1148" i="2"/>
  <c r="F1148" i="2"/>
  <c r="E1148" i="2"/>
  <c r="C1148" i="2"/>
  <c r="J1148" i="2" l="1"/>
  <c r="D1149" i="2"/>
  <c r="I1149" i="2"/>
  <c r="F1149" i="2"/>
  <c r="H1149" i="2"/>
  <c r="G1149" i="2"/>
  <c r="E1149" i="2"/>
  <c r="C1149" i="2"/>
  <c r="J1149" i="2" l="1"/>
  <c r="F1150" i="2"/>
  <c r="E1150" i="2"/>
  <c r="D1150" i="2"/>
  <c r="H1150" i="2"/>
  <c r="G1150" i="2"/>
  <c r="I1150" i="2"/>
  <c r="C1150" i="2"/>
  <c r="J1150" i="2" l="1"/>
  <c r="H1151" i="2"/>
  <c r="G1151" i="2"/>
  <c r="F1151" i="2"/>
  <c r="E1151" i="2"/>
  <c r="D1151" i="2"/>
  <c r="I1151" i="2"/>
  <c r="C1151" i="2"/>
  <c r="J1151" i="2" l="1"/>
  <c r="I1152" i="2"/>
  <c r="I1153" i="2" s="1"/>
  <c r="H1152" i="2"/>
  <c r="G1152" i="2"/>
  <c r="G1153" i="2" s="1"/>
  <c r="D1152" i="2"/>
  <c r="D1153" i="2" s="1"/>
  <c r="F1152" i="2"/>
  <c r="F1153" i="2" s="1"/>
  <c r="E1152" i="2"/>
  <c r="E1153" i="2" s="1"/>
  <c r="C1152" i="2"/>
  <c r="C1153" i="2" s="1"/>
  <c r="J1152" i="2" l="1"/>
  <c r="H1153" i="2"/>
  <c r="J1153" i="2" s="1"/>
  <c r="C1154" i="2"/>
  <c r="H1154" i="2" l="1"/>
  <c r="J1154" i="2" s="1"/>
  <c r="I1154" i="2"/>
  <c r="G1154" i="2"/>
  <c r="E1154" i="2"/>
  <c r="D1154" i="2"/>
  <c r="F1154" i="2"/>
  <c r="D1155" i="2" l="1"/>
  <c r="I1155" i="2"/>
  <c r="F1155" i="2"/>
  <c r="H1155" i="2"/>
  <c r="G1155" i="2"/>
  <c r="E1155" i="2"/>
  <c r="C1155" i="2"/>
  <c r="J1155" i="2" l="1"/>
  <c r="F1156" i="2"/>
  <c r="E1156" i="2"/>
  <c r="D1156" i="2"/>
  <c r="H1156" i="2"/>
  <c r="I1156" i="2"/>
  <c r="G1156" i="2"/>
  <c r="C1156" i="2"/>
  <c r="J1156" i="2" l="1"/>
  <c r="H1157" i="2"/>
  <c r="G1157" i="2"/>
  <c r="F1157" i="2"/>
  <c r="E1157" i="2"/>
  <c r="I1157" i="2"/>
  <c r="D1157" i="2"/>
  <c r="C1157" i="2"/>
  <c r="J1157" i="2" l="1"/>
  <c r="I1158" i="2"/>
  <c r="H1158" i="2"/>
  <c r="G1158" i="2"/>
  <c r="D1158" i="2"/>
  <c r="F1158" i="2"/>
  <c r="E1158" i="2"/>
  <c r="C1158" i="2"/>
  <c r="J1158" i="2" l="1"/>
  <c r="D1159" i="2"/>
  <c r="D1160" i="2" s="1"/>
  <c r="I1159" i="2"/>
  <c r="I1160" i="2" s="1"/>
  <c r="F1159" i="2"/>
  <c r="F1160" i="2" s="1"/>
  <c r="G1159" i="2"/>
  <c r="G1160" i="2" s="1"/>
  <c r="E1159" i="2"/>
  <c r="E1160" i="2" s="1"/>
  <c r="H1159" i="2"/>
  <c r="C1159" i="2"/>
  <c r="C1160" i="2" s="1"/>
  <c r="J1159" i="2" l="1"/>
  <c r="C1161" i="2"/>
  <c r="H1160" i="2"/>
  <c r="J1160" i="2" s="1"/>
  <c r="H1161" i="2" l="1"/>
  <c r="J1161" i="2" s="1"/>
  <c r="F1161" i="2"/>
  <c r="D1161" i="2"/>
  <c r="I1161" i="2"/>
  <c r="G1161" i="2"/>
  <c r="E1161" i="2"/>
  <c r="F1162" i="2" l="1"/>
  <c r="E1162" i="2"/>
  <c r="D1162" i="2"/>
  <c r="H1162" i="2"/>
  <c r="G1162" i="2"/>
  <c r="I1162" i="2"/>
  <c r="C1162" i="2"/>
  <c r="J1162" i="2" l="1"/>
  <c r="H1163" i="2"/>
  <c r="G1163" i="2"/>
  <c r="F1163" i="2"/>
  <c r="E1163" i="2"/>
  <c r="I1163" i="2"/>
  <c r="D1163" i="2"/>
  <c r="C1163" i="2"/>
  <c r="J1163" i="2" l="1"/>
  <c r="I1164" i="2"/>
  <c r="H1164" i="2"/>
  <c r="G1164" i="2"/>
  <c r="D1164" i="2"/>
  <c r="F1164" i="2"/>
  <c r="E1164" i="2"/>
  <c r="C1164" i="2"/>
  <c r="J1164" i="2" l="1"/>
  <c r="D1165" i="2"/>
  <c r="I1165" i="2"/>
  <c r="F1165" i="2"/>
  <c r="E1165" i="2"/>
  <c r="H1165" i="2"/>
  <c r="G1165" i="2"/>
  <c r="C1165" i="2"/>
  <c r="J1165" i="2" l="1"/>
  <c r="F1166" i="2"/>
  <c r="F1167" i="2" s="1"/>
  <c r="E1166" i="2"/>
  <c r="E1167" i="2" s="1"/>
  <c r="D1166" i="2"/>
  <c r="D1167" i="2" s="1"/>
  <c r="H1166" i="2"/>
  <c r="I1166" i="2"/>
  <c r="I1167" i="2" s="1"/>
  <c r="G1166" i="2"/>
  <c r="G1167" i="2" s="1"/>
  <c r="C1166" i="2"/>
  <c r="C1167" i="2" s="1"/>
  <c r="J1166" i="2" l="1"/>
  <c r="E1168" i="2"/>
  <c r="H1167" i="2"/>
  <c r="J1167" i="2" s="1"/>
  <c r="C1168" i="2" l="1"/>
  <c r="H1168" i="2"/>
  <c r="F1168" i="2"/>
  <c r="D1168" i="2"/>
  <c r="I1168" i="2"/>
  <c r="G1168" i="2"/>
  <c r="J1168" i="2" l="1"/>
  <c r="H1169" i="2"/>
  <c r="G1169" i="2"/>
  <c r="F1169" i="2"/>
  <c r="E1169" i="2"/>
  <c r="I1169" i="2"/>
  <c r="D1169" i="2"/>
  <c r="C1169" i="2"/>
  <c r="J1169" i="2" l="1"/>
  <c r="I1170" i="2"/>
  <c r="H1170" i="2"/>
  <c r="G1170" i="2"/>
  <c r="D1170" i="2"/>
  <c r="F1170" i="2"/>
  <c r="E1170" i="2"/>
  <c r="C1170" i="2"/>
  <c r="J1170" i="2" l="1"/>
  <c r="D1171" i="2"/>
  <c r="I1171" i="2"/>
  <c r="F1171" i="2"/>
  <c r="G1171" i="2"/>
  <c r="E1171" i="2"/>
  <c r="H1171" i="2"/>
  <c r="C1171" i="2"/>
  <c r="J1171" i="2" l="1"/>
  <c r="F1172" i="2"/>
  <c r="E1172" i="2"/>
  <c r="D1172" i="2"/>
  <c r="H1172" i="2"/>
  <c r="I1172" i="2"/>
  <c r="G1172" i="2"/>
  <c r="C1172" i="2"/>
  <c r="J1172" i="2" l="1"/>
  <c r="H1173" i="2"/>
  <c r="G1173" i="2"/>
  <c r="G1174" i="2" s="1"/>
  <c r="F1173" i="2"/>
  <c r="F1174" i="2" s="1"/>
  <c r="E1173" i="2"/>
  <c r="E1174" i="2" s="1"/>
  <c r="I1173" i="2"/>
  <c r="I1174" i="2" s="1"/>
  <c r="D1173" i="2"/>
  <c r="D1174" i="2" s="1"/>
  <c r="C1173" i="2"/>
  <c r="C1174" i="2" s="1"/>
  <c r="J1173" i="2" l="1"/>
  <c r="D1175" i="2"/>
  <c r="H1174" i="2"/>
  <c r="J1174" i="2" s="1"/>
  <c r="C1175" i="2"/>
  <c r="I1175" i="2" l="1"/>
  <c r="H1175" i="2"/>
  <c r="J1175" i="2" s="1"/>
  <c r="F1175" i="2"/>
  <c r="G1175" i="2"/>
  <c r="E1175" i="2"/>
  <c r="I1176" i="2" l="1"/>
  <c r="H1176" i="2"/>
  <c r="G1176" i="2"/>
  <c r="D1176" i="2"/>
  <c r="E1176" i="2"/>
  <c r="F1176" i="2"/>
  <c r="C1176" i="2"/>
  <c r="J1176" i="2" l="1"/>
  <c r="D1177" i="2"/>
  <c r="I1177" i="2"/>
  <c r="F1177" i="2"/>
  <c r="H1177" i="2"/>
  <c r="E1177" i="2"/>
  <c r="G1177" i="2"/>
  <c r="C1177" i="2"/>
  <c r="J1177" i="2" l="1"/>
  <c r="F1178" i="2"/>
  <c r="E1178" i="2"/>
  <c r="D1178" i="2"/>
  <c r="H1178" i="2"/>
  <c r="I1178" i="2"/>
  <c r="G1178" i="2"/>
  <c r="C1178" i="2"/>
  <c r="J1178" i="2" l="1"/>
  <c r="H1179" i="2"/>
  <c r="G1179" i="2"/>
  <c r="F1179" i="2"/>
  <c r="E1179" i="2"/>
  <c r="I1179" i="2"/>
  <c r="D1179" i="2"/>
  <c r="C1179" i="2"/>
  <c r="J1179" i="2" l="1"/>
  <c r="I1180" i="2"/>
  <c r="I1181" i="2" s="1"/>
  <c r="H1180" i="2"/>
  <c r="G1180" i="2"/>
  <c r="G1181" i="2" s="1"/>
  <c r="D1180" i="2"/>
  <c r="D1181" i="2" s="1"/>
  <c r="F1180" i="2"/>
  <c r="F1181" i="2" s="1"/>
  <c r="E1180" i="2"/>
  <c r="E1181" i="2" s="1"/>
  <c r="C1180" i="2"/>
  <c r="C1181" i="2" s="1"/>
  <c r="J1180" i="2" l="1"/>
  <c r="H1181" i="2"/>
  <c r="J1181" i="2" s="1"/>
  <c r="H1182" i="2" l="1"/>
  <c r="I1182" i="2"/>
  <c r="G1182" i="2"/>
  <c r="F1182" i="2"/>
  <c r="D1182" i="2"/>
  <c r="E1182" i="2"/>
  <c r="C1182" i="2"/>
  <c r="J1182" i="2" l="1"/>
  <c r="D1183" i="2"/>
  <c r="I1183" i="2"/>
  <c r="F1183" i="2"/>
  <c r="H1183" i="2"/>
  <c r="G1183" i="2"/>
  <c r="E1183" i="2"/>
  <c r="C1183" i="2"/>
  <c r="J1183" i="2" l="1"/>
  <c r="F1184" i="2"/>
  <c r="E1184" i="2"/>
  <c r="D1184" i="2"/>
  <c r="H1184" i="2"/>
  <c r="I1184" i="2"/>
  <c r="G1184" i="2"/>
  <c r="C1184" i="2"/>
  <c r="J1184" i="2" l="1"/>
  <c r="H1185" i="2"/>
  <c r="G1185" i="2"/>
  <c r="F1185" i="2"/>
  <c r="E1185" i="2"/>
  <c r="D1185" i="2"/>
  <c r="I1185" i="2"/>
  <c r="C1185" i="2"/>
  <c r="I1186" i="2" l="1"/>
  <c r="H1186" i="2"/>
  <c r="G1186" i="2"/>
  <c r="D1186" i="2"/>
  <c r="E1186" i="2"/>
  <c r="F1186" i="2"/>
  <c r="C1186" i="2"/>
  <c r="J1185" i="2"/>
  <c r="D1187" i="2" l="1"/>
  <c r="D1188" i="2" s="1"/>
  <c r="I1187" i="2"/>
  <c r="I1188" i="2" s="1"/>
  <c r="F1187" i="2"/>
  <c r="F1188" i="2" s="1"/>
  <c r="H1187" i="2"/>
  <c r="G1187" i="2"/>
  <c r="G1188" i="2" s="1"/>
  <c r="E1187" i="2"/>
  <c r="E1188" i="2" s="1"/>
  <c r="C1187" i="2"/>
  <c r="C1188" i="2" s="1"/>
  <c r="J1186" i="2"/>
  <c r="J1187" i="2" l="1"/>
  <c r="C1189" i="2"/>
  <c r="H1188" i="2"/>
  <c r="J1188" i="2" s="1"/>
  <c r="H1189" i="2" l="1"/>
  <c r="J1189" i="2" s="1"/>
  <c r="F1189" i="2"/>
  <c r="D1189" i="2"/>
  <c r="I1189" i="2"/>
  <c r="G1189" i="2"/>
  <c r="E1189" i="2"/>
  <c r="F1190" i="2" l="1"/>
  <c r="E1190" i="2"/>
  <c r="D1190" i="2"/>
  <c r="H1190" i="2"/>
  <c r="I1190" i="2"/>
  <c r="G1190" i="2"/>
  <c r="C1190" i="2"/>
  <c r="J1190" i="2" l="1"/>
  <c r="H1191" i="2"/>
  <c r="G1191" i="2"/>
  <c r="F1191" i="2"/>
  <c r="E1191" i="2"/>
  <c r="I1191" i="2"/>
  <c r="D1191" i="2"/>
  <c r="C1191" i="2"/>
  <c r="J1191" i="2" l="1"/>
  <c r="I1192" i="2"/>
  <c r="H1192" i="2"/>
  <c r="G1192" i="2"/>
  <c r="D1192" i="2"/>
  <c r="F1192" i="2"/>
  <c r="E1192" i="2"/>
  <c r="C1192" i="2"/>
  <c r="J1192" i="2" l="1"/>
  <c r="D1193" i="2"/>
  <c r="I1193" i="2"/>
  <c r="F1193" i="2"/>
  <c r="H1193" i="2"/>
  <c r="G1193" i="2"/>
  <c r="E1193" i="2"/>
  <c r="C1193" i="2"/>
  <c r="J1193" i="2" l="1"/>
  <c r="F1194" i="2"/>
  <c r="E1194" i="2"/>
  <c r="E1195" i="2" s="1"/>
  <c r="D1194" i="2"/>
  <c r="D1195" i="2" s="1"/>
  <c r="H1194" i="2"/>
  <c r="G1194" i="2"/>
  <c r="I1194" i="2"/>
  <c r="C1194" i="2"/>
  <c r="C1195" i="2" s="1"/>
  <c r="H1195" i="2" l="1"/>
  <c r="J1195" i="2" s="1"/>
  <c r="I1195" i="2"/>
  <c r="I1196" i="2" s="1"/>
  <c r="G1195" i="2"/>
  <c r="G1196" i="2" s="1"/>
  <c r="C1196" i="2"/>
  <c r="J1194" i="2"/>
  <c r="E1196" i="2"/>
  <c r="D1196" i="2"/>
  <c r="F1195" i="2"/>
  <c r="F1196" i="2" s="1"/>
  <c r="H1196" i="2" l="1"/>
  <c r="J1196" i="2" s="1"/>
  <c r="H1197" i="2" l="1"/>
  <c r="G1197" i="2"/>
  <c r="F1197" i="2"/>
  <c r="E1197" i="2"/>
  <c r="D1197" i="2"/>
  <c r="I1197" i="2"/>
  <c r="C1197" i="2"/>
  <c r="J1197" i="2" l="1"/>
  <c r="I1198" i="2"/>
  <c r="H1198" i="2"/>
  <c r="G1198" i="2"/>
  <c r="D1198" i="2"/>
  <c r="F1198" i="2"/>
  <c r="E1198" i="2"/>
  <c r="C1198" i="2"/>
  <c r="J1198" i="2" l="1"/>
  <c r="D1199" i="2"/>
  <c r="I1199" i="2"/>
  <c r="F1199" i="2"/>
  <c r="H1199" i="2"/>
  <c r="G1199" i="2"/>
  <c r="E1199" i="2"/>
  <c r="C1199" i="2"/>
  <c r="J1199" i="2" l="1"/>
  <c r="F1200" i="2"/>
  <c r="E1200" i="2"/>
  <c r="D1200" i="2"/>
  <c r="H1200" i="2"/>
  <c r="I1200" i="2"/>
  <c r="G1200" i="2"/>
  <c r="C1200" i="2"/>
  <c r="J1200" i="2" l="1"/>
  <c r="H1201" i="2"/>
  <c r="G1201" i="2"/>
  <c r="G1202" i="2" s="1"/>
  <c r="F1201" i="2"/>
  <c r="F1202" i="2" s="1"/>
  <c r="E1201" i="2"/>
  <c r="E1202" i="2" s="1"/>
  <c r="I1201" i="2"/>
  <c r="I1202" i="2" s="1"/>
  <c r="D1201" i="2"/>
  <c r="D1202" i="2" s="1"/>
  <c r="C1201" i="2"/>
  <c r="C1202" i="2" s="1"/>
  <c r="J1201" i="2" l="1"/>
  <c r="H1202" i="2"/>
  <c r="J1202" i="2" s="1"/>
  <c r="H1203" i="2" l="1"/>
  <c r="E1203" i="2"/>
  <c r="C1203" i="2"/>
  <c r="F1203" i="2"/>
  <c r="D1203" i="2"/>
  <c r="G1203" i="2"/>
  <c r="I1203" i="2"/>
  <c r="J1203" i="2" l="1"/>
  <c r="I1204" i="2"/>
  <c r="H1204" i="2"/>
  <c r="G1204" i="2"/>
  <c r="D1204" i="2"/>
  <c r="F1204" i="2"/>
  <c r="E1204" i="2"/>
  <c r="C1204" i="2"/>
  <c r="J1204" i="2" l="1"/>
  <c r="D1205" i="2"/>
  <c r="I1205" i="2"/>
  <c r="F1205" i="2"/>
  <c r="G1205" i="2"/>
  <c r="E1205" i="2"/>
  <c r="H1205" i="2"/>
  <c r="C1205" i="2"/>
  <c r="J1205" i="2" l="1"/>
  <c r="F1206" i="2"/>
  <c r="E1206" i="2"/>
  <c r="D1206" i="2"/>
  <c r="H1206" i="2"/>
  <c r="G1206" i="2"/>
  <c r="I1206" i="2"/>
  <c r="C1206" i="2"/>
  <c r="H1207" i="2" l="1"/>
  <c r="G1207" i="2"/>
  <c r="F1207" i="2"/>
  <c r="E1207" i="2"/>
  <c r="I1207" i="2"/>
  <c r="D1207" i="2"/>
  <c r="C1207" i="2"/>
  <c r="J1206" i="2"/>
  <c r="J1207" i="2" l="1"/>
  <c r="I1208" i="2"/>
  <c r="I1209" i="2" s="1"/>
  <c r="H1208" i="2"/>
  <c r="G1208" i="2"/>
  <c r="G1209" i="2" s="1"/>
  <c r="D1208" i="2"/>
  <c r="D1209" i="2" s="1"/>
  <c r="F1208" i="2"/>
  <c r="F1209" i="2" s="1"/>
  <c r="E1208" i="2"/>
  <c r="E1209" i="2" s="1"/>
  <c r="C1208" i="2"/>
  <c r="C1209" i="2" s="1"/>
  <c r="J1208" i="2" l="1"/>
  <c r="H1209" i="2"/>
  <c r="J1209" i="2" s="1"/>
  <c r="H1210" i="2" l="1"/>
  <c r="E1210" i="2"/>
  <c r="I1210" i="2"/>
  <c r="G1210" i="2"/>
  <c r="F1210" i="2"/>
  <c r="D1210" i="2"/>
  <c r="C1210" i="2"/>
  <c r="J1210" i="2" l="1"/>
  <c r="D1211" i="2"/>
  <c r="I1211" i="2"/>
  <c r="F1211" i="2"/>
  <c r="E1211" i="2"/>
  <c r="H1211" i="2"/>
  <c r="G1211" i="2"/>
  <c r="C1211" i="2"/>
  <c r="J1211" i="2" l="1"/>
  <c r="F1212" i="2"/>
  <c r="E1212" i="2"/>
  <c r="D1212" i="2"/>
  <c r="H1212" i="2"/>
  <c r="I1212" i="2"/>
  <c r="G1212" i="2"/>
  <c r="C1212" i="2"/>
  <c r="J1212" i="2" l="1"/>
  <c r="H1213" i="2"/>
  <c r="G1213" i="2"/>
  <c r="F1213" i="2"/>
  <c r="E1213" i="2"/>
  <c r="I1213" i="2"/>
  <c r="D1213" i="2"/>
  <c r="C1213" i="2"/>
  <c r="J1213" i="2" l="1"/>
  <c r="I1214" i="2"/>
  <c r="H1214" i="2"/>
  <c r="G1214" i="2"/>
  <c r="D1214" i="2"/>
  <c r="F1214" i="2"/>
  <c r="E1214" i="2"/>
  <c r="C1214" i="2"/>
  <c r="J1214" i="2" l="1"/>
  <c r="G1215" i="2"/>
  <c r="G1216" i="2" s="1"/>
  <c r="I1215" i="2"/>
  <c r="I1216" i="2" s="1"/>
  <c r="D1215" i="2"/>
  <c r="D1216" i="2" s="1"/>
  <c r="F1215" i="2"/>
  <c r="F1216" i="2" s="1"/>
  <c r="H1215" i="2"/>
  <c r="E1215" i="2"/>
  <c r="E1216" i="2" s="1"/>
  <c r="C1215" i="2"/>
  <c r="C1216" i="2" s="1"/>
  <c r="J1215" i="2" l="1"/>
  <c r="H1216" i="2"/>
  <c r="J1216" i="2" s="1"/>
  <c r="H1217" i="2" l="1"/>
  <c r="G1217" i="2"/>
  <c r="I1217" i="2"/>
  <c r="D1217" i="2"/>
  <c r="F1217" i="2"/>
  <c r="E1217" i="2"/>
  <c r="C1217" i="2"/>
  <c r="J1217" i="2" l="1"/>
  <c r="I1218" i="2"/>
  <c r="H1218" i="2"/>
  <c r="G1218" i="2"/>
  <c r="F1218" i="2"/>
  <c r="E1218" i="2"/>
  <c r="D1218" i="2"/>
  <c r="C1218" i="2"/>
  <c r="J1218" i="2" l="1"/>
  <c r="I1219" i="2"/>
  <c r="H1219" i="2"/>
  <c r="E1219" i="2"/>
  <c r="G1219" i="2"/>
  <c r="F1219" i="2"/>
  <c r="D1219" i="2"/>
  <c r="C1219" i="2"/>
  <c r="J1219" i="2" l="1"/>
  <c r="E1220" i="2"/>
  <c r="D1220" i="2"/>
  <c r="G1220" i="2"/>
  <c r="H1220" i="2"/>
  <c r="I1220" i="2"/>
  <c r="F1220" i="2"/>
  <c r="C1220" i="2"/>
  <c r="J1220" i="2" l="1"/>
  <c r="G1221" i="2"/>
  <c r="F1221" i="2"/>
  <c r="E1221" i="2"/>
  <c r="D1221" i="2"/>
  <c r="I1221" i="2"/>
  <c r="H1221" i="2"/>
  <c r="C1221" i="2"/>
  <c r="J1221" i="2" l="1"/>
  <c r="I1222" i="2"/>
  <c r="I1223" i="2" s="1"/>
  <c r="H1222" i="2"/>
  <c r="G1222" i="2"/>
  <c r="G1223" i="2" s="1"/>
  <c r="F1222" i="2"/>
  <c r="F1223" i="2" s="1"/>
  <c r="E1222" i="2"/>
  <c r="E1223" i="2" s="1"/>
  <c r="D1222" i="2"/>
  <c r="D1223" i="2" s="1"/>
  <c r="C1222" i="2"/>
  <c r="C1223" i="2" s="1"/>
  <c r="J1222" i="2" l="1"/>
  <c r="I1224" i="2"/>
  <c r="H1223" i="2"/>
  <c r="J1223" i="2" s="1"/>
  <c r="C1224" i="2" l="1"/>
  <c r="H1224" i="2"/>
  <c r="E1224" i="2"/>
  <c r="G1224" i="2"/>
  <c r="F1224" i="2"/>
  <c r="D1224" i="2"/>
  <c r="J1224" i="2" l="1"/>
  <c r="I1225" i="2"/>
  <c r="H1225" i="2"/>
  <c r="E1225" i="2"/>
  <c r="F1225" i="2"/>
  <c r="D1225" i="2"/>
  <c r="G1225" i="2"/>
  <c r="C1225" i="2"/>
  <c r="J1225" i="2" l="1"/>
  <c r="E1226" i="2"/>
  <c r="D1226" i="2"/>
  <c r="G1226" i="2"/>
  <c r="F1226" i="2"/>
  <c r="H1226" i="2"/>
  <c r="I1226" i="2"/>
  <c r="C1226" i="2"/>
  <c r="J1226" i="2" l="1"/>
  <c r="G1227" i="2"/>
  <c r="F1227" i="2"/>
  <c r="E1227" i="2"/>
  <c r="D1227" i="2"/>
  <c r="I1227" i="2"/>
  <c r="H1227" i="2"/>
  <c r="C1227" i="2"/>
  <c r="J1227" i="2" l="1"/>
  <c r="I1228" i="2"/>
  <c r="H1228" i="2"/>
  <c r="G1228" i="2"/>
  <c r="F1228" i="2"/>
  <c r="E1228" i="2"/>
  <c r="D1228" i="2"/>
  <c r="C1228" i="2"/>
  <c r="J1228" i="2" l="1"/>
  <c r="I1229" i="2"/>
  <c r="I1230" i="2" s="1"/>
  <c r="H1229" i="2"/>
  <c r="E1229" i="2"/>
  <c r="E1230" i="2" s="1"/>
  <c r="D1229" i="2"/>
  <c r="D1230" i="2" s="1"/>
  <c r="G1229" i="2"/>
  <c r="G1230" i="2" s="1"/>
  <c r="F1229" i="2"/>
  <c r="F1230" i="2" s="1"/>
  <c r="C1229" i="2"/>
  <c r="C1230" i="2" s="1"/>
  <c r="J1229" i="2" l="1"/>
  <c r="H1230" i="2"/>
  <c r="J1230" i="2" s="1"/>
  <c r="H1231" i="2" l="1"/>
  <c r="F1231" i="2"/>
  <c r="I1231" i="2"/>
  <c r="G1231" i="2"/>
  <c r="E1231" i="2"/>
  <c r="D1231" i="2"/>
  <c r="C1231" i="2"/>
  <c r="J1231" i="2" l="1"/>
  <c r="E1232" i="2"/>
  <c r="D1232" i="2"/>
  <c r="G1232" i="2"/>
  <c r="I1232" i="2"/>
  <c r="H1232" i="2"/>
  <c r="F1232" i="2"/>
  <c r="C1232" i="2"/>
  <c r="J1232" i="2" l="1"/>
  <c r="G1233" i="2"/>
  <c r="F1233" i="2"/>
  <c r="E1233" i="2"/>
  <c r="D1233" i="2"/>
  <c r="I1233" i="2"/>
  <c r="H1233" i="2"/>
  <c r="C1233" i="2"/>
  <c r="J1233" i="2" l="1"/>
  <c r="I1234" i="2"/>
  <c r="H1234" i="2"/>
  <c r="G1234" i="2"/>
  <c r="F1234" i="2"/>
  <c r="E1234" i="2"/>
  <c r="D1234" i="2"/>
  <c r="C1234" i="2"/>
  <c r="J1234" i="2" l="1"/>
  <c r="I1235" i="2"/>
  <c r="H1235" i="2"/>
  <c r="E1235" i="2"/>
  <c r="F1235" i="2"/>
  <c r="G1235" i="2"/>
  <c r="D1235" i="2"/>
  <c r="C1235" i="2"/>
  <c r="J1235" i="2" l="1"/>
  <c r="E1236" i="2"/>
  <c r="E1237" i="2" s="1"/>
  <c r="D1236" i="2"/>
  <c r="D1237" i="2" s="1"/>
  <c r="G1236" i="2"/>
  <c r="G1237" i="2" s="1"/>
  <c r="I1236" i="2"/>
  <c r="I1237" i="2" s="1"/>
  <c r="H1236" i="2"/>
  <c r="F1236" i="2"/>
  <c r="F1237" i="2" s="1"/>
  <c r="C1236" i="2"/>
  <c r="C1237" i="2" s="1"/>
  <c r="J1236" i="2" l="1"/>
  <c r="F1238" i="2"/>
  <c r="H1237" i="2"/>
  <c r="J1237" i="2" s="1"/>
  <c r="H1238" i="2" l="1"/>
  <c r="E1238" i="2"/>
  <c r="D1238" i="2"/>
  <c r="G1238" i="2"/>
  <c r="I1238" i="2"/>
  <c r="C1238" i="2"/>
  <c r="J1238" i="2" l="1"/>
  <c r="G1239" i="2"/>
  <c r="F1239" i="2"/>
  <c r="E1239" i="2"/>
  <c r="D1239" i="2"/>
  <c r="I1239" i="2"/>
  <c r="H1239" i="2"/>
  <c r="C1239" i="2"/>
  <c r="J1239" i="2" l="1"/>
  <c r="I1240" i="2"/>
  <c r="H1240" i="2"/>
  <c r="G1240" i="2"/>
  <c r="F1240" i="2"/>
  <c r="D1240" i="2"/>
  <c r="E1240" i="2"/>
  <c r="C1240" i="2"/>
  <c r="J1240" i="2" l="1"/>
  <c r="I1241" i="2"/>
  <c r="H1241" i="2"/>
  <c r="E1241" i="2"/>
  <c r="D1241" i="2"/>
  <c r="G1241" i="2"/>
  <c r="F1241" i="2"/>
  <c r="C1241" i="2"/>
  <c r="J1241" i="2" l="1"/>
  <c r="E1242" i="2"/>
  <c r="D1242" i="2"/>
  <c r="G1242" i="2"/>
  <c r="I1242" i="2"/>
  <c r="H1242" i="2"/>
  <c r="F1242" i="2"/>
  <c r="C1242" i="2"/>
  <c r="J1242" i="2" l="1"/>
  <c r="G1243" i="2"/>
  <c r="G1244" i="2" s="1"/>
  <c r="F1243" i="2"/>
  <c r="F1244" i="2" s="1"/>
  <c r="E1243" i="2"/>
  <c r="E1244" i="2" s="1"/>
  <c r="D1243" i="2"/>
  <c r="D1244" i="2" s="1"/>
  <c r="I1243" i="2"/>
  <c r="I1244" i="2" s="1"/>
  <c r="H1243" i="2"/>
  <c r="C1243" i="2"/>
  <c r="C1244" i="2" s="1"/>
  <c r="J1243" i="2" l="1"/>
  <c r="F1245" i="2"/>
  <c r="H1244" i="2"/>
  <c r="J1244" i="2" s="1"/>
  <c r="C1245" i="2"/>
  <c r="H1245" i="2" l="1"/>
  <c r="J1245" i="2" s="1"/>
  <c r="G1245" i="2"/>
  <c r="D1245" i="2"/>
  <c r="E1245" i="2"/>
  <c r="I1245" i="2"/>
  <c r="I1246" i="2" l="1"/>
  <c r="H1246" i="2"/>
  <c r="G1246" i="2"/>
  <c r="F1246" i="2"/>
  <c r="E1246" i="2"/>
  <c r="D1246" i="2"/>
  <c r="C1246" i="2"/>
  <c r="J1246" i="2" l="1"/>
  <c r="I1247" i="2"/>
  <c r="H1247" i="2"/>
  <c r="E1247" i="2"/>
  <c r="G1247" i="2"/>
  <c r="F1247" i="2"/>
  <c r="D1247" i="2"/>
  <c r="C1247" i="2"/>
  <c r="J1247" i="2" l="1"/>
  <c r="E1248" i="2"/>
  <c r="D1248" i="2"/>
  <c r="G1248" i="2"/>
  <c r="I1248" i="2"/>
  <c r="H1248" i="2"/>
  <c r="F1248" i="2"/>
  <c r="C1248" i="2"/>
  <c r="J1248" i="2" l="1"/>
  <c r="G1249" i="2"/>
  <c r="F1249" i="2"/>
  <c r="E1249" i="2"/>
  <c r="D1249" i="2"/>
  <c r="I1249" i="2"/>
  <c r="H1249" i="2"/>
  <c r="C1249" i="2"/>
  <c r="J1249" i="2" l="1"/>
  <c r="I1250" i="2"/>
  <c r="I1251" i="2" s="1"/>
  <c r="H1250" i="2"/>
  <c r="G1250" i="2"/>
  <c r="G1251" i="2" s="1"/>
  <c r="F1250" i="2"/>
  <c r="F1251" i="2" s="1"/>
  <c r="D1250" i="2"/>
  <c r="D1251" i="2" s="1"/>
  <c r="E1250" i="2"/>
  <c r="E1251" i="2" s="1"/>
  <c r="C1250" i="2"/>
  <c r="C1251" i="2" s="1"/>
  <c r="J1250" i="2" l="1"/>
  <c r="D1252" i="2"/>
  <c r="H1251" i="2"/>
  <c r="J1251" i="2" s="1"/>
  <c r="F1252" i="2" l="1"/>
  <c r="I1252" i="2"/>
  <c r="H1252" i="2"/>
  <c r="G1252" i="2"/>
  <c r="E1252" i="2"/>
  <c r="C1252" i="2"/>
  <c r="J1252" i="2" l="1"/>
  <c r="I1253" i="2"/>
  <c r="H1253" i="2"/>
  <c r="E1253" i="2"/>
  <c r="G1253" i="2"/>
  <c r="F1253" i="2"/>
  <c r="D1253" i="2"/>
  <c r="C1253" i="2"/>
  <c r="J1253" i="2" l="1"/>
  <c r="E1254" i="2"/>
  <c r="D1254" i="2"/>
  <c r="G1254" i="2"/>
  <c r="H1254" i="2"/>
  <c r="F1254" i="2"/>
  <c r="I1254" i="2"/>
  <c r="C1254" i="2"/>
  <c r="J1254" i="2" l="1"/>
  <c r="G1255" i="2"/>
  <c r="F1255" i="2"/>
  <c r="E1255" i="2"/>
  <c r="D1255" i="2"/>
  <c r="I1255" i="2"/>
  <c r="H1255" i="2"/>
  <c r="C1255" i="2"/>
  <c r="J1255" i="2" l="1"/>
  <c r="I1256" i="2"/>
  <c r="H1256" i="2"/>
  <c r="G1256" i="2"/>
  <c r="F1256" i="2"/>
  <c r="D1256" i="2"/>
  <c r="E1256" i="2"/>
  <c r="C1256" i="2"/>
  <c r="J1256" i="2" l="1"/>
  <c r="I1257" i="2"/>
  <c r="I1258" i="2" s="1"/>
  <c r="H1257" i="2"/>
  <c r="E1257" i="2"/>
  <c r="E1258" i="2" s="1"/>
  <c r="G1257" i="2"/>
  <c r="G1258" i="2" s="1"/>
  <c r="F1257" i="2"/>
  <c r="F1258" i="2" s="1"/>
  <c r="D1257" i="2"/>
  <c r="D1258" i="2" s="1"/>
  <c r="C1257" i="2"/>
  <c r="C1258" i="2" s="1"/>
  <c r="J1257" i="2" l="1"/>
  <c r="F1259" i="2"/>
  <c r="H1258" i="2"/>
  <c r="J1258" i="2" s="1"/>
  <c r="D1259" i="2"/>
  <c r="C1259" i="2"/>
  <c r="H1259" i="2" l="1"/>
  <c r="J1259" i="2" s="1"/>
  <c r="I1259" i="2"/>
  <c r="E1259" i="2"/>
  <c r="G1259" i="2"/>
  <c r="E1260" i="2" l="1"/>
  <c r="D1260" i="2"/>
  <c r="G1260" i="2"/>
  <c r="F1260" i="2"/>
  <c r="I1260" i="2"/>
  <c r="H1260" i="2"/>
  <c r="C1260" i="2"/>
  <c r="J1260" i="2" l="1"/>
  <c r="G1261" i="2"/>
  <c r="F1261" i="2"/>
  <c r="E1261" i="2"/>
  <c r="D1261" i="2"/>
  <c r="I1261" i="2"/>
  <c r="H1261" i="2"/>
  <c r="C1261" i="2"/>
  <c r="J1261" i="2" l="1"/>
  <c r="I1262" i="2"/>
  <c r="H1262" i="2"/>
  <c r="G1262" i="2"/>
  <c r="F1262" i="2"/>
  <c r="E1262" i="2"/>
  <c r="D1262" i="2"/>
  <c r="C1262" i="2"/>
  <c r="J1262" i="2" l="1"/>
  <c r="I1263" i="2"/>
  <c r="H1263" i="2"/>
  <c r="E1263" i="2"/>
  <c r="G1263" i="2"/>
  <c r="F1263" i="2"/>
  <c r="D1263" i="2"/>
  <c r="C1263" i="2"/>
  <c r="J1263" i="2" l="1"/>
  <c r="E1264" i="2"/>
  <c r="D1264" i="2"/>
  <c r="G1264" i="2"/>
  <c r="H1264" i="2"/>
  <c r="I1264" i="2"/>
  <c r="I1265" i="2" s="1"/>
  <c r="F1264" i="2"/>
  <c r="C1264" i="2"/>
  <c r="C1265" i="2" s="1"/>
  <c r="J1264" i="2" l="1"/>
  <c r="H1265" i="2"/>
  <c r="J1265" i="2" s="1"/>
  <c r="G1265" i="2"/>
  <c r="G1266" i="2" s="1"/>
  <c r="C1266" i="2"/>
  <c r="D1265" i="2"/>
  <c r="D1266" i="2" s="1"/>
  <c r="F1265" i="2"/>
  <c r="F1266" i="2" s="1"/>
  <c r="E1265" i="2"/>
  <c r="E1266" i="2" s="1"/>
  <c r="H1266" i="2" l="1"/>
  <c r="J1266" i="2" s="1"/>
  <c r="I1266" i="2"/>
  <c r="G1267" i="2" l="1"/>
  <c r="F1267" i="2"/>
  <c r="E1267" i="2"/>
  <c r="D1267" i="2"/>
  <c r="I1267" i="2"/>
  <c r="H1267" i="2"/>
  <c r="C1267" i="2"/>
  <c r="J1267" i="2" l="1"/>
  <c r="I1268" i="2"/>
  <c r="H1268" i="2"/>
  <c r="G1268" i="2"/>
  <c r="F1268" i="2"/>
  <c r="E1268" i="2"/>
  <c r="D1268" i="2"/>
  <c r="C1268" i="2"/>
  <c r="J1268" i="2" l="1"/>
  <c r="I1269" i="2"/>
  <c r="H1269" i="2"/>
  <c r="E1269" i="2"/>
  <c r="F1269" i="2"/>
  <c r="D1269" i="2"/>
  <c r="G1269" i="2"/>
  <c r="C1269" i="2"/>
  <c r="J1269" i="2" l="1"/>
  <c r="E1270" i="2"/>
  <c r="D1270" i="2"/>
  <c r="G1270" i="2"/>
  <c r="F1270" i="2"/>
  <c r="I1270" i="2"/>
  <c r="H1270" i="2"/>
  <c r="C1270" i="2"/>
  <c r="J1270" i="2" l="1"/>
  <c r="G1271" i="2"/>
  <c r="G1272" i="2" s="1"/>
  <c r="F1271" i="2"/>
  <c r="F1272" i="2" s="1"/>
  <c r="E1271" i="2"/>
  <c r="E1272" i="2" s="1"/>
  <c r="D1271" i="2"/>
  <c r="D1272" i="2" s="1"/>
  <c r="I1271" i="2"/>
  <c r="I1272" i="2" s="1"/>
  <c r="H1271" i="2"/>
  <c r="C1271" i="2"/>
  <c r="C1272" i="2" s="1"/>
  <c r="J1271" i="2" l="1"/>
  <c r="F1273" i="2"/>
  <c r="H1272" i="2"/>
  <c r="J1272" i="2" s="1"/>
  <c r="C1273" i="2" l="1"/>
  <c r="G1273" i="2"/>
  <c r="H1273" i="2"/>
  <c r="E1273" i="2"/>
  <c r="D1273" i="2"/>
  <c r="I1273" i="2"/>
  <c r="J1273" i="2" l="1"/>
  <c r="I1274" i="2"/>
  <c r="H1274" i="2"/>
  <c r="G1274" i="2"/>
  <c r="F1274" i="2"/>
  <c r="E1274" i="2"/>
  <c r="D1274" i="2"/>
  <c r="C1274" i="2"/>
  <c r="J1274" i="2" l="1"/>
  <c r="I1275" i="2"/>
  <c r="H1275" i="2"/>
  <c r="E1275" i="2"/>
  <c r="D1275" i="2"/>
  <c r="G1275" i="2"/>
  <c r="F1275" i="2"/>
  <c r="C1275" i="2"/>
  <c r="J1275" i="2" l="1"/>
  <c r="E1276" i="2"/>
  <c r="D1276" i="2"/>
  <c r="G1276" i="2"/>
  <c r="I1276" i="2"/>
  <c r="H1276" i="2"/>
  <c r="F1276" i="2"/>
  <c r="C1276" i="2"/>
  <c r="J1276" i="2" l="1"/>
  <c r="G1277" i="2"/>
  <c r="F1277" i="2"/>
  <c r="E1277" i="2"/>
  <c r="D1277" i="2"/>
  <c r="I1277" i="2"/>
  <c r="H1277" i="2"/>
  <c r="C1277" i="2"/>
  <c r="J1277" i="2" l="1"/>
  <c r="I1278" i="2"/>
  <c r="I1279" i="2" s="1"/>
  <c r="H1278" i="2"/>
  <c r="G1278" i="2"/>
  <c r="G1279" i="2" s="1"/>
  <c r="F1278" i="2"/>
  <c r="F1279" i="2" s="1"/>
  <c r="E1278" i="2"/>
  <c r="E1279" i="2" s="1"/>
  <c r="D1278" i="2"/>
  <c r="D1279" i="2" s="1"/>
  <c r="C1278" i="2"/>
  <c r="C1279" i="2" s="1"/>
  <c r="J1278" i="2" l="1"/>
  <c r="I1280" i="2"/>
  <c r="H1279" i="2"/>
  <c r="J1279" i="2" s="1"/>
  <c r="H1280" i="2" l="1"/>
  <c r="E1280" i="2"/>
  <c r="G1280" i="2"/>
  <c r="C1280" i="2"/>
  <c r="F1280" i="2"/>
  <c r="D1280" i="2"/>
  <c r="J1280" i="2" l="1"/>
  <c r="I1281" i="2"/>
  <c r="H1281" i="2"/>
  <c r="E1281" i="2"/>
  <c r="F1281" i="2"/>
  <c r="D1281" i="2"/>
  <c r="G1281" i="2"/>
  <c r="C1281" i="2"/>
  <c r="J1281" i="2" l="1"/>
  <c r="E1282" i="2"/>
  <c r="D1282" i="2"/>
  <c r="G1282" i="2"/>
  <c r="I1282" i="2"/>
  <c r="H1282" i="2"/>
  <c r="F1282" i="2"/>
  <c r="C1282" i="2"/>
  <c r="J1282" i="2" l="1"/>
  <c r="G1283" i="2"/>
  <c r="F1283" i="2"/>
  <c r="E1283" i="2"/>
  <c r="D1283" i="2"/>
  <c r="I1283" i="2"/>
  <c r="H1283" i="2"/>
  <c r="C1283" i="2"/>
  <c r="J1283" i="2" l="1"/>
  <c r="I1284" i="2"/>
  <c r="H1284" i="2"/>
  <c r="G1284" i="2"/>
  <c r="F1284" i="2"/>
  <c r="D1284" i="2"/>
  <c r="E1284" i="2"/>
  <c r="C1284" i="2"/>
  <c r="J1284" i="2" l="1"/>
  <c r="I1285" i="2"/>
  <c r="I1286" i="2" s="1"/>
  <c r="H1285" i="2"/>
  <c r="E1285" i="2"/>
  <c r="E1286" i="2" s="1"/>
  <c r="D1285" i="2"/>
  <c r="D1286" i="2" s="1"/>
  <c r="G1285" i="2"/>
  <c r="G1286" i="2" s="1"/>
  <c r="F1285" i="2"/>
  <c r="F1286" i="2" s="1"/>
  <c r="C1285" i="2"/>
  <c r="C1286" i="2" s="1"/>
  <c r="J1285" i="2" l="1"/>
  <c r="C1287" i="2"/>
  <c r="H1286" i="2"/>
  <c r="J1286" i="2" s="1"/>
  <c r="H1287" i="2" l="1"/>
  <c r="J1287" i="2" s="1"/>
  <c r="E1287" i="2"/>
  <c r="I1287" i="2"/>
  <c r="F1287" i="2"/>
  <c r="D1287" i="2"/>
  <c r="G1287" i="2"/>
  <c r="E1288" i="2" l="1"/>
  <c r="D1288" i="2"/>
  <c r="G1288" i="2"/>
  <c r="I1288" i="2"/>
  <c r="H1288" i="2"/>
  <c r="F1288" i="2"/>
  <c r="C1288" i="2"/>
  <c r="J1288" i="2" l="1"/>
  <c r="G1289" i="2"/>
  <c r="F1289" i="2"/>
  <c r="E1289" i="2"/>
  <c r="D1289" i="2"/>
  <c r="I1289" i="2"/>
  <c r="H1289" i="2"/>
  <c r="C1289" i="2"/>
  <c r="J1289" i="2" l="1"/>
  <c r="I1290" i="2"/>
  <c r="H1290" i="2"/>
  <c r="G1290" i="2"/>
  <c r="F1290" i="2"/>
  <c r="E1290" i="2"/>
  <c r="D1290" i="2"/>
  <c r="C1290" i="2"/>
  <c r="J1290" i="2" l="1"/>
  <c r="I1291" i="2"/>
  <c r="H1291" i="2"/>
  <c r="E1291" i="2"/>
  <c r="G1291" i="2"/>
  <c r="F1291" i="2"/>
  <c r="D1291" i="2"/>
  <c r="C1291" i="2"/>
  <c r="J1291" i="2" l="1"/>
  <c r="E1292" i="2"/>
  <c r="E1293" i="2" s="1"/>
  <c r="D1292" i="2"/>
  <c r="D1293" i="2" s="1"/>
  <c r="G1292" i="2"/>
  <c r="G1293" i="2" s="1"/>
  <c r="I1292" i="2"/>
  <c r="I1293" i="2" s="1"/>
  <c r="H1292" i="2"/>
  <c r="F1292" i="2"/>
  <c r="F1293" i="2" s="1"/>
  <c r="C1292" i="2"/>
  <c r="C1293" i="2" s="1"/>
  <c r="J1292" i="2" l="1"/>
  <c r="H1293" i="2"/>
  <c r="J1293" i="2" s="1"/>
  <c r="C1294" i="2"/>
  <c r="H1294" i="2" l="1"/>
  <c r="J1294" i="2" s="1"/>
  <c r="G1294" i="2"/>
  <c r="E1294" i="2"/>
  <c r="D1294" i="2"/>
  <c r="I1294" i="2"/>
  <c r="F1294" i="2"/>
  <c r="G1295" i="2" l="1"/>
  <c r="F1295" i="2"/>
  <c r="E1295" i="2"/>
  <c r="D1295" i="2"/>
  <c r="I1295" i="2"/>
  <c r="H1295" i="2"/>
  <c r="C1295" i="2"/>
  <c r="J1295" i="2" l="1"/>
  <c r="I1296" i="2"/>
  <c r="H1296" i="2"/>
  <c r="G1296" i="2"/>
  <c r="F1296" i="2"/>
  <c r="D1296" i="2"/>
  <c r="E1296" i="2"/>
  <c r="C1296" i="2"/>
  <c r="J1296" i="2" l="1"/>
  <c r="I1297" i="2"/>
  <c r="H1297" i="2"/>
  <c r="E1297" i="2"/>
  <c r="G1297" i="2"/>
  <c r="F1297" i="2"/>
  <c r="D1297" i="2"/>
  <c r="C1297" i="2"/>
  <c r="J1297" i="2" l="1"/>
  <c r="E1298" i="2"/>
  <c r="D1298" i="2"/>
  <c r="G1298" i="2"/>
  <c r="H1298" i="2"/>
  <c r="F1298" i="2"/>
  <c r="I1298" i="2"/>
  <c r="C1298" i="2"/>
  <c r="J1298" i="2" l="1"/>
  <c r="G1299" i="2"/>
  <c r="G1300" i="2" s="1"/>
  <c r="F1299" i="2"/>
  <c r="F1300" i="2" s="1"/>
  <c r="E1299" i="2"/>
  <c r="E1300" i="2" s="1"/>
  <c r="D1299" i="2"/>
  <c r="D1300" i="2" s="1"/>
  <c r="I1299" i="2"/>
  <c r="I1300" i="2" s="1"/>
  <c r="H1299" i="2"/>
  <c r="C1299" i="2"/>
  <c r="C1300" i="2" s="1"/>
  <c r="J1299" i="2" l="1"/>
  <c r="H1300" i="2"/>
  <c r="J1300" i="2" s="1"/>
  <c r="H1301" i="2" l="1"/>
  <c r="F1301" i="2"/>
  <c r="G1301" i="2"/>
  <c r="E1301" i="2"/>
  <c r="D1301" i="2"/>
  <c r="I1301" i="2"/>
  <c r="C1301" i="2"/>
  <c r="I1302" i="2" l="1"/>
  <c r="H1302" i="2"/>
  <c r="G1302" i="2"/>
  <c r="F1302" i="2"/>
  <c r="E1302" i="2"/>
  <c r="D1302" i="2"/>
  <c r="C1302" i="2"/>
  <c r="J1301" i="2"/>
  <c r="J1302" i="2" l="1"/>
  <c r="I1303" i="2"/>
  <c r="H1303" i="2"/>
  <c r="E1303" i="2"/>
  <c r="G1303" i="2"/>
  <c r="F1303" i="2"/>
  <c r="D1303" i="2"/>
  <c r="C1303" i="2"/>
  <c r="J1303" i="2" l="1"/>
  <c r="E1304" i="2"/>
  <c r="D1304" i="2"/>
  <c r="G1304" i="2"/>
  <c r="F1304" i="2"/>
  <c r="I1304" i="2"/>
  <c r="H1304" i="2"/>
  <c r="C1304" i="2"/>
  <c r="J1304" i="2" l="1"/>
  <c r="G1305" i="2"/>
  <c r="F1305" i="2"/>
  <c r="E1305" i="2"/>
  <c r="D1305" i="2"/>
  <c r="I1305" i="2"/>
  <c r="H1305" i="2"/>
  <c r="C1305" i="2"/>
  <c r="J1305" i="2" l="1"/>
  <c r="I1306" i="2"/>
  <c r="I1307" i="2" s="1"/>
  <c r="H1306" i="2"/>
  <c r="G1306" i="2"/>
  <c r="G1307" i="2" s="1"/>
  <c r="F1306" i="2"/>
  <c r="F1307" i="2" s="1"/>
  <c r="E1306" i="2"/>
  <c r="E1307" i="2" s="1"/>
  <c r="D1306" i="2"/>
  <c r="D1307" i="2" s="1"/>
  <c r="C1306" i="2"/>
  <c r="C1307" i="2" s="1"/>
  <c r="J1306" i="2" l="1"/>
  <c r="E1308" i="2"/>
  <c r="H1307" i="2"/>
  <c r="J1307" i="2" s="1"/>
  <c r="H1308" i="2" l="1"/>
  <c r="I1308" i="2"/>
  <c r="G1308" i="2"/>
  <c r="F1308" i="2"/>
  <c r="D1308" i="2"/>
  <c r="C1308" i="2"/>
  <c r="I1309" i="2" l="1"/>
  <c r="H1309" i="2"/>
  <c r="E1309" i="2"/>
  <c r="G1309" i="2"/>
  <c r="F1309" i="2"/>
  <c r="D1309" i="2"/>
  <c r="C1309" i="2"/>
  <c r="J1308" i="2"/>
  <c r="J1309" i="2" l="1"/>
  <c r="E1310" i="2"/>
  <c r="D1310" i="2"/>
  <c r="G1310" i="2"/>
  <c r="H1310" i="2"/>
  <c r="F1310" i="2"/>
  <c r="I1310" i="2"/>
  <c r="C1310" i="2"/>
  <c r="J1310" i="2" l="1"/>
  <c r="G1311" i="2"/>
  <c r="F1311" i="2"/>
  <c r="E1311" i="2"/>
  <c r="D1311" i="2"/>
  <c r="I1311" i="2"/>
  <c r="H1311" i="2"/>
  <c r="C1311" i="2"/>
  <c r="J1311" i="2" l="1"/>
  <c r="I1312" i="2"/>
  <c r="H1312" i="2"/>
  <c r="G1312" i="2"/>
  <c r="F1312" i="2"/>
  <c r="E1312" i="2"/>
  <c r="D1312" i="2"/>
  <c r="C1312" i="2"/>
  <c r="J1312" i="2" l="1"/>
  <c r="I1313" i="2"/>
  <c r="I1314" i="2" s="1"/>
  <c r="H1313" i="2"/>
  <c r="E1313" i="2"/>
  <c r="E1314" i="2" s="1"/>
  <c r="F1313" i="2"/>
  <c r="F1314" i="2" s="1"/>
  <c r="D1313" i="2"/>
  <c r="D1314" i="2" s="1"/>
  <c r="G1313" i="2"/>
  <c r="G1314" i="2" s="1"/>
  <c r="C1313" i="2"/>
  <c r="C1314" i="2" s="1"/>
  <c r="J1313" i="2" l="1"/>
  <c r="F1315" i="2"/>
  <c r="H1314" i="2"/>
  <c r="J1314" i="2" s="1"/>
  <c r="G1315" i="2"/>
  <c r="C1315" i="2"/>
  <c r="H1315" i="2" l="1"/>
  <c r="J1315" i="2" s="1"/>
  <c r="I1315" i="2"/>
  <c r="D1315" i="2"/>
  <c r="E1315" i="2"/>
  <c r="E1316" i="2" l="1"/>
  <c r="D1316" i="2"/>
  <c r="G1316" i="2"/>
  <c r="F1316" i="2"/>
  <c r="I1316" i="2"/>
  <c r="H1316" i="2"/>
  <c r="C1316" i="2"/>
  <c r="J1316" i="2" l="1"/>
  <c r="G1317" i="2"/>
  <c r="F1317" i="2"/>
  <c r="E1317" i="2"/>
  <c r="D1317" i="2"/>
  <c r="I1317" i="2"/>
  <c r="H1317" i="2"/>
  <c r="C1317" i="2"/>
  <c r="J1317" i="2" l="1"/>
  <c r="I1318" i="2"/>
  <c r="H1318" i="2"/>
  <c r="G1318" i="2"/>
  <c r="F1318" i="2"/>
  <c r="E1318" i="2"/>
  <c r="D1318" i="2"/>
  <c r="C1318" i="2"/>
  <c r="J1318" i="2" l="1"/>
  <c r="I1319" i="2"/>
  <c r="H1319" i="2"/>
  <c r="E1319" i="2"/>
  <c r="D1319" i="2"/>
  <c r="G1319" i="2"/>
  <c r="F1319" i="2"/>
  <c r="C1319" i="2"/>
  <c r="J1319" i="2" l="1"/>
  <c r="E1320" i="2"/>
  <c r="E1321" i="2" s="1"/>
  <c r="D1320" i="2"/>
  <c r="D1321" i="2" s="1"/>
  <c r="G1320" i="2"/>
  <c r="G1321" i="2" s="1"/>
  <c r="I1320" i="2"/>
  <c r="I1321" i="2" s="1"/>
  <c r="H1320" i="2"/>
  <c r="F1320" i="2"/>
  <c r="F1321" i="2" s="1"/>
  <c r="C1320" i="2"/>
  <c r="C1321" i="2" s="1"/>
  <c r="J1320" i="2" l="1"/>
  <c r="H1321" i="2"/>
  <c r="J1321" i="2" s="1"/>
  <c r="H1322" i="2" l="1"/>
  <c r="E1322" i="2"/>
  <c r="D1322" i="2"/>
  <c r="G1322" i="2"/>
  <c r="I1322" i="2"/>
  <c r="F1322" i="2"/>
  <c r="C1322" i="2"/>
  <c r="G1323" i="2" l="1"/>
  <c r="F1323" i="2"/>
  <c r="E1323" i="2"/>
  <c r="D1323" i="2"/>
  <c r="I1323" i="2"/>
  <c r="H1323" i="2"/>
  <c r="C1323" i="2"/>
  <c r="J1322" i="2"/>
  <c r="J1323" i="2" l="1"/>
  <c r="I1324" i="2"/>
  <c r="H1324" i="2"/>
  <c r="G1324" i="2"/>
  <c r="F1324" i="2"/>
  <c r="E1324" i="2"/>
  <c r="D1324" i="2"/>
  <c r="C1324" i="2"/>
  <c r="J1324" i="2" l="1"/>
  <c r="I1325" i="2"/>
  <c r="H1325" i="2"/>
  <c r="E1325" i="2"/>
  <c r="F1325" i="2"/>
  <c r="G1325" i="2"/>
  <c r="D1325" i="2"/>
  <c r="C1325" i="2"/>
  <c r="J1325" i="2" l="1"/>
  <c r="E1326" i="2"/>
  <c r="D1326" i="2"/>
  <c r="G1326" i="2"/>
  <c r="I1326" i="2"/>
  <c r="H1326" i="2"/>
  <c r="F1326" i="2"/>
  <c r="C1326" i="2"/>
  <c r="J1326" i="2" l="1"/>
  <c r="G1327" i="2"/>
  <c r="G1328" i="2" s="1"/>
  <c r="F1327" i="2"/>
  <c r="F1328" i="2" s="1"/>
  <c r="E1327" i="2"/>
  <c r="E1328" i="2" s="1"/>
  <c r="D1327" i="2"/>
  <c r="D1328" i="2" s="1"/>
  <c r="I1327" i="2"/>
  <c r="I1328" i="2" s="1"/>
  <c r="H1327" i="2"/>
  <c r="C1327" i="2"/>
  <c r="C1328" i="2" s="1"/>
  <c r="J1327" i="2" l="1"/>
  <c r="H1328" i="2"/>
  <c r="J1328" i="2" s="1"/>
  <c r="H1329" i="2" l="1"/>
  <c r="G1329" i="2"/>
  <c r="I1329" i="2"/>
  <c r="F1329" i="2"/>
  <c r="E1329" i="2"/>
  <c r="D1329" i="2"/>
  <c r="C1329" i="2"/>
  <c r="J1329" i="2" l="1"/>
  <c r="I1330" i="2"/>
  <c r="H1330" i="2"/>
  <c r="G1330" i="2"/>
  <c r="F1330" i="2"/>
  <c r="D1330" i="2"/>
  <c r="E1330" i="2"/>
  <c r="C1330" i="2"/>
  <c r="J1330" i="2" l="1"/>
  <c r="I1331" i="2"/>
  <c r="H1331" i="2"/>
  <c r="E1331" i="2"/>
  <c r="D1331" i="2"/>
  <c r="G1331" i="2"/>
  <c r="F1331" i="2"/>
  <c r="C1331" i="2"/>
  <c r="J1331" i="2" l="1"/>
  <c r="E1332" i="2"/>
  <c r="D1332" i="2"/>
  <c r="G1332" i="2"/>
  <c r="I1332" i="2"/>
  <c r="H1332" i="2"/>
  <c r="F1332" i="2"/>
  <c r="C1332" i="2"/>
  <c r="J1332" i="2" l="1"/>
  <c r="G1333" i="2"/>
  <c r="F1333" i="2"/>
  <c r="E1333" i="2"/>
  <c r="D1333" i="2"/>
  <c r="I1333" i="2"/>
  <c r="H1333" i="2"/>
  <c r="C1333" i="2"/>
  <c r="J1333" i="2" l="1"/>
  <c r="I1334" i="2"/>
  <c r="I1335" i="2" s="1"/>
  <c r="H1334" i="2"/>
  <c r="G1334" i="2"/>
  <c r="G1335" i="2" s="1"/>
  <c r="F1334" i="2"/>
  <c r="F1335" i="2" s="1"/>
  <c r="E1334" i="2"/>
  <c r="E1335" i="2" s="1"/>
  <c r="D1334" i="2"/>
  <c r="D1335" i="2" s="1"/>
  <c r="C1334" i="2"/>
  <c r="C1335" i="2" s="1"/>
  <c r="J1334" i="2" l="1"/>
  <c r="D1336" i="2"/>
  <c r="H1335" i="2"/>
  <c r="J1335" i="2" s="1"/>
  <c r="C1336" i="2"/>
  <c r="H1336" i="2" l="1"/>
  <c r="J1336" i="2" s="1"/>
  <c r="I1336" i="2"/>
  <c r="E1336" i="2"/>
  <c r="G1336" i="2"/>
  <c r="F1336" i="2"/>
  <c r="I1337" i="2" l="1"/>
  <c r="H1337" i="2"/>
  <c r="E1337" i="2"/>
  <c r="G1337" i="2"/>
  <c r="D1337" i="2"/>
  <c r="F1337" i="2"/>
  <c r="C1337" i="2"/>
  <c r="J1337" i="2" l="1"/>
  <c r="E1338" i="2"/>
  <c r="D1338" i="2"/>
  <c r="G1338" i="2"/>
  <c r="I1338" i="2"/>
  <c r="H1338" i="2"/>
  <c r="F1338" i="2"/>
  <c r="C1338" i="2"/>
  <c r="J1338" i="2" l="1"/>
  <c r="G1339" i="2"/>
  <c r="F1339" i="2"/>
  <c r="E1339" i="2"/>
  <c r="D1339" i="2"/>
  <c r="I1339" i="2"/>
  <c r="H1339" i="2"/>
  <c r="C1339" i="2"/>
  <c r="J1339" i="2" l="1"/>
  <c r="I1340" i="2"/>
  <c r="H1340" i="2"/>
  <c r="G1340" i="2"/>
  <c r="F1340" i="2"/>
  <c r="D1340" i="2"/>
  <c r="E1340" i="2"/>
  <c r="C1340" i="2"/>
  <c r="J1340" i="2" l="1"/>
  <c r="I1341" i="2"/>
  <c r="I1342" i="2" s="1"/>
  <c r="H1341" i="2"/>
  <c r="E1341" i="2"/>
  <c r="E1342" i="2" s="1"/>
  <c r="G1341" i="2"/>
  <c r="G1342" i="2" s="1"/>
  <c r="F1341" i="2"/>
  <c r="F1342" i="2" s="1"/>
  <c r="D1341" i="2"/>
  <c r="D1342" i="2" s="1"/>
  <c r="C1341" i="2"/>
  <c r="J1341" i="2" l="1"/>
  <c r="H1342" i="2"/>
  <c r="C1342" i="2"/>
  <c r="C1343" i="2" s="1"/>
  <c r="J1342" i="2" l="1"/>
  <c r="H1343" i="2"/>
  <c r="J1343" i="2" s="1"/>
  <c r="G1343" i="2"/>
  <c r="I1343" i="2"/>
  <c r="E1343" i="2"/>
  <c r="F1343" i="2"/>
  <c r="D1343" i="2"/>
  <c r="E1344" i="2" l="1"/>
  <c r="D1344" i="2"/>
  <c r="G1344" i="2"/>
  <c r="H1344" i="2"/>
  <c r="F1344" i="2"/>
  <c r="I1344" i="2"/>
  <c r="C1344" i="2"/>
  <c r="J1344" i="2" l="1"/>
  <c r="G1345" i="2"/>
  <c r="F1345" i="2"/>
  <c r="E1345" i="2"/>
  <c r="D1345" i="2"/>
  <c r="I1345" i="2"/>
  <c r="H1345" i="2"/>
  <c r="C1345" i="2"/>
  <c r="J1345" i="2" l="1"/>
  <c r="I1346" i="2"/>
  <c r="H1346" i="2"/>
  <c r="G1346" i="2"/>
  <c r="F1346" i="2"/>
  <c r="D1346" i="2"/>
  <c r="E1346" i="2"/>
  <c r="C1346" i="2"/>
  <c r="J1346" i="2" l="1"/>
  <c r="I1347" i="2"/>
  <c r="H1347" i="2"/>
  <c r="E1347" i="2"/>
  <c r="G1347" i="2"/>
  <c r="F1347" i="2"/>
  <c r="D1347" i="2"/>
  <c r="C1347" i="2"/>
  <c r="J1347" i="2" l="1"/>
  <c r="E1348" i="2"/>
  <c r="E1349" i="2" s="1"/>
  <c r="D1348" i="2"/>
  <c r="D1349" i="2" s="1"/>
  <c r="G1348" i="2"/>
  <c r="G1349" i="2" s="1"/>
  <c r="F1348" i="2"/>
  <c r="F1349" i="2" s="1"/>
  <c r="I1348" i="2"/>
  <c r="I1349" i="2" s="1"/>
  <c r="H1348" i="2"/>
  <c r="C1348" i="2"/>
  <c r="C1349" i="2" s="1"/>
  <c r="J1348" i="2" l="1"/>
  <c r="H1349" i="2"/>
  <c r="J1349" i="2" s="1"/>
  <c r="H1350" i="2" l="1"/>
  <c r="E1350" i="2"/>
  <c r="D1350" i="2"/>
  <c r="G1350" i="2"/>
  <c r="F1350" i="2"/>
  <c r="I1350" i="2"/>
  <c r="C1350" i="2"/>
  <c r="J1350" i="2" l="1"/>
  <c r="G1351" i="2"/>
  <c r="F1351" i="2"/>
  <c r="E1351" i="2"/>
  <c r="D1351" i="2"/>
  <c r="I1351" i="2"/>
  <c r="H1351" i="2"/>
  <c r="C1351" i="2"/>
  <c r="J1351" i="2" l="1"/>
  <c r="I1352" i="2"/>
  <c r="H1352" i="2"/>
  <c r="G1352" i="2"/>
  <c r="F1352" i="2"/>
  <c r="E1352" i="2"/>
  <c r="D1352" i="2"/>
  <c r="C1352" i="2"/>
  <c r="J1352" i="2" l="1"/>
  <c r="I1353" i="2"/>
  <c r="H1353" i="2"/>
  <c r="E1353" i="2"/>
  <c r="G1353" i="2"/>
  <c r="F1353" i="2"/>
  <c r="D1353" i="2"/>
  <c r="C1353" i="2"/>
  <c r="J1353" i="2" l="1"/>
  <c r="E1354" i="2"/>
  <c r="D1354" i="2"/>
  <c r="G1354" i="2"/>
  <c r="H1354" i="2"/>
  <c r="I1354" i="2"/>
  <c r="F1354" i="2"/>
  <c r="C1354" i="2"/>
  <c r="J1354" i="2" l="1"/>
  <c r="G1355" i="2"/>
  <c r="G1356" i="2" s="1"/>
  <c r="G1357" i="2" s="1"/>
  <c r="F1355" i="2"/>
  <c r="F1356" i="2" s="1"/>
  <c r="F1357" i="2" s="1"/>
  <c r="E1355" i="2"/>
  <c r="E1356" i="2" s="1"/>
  <c r="E1357" i="2" s="1"/>
  <c r="D1355" i="2"/>
  <c r="D1356" i="2" s="1"/>
  <c r="D1357" i="2" s="1"/>
  <c r="I1355" i="2"/>
  <c r="I1356" i="2" s="1"/>
  <c r="I1357" i="2" s="1"/>
  <c r="H1355" i="2"/>
  <c r="C1355" i="2"/>
  <c r="C1356" i="2" s="1"/>
  <c r="C1357" i="2" s="1"/>
  <c r="H1356" i="2" l="1"/>
  <c r="J1356" i="2" s="1"/>
  <c r="J1355" i="2"/>
  <c r="H1357" i="2" l="1"/>
  <c r="J1357" i="2" s="1"/>
  <c r="I1358" i="2"/>
  <c r="H1358" i="2"/>
  <c r="G1358" i="2"/>
  <c r="F1358" i="2"/>
  <c r="E1358" i="2"/>
  <c r="D1358" i="2"/>
  <c r="C1358" i="2"/>
  <c r="J1358" i="2" l="1"/>
  <c r="I1359" i="2"/>
  <c r="H1359" i="2"/>
  <c r="E1359" i="2"/>
  <c r="F1359" i="2"/>
  <c r="D1359" i="2"/>
  <c r="G1359" i="2"/>
  <c r="C1359" i="2"/>
  <c r="J1359" i="2" l="1"/>
  <c r="E1360" i="2"/>
  <c r="D1360" i="2"/>
  <c r="G1360" i="2"/>
  <c r="F1360" i="2"/>
  <c r="I1360" i="2"/>
  <c r="H1360" i="2"/>
  <c r="C1360" i="2"/>
  <c r="J1360" i="2" l="1"/>
  <c r="G1361" i="2"/>
  <c r="F1361" i="2"/>
  <c r="E1361" i="2"/>
  <c r="D1361" i="2"/>
  <c r="I1361" i="2"/>
  <c r="H1361" i="2"/>
  <c r="C1361" i="2"/>
  <c r="J1361" i="2" l="1"/>
  <c r="I1362" i="2"/>
  <c r="I1363" i="2" s="1"/>
  <c r="H1362" i="2"/>
  <c r="G1362" i="2"/>
  <c r="G1363" i="2" s="1"/>
  <c r="F1362" i="2"/>
  <c r="F1363" i="2" s="1"/>
  <c r="E1362" i="2"/>
  <c r="E1363" i="2" s="1"/>
  <c r="D1362" i="2"/>
  <c r="D1363" i="2" s="1"/>
  <c r="C1362" i="2"/>
  <c r="C1363" i="2" s="1"/>
  <c r="J1362" i="2" l="1"/>
  <c r="H1363" i="2"/>
  <c r="J1363" i="2" s="1"/>
  <c r="H1364" i="2" l="1"/>
  <c r="I1364" i="2"/>
  <c r="E1364" i="2"/>
  <c r="G1364" i="2"/>
  <c r="F1364" i="2"/>
  <c r="D1364" i="2"/>
  <c r="C1364" i="2"/>
  <c r="J1364" i="2" l="1"/>
  <c r="I1365" i="2"/>
  <c r="H1365" i="2"/>
  <c r="E1365" i="2"/>
  <c r="D1365" i="2"/>
  <c r="G1365" i="2"/>
  <c r="F1365" i="2"/>
  <c r="C1365" i="2"/>
  <c r="J1365" i="2" l="1"/>
  <c r="E1366" i="2"/>
  <c r="D1366" i="2"/>
  <c r="G1366" i="2"/>
  <c r="I1366" i="2"/>
  <c r="H1366" i="2"/>
  <c r="F1366" i="2"/>
  <c r="C1366" i="2"/>
  <c r="J1366" i="2" l="1"/>
  <c r="G1367" i="2"/>
  <c r="F1367" i="2"/>
  <c r="E1367" i="2"/>
  <c r="D1367" i="2"/>
  <c r="I1367" i="2"/>
  <c r="H1367" i="2"/>
  <c r="C1367" i="2"/>
  <c r="J1367" i="2" l="1"/>
  <c r="I1368" i="2"/>
  <c r="H1368" i="2"/>
  <c r="G1368" i="2"/>
  <c r="F1368" i="2"/>
  <c r="E1368" i="2"/>
  <c r="D1368" i="2"/>
  <c r="C1368" i="2"/>
  <c r="J1368" i="2" l="1"/>
  <c r="I1369" i="2"/>
  <c r="I1370" i="2" s="1"/>
  <c r="I1371" i="2" s="1"/>
  <c r="H1369" i="2"/>
  <c r="E1369" i="2"/>
  <c r="E1370" i="2" s="1"/>
  <c r="E1371" i="2" s="1"/>
  <c r="F1369" i="2"/>
  <c r="F1370" i="2" s="1"/>
  <c r="F1371" i="2" s="1"/>
  <c r="G1369" i="2"/>
  <c r="G1370" i="2" s="1"/>
  <c r="G1371" i="2" s="1"/>
  <c r="D1369" i="2"/>
  <c r="D1370" i="2" s="1"/>
  <c r="D1371" i="2" s="1"/>
  <c r="C1369" i="2"/>
  <c r="C1370" i="2" s="1"/>
  <c r="C1371" i="2" s="1"/>
  <c r="H1370" i="2" l="1"/>
  <c r="J1370" i="2" s="1"/>
  <c r="J1369" i="2"/>
  <c r="H1371" i="2" l="1"/>
  <c r="J1371" i="2" s="1"/>
  <c r="E1372" i="2"/>
  <c r="D1372" i="2"/>
  <c r="G1372" i="2"/>
  <c r="I1372" i="2"/>
  <c r="H1372" i="2"/>
  <c r="F1372" i="2"/>
  <c r="C1372" i="2"/>
  <c r="J1372" i="2" l="1"/>
  <c r="G1373" i="2"/>
  <c r="F1373" i="2"/>
  <c r="E1373" i="2"/>
  <c r="D1373" i="2"/>
  <c r="I1373" i="2"/>
  <c r="H1373" i="2"/>
  <c r="C1373" i="2"/>
  <c r="J1373" i="2" l="1"/>
  <c r="I1374" i="2"/>
  <c r="H1374" i="2"/>
  <c r="G1374" i="2"/>
  <c r="F1374" i="2"/>
  <c r="D1374" i="2"/>
  <c r="E1374" i="2"/>
  <c r="C1374" i="2"/>
  <c r="J1374" i="2" l="1"/>
  <c r="I1375" i="2"/>
  <c r="H1375" i="2"/>
  <c r="E1375" i="2"/>
  <c r="D1375" i="2"/>
  <c r="F1375" i="2"/>
  <c r="G1375" i="2"/>
  <c r="C1375" i="2"/>
  <c r="J1375" i="2" l="1"/>
  <c r="E1376" i="2"/>
  <c r="E1377" i="2" s="1"/>
  <c r="D1376" i="2"/>
  <c r="D1377" i="2" s="1"/>
  <c r="G1376" i="2"/>
  <c r="G1377" i="2" s="1"/>
  <c r="I1376" i="2"/>
  <c r="I1377" i="2" s="1"/>
  <c r="H1376" i="2"/>
  <c r="F1376" i="2"/>
  <c r="F1377" i="2" s="1"/>
  <c r="C1376" i="2"/>
  <c r="C1377" i="2" s="1"/>
  <c r="J1376" i="2" l="1"/>
  <c r="I1378" i="2"/>
  <c r="H1377" i="2"/>
  <c r="J1377" i="2" s="1"/>
  <c r="E1378" i="2" l="1"/>
  <c r="H1378" i="2"/>
  <c r="D1378" i="2"/>
  <c r="G1378" i="2"/>
  <c r="F1378" i="2"/>
  <c r="C1378" i="2"/>
  <c r="J1378" i="2" l="1"/>
  <c r="G1379" i="2"/>
  <c r="F1379" i="2"/>
  <c r="E1379" i="2"/>
  <c r="D1379" i="2"/>
  <c r="I1379" i="2"/>
  <c r="H1379" i="2"/>
  <c r="C1379" i="2"/>
  <c r="J1379" i="2" l="1"/>
  <c r="I1380" i="2"/>
  <c r="H1380" i="2"/>
  <c r="G1380" i="2"/>
  <c r="F1380" i="2"/>
  <c r="E1380" i="2"/>
  <c r="D1380" i="2"/>
  <c r="C1380" i="2"/>
  <c r="J1380" i="2" l="1"/>
  <c r="I1381" i="2"/>
  <c r="H1381" i="2"/>
  <c r="E1381" i="2"/>
  <c r="G1381" i="2"/>
  <c r="F1381" i="2"/>
  <c r="D1381" i="2"/>
  <c r="C1381" i="2"/>
  <c r="J1381" i="2" l="1"/>
  <c r="E1382" i="2"/>
  <c r="D1382" i="2"/>
  <c r="G1382" i="2"/>
  <c r="I1382" i="2"/>
  <c r="H1382" i="2"/>
  <c r="F1382" i="2"/>
  <c r="C1382" i="2"/>
  <c r="J1382" i="2" l="1"/>
  <c r="G1383" i="2"/>
  <c r="G1384" i="2" s="1"/>
  <c r="G1385" i="2" s="1"/>
  <c r="F1383" i="2"/>
  <c r="F1384" i="2" s="1"/>
  <c r="F1385" i="2" s="1"/>
  <c r="E1383" i="2"/>
  <c r="E1384" i="2" s="1"/>
  <c r="E1385" i="2" s="1"/>
  <c r="D1383" i="2"/>
  <c r="D1384" i="2" s="1"/>
  <c r="D1385" i="2" s="1"/>
  <c r="I1383" i="2"/>
  <c r="I1384" i="2" s="1"/>
  <c r="I1385" i="2" s="1"/>
  <c r="H1383" i="2"/>
  <c r="C1383" i="2"/>
  <c r="C1384" i="2" s="1"/>
  <c r="C1385" i="2" s="1"/>
  <c r="H1384" i="2" l="1"/>
  <c r="J1384" i="2" s="1"/>
  <c r="J1383" i="2"/>
  <c r="H1385" i="2" l="1"/>
  <c r="J1385" i="2" s="1"/>
  <c r="I1386" i="2"/>
  <c r="H1386" i="2"/>
  <c r="G1386" i="2"/>
  <c r="F1386" i="2"/>
  <c r="D1386" i="2"/>
  <c r="E1386" i="2"/>
  <c r="C1386" i="2"/>
  <c r="J1386" i="2" l="1"/>
  <c r="I1387" i="2"/>
  <c r="H1387" i="2"/>
  <c r="E1387" i="2"/>
  <c r="G1387" i="2"/>
  <c r="F1387" i="2"/>
  <c r="D1387" i="2"/>
  <c r="C1387" i="2"/>
  <c r="J1387" i="2" l="1"/>
  <c r="E1388" i="2"/>
  <c r="D1388" i="2"/>
  <c r="G1388" i="2"/>
  <c r="H1388" i="2"/>
  <c r="F1388" i="2"/>
  <c r="I1388" i="2"/>
  <c r="C1388" i="2"/>
  <c r="J1388" i="2" l="1"/>
  <c r="G1389" i="2"/>
  <c r="F1389" i="2"/>
  <c r="E1389" i="2"/>
  <c r="D1389" i="2"/>
  <c r="I1389" i="2"/>
  <c r="H1389" i="2"/>
  <c r="C1389" i="2"/>
  <c r="J1389" i="2" l="1"/>
  <c r="I1390" i="2"/>
  <c r="I1391" i="2" s="1"/>
  <c r="H1390" i="2"/>
  <c r="G1390" i="2"/>
  <c r="G1391" i="2" s="1"/>
  <c r="F1390" i="2"/>
  <c r="F1391" i="2" s="1"/>
  <c r="E1390" i="2"/>
  <c r="E1391" i="2" s="1"/>
  <c r="D1390" i="2"/>
  <c r="D1391" i="2" s="1"/>
  <c r="C1390" i="2"/>
  <c r="C1391" i="2" s="1"/>
  <c r="J1390" i="2" l="1"/>
  <c r="H1391" i="2"/>
  <c r="J1391" i="2" s="1"/>
  <c r="H1392" i="2" l="1"/>
  <c r="I1392" i="2"/>
  <c r="E1392" i="2"/>
  <c r="G1392" i="2"/>
  <c r="F1392" i="2"/>
  <c r="D1392" i="2"/>
  <c r="C1392" i="2"/>
  <c r="J1392" i="2" l="1"/>
  <c r="I1393" i="2"/>
  <c r="H1393" i="2"/>
  <c r="E1393" i="2"/>
  <c r="G1393" i="2"/>
  <c r="F1393" i="2"/>
  <c r="D1393" i="2"/>
  <c r="C1393" i="2"/>
  <c r="J1393" i="2" l="1"/>
  <c r="E1394" i="2"/>
  <c r="D1394" i="2"/>
  <c r="G1394" i="2"/>
  <c r="F1394" i="2"/>
  <c r="I1394" i="2"/>
  <c r="H1394" i="2"/>
  <c r="C1394" i="2"/>
  <c r="J1394" i="2" l="1"/>
  <c r="G1395" i="2"/>
  <c r="F1395" i="2"/>
  <c r="E1395" i="2"/>
  <c r="D1395" i="2"/>
  <c r="I1395" i="2"/>
  <c r="H1395" i="2"/>
  <c r="C1395" i="2"/>
  <c r="J1395" i="2" l="1"/>
  <c r="I1396" i="2"/>
  <c r="H1396" i="2"/>
  <c r="G1396" i="2"/>
  <c r="F1396" i="2"/>
  <c r="E1396" i="2"/>
  <c r="D1396" i="2"/>
  <c r="C1396" i="2"/>
  <c r="J1396" i="2" l="1"/>
  <c r="I1397" i="2"/>
  <c r="I1398" i="2" s="1"/>
  <c r="I1399" i="2" s="1"/>
  <c r="H1397" i="2"/>
  <c r="E1397" i="2"/>
  <c r="E1398" i="2" s="1"/>
  <c r="E1399" i="2" s="1"/>
  <c r="G1397" i="2"/>
  <c r="G1398" i="2" s="1"/>
  <c r="G1399" i="2" s="1"/>
  <c r="F1397" i="2"/>
  <c r="F1398" i="2" s="1"/>
  <c r="F1399" i="2" s="1"/>
  <c r="D1397" i="2"/>
  <c r="D1398" i="2" s="1"/>
  <c r="D1399" i="2" s="1"/>
  <c r="C1397" i="2"/>
  <c r="C1398" i="2" s="1"/>
  <c r="C1399" i="2" s="1"/>
  <c r="H1398" i="2" l="1"/>
  <c r="J1398" i="2" s="1"/>
  <c r="J1397" i="2"/>
  <c r="H1399" i="2" l="1"/>
  <c r="J1399" i="2" s="1"/>
  <c r="E1400" i="2"/>
  <c r="D1400" i="2"/>
  <c r="G1400" i="2"/>
  <c r="H1400" i="2"/>
  <c r="F1400" i="2"/>
  <c r="I1400" i="2"/>
  <c r="C1400" i="2"/>
  <c r="J1400" i="2" l="1"/>
  <c r="G1401" i="2"/>
  <c r="F1401" i="2"/>
  <c r="E1401" i="2"/>
  <c r="D1401" i="2"/>
  <c r="I1401" i="2"/>
  <c r="H1401" i="2"/>
  <c r="C1401" i="2"/>
  <c r="J1401" i="2" l="1"/>
  <c r="I1402" i="2"/>
  <c r="H1402" i="2"/>
  <c r="G1402" i="2"/>
  <c r="F1402" i="2"/>
  <c r="E1402" i="2"/>
  <c r="D1402" i="2"/>
  <c r="C1402" i="2"/>
  <c r="J1402" i="2" l="1"/>
  <c r="D1403" i="2"/>
  <c r="I1403" i="2"/>
  <c r="F1403" i="2"/>
  <c r="G1403" i="2"/>
  <c r="E1403" i="2"/>
  <c r="H1403" i="2"/>
  <c r="C1403" i="2"/>
  <c r="J1403" i="2" l="1"/>
  <c r="G1404" i="2"/>
  <c r="G1405" i="2" s="1"/>
  <c r="F1404" i="2"/>
  <c r="F1405" i="2" s="1"/>
  <c r="E1404" i="2"/>
  <c r="E1405" i="2" s="1"/>
  <c r="D1404" i="2"/>
  <c r="D1405" i="2" s="1"/>
  <c r="I1404" i="2"/>
  <c r="I1405" i="2" s="1"/>
  <c r="H1404" i="2"/>
  <c r="C1404" i="2"/>
  <c r="C1405" i="2" s="1"/>
  <c r="J1404" i="2" l="1"/>
  <c r="H1405" i="2"/>
  <c r="J1405" i="2" s="1"/>
  <c r="H1406" i="2" l="1"/>
  <c r="G1406" i="2"/>
  <c r="F1406" i="2"/>
  <c r="E1406" i="2"/>
  <c r="D1406" i="2"/>
  <c r="I1406" i="2"/>
  <c r="C1406" i="2"/>
  <c r="J1406" i="2" l="1"/>
  <c r="I1407" i="2"/>
  <c r="H1407" i="2"/>
  <c r="G1407" i="2"/>
  <c r="F1407" i="2"/>
  <c r="D1407" i="2"/>
  <c r="E1407" i="2"/>
  <c r="C1407" i="2"/>
  <c r="J1407" i="2" l="1"/>
  <c r="I1408" i="2"/>
  <c r="H1408" i="2"/>
  <c r="G1408" i="2"/>
  <c r="D1408" i="2"/>
  <c r="F1408" i="2"/>
  <c r="E1408" i="2"/>
  <c r="C1408" i="2"/>
  <c r="J1408" i="2" l="1"/>
  <c r="E1409" i="2"/>
  <c r="D1409" i="2"/>
  <c r="H1409" i="2"/>
  <c r="G1409" i="2"/>
  <c r="F1409" i="2"/>
  <c r="I1409" i="2"/>
  <c r="C1409" i="2"/>
  <c r="J1409" i="2" l="1"/>
  <c r="G1410" i="2"/>
  <c r="F1410" i="2"/>
  <c r="E1410" i="2"/>
  <c r="D1410" i="2"/>
  <c r="H1410" i="2"/>
  <c r="I1410" i="2"/>
  <c r="C1410" i="2"/>
  <c r="J1410" i="2" l="1"/>
  <c r="I1411" i="2"/>
  <c r="I1412" i="2" s="1"/>
  <c r="H1411" i="2"/>
  <c r="G1411" i="2"/>
  <c r="G1412" i="2" s="1"/>
  <c r="F1411" i="2"/>
  <c r="F1412" i="2" s="1"/>
  <c r="E1411" i="2"/>
  <c r="E1412" i="2" s="1"/>
  <c r="D1411" i="2"/>
  <c r="D1412" i="2" s="1"/>
  <c r="C1411" i="2"/>
  <c r="C1412" i="2" s="1"/>
  <c r="J1411" i="2" l="1"/>
  <c r="H1412" i="2"/>
  <c r="J1412" i="2" s="1"/>
  <c r="C1413" i="2"/>
  <c r="H1413" i="2" l="1"/>
  <c r="J1413" i="2" s="1"/>
  <c r="I1413" i="2"/>
  <c r="G1413" i="2"/>
  <c r="F1413" i="2"/>
  <c r="E1413" i="2"/>
  <c r="D1413" i="2"/>
  <c r="I1414" i="2" l="1"/>
  <c r="H1414" i="2"/>
  <c r="F1414" i="2"/>
  <c r="E1414" i="2"/>
  <c r="D1414" i="2"/>
  <c r="G1414" i="2"/>
  <c r="C1414" i="2"/>
  <c r="J1414" i="2" l="1"/>
  <c r="E1415" i="2"/>
  <c r="D1415" i="2"/>
  <c r="I1415" i="2"/>
  <c r="F1415" i="2"/>
  <c r="H1415" i="2"/>
  <c r="G1415" i="2"/>
  <c r="C1415" i="2"/>
  <c r="J1415" i="2" l="1"/>
  <c r="G1416" i="2"/>
  <c r="F1416" i="2"/>
  <c r="E1416" i="2"/>
  <c r="D1416" i="2"/>
  <c r="I1416" i="2"/>
  <c r="H1416" i="2"/>
  <c r="C1416" i="2"/>
  <c r="J1416" i="2" l="1"/>
  <c r="I1417" i="2"/>
  <c r="H1417" i="2"/>
  <c r="G1417" i="2"/>
  <c r="F1417" i="2"/>
  <c r="D1417" i="2"/>
  <c r="E1417" i="2"/>
  <c r="C1417" i="2"/>
  <c r="J1417" i="2" l="1"/>
  <c r="I1418" i="2"/>
  <c r="I1419" i="2" s="1"/>
  <c r="H1418" i="2"/>
  <c r="G1418" i="2"/>
  <c r="G1419" i="2" s="1"/>
  <c r="D1418" i="2"/>
  <c r="D1419" i="2" s="1"/>
  <c r="F1418" i="2"/>
  <c r="F1419" i="2" s="1"/>
  <c r="E1418" i="2"/>
  <c r="E1419" i="2" s="1"/>
  <c r="C1418" i="2"/>
  <c r="C1419" i="2" s="1"/>
  <c r="J1418" i="2" l="1"/>
  <c r="G1420" i="2"/>
  <c r="H1419" i="2"/>
  <c r="J1419" i="2" s="1"/>
  <c r="H1420" i="2" l="1"/>
  <c r="I1420" i="2"/>
  <c r="D1420" i="2"/>
  <c r="F1420" i="2"/>
  <c r="E1420" i="2"/>
  <c r="C1420" i="2"/>
  <c r="J1420" i="2" l="1"/>
  <c r="E1421" i="2"/>
  <c r="D1421" i="2"/>
  <c r="H1421" i="2"/>
  <c r="G1421" i="2"/>
  <c r="F1421" i="2"/>
  <c r="I1421" i="2"/>
  <c r="C1421" i="2"/>
  <c r="J1421" i="2" l="1"/>
  <c r="G1422" i="2"/>
  <c r="F1422" i="2"/>
  <c r="E1422" i="2"/>
  <c r="D1422" i="2"/>
  <c r="H1422" i="2"/>
  <c r="I1422" i="2"/>
  <c r="C1422" i="2"/>
  <c r="J1422" i="2" l="1"/>
  <c r="I1423" i="2"/>
  <c r="H1423" i="2"/>
  <c r="G1423" i="2"/>
  <c r="F1423" i="2"/>
  <c r="E1423" i="2"/>
  <c r="D1423" i="2"/>
  <c r="C1423" i="2"/>
  <c r="J1423" i="2" l="1"/>
  <c r="I1424" i="2"/>
  <c r="H1424" i="2"/>
  <c r="F1424" i="2"/>
  <c r="E1424" i="2"/>
  <c r="D1424" i="2"/>
  <c r="G1424" i="2"/>
  <c r="C1424" i="2"/>
  <c r="J1424" i="2" l="1"/>
  <c r="E1425" i="2"/>
  <c r="E1426" i="2" s="1"/>
  <c r="E1427" i="2" s="1"/>
  <c r="D1425" i="2"/>
  <c r="D1426" i="2" s="1"/>
  <c r="D1427" i="2" s="1"/>
  <c r="I1425" i="2"/>
  <c r="I1426" i="2" s="1"/>
  <c r="I1427" i="2" s="1"/>
  <c r="F1425" i="2"/>
  <c r="F1426" i="2" s="1"/>
  <c r="F1427" i="2" s="1"/>
  <c r="G1425" i="2"/>
  <c r="G1426" i="2" s="1"/>
  <c r="G1427" i="2" s="1"/>
  <c r="H1425" i="2"/>
  <c r="C1425" i="2"/>
  <c r="C1426" i="2" s="1"/>
  <c r="C1427" i="2" s="1"/>
  <c r="H1426" i="2" l="1"/>
  <c r="J1426" i="2" s="1"/>
  <c r="J1425" i="2"/>
  <c r="H1427" i="2" l="1"/>
  <c r="J1427" i="2" s="1"/>
  <c r="G1428" i="2"/>
  <c r="F1428" i="2"/>
  <c r="E1428" i="2"/>
  <c r="D1428" i="2"/>
  <c r="I1428" i="2"/>
  <c r="H1428" i="2"/>
  <c r="C1428" i="2"/>
  <c r="J1428" i="2" l="1"/>
  <c r="I1429" i="2"/>
  <c r="H1429" i="2"/>
  <c r="G1429" i="2"/>
  <c r="F1429" i="2"/>
  <c r="D1429" i="2"/>
  <c r="E1429" i="2"/>
  <c r="C1429" i="2"/>
  <c r="J1429" i="2" l="1"/>
  <c r="I1430" i="2"/>
  <c r="H1430" i="2"/>
  <c r="G1430" i="2"/>
  <c r="D1430" i="2"/>
  <c r="F1430" i="2"/>
  <c r="E1430" i="2"/>
  <c r="C1430" i="2"/>
  <c r="J1430" i="2" l="1"/>
  <c r="E1431" i="2"/>
  <c r="D1431" i="2"/>
  <c r="H1431" i="2"/>
  <c r="G1431" i="2"/>
  <c r="F1431" i="2"/>
  <c r="I1431" i="2"/>
  <c r="C1431" i="2"/>
  <c r="J1431" i="2" l="1"/>
  <c r="G1432" i="2"/>
  <c r="G1433" i="2" s="1"/>
  <c r="F1432" i="2"/>
  <c r="F1433" i="2" s="1"/>
  <c r="E1432" i="2"/>
  <c r="E1433" i="2" s="1"/>
  <c r="D1432" i="2"/>
  <c r="D1433" i="2" s="1"/>
  <c r="H1432" i="2"/>
  <c r="I1432" i="2"/>
  <c r="I1433" i="2" s="1"/>
  <c r="C1432" i="2"/>
  <c r="C1433" i="2" s="1"/>
  <c r="J1432" i="2" l="1"/>
  <c r="F1434" i="2"/>
  <c r="H1433" i="2"/>
  <c r="J1433" i="2" s="1"/>
  <c r="C1434" i="2"/>
  <c r="H1434" i="2" l="1"/>
  <c r="J1434" i="2" s="1"/>
  <c r="G1434" i="2"/>
  <c r="E1434" i="2"/>
  <c r="D1434" i="2"/>
  <c r="I1434" i="2"/>
  <c r="I1435" i="2" l="1"/>
  <c r="H1435" i="2"/>
  <c r="G1435" i="2"/>
  <c r="F1435" i="2"/>
  <c r="E1435" i="2"/>
  <c r="D1435" i="2"/>
  <c r="C1435" i="2"/>
  <c r="J1435" i="2" l="1"/>
  <c r="I1436" i="2"/>
  <c r="H1436" i="2"/>
  <c r="F1436" i="2"/>
  <c r="E1436" i="2"/>
  <c r="D1436" i="2"/>
  <c r="G1436" i="2"/>
  <c r="C1436" i="2"/>
  <c r="J1436" i="2" l="1"/>
  <c r="E1437" i="2"/>
  <c r="D1437" i="2"/>
  <c r="I1437" i="2"/>
  <c r="F1437" i="2"/>
  <c r="H1437" i="2"/>
  <c r="G1437" i="2"/>
  <c r="C1437" i="2"/>
  <c r="J1437" i="2" l="1"/>
  <c r="G1438" i="2"/>
  <c r="F1438" i="2"/>
  <c r="E1438" i="2"/>
  <c r="D1438" i="2"/>
  <c r="I1438" i="2"/>
  <c r="H1438" i="2"/>
  <c r="C1438" i="2"/>
  <c r="J1438" i="2" l="1"/>
  <c r="I1439" i="2"/>
  <c r="I1440" i="2" s="1"/>
  <c r="I1441" i="2" s="1"/>
  <c r="H1439" i="2"/>
  <c r="G1439" i="2"/>
  <c r="G1440" i="2" s="1"/>
  <c r="G1441" i="2" s="1"/>
  <c r="F1439" i="2"/>
  <c r="F1440" i="2" s="1"/>
  <c r="F1441" i="2" s="1"/>
  <c r="D1439" i="2"/>
  <c r="D1440" i="2" s="1"/>
  <c r="D1441" i="2" s="1"/>
  <c r="E1439" i="2"/>
  <c r="E1440" i="2" s="1"/>
  <c r="E1441" i="2" s="1"/>
  <c r="C1439" i="2"/>
  <c r="C1440" i="2" s="1"/>
  <c r="C1441" i="2" s="1"/>
  <c r="H1440" i="2" l="1"/>
  <c r="J1440" i="2" s="1"/>
  <c r="J1439" i="2"/>
  <c r="H1441" i="2" l="1"/>
  <c r="J1441" i="2" s="1"/>
  <c r="I1442" i="2"/>
  <c r="H1442" i="2"/>
  <c r="G1442" i="2"/>
  <c r="D1442" i="2"/>
  <c r="F1442" i="2"/>
  <c r="E1442" i="2"/>
  <c r="C1442" i="2"/>
  <c r="J1442" i="2" l="1"/>
  <c r="E1443" i="2"/>
  <c r="D1443" i="2"/>
  <c r="H1443" i="2"/>
  <c r="G1443" i="2"/>
  <c r="F1443" i="2"/>
  <c r="I1443" i="2"/>
  <c r="C1443" i="2"/>
  <c r="J1443" i="2" l="1"/>
  <c r="G1444" i="2"/>
  <c r="F1444" i="2"/>
  <c r="E1444" i="2"/>
  <c r="D1444" i="2"/>
  <c r="H1444" i="2"/>
  <c r="I1444" i="2"/>
  <c r="C1444" i="2"/>
  <c r="J1444" i="2" l="1"/>
  <c r="I1445" i="2"/>
  <c r="H1445" i="2"/>
  <c r="G1445" i="2"/>
  <c r="F1445" i="2"/>
  <c r="E1445" i="2"/>
  <c r="D1445" i="2"/>
  <c r="C1445" i="2"/>
  <c r="J1445" i="2" l="1"/>
  <c r="I1446" i="2"/>
  <c r="I1447" i="2" s="1"/>
  <c r="H1446" i="2"/>
  <c r="F1446" i="2"/>
  <c r="F1447" i="2" s="1"/>
  <c r="E1446" i="2"/>
  <c r="E1447" i="2" s="1"/>
  <c r="D1446" i="2"/>
  <c r="D1447" i="2" s="1"/>
  <c r="G1446" i="2"/>
  <c r="G1447" i="2" s="1"/>
  <c r="C1446" i="2"/>
  <c r="C1447" i="2" s="1"/>
  <c r="J1446" i="2" l="1"/>
  <c r="F1448" i="2"/>
  <c r="H1447" i="2"/>
  <c r="J1447" i="2" s="1"/>
  <c r="I1448" i="2" l="1"/>
  <c r="H1448" i="2"/>
  <c r="E1448" i="2"/>
  <c r="D1448" i="2"/>
  <c r="G1448" i="2"/>
  <c r="C1448" i="2"/>
  <c r="J1448" i="2" l="1"/>
  <c r="E1449" i="2"/>
  <c r="D1449" i="2"/>
  <c r="I1449" i="2"/>
  <c r="F1449" i="2"/>
  <c r="H1449" i="2"/>
  <c r="G1449" i="2"/>
  <c r="C1449" i="2"/>
  <c r="J1449" i="2" l="1"/>
  <c r="G1450" i="2"/>
  <c r="F1450" i="2"/>
  <c r="E1450" i="2"/>
  <c r="D1450" i="2"/>
  <c r="I1450" i="2"/>
  <c r="H1450" i="2"/>
  <c r="C1450" i="2"/>
  <c r="J1450" i="2" l="1"/>
  <c r="I1451" i="2"/>
  <c r="H1451" i="2"/>
  <c r="G1451" i="2"/>
  <c r="F1451" i="2"/>
  <c r="D1451" i="2"/>
  <c r="E1451" i="2"/>
  <c r="C1451" i="2"/>
  <c r="J1451" i="2" l="1"/>
  <c r="I1452" i="2"/>
  <c r="H1452" i="2"/>
  <c r="G1452" i="2"/>
  <c r="D1452" i="2"/>
  <c r="F1452" i="2"/>
  <c r="E1452" i="2"/>
  <c r="C1452" i="2"/>
  <c r="J1452" i="2" l="1"/>
  <c r="E1453" i="2"/>
  <c r="E1454" i="2" s="1"/>
  <c r="D1453" i="2"/>
  <c r="D1454" i="2" s="1"/>
  <c r="H1453" i="2"/>
  <c r="G1453" i="2"/>
  <c r="G1454" i="2" s="1"/>
  <c r="F1453" i="2"/>
  <c r="F1454" i="2" s="1"/>
  <c r="I1453" i="2"/>
  <c r="I1454" i="2" s="1"/>
  <c r="C1453" i="2"/>
  <c r="C1454" i="2" s="1"/>
  <c r="J1453" i="2" l="1"/>
  <c r="G1455" i="2"/>
  <c r="H1454" i="2"/>
  <c r="J1454" i="2" s="1"/>
  <c r="D1455" i="2" l="1"/>
  <c r="E1455" i="2"/>
  <c r="H1455" i="2"/>
  <c r="F1455" i="2"/>
  <c r="I1455" i="2"/>
  <c r="C1455" i="2"/>
  <c r="J1455" i="2" l="1"/>
  <c r="G1456" i="2"/>
  <c r="F1456" i="2"/>
  <c r="E1456" i="2"/>
  <c r="D1456" i="2"/>
  <c r="H1456" i="2"/>
  <c r="I1456" i="2"/>
  <c r="C1456" i="2"/>
  <c r="J1456" i="2" l="1"/>
  <c r="I1457" i="2"/>
  <c r="H1457" i="2"/>
  <c r="G1457" i="2"/>
  <c r="F1457" i="2"/>
  <c r="E1457" i="2"/>
  <c r="D1457" i="2"/>
  <c r="C1457" i="2"/>
  <c r="J1457" i="2" l="1"/>
  <c r="I1458" i="2"/>
  <c r="H1458" i="2"/>
  <c r="F1458" i="2"/>
  <c r="E1458" i="2"/>
  <c r="D1458" i="2"/>
  <c r="G1458" i="2"/>
  <c r="C1458" i="2"/>
  <c r="J1458" i="2" l="1"/>
  <c r="E1459" i="2"/>
  <c r="D1459" i="2"/>
  <c r="I1459" i="2"/>
  <c r="F1459" i="2"/>
  <c r="H1459" i="2"/>
  <c r="G1459" i="2"/>
  <c r="C1459" i="2"/>
  <c r="J1459" i="2" l="1"/>
  <c r="G1460" i="2"/>
  <c r="G1461" i="2" s="1"/>
  <c r="F1460" i="2"/>
  <c r="F1461" i="2" s="1"/>
  <c r="E1460" i="2"/>
  <c r="E1461" i="2" s="1"/>
  <c r="D1460" i="2"/>
  <c r="D1461" i="2" s="1"/>
  <c r="I1460" i="2"/>
  <c r="I1461" i="2" s="1"/>
  <c r="H1460" i="2"/>
  <c r="C1460" i="2"/>
  <c r="C1461" i="2" s="1"/>
  <c r="J1460" i="2" l="1"/>
  <c r="H1461" i="2"/>
  <c r="J1461" i="2" s="1"/>
  <c r="H1462" i="2" l="1"/>
  <c r="G1462" i="2"/>
  <c r="F1462" i="2"/>
  <c r="E1462" i="2"/>
  <c r="D1462" i="2"/>
  <c r="I1462" i="2"/>
  <c r="C1462" i="2"/>
  <c r="J1462" i="2" l="1"/>
  <c r="I1463" i="2"/>
  <c r="H1463" i="2"/>
  <c r="G1463" i="2"/>
  <c r="F1463" i="2"/>
  <c r="D1463" i="2"/>
  <c r="E1463" i="2"/>
  <c r="C1463" i="2"/>
  <c r="J1463" i="2" l="1"/>
  <c r="I1464" i="2"/>
  <c r="H1464" i="2"/>
  <c r="G1464" i="2"/>
  <c r="D1464" i="2"/>
  <c r="E1464" i="2"/>
  <c r="F1464" i="2"/>
  <c r="C1464" i="2"/>
  <c r="J1464" i="2" l="1"/>
  <c r="E1465" i="2"/>
  <c r="D1465" i="2"/>
  <c r="H1465" i="2"/>
  <c r="G1465" i="2"/>
  <c r="F1465" i="2"/>
  <c r="I1465" i="2"/>
  <c r="C1465" i="2"/>
  <c r="J1465" i="2" l="1"/>
  <c r="G1466" i="2"/>
  <c r="F1466" i="2"/>
  <c r="E1466" i="2"/>
  <c r="D1466" i="2"/>
  <c r="H1466" i="2"/>
  <c r="I1466" i="2"/>
  <c r="C1466" i="2"/>
  <c r="J1466" i="2" l="1"/>
  <c r="I1467" i="2"/>
  <c r="I1468" i="2" s="1"/>
  <c r="H1467" i="2"/>
  <c r="G1467" i="2"/>
  <c r="G1468" i="2" s="1"/>
  <c r="F1467" i="2"/>
  <c r="F1468" i="2" s="1"/>
  <c r="E1467" i="2"/>
  <c r="E1468" i="2" s="1"/>
  <c r="D1467" i="2"/>
  <c r="D1468" i="2" s="1"/>
  <c r="C1467" i="2"/>
  <c r="C1468" i="2" s="1"/>
  <c r="J1467" i="2" l="1"/>
  <c r="H1468" i="2"/>
  <c r="J1468" i="2" s="1"/>
  <c r="C1469" i="2"/>
  <c r="H1469" i="2" l="1"/>
  <c r="J1469" i="2" s="1"/>
  <c r="I1469" i="2"/>
  <c r="G1469" i="2"/>
  <c r="F1469" i="2"/>
  <c r="E1469" i="2"/>
  <c r="D1469" i="2"/>
  <c r="I1470" i="2" l="1"/>
  <c r="H1470" i="2"/>
  <c r="F1470" i="2"/>
  <c r="E1470" i="2"/>
  <c r="D1470" i="2"/>
  <c r="G1470" i="2"/>
  <c r="C1470" i="2"/>
  <c r="J1470" i="2" l="1"/>
  <c r="E1471" i="2"/>
  <c r="D1471" i="2"/>
  <c r="I1471" i="2"/>
  <c r="F1471" i="2"/>
  <c r="H1471" i="2"/>
  <c r="G1471" i="2"/>
  <c r="C1471" i="2"/>
  <c r="J1471" i="2" l="1"/>
  <c r="G1472" i="2"/>
  <c r="F1472" i="2"/>
  <c r="E1472" i="2"/>
  <c r="D1472" i="2"/>
  <c r="I1472" i="2"/>
  <c r="H1472" i="2"/>
  <c r="C1472" i="2"/>
  <c r="J1472" i="2" l="1"/>
  <c r="I1473" i="2"/>
  <c r="H1473" i="2"/>
  <c r="G1473" i="2"/>
  <c r="F1473" i="2"/>
  <c r="D1473" i="2"/>
  <c r="E1473" i="2"/>
  <c r="C1473" i="2"/>
  <c r="J1473" i="2" l="1"/>
  <c r="I1474" i="2"/>
  <c r="I1475" i="2" s="1"/>
  <c r="H1474" i="2"/>
  <c r="G1474" i="2"/>
  <c r="G1475" i="2" s="1"/>
  <c r="D1474" i="2"/>
  <c r="D1475" i="2" s="1"/>
  <c r="F1474" i="2"/>
  <c r="F1475" i="2" s="1"/>
  <c r="E1474" i="2"/>
  <c r="E1475" i="2" s="1"/>
  <c r="C1474" i="2"/>
  <c r="C1475" i="2" s="1"/>
  <c r="J1474" i="2" l="1"/>
  <c r="I1476" i="2"/>
  <c r="H1475" i="2"/>
  <c r="J1475" i="2" s="1"/>
  <c r="C1476" i="2"/>
  <c r="H1476" i="2" l="1"/>
  <c r="J1476" i="2" s="1"/>
  <c r="G1476" i="2"/>
  <c r="D1476" i="2"/>
  <c r="F1476" i="2"/>
  <c r="E1476" i="2"/>
  <c r="E1477" i="2" l="1"/>
  <c r="D1477" i="2"/>
  <c r="H1477" i="2"/>
  <c r="G1477" i="2"/>
  <c r="F1477" i="2"/>
  <c r="I1477" i="2"/>
  <c r="C1477" i="2"/>
  <c r="J1477" i="2" l="1"/>
  <c r="G1478" i="2"/>
  <c r="F1478" i="2"/>
  <c r="E1478" i="2"/>
  <c r="D1478" i="2"/>
  <c r="H1478" i="2"/>
  <c r="I1478" i="2"/>
  <c r="C1478" i="2"/>
  <c r="J1478" i="2" l="1"/>
  <c r="I1479" i="2"/>
  <c r="H1479" i="2"/>
  <c r="G1479" i="2"/>
  <c r="F1479" i="2"/>
  <c r="E1479" i="2"/>
  <c r="D1479" i="2"/>
  <c r="C1479" i="2"/>
  <c r="J1479" i="2" l="1"/>
  <c r="I1480" i="2"/>
  <c r="H1480" i="2"/>
  <c r="F1480" i="2"/>
  <c r="E1480" i="2"/>
  <c r="D1480" i="2"/>
  <c r="G1480" i="2"/>
  <c r="C1480" i="2"/>
  <c r="J1480" i="2" l="1"/>
  <c r="E1481" i="2"/>
  <c r="E1482" i="2" s="1"/>
  <c r="D1481" i="2"/>
  <c r="D1482" i="2" s="1"/>
  <c r="I1481" i="2"/>
  <c r="I1482" i="2" s="1"/>
  <c r="F1481" i="2"/>
  <c r="F1482" i="2" s="1"/>
  <c r="H1481" i="2"/>
  <c r="G1481" i="2"/>
  <c r="G1482" i="2" s="1"/>
  <c r="C1481" i="2"/>
  <c r="C1482" i="2" s="1"/>
  <c r="J1481" i="2" l="1"/>
  <c r="F1483" i="2"/>
  <c r="H1482" i="2"/>
  <c r="J1482" i="2" s="1"/>
  <c r="C1483" i="2"/>
  <c r="E1483" i="2" l="1"/>
  <c r="D1483" i="2"/>
  <c r="H1483" i="2"/>
  <c r="J1483" i="2" s="1"/>
  <c r="I1483" i="2"/>
  <c r="G1483" i="2"/>
  <c r="G1484" i="2" l="1"/>
  <c r="F1484" i="2"/>
  <c r="E1484" i="2"/>
  <c r="D1484" i="2"/>
  <c r="I1484" i="2"/>
  <c r="H1484" i="2"/>
  <c r="C1484" i="2"/>
  <c r="J1484" i="2" l="1"/>
  <c r="I1485" i="2"/>
  <c r="H1485" i="2"/>
  <c r="G1485" i="2"/>
  <c r="F1485" i="2"/>
  <c r="D1485" i="2"/>
  <c r="C1485" i="2"/>
  <c r="E1485" i="2"/>
  <c r="J1485" i="2" l="1"/>
  <c r="I1486" i="2"/>
  <c r="H1486" i="2"/>
  <c r="G1486" i="2"/>
  <c r="D1486" i="2"/>
  <c r="E1486" i="2"/>
  <c r="F1486" i="2"/>
  <c r="C1486" i="2"/>
  <c r="J1486" i="2" l="1"/>
  <c r="E1487" i="2"/>
  <c r="D1487" i="2"/>
  <c r="H1487" i="2"/>
  <c r="G1487" i="2"/>
  <c r="F1487" i="2"/>
  <c r="I1487" i="2"/>
  <c r="C1487" i="2"/>
  <c r="J1487" i="2" l="1"/>
  <c r="G1488" i="2"/>
  <c r="G1489" i="2" s="1"/>
  <c r="F1488" i="2"/>
  <c r="F1489" i="2" s="1"/>
  <c r="E1488" i="2"/>
  <c r="E1489" i="2" s="1"/>
  <c r="D1488" i="2"/>
  <c r="D1489" i="2" s="1"/>
  <c r="H1488" i="2"/>
  <c r="I1488" i="2"/>
  <c r="I1489" i="2" s="1"/>
  <c r="C1488" i="2"/>
  <c r="C1489" i="2" s="1"/>
  <c r="J1488" i="2" l="1"/>
  <c r="H1489" i="2"/>
  <c r="J1489" i="2" s="1"/>
  <c r="C1490" i="2"/>
  <c r="H1490" i="2" l="1"/>
  <c r="J1490" i="2" s="1"/>
  <c r="F1490" i="2"/>
  <c r="G1490" i="2"/>
  <c r="E1490" i="2"/>
  <c r="D1490" i="2"/>
  <c r="I1490" i="2"/>
  <c r="I1491" i="2" l="1"/>
  <c r="H1491" i="2"/>
  <c r="G1491" i="2"/>
  <c r="F1491" i="2"/>
  <c r="E1491" i="2"/>
  <c r="D1491" i="2"/>
  <c r="C1491" i="2"/>
  <c r="J1491" i="2" l="1"/>
  <c r="I1492" i="2"/>
  <c r="H1492" i="2"/>
  <c r="F1492" i="2"/>
  <c r="E1492" i="2"/>
  <c r="D1492" i="2"/>
  <c r="G1492" i="2"/>
  <c r="C1492" i="2"/>
  <c r="J1492" i="2" l="1"/>
  <c r="E1493" i="2"/>
  <c r="D1493" i="2"/>
  <c r="I1493" i="2"/>
  <c r="F1493" i="2"/>
  <c r="G1493" i="2"/>
  <c r="H1493" i="2"/>
  <c r="C1493" i="2"/>
  <c r="J1493" i="2" l="1"/>
  <c r="G1494" i="2"/>
  <c r="F1494" i="2"/>
  <c r="E1494" i="2"/>
  <c r="D1494" i="2"/>
  <c r="I1494" i="2"/>
  <c r="H1494" i="2"/>
  <c r="C1494" i="2"/>
  <c r="J1494" i="2" l="1"/>
  <c r="I1495" i="2"/>
  <c r="I1496" i="2" s="1"/>
  <c r="H1495" i="2"/>
  <c r="G1495" i="2"/>
  <c r="G1496" i="2" s="1"/>
  <c r="F1495" i="2"/>
  <c r="F1496" i="2" s="1"/>
  <c r="E1495" i="2"/>
  <c r="E1496" i="2" s="1"/>
  <c r="D1495" i="2"/>
  <c r="D1496" i="2" s="1"/>
  <c r="C1495" i="2"/>
  <c r="C1496" i="2" s="1"/>
  <c r="J1495" i="2" l="1"/>
  <c r="G1497" i="2"/>
  <c r="H1496" i="2"/>
  <c r="J1496" i="2" s="1"/>
  <c r="I1497" i="2" l="1"/>
  <c r="H1497" i="2"/>
  <c r="F1497" i="2"/>
  <c r="E1497" i="2"/>
  <c r="D1497" i="2"/>
  <c r="C1497" i="2"/>
  <c r="J1497" i="2" l="1"/>
  <c r="I1498" i="2"/>
  <c r="H1498" i="2"/>
  <c r="G1498" i="2"/>
  <c r="E1498" i="2"/>
  <c r="D1498" i="2"/>
  <c r="F1498" i="2"/>
  <c r="C1498" i="2"/>
  <c r="J1498" i="2" l="1"/>
  <c r="E1499" i="2"/>
  <c r="D1499" i="2"/>
  <c r="I1499" i="2"/>
  <c r="H1499" i="2"/>
  <c r="G1499" i="2"/>
  <c r="F1499" i="2"/>
  <c r="C1499" i="2"/>
  <c r="J1499" i="2" l="1"/>
  <c r="G1500" i="2"/>
  <c r="F1500" i="2"/>
  <c r="E1500" i="2"/>
  <c r="D1500" i="2"/>
  <c r="I1500" i="2"/>
  <c r="H1500" i="2"/>
  <c r="C1500" i="2"/>
  <c r="J1500" i="2" l="1"/>
  <c r="I1501" i="2"/>
  <c r="H1501" i="2"/>
  <c r="G1501" i="2"/>
  <c r="F1501" i="2"/>
  <c r="E1501" i="2"/>
  <c r="D1501" i="2"/>
  <c r="C1501" i="2"/>
  <c r="J1501" i="2" l="1"/>
  <c r="I1502" i="2"/>
  <c r="I1503" i="2" s="1"/>
  <c r="H1502" i="2"/>
  <c r="G1502" i="2"/>
  <c r="G1503" i="2" s="1"/>
  <c r="D1502" i="2"/>
  <c r="D1503" i="2" s="1"/>
  <c r="F1502" i="2"/>
  <c r="F1503" i="2" s="1"/>
  <c r="E1502" i="2"/>
  <c r="E1503" i="2" s="1"/>
  <c r="C1502" i="2"/>
  <c r="C1503" i="2" s="1"/>
  <c r="J1502" i="2" l="1"/>
  <c r="H1503" i="2"/>
  <c r="J1503" i="2" s="1"/>
  <c r="C1504" i="2"/>
  <c r="H1504" i="2" l="1"/>
  <c r="J1504" i="2" s="1"/>
  <c r="I1504" i="2"/>
  <c r="D1504" i="2"/>
  <c r="G1504" i="2"/>
  <c r="F1504" i="2"/>
  <c r="E1504" i="2"/>
  <c r="E1505" i="2" l="1"/>
  <c r="D1505" i="2"/>
  <c r="I1505" i="2"/>
  <c r="H1505" i="2"/>
  <c r="G1505" i="2"/>
  <c r="F1505" i="2"/>
  <c r="C1505" i="2"/>
  <c r="J1505" i="2" l="1"/>
  <c r="G1506" i="2"/>
  <c r="F1506" i="2"/>
  <c r="E1506" i="2"/>
  <c r="D1506" i="2"/>
  <c r="H1506" i="2"/>
  <c r="I1506" i="2"/>
  <c r="C1506" i="2"/>
  <c r="J1506" i="2" l="1"/>
  <c r="I1507" i="2"/>
  <c r="H1507" i="2"/>
  <c r="G1507" i="2"/>
  <c r="F1507" i="2"/>
  <c r="E1507" i="2"/>
  <c r="D1507" i="2"/>
  <c r="C1507" i="2"/>
  <c r="J1507" i="2" l="1"/>
  <c r="I1508" i="2"/>
  <c r="H1508" i="2"/>
  <c r="G1508" i="2"/>
  <c r="F1508" i="2"/>
  <c r="E1508" i="2"/>
  <c r="D1508" i="2"/>
  <c r="C1508" i="2"/>
  <c r="J1508" i="2" l="1"/>
  <c r="E1509" i="2"/>
  <c r="E1510" i="2" s="1"/>
  <c r="D1509" i="2"/>
  <c r="D1510" i="2" s="1"/>
  <c r="I1509" i="2"/>
  <c r="I1510" i="2" s="1"/>
  <c r="H1509" i="2"/>
  <c r="G1509" i="2"/>
  <c r="G1510" i="2" s="1"/>
  <c r="F1509" i="2"/>
  <c r="F1510" i="2" s="1"/>
  <c r="C1509" i="2"/>
  <c r="C1510" i="2" s="1"/>
  <c r="J1509" i="2" l="1"/>
  <c r="I1511" i="2"/>
  <c r="H1510" i="2"/>
  <c r="J1510" i="2" s="1"/>
  <c r="H1511" i="2" l="1"/>
  <c r="E1511" i="2"/>
  <c r="D1511" i="2"/>
  <c r="G1511" i="2"/>
  <c r="F1511" i="2"/>
  <c r="C1511" i="2"/>
  <c r="J1511" i="2" l="1"/>
  <c r="G1512" i="2"/>
  <c r="F1512" i="2"/>
  <c r="E1512" i="2"/>
  <c r="D1512" i="2"/>
  <c r="I1512" i="2"/>
  <c r="H1512" i="2"/>
  <c r="C1512" i="2"/>
  <c r="J1512" i="2" l="1"/>
  <c r="I1513" i="2"/>
  <c r="H1513" i="2"/>
  <c r="G1513" i="2"/>
  <c r="F1513" i="2"/>
  <c r="E1513" i="2"/>
  <c r="D1513" i="2"/>
  <c r="C1513" i="2"/>
  <c r="J1513" i="2" l="1"/>
  <c r="I1514" i="2"/>
  <c r="H1514" i="2"/>
  <c r="G1514" i="2"/>
  <c r="F1514" i="2"/>
  <c r="E1514" i="2"/>
  <c r="D1514" i="2"/>
  <c r="C1514" i="2"/>
  <c r="J1514" i="2" l="1"/>
  <c r="E1515" i="2"/>
  <c r="D1515" i="2"/>
  <c r="I1515" i="2"/>
  <c r="G1515" i="2"/>
  <c r="F1515" i="2"/>
  <c r="H1515" i="2"/>
  <c r="C1515" i="2"/>
  <c r="J1515" i="2" l="1"/>
  <c r="G1516" i="2"/>
  <c r="G1517" i="2" s="1"/>
  <c r="F1516" i="2"/>
  <c r="F1517" i="2" s="1"/>
  <c r="E1516" i="2"/>
  <c r="E1517" i="2" s="1"/>
  <c r="D1516" i="2"/>
  <c r="D1517" i="2" s="1"/>
  <c r="H1516" i="2"/>
  <c r="I1516" i="2"/>
  <c r="I1517" i="2" s="1"/>
  <c r="C1516" i="2"/>
  <c r="C1517" i="2" s="1"/>
  <c r="J1516" i="2" l="1"/>
  <c r="H1517" i="2"/>
  <c r="J1517" i="2" s="1"/>
  <c r="H1518" i="2" l="1"/>
  <c r="F1518" i="2"/>
  <c r="D1518" i="2"/>
  <c r="G1518" i="2"/>
  <c r="E1518" i="2"/>
  <c r="I1518" i="2"/>
  <c r="C1518" i="2"/>
  <c r="J1518" i="2" l="1"/>
  <c r="I1519" i="2"/>
  <c r="H1519" i="2"/>
  <c r="G1519" i="2"/>
  <c r="F1519" i="2"/>
  <c r="E1519" i="2"/>
  <c r="D1519" i="2"/>
  <c r="C1519" i="2"/>
  <c r="J1519" i="2" l="1"/>
  <c r="I1520" i="2"/>
  <c r="H1520" i="2"/>
  <c r="G1520" i="2"/>
  <c r="F1520" i="2"/>
  <c r="E1520" i="2"/>
  <c r="D1520" i="2"/>
  <c r="C1520" i="2"/>
  <c r="J1520" i="2" l="1"/>
  <c r="E1521" i="2"/>
  <c r="D1521" i="2"/>
  <c r="I1521" i="2"/>
  <c r="F1521" i="2"/>
  <c r="H1521" i="2"/>
  <c r="G1521" i="2"/>
  <c r="C1521" i="2"/>
  <c r="J1521" i="2" l="1"/>
  <c r="G1522" i="2"/>
  <c r="F1522" i="2"/>
  <c r="E1522" i="2"/>
  <c r="D1522" i="2"/>
  <c r="H1522" i="2"/>
  <c r="I1522" i="2"/>
  <c r="C1522" i="2"/>
  <c r="J1522" i="2" l="1"/>
  <c r="I1523" i="2"/>
  <c r="I1524" i="2" s="1"/>
  <c r="H1523" i="2"/>
  <c r="G1523" i="2"/>
  <c r="G1524" i="2" s="1"/>
  <c r="F1523" i="2"/>
  <c r="F1524" i="2" s="1"/>
  <c r="E1523" i="2"/>
  <c r="E1524" i="2" s="1"/>
  <c r="D1523" i="2"/>
  <c r="D1524" i="2" s="1"/>
  <c r="C1523" i="2"/>
  <c r="C1524" i="2" s="1"/>
  <c r="J1523" i="2" l="1"/>
  <c r="H1524" i="2"/>
  <c r="J1524" i="2" s="1"/>
  <c r="C1525" i="2"/>
  <c r="H1525" i="2" l="1"/>
  <c r="J1525" i="2" s="1"/>
  <c r="I1525" i="2"/>
  <c r="G1525" i="2"/>
  <c r="F1525" i="2"/>
  <c r="E1525" i="2"/>
  <c r="D1525" i="2"/>
  <c r="I1526" i="2" l="1"/>
  <c r="H1526" i="2"/>
  <c r="G1526" i="2"/>
  <c r="F1526" i="2"/>
  <c r="E1526" i="2"/>
  <c r="D1526" i="2"/>
  <c r="C1526" i="2"/>
  <c r="J1526" i="2" l="1"/>
  <c r="E1527" i="2"/>
  <c r="D1527" i="2"/>
  <c r="I1527" i="2"/>
  <c r="G1527" i="2"/>
  <c r="H1527" i="2"/>
  <c r="F1527" i="2"/>
  <c r="C1527" i="2"/>
  <c r="J1527" i="2" l="1"/>
  <c r="G1528" i="2"/>
  <c r="F1528" i="2"/>
  <c r="E1528" i="2"/>
  <c r="D1528" i="2"/>
  <c r="I1528" i="2"/>
  <c r="H1528" i="2"/>
  <c r="C1528" i="2"/>
  <c r="J1528" i="2" l="1"/>
  <c r="I1529" i="2"/>
  <c r="H1529" i="2"/>
  <c r="G1529" i="2"/>
  <c r="F1529" i="2"/>
  <c r="E1529" i="2"/>
  <c r="D1529" i="2"/>
  <c r="C1529" i="2"/>
  <c r="J1529" i="2" l="1"/>
  <c r="I1530" i="2"/>
  <c r="I1531" i="2" s="1"/>
  <c r="H1530" i="2"/>
  <c r="G1530" i="2"/>
  <c r="G1531" i="2" s="1"/>
  <c r="E1530" i="2"/>
  <c r="E1531" i="2" s="1"/>
  <c r="D1530" i="2"/>
  <c r="D1531" i="2" s="1"/>
  <c r="F1530" i="2"/>
  <c r="F1531" i="2" s="1"/>
  <c r="C1530" i="2"/>
  <c r="C1531" i="2" s="1"/>
  <c r="J1530" i="2" l="1"/>
  <c r="H1531" i="2"/>
  <c r="J1531" i="2" s="1"/>
  <c r="C1532" i="2"/>
  <c r="H1532" i="2" l="1"/>
  <c r="J1532" i="2" s="1"/>
  <c r="I1532" i="2"/>
  <c r="G1532" i="2"/>
  <c r="E1532" i="2"/>
  <c r="D1532" i="2"/>
  <c r="F1532" i="2"/>
  <c r="E1533" i="2" l="1"/>
  <c r="D1533" i="2"/>
  <c r="I1533" i="2"/>
  <c r="F1533" i="2"/>
  <c r="G1533" i="2"/>
  <c r="H1533" i="2"/>
  <c r="C1533" i="2"/>
  <c r="J1533" i="2" l="1"/>
  <c r="G1534" i="2"/>
  <c r="F1534" i="2"/>
  <c r="E1534" i="2"/>
  <c r="D1534" i="2"/>
  <c r="I1534" i="2"/>
  <c r="H1534" i="2"/>
  <c r="C1534" i="2"/>
  <c r="J1534" i="2" l="1"/>
  <c r="I1535" i="2"/>
  <c r="H1535" i="2"/>
  <c r="G1535" i="2"/>
  <c r="F1535" i="2"/>
  <c r="E1535" i="2"/>
  <c r="D1535" i="2"/>
  <c r="C1535" i="2"/>
  <c r="J1535" i="2" l="1"/>
  <c r="I1536" i="2"/>
  <c r="H1536" i="2"/>
  <c r="G1536" i="2"/>
  <c r="D1536" i="2"/>
  <c r="F1536" i="2"/>
  <c r="E1536" i="2"/>
  <c r="C1536" i="2"/>
  <c r="J1536" i="2" l="1"/>
  <c r="E1537" i="2"/>
  <c r="E1538" i="2" s="1"/>
  <c r="D1537" i="2"/>
  <c r="D1538" i="2" s="1"/>
  <c r="I1537" i="2"/>
  <c r="I1538" i="2" s="1"/>
  <c r="H1537" i="2"/>
  <c r="F1537" i="2"/>
  <c r="F1538" i="2" s="1"/>
  <c r="G1537" i="2"/>
  <c r="G1538" i="2" s="1"/>
  <c r="C1537" i="2"/>
  <c r="C1538" i="2" s="1"/>
  <c r="J1537" i="2" l="1"/>
  <c r="H1538" i="2"/>
  <c r="J1538" i="2" s="1"/>
  <c r="H1539" i="2" l="1"/>
  <c r="E1539" i="2"/>
  <c r="D1539" i="2"/>
  <c r="I1539" i="2"/>
  <c r="F1539" i="2"/>
  <c r="G1539" i="2"/>
  <c r="C1539" i="2"/>
  <c r="J1539" i="2" l="1"/>
  <c r="G1540" i="2"/>
  <c r="F1540" i="2"/>
  <c r="E1540" i="2"/>
  <c r="D1540" i="2"/>
  <c r="I1540" i="2"/>
  <c r="H1540" i="2"/>
  <c r="C1540" i="2"/>
  <c r="J1540" i="2" l="1"/>
  <c r="I1541" i="2"/>
  <c r="H1541" i="2"/>
  <c r="G1541" i="2"/>
  <c r="F1541" i="2"/>
  <c r="E1541" i="2"/>
  <c r="D1541" i="2"/>
  <c r="C1541" i="2"/>
  <c r="J1541" i="2" l="1"/>
  <c r="I1542" i="2"/>
  <c r="H1542" i="2"/>
  <c r="G1542" i="2"/>
  <c r="E1542" i="2"/>
  <c r="F1542" i="2"/>
  <c r="D1542" i="2"/>
  <c r="C1542" i="2"/>
  <c r="J1542" i="2" l="1"/>
  <c r="E1543" i="2"/>
  <c r="D1543" i="2"/>
  <c r="I1543" i="2"/>
  <c r="H1543" i="2"/>
  <c r="G1543" i="2"/>
  <c r="F1543" i="2"/>
  <c r="C1543" i="2"/>
  <c r="J1543" i="2" l="1"/>
  <c r="G1544" i="2"/>
  <c r="G1545" i="2" s="1"/>
  <c r="F1544" i="2"/>
  <c r="F1545" i="2" s="1"/>
  <c r="E1544" i="2"/>
  <c r="E1545" i="2" s="1"/>
  <c r="D1544" i="2"/>
  <c r="D1545" i="2" s="1"/>
  <c r="I1544" i="2"/>
  <c r="I1545" i="2" s="1"/>
  <c r="H1544" i="2"/>
  <c r="C1544" i="2"/>
  <c r="C1545" i="2" s="1"/>
  <c r="J1544" i="2" l="1"/>
  <c r="H1545" i="2"/>
  <c r="J1545" i="2" s="1"/>
  <c r="H1546" i="2" l="1"/>
  <c r="G1546" i="2"/>
  <c r="D1546" i="2"/>
  <c r="F1546" i="2"/>
  <c r="E1546" i="2"/>
  <c r="I1546" i="2"/>
  <c r="C1546" i="2"/>
  <c r="J1546" i="2" l="1"/>
  <c r="I1547" i="2"/>
  <c r="H1547" i="2"/>
  <c r="G1547" i="2"/>
  <c r="F1547" i="2"/>
  <c r="E1547" i="2"/>
  <c r="D1547" i="2"/>
  <c r="C1547" i="2"/>
  <c r="J1547" i="2" l="1"/>
  <c r="I1548" i="2"/>
  <c r="H1548" i="2"/>
  <c r="G1548" i="2"/>
  <c r="D1548" i="2"/>
  <c r="F1548" i="2"/>
  <c r="E1548" i="2"/>
  <c r="C1548" i="2"/>
  <c r="J1548" i="2" l="1"/>
  <c r="E1549" i="2"/>
  <c r="D1549" i="2"/>
  <c r="I1549" i="2"/>
  <c r="H1549" i="2"/>
  <c r="G1549" i="2"/>
  <c r="F1549" i="2"/>
  <c r="C1549" i="2"/>
  <c r="J1549" i="2" l="1"/>
  <c r="G1550" i="2"/>
  <c r="F1550" i="2"/>
  <c r="E1550" i="2"/>
  <c r="D1550" i="2"/>
  <c r="H1550" i="2"/>
  <c r="I1550" i="2"/>
  <c r="C1550" i="2"/>
  <c r="J1550" i="2" l="1"/>
  <c r="I1551" i="2"/>
  <c r="I1552" i="2" s="1"/>
  <c r="H1551" i="2"/>
  <c r="G1551" i="2"/>
  <c r="G1552" i="2" s="1"/>
  <c r="F1551" i="2"/>
  <c r="F1552" i="2" s="1"/>
  <c r="E1551" i="2"/>
  <c r="E1552" i="2" s="1"/>
  <c r="D1551" i="2"/>
  <c r="D1552" i="2" s="1"/>
  <c r="C1551" i="2"/>
  <c r="C1552" i="2" s="1"/>
  <c r="J1551" i="2" l="1"/>
  <c r="H1552" i="2"/>
  <c r="J1552" i="2" s="1"/>
  <c r="C1553" i="2"/>
  <c r="H1553" i="2" l="1"/>
  <c r="J1553" i="2" s="1"/>
  <c r="I1553" i="2"/>
  <c r="G1553" i="2"/>
  <c r="F1553" i="2"/>
  <c r="E1553" i="2"/>
  <c r="D1553" i="2"/>
  <c r="I1554" i="2" l="1"/>
  <c r="H1554" i="2"/>
  <c r="G1554" i="2"/>
  <c r="F1554" i="2"/>
  <c r="E1554" i="2"/>
  <c r="D1554" i="2"/>
  <c r="C1554" i="2"/>
  <c r="J1554" i="2" l="1"/>
  <c r="E1555" i="2"/>
  <c r="D1555" i="2"/>
  <c r="I1555" i="2"/>
  <c r="H1555" i="2"/>
  <c r="G1555" i="2"/>
  <c r="F1555" i="2"/>
  <c r="C1555" i="2"/>
  <c r="J1555" i="2" l="1"/>
  <c r="G1556" i="2"/>
  <c r="F1556" i="2"/>
  <c r="E1556" i="2"/>
  <c r="D1556" i="2"/>
  <c r="I1556" i="2"/>
  <c r="H1556" i="2"/>
  <c r="C1556" i="2"/>
  <c r="J1556" i="2" l="1"/>
  <c r="I1557" i="2"/>
  <c r="H1557" i="2"/>
  <c r="G1557" i="2"/>
  <c r="F1557" i="2"/>
  <c r="E1557" i="2"/>
  <c r="D1557" i="2"/>
  <c r="C1557" i="2"/>
  <c r="J1557" i="2" l="1"/>
  <c r="I1558" i="2"/>
  <c r="I1559" i="2" s="1"/>
  <c r="H1558" i="2"/>
  <c r="G1558" i="2"/>
  <c r="G1559" i="2" s="1"/>
  <c r="F1558" i="2"/>
  <c r="F1559" i="2" s="1"/>
  <c r="E1558" i="2"/>
  <c r="E1559" i="2" s="1"/>
  <c r="D1558" i="2"/>
  <c r="D1559" i="2" s="1"/>
  <c r="C1558" i="2"/>
  <c r="C1559" i="2" s="1"/>
  <c r="J1558" i="2" l="1"/>
  <c r="H1559" i="2"/>
  <c r="J1559" i="2" s="1"/>
  <c r="C1560" i="2"/>
  <c r="H1560" i="2" l="1"/>
  <c r="J1560" i="2" s="1"/>
  <c r="I1560" i="2"/>
  <c r="F1560" i="2"/>
  <c r="G1560" i="2"/>
  <c r="E1560" i="2"/>
  <c r="D1560" i="2"/>
  <c r="E1561" i="2" l="1"/>
  <c r="D1561" i="2"/>
  <c r="I1561" i="2"/>
  <c r="G1561" i="2"/>
  <c r="F1561" i="2"/>
  <c r="H1561" i="2"/>
  <c r="C1561" i="2"/>
  <c r="J1561" i="2" l="1"/>
  <c r="G1562" i="2"/>
  <c r="F1562" i="2"/>
  <c r="E1562" i="2"/>
  <c r="D1562" i="2"/>
  <c r="H1562" i="2"/>
  <c r="I1562" i="2"/>
  <c r="C1562" i="2"/>
  <c r="J1562" i="2" l="1"/>
  <c r="I1563" i="2"/>
  <c r="H1563" i="2"/>
  <c r="G1563" i="2"/>
  <c r="F1563" i="2"/>
  <c r="E1563" i="2"/>
  <c r="D1563" i="2"/>
  <c r="C1563" i="2"/>
  <c r="J1563" i="2" l="1"/>
  <c r="I1564" i="2"/>
  <c r="H1564" i="2"/>
  <c r="G1564" i="2"/>
  <c r="F1564" i="2"/>
  <c r="E1564" i="2"/>
  <c r="D1564" i="2"/>
  <c r="C1564" i="2"/>
  <c r="J1564" i="2" l="1"/>
  <c r="E1565" i="2"/>
  <c r="E1566" i="2" s="1"/>
  <c r="D1565" i="2"/>
  <c r="D1566" i="2" s="1"/>
  <c r="I1565" i="2"/>
  <c r="I1566" i="2" s="1"/>
  <c r="F1565" i="2"/>
  <c r="F1566" i="2" s="1"/>
  <c r="H1565" i="2"/>
  <c r="G1565" i="2"/>
  <c r="G1566" i="2" s="1"/>
  <c r="C1565" i="2"/>
  <c r="C1566" i="2" s="1"/>
  <c r="J1565" i="2" l="1"/>
  <c r="H1566" i="2"/>
  <c r="J1566" i="2" s="1"/>
  <c r="C1567" i="2"/>
  <c r="H1567" i="2" l="1"/>
  <c r="J1567" i="2" s="1"/>
  <c r="D1567" i="2"/>
  <c r="E1567" i="2"/>
  <c r="I1567" i="2"/>
  <c r="F1567" i="2"/>
  <c r="G1567" i="2"/>
  <c r="G1568" i="2" l="1"/>
  <c r="F1568" i="2"/>
  <c r="E1568" i="2"/>
  <c r="D1568" i="2"/>
  <c r="I1568" i="2"/>
  <c r="H1568" i="2"/>
  <c r="C1568" i="2"/>
  <c r="J1568" i="2" l="1"/>
  <c r="I1569" i="2"/>
  <c r="H1569" i="2"/>
  <c r="G1569" i="2"/>
  <c r="F1569" i="2"/>
  <c r="E1569" i="2"/>
  <c r="D1569" i="2"/>
  <c r="C1569" i="2"/>
  <c r="J1569" i="2" l="1"/>
  <c r="I1570" i="2"/>
  <c r="H1570" i="2"/>
  <c r="G1570" i="2"/>
  <c r="F1570" i="2"/>
  <c r="E1570" i="2"/>
  <c r="D1570" i="2"/>
  <c r="C1570" i="2"/>
  <c r="J1570" i="2" l="1"/>
  <c r="E1571" i="2"/>
  <c r="D1571" i="2"/>
  <c r="I1571" i="2"/>
  <c r="G1571" i="2"/>
  <c r="H1571" i="2"/>
  <c r="F1571" i="2"/>
  <c r="C1571" i="2"/>
  <c r="J1571" i="2" l="1"/>
  <c r="G1572" i="2"/>
  <c r="G1573" i="2" s="1"/>
  <c r="F1572" i="2"/>
  <c r="F1573" i="2" s="1"/>
  <c r="E1572" i="2"/>
  <c r="E1573" i="2" s="1"/>
  <c r="D1572" i="2"/>
  <c r="D1573" i="2" s="1"/>
  <c r="I1572" i="2"/>
  <c r="I1573" i="2" s="1"/>
  <c r="H1572" i="2"/>
  <c r="C1572" i="2"/>
  <c r="C1573" i="2" s="1"/>
  <c r="J1572" i="2" l="1"/>
  <c r="H1573" i="2"/>
  <c r="J1573" i="2" s="1"/>
  <c r="H1574" i="2" l="1"/>
  <c r="G1574" i="2"/>
  <c r="F1574" i="2"/>
  <c r="E1574" i="2"/>
  <c r="D1574" i="2"/>
  <c r="I1574" i="2"/>
  <c r="C1574" i="2"/>
  <c r="J1574" i="2" l="1"/>
  <c r="I1575" i="2"/>
  <c r="H1575" i="2"/>
  <c r="G1575" i="2"/>
  <c r="F1575" i="2"/>
  <c r="E1575" i="2"/>
  <c r="D1575" i="2"/>
  <c r="C1575" i="2"/>
  <c r="J1575" i="2" l="1"/>
  <c r="I1576" i="2"/>
  <c r="H1576" i="2"/>
  <c r="G1576" i="2"/>
  <c r="E1576" i="2"/>
  <c r="D1576" i="2"/>
  <c r="F1576" i="2"/>
  <c r="C1576" i="2"/>
  <c r="J1576" i="2" l="1"/>
  <c r="E1577" i="2"/>
  <c r="D1577" i="2"/>
  <c r="I1577" i="2"/>
  <c r="F1577" i="2"/>
  <c r="H1577" i="2"/>
  <c r="G1577" i="2"/>
  <c r="C1577" i="2"/>
  <c r="J1577" i="2" l="1"/>
  <c r="G1578" i="2"/>
  <c r="F1578" i="2"/>
  <c r="E1578" i="2"/>
  <c r="D1578" i="2"/>
  <c r="I1578" i="2"/>
  <c r="H1578" i="2"/>
  <c r="C1578" i="2"/>
  <c r="J1578" i="2" l="1"/>
  <c r="I1579" i="2"/>
  <c r="I1580" i="2" s="1"/>
  <c r="H1579" i="2"/>
  <c r="G1579" i="2"/>
  <c r="G1580" i="2" s="1"/>
  <c r="F1579" i="2"/>
  <c r="F1580" i="2" s="1"/>
  <c r="E1579" i="2"/>
  <c r="E1580" i="2" s="1"/>
  <c r="D1579" i="2"/>
  <c r="D1580" i="2" s="1"/>
  <c r="C1579" i="2"/>
  <c r="C1580" i="2" s="1"/>
  <c r="J1579" i="2" l="1"/>
  <c r="H1580" i="2"/>
  <c r="J1580" i="2" s="1"/>
  <c r="H1581" i="2" l="1"/>
  <c r="I1581" i="2"/>
  <c r="G1581" i="2"/>
  <c r="F1581" i="2"/>
  <c r="E1581" i="2"/>
  <c r="D1581" i="2"/>
  <c r="C1581" i="2"/>
  <c r="J1581" i="2" l="1"/>
  <c r="I1582" i="2"/>
  <c r="H1582" i="2"/>
  <c r="G1582" i="2"/>
  <c r="D1582" i="2"/>
  <c r="F1582" i="2"/>
  <c r="E1582" i="2"/>
  <c r="C1582" i="2"/>
  <c r="J1582" i="2" l="1"/>
  <c r="E1583" i="2"/>
  <c r="D1583" i="2"/>
  <c r="I1583" i="2"/>
  <c r="H1583" i="2"/>
  <c r="G1583" i="2"/>
  <c r="F1583" i="2"/>
  <c r="C1583" i="2"/>
  <c r="J1583" i="2" l="1"/>
  <c r="G1584" i="2"/>
  <c r="F1584" i="2"/>
  <c r="E1584" i="2"/>
  <c r="D1584" i="2"/>
  <c r="I1584" i="2"/>
  <c r="H1584" i="2"/>
  <c r="C1584" i="2"/>
  <c r="J1584" i="2" l="1"/>
  <c r="I1585" i="2"/>
  <c r="H1585" i="2"/>
  <c r="G1585" i="2"/>
  <c r="F1585" i="2"/>
  <c r="E1585" i="2"/>
  <c r="D1585" i="2"/>
  <c r="C1585" i="2"/>
  <c r="J1585" i="2" l="1"/>
  <c r="I1586" i="2"/>
  <c r="I1587" i="2" s="1"/>
  <c r="H1586" i="2"/>
  <c r="G1586" i="2"/>
  <c r="G1587" i="2" s="1"/>
  <c r="E1586" i="2"/>
  <c r="E1587" i="2" s="1"/>
  <c r="D1586" i="2"/>
  <c r="D1587" i="2" s="1"/>
  <c r="F1586" i="2"/>
  <c r="F1587" i="2" s="1"/>
  <c r="C1586" i="2"/>
  <c r="C1587" i="2" s="1"/>
  <c r="J1586" i="2" l="1"/>
  <c r="E1588" i="2"/>
  <c r="H1587" i="2"/>
  <c r="J1587" i="2" s="1"/>
  <c r="C1588" i="2"/>
  <c r="H1588" i="2" l="1"/>
  <c r="J1588" i="2" s="1"/>
  <c r="I1588" i="2"/>
  <c r="G1588" i="2"/>
  <c r="D1588" i="2"/>
  <c r="F1588" i="2"/>
  <c r="E1589" i="2" l="1"/>
  <c r="D1589" i="2"/>
  <c r="I1589" i="2"/>
  <c r="H1589" i="2"/>
  <c r="G1589" i="2"/>
  <c r="F1589" i="2"/>
  <c r="C1589" i="2"/>
  <c r="J1589" i="2" l="1"/>
  <c r="G1590" i="2"/>
  <c r="F1590" i="2"/>
  <c r="E1590" i="2"/>
  <c r="D1590" i="2"/>
  <c r="I1590" i="2"/>
  <c r="H1590" i="2"/>
  <c r="C1590" i="2"/>
  <c r="J1590" i="2" l="1"/>
  <c r="I1591" i="2"/>
  <c r="H1591" i="2"/>
  <c r="G1591" i="2"/>
  <c r="F1591" i="2"/>
  <c r="E1591" i="2"/>
  <c r="D1591" i="2"/>
  <c r="C1591" i="2"/>
  <c r="J1591" i="2" l="1"/>
  <c r="I1592" i="2"/>
  <c r="H1592" i="2"/>
  <c r="G1592" i="2"/>
  <c r="D1592" i="2"/>
  <c r="F1592" i="2"/>
  <c r="E1592" i="2"/>
  <c r="C1592" i="2"/>
  <c r="J1592" i="2" l="1"/>
  <c r="E1593" i="2"/>
  <c r="E1594" i="2" s="1"/>
  <c r="E1595" i="2" s="1"/>
  <c r="D1593" i="2"/>
  <c r="D1594" i="2" s="1"/>
  <c r="D1595" i="2" s="1"/>
  <c r="I1593" i="2"/>
  <c r="I1594" i="2" s="1"/>
  <c r="I1595" i="2" s="1"/>
  <c r="H1593" i="2"/>
  <c r="G1593" i="2"/>
  <c r="G1594" i="2" s="1"/>
  <c r="G1595" i="2" s="1"/>
  <c r="F1593" i="2"/>
  <c r="F1594" i="2" s="1"/>
  <c r="F1595" i="2" s="1"/>
  <c r="C1593" i="2"/>
  <c r="C1594" i="2" s="1"/>
  <c r="C1595" i="2" s="1"/>
  <c r="H1594" i="2" l="1"/>
  <c r="J1594" i="2" s="1"/>
  <c r="J1593" i="2"/>
  <c r="H1595" i="2" l="1"/>
  <c r="J1595" i="2" s="1"/>
  <c r="G1596" i="2"/>
  <c r="F1596" i="2"/>
  <c r="E1596" i="2"/>
  <c r="D1596" i="2"/>
  <c r="H1596" i="2"/>
  <c r="I1596" i="2"/>
  <c r="C1596" i="2"/>
  <c r="J1596" i="2" l="1"/>
  <c r="D1597" i="2"/>
  <c r="I1597" i="2"/>
  <c r="H1597" i="2"/>
  <c r="G1597" i="2"/>
  <c r="F1597" i="2"/>
  <c r="E1597" i="2"/>
  <c r="C1597" i="2"/>
  <c r="J1597" i="2" l="1"/>
  <c r="F1598" i="2"/>
  <c r="E1598" i="2"/>
  <c r="D1598" i="2"/>
  <c r="I1598" i="2"/>
  <c r="H1598" i="2"/>
  <c r="G1598" i="2"/>
  <c r="C1598" i="2"/>
  <c r="J1598" i="2" l="1"/>
  <c r="H1599" i="2"/>
  <c r="E1599" i="2"/>
  <c r="I1599" i="2"/>
  <c r="G1599" i="2"/>
  <c r="F1599" i="2"/>
  <c r="D1599" i="2"/>
  <c r="C1599" i="2"/>
  <c r="J1599" i="2" l="1"/>
  <c r="G1600" i="2"/>
  <c r="G1601" i="2" s="1"/>
  <c r="D1600" i="2"/>
  <c r="D1601" i="2" s="1"/>
  <c r="I1600" i="2"/>
  <c r="I1601" i="2" s="1"/>
  <c r="H1600" i="2"/>
  <c r="F1600" i="2"/>
  <c r="F1601" i="2" s="1"/>
  <c r="E1600" i="2"/>
  <c r="E1601" i="2" s="1"/>
  <c r="C1600" i="2"/>
  <c r="C1601" i="2" s="1"/>
  <c r="J1600" i="2" l="1"/>
  <c r="H1601" i="2"/>
  <c r="J1601" i="2" s="1"/>
  <c r="H1602" i="2" l="1"/>
  <c r="G1602" i="2"/>
  <c r="D1602" i="2"/>
  <c r="I1602" i="2"/>
  <c r="F1602" i="2"/>
  <c r="E1602" i="2"/>
  <c r="C1602" i="2"/>
  <c r="J1602" i="2" l="1"/>
  <c r="D1603" i="2"/>
  <c r="I1603" i="2"/>
  <c r="H1603" i="2"/>
  <c r="G1603" i="2"/>
  <c r="F1603" i="2"/>
  <c r="E1603" i="2"/>
  <c r="C1603" i="2"/>
  <c r="J1603" i="2" l="1"/>
  <c r="F1604" i="2"/>
  <c r="I1604" i="2"/>
  <c r="H1604" i="2"/>
  <c r="E1604" i="2"/>
  <c r="G1604" i="2"/>
  <c r="D1604" i="2"/>
  <c r="C1604" i="2"/>
  <c r="J1604" i="2" l="1"/>
  <c r="H1605" i="2"/>
  <c r="E1605" i="2"/>
  <c r="G1605" i="2"/>
  <c r="F1605" i="2"/>
  <c r="D1605" i="2"/>
  <c r="I1605" i="2"/>
  <c r="C1605" i="2"/>
  <c r="J1605" i="2" l="1"/>
  <c r="G1606" i="2"/>
  <c r="I1606" i="2"/>
  <c r="H1606" i="2"/>
  <c r="F1606" i="2"/>
  <c r="E1606" i="2"/>
  <c r="D1606" i="2"/>
  <c r="C1606" i="2"/>
  <c r="J1606" i="2" l="1"/>
  <c r="D1607" i="2"/>
  <c r="D1608" i="2" s="1"/>
  <c r="I1607" i="2"/>
  <c r="I1608" i="2" s="1"/>
  <c r="F1607" i="2"/>
  <c r="F1608" i="2" s="1"/>
  <c r="E1607" i="2"/>
  <c r="E1608" i="2" s="1"/>
  <c r="H1607" i="2"/>
  <c r="G1607" i="2"/>
  <c r="G1608" i="2" s="1"/>
  <c r="C1607" i="2"/>
  <c r="C1608" i="2" s="1"/>
  <c r="J1607" i="2" l="1"/>
  <c r="H1608" i="2"/>
  <c r="J1608" i="2" s="1"/>
  <c r="C1609" i="2"/>
  <c r="H1609" i="2" l="1"/>
  <c r="J1609" i="2" s="1"/>
  <c r="I1609" i="2"/>
  <c r="D1609" i="2"/>
  <c r="E1609" i="2"/>
  <c r="F1609" i="2"/>
  <c r="G1609" i="2"/>
  <c r="F1610" i="2" l="1"/>
  <c r="I1610" i="2"/>
  <c r="H1610" i="2"/>
  <c r="G1610" i="2"/>
  <c r="E1610" i="2"/>
  <c r="D1610" i="2"/>
  <c r="C1610" i="2"/>
  <c r="J1610" i="2" l="1"/>
  <c r="H1611" i="2"/>
  <c r="E1611" i="2"/>
  <c r="D1611" i="2"/>
  <c r="F1611" i="2"/>
  <c r="I1611" i="2"/>
  <c r="G1611" i="2"/>
  <c r="C1611" i="2"/>
  <c r="J1611" i="2" l="1"/>
  <c r="G1612" i="2"/>
  <c r="I1612" i="2"/>
  <c r="H1612" i="2"/>
  <c r="F1612" i="2"/>
  <c r="E1612" i="2"/>
  <c r="D1612" i="2"/>
  <c r="C1612" i="2"/>
  <c r="J1612" i="2" l="1"/>
  <c r="D1613" i="2"/>
  <c r="I1613" i="2"/>
  <c r="H1613" i="2"/>
  <c r="G1613" i="2"/>
  <c r="F1613" i="2"/>
  <c r="E1613" i="2"/>
  <c r="C1613" i="2"/>
  <c r="J1613" i="2" l="1"/>
  <c r="F1614" i="2"/>
  <c r="F1615" i="2" s="1"/>
  <c r="H1614" i="2"/>
  <c r="G1614" i="2"/>
  <c r="G1615" i="2" s="1"/>
  <c r="E1614" i="2"/>
  <c r="E1615" i="2" s="1"/>
  <c r="D1614" i="2"/>
  <c r="D1615" i="2" s="1"/>
  <c r="I1614" i="2"/>
  <c r="I1615" i="2" s="1"/>
  <c r="C1614" i="2"/>
  <c r="C1615" i="2" s="1"/>
  <c r="J1614" i="2" l="1"/>
  <c r="H1615" i="2"/>
  <c r="J1615" i="2" s="1"/>
  <c r="H1616" i="2" l="1"/>
  <c r="F1616" i="2"/>
  <c r="G1616" i="2"/>
  <c r="E1616" i="2"/>
  <c r="D1616" i="2"/>
  <c r="I1616" i="2"/>
  <c r="C1616" i="2"/>
  <c r="J1616" i="2" l="1"/>
  <c r="H1617" i="2"/>
  <c r="E1617" i="2"/>
  <c r="I1617" i="2"/>
  <c r="G1617" i="2"/>
  <c r="F1617" i="2"/>
  <c r="D1617" i="2"/>
  <c r="C1617" i="2"/>
  <c r="J1617" i="2" l="1"/>
  <c r="G1618" i="2"/>
  <c r="F1618" i="2"/>
  <c r="E1618" i="2"/>
  <c r="D1618" i="2"/>
  <c r="H1618" i="2"/>
  <c r="I1618" i="2"/>
  <c r="C1618" i="2"/>
  <c r="J1618" i="2" l="1"/>
  <c r="D1619" i="2"/>
  <c r="I1619" i="2"/>
  <c r="H1619" i="2"/>
  <c r="G1619" i="2"/>
  <c r="F1619" i="2"/>
  <c r="E1619" i="2"/>
  <c r="C1619" i="2"/>
  <c r="J1619" i="2" l="1"/>
  <c r="F1620" i="2"/>
  <c r="E1620" i="2"/>
  <c r="D1620" i="2"/>
  <c r="I1620" i="2"/>
  <c r="H1620" i="2"/>
  <c r="G1620" i="2"/>
  <c r="C1620" i="2"/>
  <c r="J1620" i="2" l="1"/>
  <c r="H1621" i="2"/>
  <c r="E1621" i="2"/>
  <c r="E1622" i="2" s="1"/>
  <c r="E1623" i="2" s="1"/>
  <c r="I1621" i="2"/>
  <c r="I1622" i="2" s="1"/>
  <c r="I1623" i="2" s="1"/>
  <c r="G1621" i="2"/>
  <c r="G1622" i="2" s="1"/>
  <c r="G1623" i="2" s="1"/>
  <c r="F1621" i="2"/>
  <c r="F1622" i="2" s="1"/>
  <c r="F1623" i="2" s="1"/>
  <c r="D1621" i="2"/>
  <c r="D1622" i="2" s="1"/>
  <c r="D1623" i="2" s="1"/>
  <c r="C1621" i="2"/>
  <c r="C1622" i="2" s="1"/>
  <c r="C1623" i="2" s="1"/>
  <c r="H1622" i="2" l="1"/>
  <c r="J1622" i="2" s="1"/>
  <c r="J1621" i="2"/>
  <c r="G1624" i="2" l="1"/>
  <c r="D1624" i="2"/>
  <c r="I1624" i="2"/>
  <c r="F1624" i="2"/>
  <c r="E1624" i="2"/>
  <c r="H1624" i="2"/>
  <c r="C1624" i="2"/>
  <c r="H1623" i="2"/>
  <c r="J1623" i="2" s="1"/>
  <c r="J1624" i="2" l="1"/>
  <c r="D1625" i="2"/>
  <c r="I1625" i="2"/>
  <c r="H1625" i="2"/>
  <c r="G1625" i="2"/>
  <c r="F1625" i="2"/>
  <c r="E1625" i="2"/>
  <c r="C1625" i="2"/>
  <c r="J1625" i="2" l="1"/>
  <c r="F1626" i="2"/>
  <c r="I1626" i="2"/>
  <c r="H1626" i="2"/>
  <c r="G1626" i="2"/>
  <c r="E1626" i="2"/>
  <c r="D1626" i="2"/>
  <c r="C1626" i="2"/>
  <c r="J1626" i="2" l="1"/>
  <c r="H1627" i="2"/>
  <c r="E1627" i="2"/>
  <c r="G1627" i="2"/>
  <c r="F1627" i="2"/>
  <c r="D1627" i="2"/>
  <c r="I1627" i="2"/>
  <c r="C1627" i="2"/>
  <c r="J1627" i="2" l="1"/>
  <c r="G1628" i="2"/>
  <c r="G1629" i="2" s="1"/>
  <c r="I1628" i="2"/>
  <c r="I1629" i="2" s="1"/>
  <c r="H1628" i="2"/>
  <c r="F1628" i="2"/>
  <c r="F1629" i="2" s="1"/>
  <c r="D1628" i="2"/>
  <c r="D1629" i="2" s="1"/>
  <c r="E1628" i="2"/>
  <c r="E1629" i="2" s="1"/>
  <c r="C1628" i="2"/>
  <c r="C1629" i="2" s="1"/>
  <c r="J1628" i="2" l="1"/>
  <c r="H1629" i="2"/>
  <c r="J1629" i="2" s="1"/>
  <c r="H1630" i="2" l="1"/>
  <c r="G1630" i="2"/>
  <c r="I1630" i="2"/>
  <c r="F1630" i="2"/>
  <c r="D1630" i="2"/>
  <c r="E1630" i="2"/>
  <c r="C1630" i="2"/>
  <c r="J1630" i="2" l="1"/>
  <c r="D1631" i="2"/>
  <c r="I1631" i="2"/>
  <c r="F1631" i="2"/>
  <c r="E1631" i="2"/>
  <c r="G1631" i="2"/>
  <c r="H1631" i="2"/>
  <c r="C1631" i="2"/>
  <c r="J1631" i="2" l="1"/>
  <c r="F1632" i="2"/>
  <c r="I1632" i="2"/>
  <c r="H1632" i="2"/>
  <c r="G1632" i="2"/>
  <c r="E1632" i="2"/>
  <c r="D1632" i="2"/>
  <c r="C1632" i="2"/>
  <c r="J1632" i="2" l="1"/>
  <c r="H1633" i="2"/>
  <c r="E1633" i="2"/>
  <c r="D1633" i="2"/>
  <c r="I1633" i="2"/>
  <c r="G1633" i="2"/>
  <c r="F1633" i="2"/>
  <c r="C1633" i="2"/>
  <c r="J1633" i="2" l="1"/>
  <c r="G1634" i="2"/>
  <c r="I1634" i="2"/>
  <c r="H1634" i="2"/>
  <c r="F1634" i="2"/>
  <c r="E1634" i="2"/>
  <c r="D1634" i="2"/>
  <c r="C1634" i="2"/>
  <c r="J1634" i="2" l="1"/>
  <c r="D1635" i="2"/>
  <c r="D1636" i="2" s="1"/>
  <c r="I1635" i="2"/>
  <c r="I1636" i="2" s="1"/>
  <c r="H1635" i="2"/>
  <c r="E1635" i="2"/>
  <c r="E1636" i="2" s="1"/>
  <c r="G1635" i="2"/>
  <c r="G1636" i="2" s="1"/>
  <c r="F1635" i="2"/>
  <c r="F1636" i="2" s="1"/>
  <c r="C1635" i="2"/>
  <c r="C1636" i="2" s="1"/>
  <c r="J1635" i="2" l="1"/>
  <c r="H1636" i="2"/>
  <c r="J1636" i="2" s="1"/>
  <c r="C1637" i="2"/>
  <c r="H1637" i="2" l="1"/>
  <c r="J1637" i="2" s="1"/>
  <c r="I1637" i="2"/>
  <c r="D1637" i="2"/>
  <c r="E1637" i="2"/>
  <c r="G1637" i="2"/>
  <c r="F1637" i="2"/>
  <c r="F1638" i="2" l="1"/>
  <c r="H1638" i="2"/>
  <c r="G1638" i="2"/>
  <c r="E1638" i="2"/>
  <c r="D1638" i="2"/>
  <c r="I1638" i="2"/>
  <c r="C1638" i="2"/>
  <c r="J1638" i="2" l="1"/>
  <c r="H1639" i="2"/>
  <c r="E1639" i="2"/>
  <c r="I1639" i="2"/>
  <c r="G1639" i="2"/>
  <c r="F1639" i="2"/>
  <c r="D1639" i="2"/>
  <c r="C1639" i="2"/>
  <c r="J1639" i="2" l="1"/>
  <c r="G1640" i="2"/>
  <c r="F1640" i="2"/>
  <c r="E1640" i="2"/>
  <c r="D1640" i="2"/>
  <c r="I1640" i="2"/>
  <c r="H1640" i="2"/>
  <c r="C1640" i="2"/>
  <c r="J1640" i="2" l="1"/>
  <c r="D1641" i="2"/>
  <c r="I1641" i="2"/>
  <c r="H1641" i="2"/>
  <c r="G1641" i="2"/>
  <c r="F1641" i="2"/>
  <c r="E1641" i="2"/>
  <c r="C1641" i="2"/>
  <c r="J1641" i="2" l="1"/>
  <c r="F1642" i="2"/>
  <c r="F1643" i="2" s="1"/>
  <c r="E1642" i="2"/>
  <c r="E1643" i="2" s="1"/>
  <c r="D1642" i="2"/>
  <c r="D1643" i="2" s="1"/>
  <c r="H1642" i="2"/>
  <c r="I1642" i="2"/>
  <c r="I1643" i="2" s="1"/>
  <c r="G1642" i="2"/>
  <c r="G1643" i="2" s="1"/>
  <c r="C1642" i="2"/>
  <c r="C1643" i="2" s="1"/>
  <c r="J1642" i="2" l="1"/>
  <c r="F1644" i="2"/>
  <c r="H1643" i="2"/>
  <c r="J1643" i="2" s="1"/>
  <c r="C1644" i="2"/>
  <c r="H1644" i="2" l="1"/>
  <c r="J1644" i="2" s="1"/>
  <c r="D1644" i="2"/>
  <c r="E1644" i="2"/>
  <c r="I1644" i="2"/>
  <c r="G1644" i="2"/>
  <c r="H1645" i="2" l="1"/>
  <c r="E1645" i="2"/>
  <c r="I1645" i="2"/>
  <c r="G1645" i="2"/>
  <c r="F1645" i="2"/>
  <c r="D1645" i="2"/>
  <c r="C1645" i="2"/>
  <c r="J1645" i="2" l="1"/>
  <c r="G1646" i="2"/>
  <c r="D1646" i="2"/>
  <c r="I1646" i="2"/>
  <c r="H1646" i="2"/>
  <c r="F1646" i="2"/>
  <c r="E1646" i="2"/>
  <c r="C1646" i="2"/>
  <c r="J1646" i="2" l="1"/>
  <c r="D1647" i="2"/>
  <c r="I1647" i="2"/>
  <c r="H1647" i="2"/>
  <c r="G1647" i="2"/>
  <c r="F1647" i="2"/>
  <c r="E1647" i="2"/>
  <c r="C1647" i="2"/>
  <c r="J1647" i="2" l="1"/>
  <c r="F1648" i="2"/>
  <c r="I1648" i="2"/>
  <c r="H1648" i="2"/>
  <c r="E1648" i="2"/>
  <c r="D1648" i="2"/>
  <c r="G1648" i="2"/>
  <c r="C1648" i="2"/>
  <c r="J1648" i="2" l="1"/>
  <c r="H1649" i="2"/>
  <c r="E1649" i="2"/>
  <c r="E1650" i="2" s="1"/>
  <c r="E1651" i="2" s="1"/>
  <c r="G1649" i="2"/>
  <c r="G1650" i="2" s="1"/>
  <c r="G1651" i="2" s="1"/>
  <c r="F1649" i="2"/>
  <c r="F1650" i="2" s="1"/>
  <c r="F1651" i="2" s="1"/>
  <c r="D1649" i="2"/>
  <c r="D1650" i="2" s="1"/>
  <c r="D1651" i="2" s="1"/>
  <c r="I1649" i="2"/>
  <c r="I1650" i="2" s="1"/>
  <c r="I1651" i="2" s="1"/>
  <c r="C1649" i="2"/>
  <c r="C1650" i="2" s="1"/>
  <c r="C1651" i="2" s="1"/>
  <c r="H1650" i="2" l="1"/>
  <c r="J1650" i="2" s="1"/>
  <c r="J1649" i="2"/>
  <c r="H1651" i="2" l="1"/>
  <c r="J1651" i="2" s="1"/>
  <c r="G1652" i="2"/>
  <c r="F1652" i="2"/>
  <c r="I1652" i="2"/>
  <c r="H1652" i="2"/>
  <c r="E1652" i="2"/>
  <c r="D1652" i="2"/>
  <c r="C1652" i="2"/>
  <c r="J1652" i="2" l="1"/>
  <c r="D1653" i="2"/>
  <c r="I1653" i="2"/>
  <c r="G1653" i="2"/>
  <c r="H1653" i="2"/>
  <c r="F1653" i="2"/>
  <c r="E1653" i="2"/>
  <c r="C1653" i="2"/>
  <c r="J1653" i="2" l="1"/>
  <c r="F1654" i="2"/>
  <c r="E1654" i="2"/>
  <c r="I1654" i="2"/>
  <c r="H1654" i="2"/>
  <c r="G1654" i="2"/>
  <c r="D1654" i="2"/>
  <c r="C1654" i="2"/>
  <c r="J1654" i="2" l="1"/>
  <c r="H1655" i="2"/>
  <c r="E1655" i="2"/>
  <c r="F1655" i="2"/>
  <c r="I1655" i="2"/>
  <c r="G1655" i="2"/>
  <c r="D1655" i="2"/>
  <c r="C1655" i="2"/>
  <c r="J1655" i="2" l="1"/>
  <c r="G1656" i="2"/>
  <c r="G1657" i="2" s="1"/>
  <c r="D1656" i="2"/>
  <c r="D1657" i="2" s="1"/>
  <c r="E1656" i="2"/>
  <c r="E1657" i="2" s="1"/>
  <c r="F1656" i="2"/>
  <c r="F1657" i="2" s="1"/>
  <c r="I1656" i="2"/>
  <c r="I1657" i="2" s="1"/>
  <c r="H1656" i="2"/>
  <c r="C1656" i="2"/>
  <c r="C1657" i="2" s="1"/>
  <c r="J1656" i="2" l="1"/>
  <c r="H1657" i="2"/>
  <c r="J1657" i="2" s="1"/>
  <c r="H1658" i="2" l="1"/>
  <c r="I1658" i="2"/>
  <c r="G1658" i="2"/>
  <c r="D1658" i="2"/>
  <c r="E1658" i="2"/>
  <c r="F1658" i="2"/>
  <c r="C1658" i="2"/>
  <c r="J1658" i="2" l="1"/>
  <c r="D1659" i="2"/>
  <c r="I1659" i="2"/>
  <c r="H1659" i="2"/>
  <c r="E1659" i="2"/>
  <c r="G1659" i="2"/>
  <c r="F1659" i="2"/>
  <c r="C1659" i="2"/>
  <c r="J1659" i="2" l="1"/>
  <c r="F1660" i="2"/>
  <c r="I1660" i="2"/>
  <c r="G1660" i="2"/>
  <c r="E1660" i="2"/>
  <c r="D1660" i="2"/>
  <c r="H1660" i="2"/>
  <c r="C1660" i="2"/>
  <c r="J1660" i="2" l="1"/>
  <c r="H1661" i="2"/>
  <c r="E1661" i="2"/>
  <c r="G1661" i="2"/>
  <c r="I1661" i="2"/>
  <c r="F1661" i="2"/>
  <c r="D1661" i="2"/>
  <c r="C1661" i="2"/>
  <c r="J1661" i="2" l="1"/>
  <c r="G1662" i="2"/>
  <c r="H1662" i="2"/>
  <c r="I1662" i="2"/>
  <c r="F1662" i="2"/>
  <c r="E1662" i="2"/>
  <c r="D1662" i="2"/>
  <c r="C1662" i="2"/>
  <c r="J1662" i="2" l="1"/>
  <c r="D1663" i="2"/>
  <c r="D1664" i="2" s="1"/>
  <c r="I1663" i="2"/>
  <c r="I1664" i="2" s="1"/>
  <c r="F1663" i="2"/>
  <c r="F1664" i="2" s="1"/>
  <c r="H1663" i="2"/>
  <c r="G1663" i="2"/>
  <c r="G1664" i="2" s="1"/>
  <c r="E1663" i="2"/>
  <c r="E1664" i="2" s="1"/>
  <c r="C1663" i="2"/>
  <c r="C1664" i="2" s="1"/>
  <c r="J1663" i="2" l="1"/>
  <c r="H1664" i="2"/>
  <c r="J1664" i="2" s="1"/>
  <c r="C1665" i="2"/>
  <c r="H1665" i="2" l="1"/>
  <c r="J1665" i="2" s="1"/>
  <c r="I1665" i="2"/>
  <c r="D1665" i="2"/>
  <c r="F1665" i="2"/>
  <c r="G1665" i="2"/>
  <c r="E1665" i="2"/>
  <c r="F1666" i="2" l="1"/>
  <c r="G1666" i="2"/>
  <c r="I1666" i="2"/>
  <c r="H1666" i="2"/>
  <c r="E1666" i="2"/>
  <c r="D1666" i="2"/>
  <c r="C1666" i="2"/>
  <c r="J1666" i="2" l="1"/>
  <c r="H1667" i="2"/>
  <c r="E1667" i="2"/>
  <c r="D1667" i="2"/>
  <c r="F1667" i="2"/>
  <c r="I1667" i="2"/>
  <c r="G1667" i="2"/>
  <c r="C1667" i="2"/>
  <c r="J1667" i="2" l="1"/>
  <c r="G1668" i="2"/>
  <c r="I1668" i="2"/>
  <c r="E1668" i="2"/>
  <c r="H1668" i="2"/>
  <c r="F1668" i="2"/>
  <c r="D1668" i="2"/>
  <c r="C1668" i="2"/>
  <c r="J1668" i="2" l="1"/>
  <c r="D1669" i="2"/>
  <c r="I1669" i="2"/>
  <c r="G1669" i="2"/>
  <c r="F1669" i="2"/>
  <c r="E1669" i="2"/>
  <c r="H1669" i="2"/>
  <c r="C1669" i="2"/>
  <c r="J1669" i="2" l="1"/>
  <c r="F1670" i="2"/>
  <c r="F1671" i="2" s="1"/>
  <c r="H1670" i="2"/>
  <c r="D1670" i="2"/>
  <c r="D1671" i="2" s="1"/>
  <c r="I1670" i="2"/>
  <c r="I1671" i="2" s="1"/>
  <c r="G1670" i="2"/>
  <c r="G1671" i="2" s="1"/>
  <c r="E1670" i="2"/>
  <c r="E1671" i="2" s="1"/>
  <c r="C1670" i="2"/>
  <c r="C1671" i="2" s="1"/>
  <c r="J1670" i="2" l="1"/>
  <c r="I1672" i="2"/>
  <c r="H1671" i="2"/>
  <c r="J1671" i="2" s="1"/>
  <c r="C1672" i="2" l="1"/>
  <c r="H1672" i="2"/>
  <c r="F1672" i="2"/>
  <c r="D1672" i="2"/>
  <c r="G1672" i="2"/>
  <c r="E1672" i="2"/>
  <c r="J1672" i="2" l="1"/>
  <c r="H1673" i="2"/>
  <c r="E1673" i="2"/>
  <c r="I1673" i="2"/>
  <c r="G1673" i="2"/>
  <c r="F1673" i="2"/>
  <c r="D1673" i="2"/>
  <c r="C1673" i="2"/>
  <c r="J1673" i="2" l="1"/>
  <c r="G1674" i="2"/>
  <c r="F1674" i="2"/>
  <c r="D1674" i="2"/>
  <c r="I1674" i="2"/>
  <c r="E1674" i="2"/>
  <c r="H1674" i="2"/>
  <c r="C1674" i="2"/>
  <c r="J1674" i="2" l="1"/>
  <c r="D1675" i="2"/>
  <c r="I1675" i="2"/>
  <c r="H1675" i="2"/>
  <c r="G1675" i="2"/>
  <c r="E1675" i="2"/>
  <c r="F1675" i="2"/>
  <c r="C1675" i="2"/>
  <c r="J1675" i="2" l="1"/>
  <c r="F1676" i="2"/>
  <c r="E1676" i="2"/>
  <c r="H1676" i="2"/>
  <c r="I1676" i="2"/>
  <c r="G1676" i="2"/>
  <c r="D1676" i="2"/>
  <c r="C1676" i="2"/>
  <c r="J1676" i="2" l="1"/>
  <c r="H1677" i="2"/>
  <c r="E1677" i="2"/>
  <c r="E1678" i="2" s="1"/>
  <c r="G1677" i="2"/>
  <c r="G1678" i="2" s="1"/>
  <c r="F1677" i="2"/>
  <c r="F1678" i="2" s="1"/>
  <c r="I1677" i="2"/>
  <c r="I1678" i="2" s="1"/>
  <c r="D1677" i="2"/>
  <c r="D1678" i="2" s="1"/>
  <c r="C1677" i="2"/>
  <c r="C1678" i="2" s="1"/>
  <c r="J1677" i="2" l="1"/>
  <c r="F1679" i="2"/>
  <c r="H1678" i="2"/>
  <c r="J1678" i="2" s="1"/>
  <c r="H1679" i="2" l="1"/>
  <c r="E1679" i="2"/>
  <c r="G1679" i="2"/>
  <c r="I1679" i="2"/>
  <c r="D1679" i="2"/>
  <c r="C1679" i="2"/>
  <c r="J1679" i="2" l="1"/>
  <c r="G1680" i="2"/>
  <c r="D1680" i="2"/>
  <c r="F1680" i="2"/>
  <c r="E1680" i="2"/>
  <c r="H1680" i="2"/>
  <c r="I1680" i="2"/>
  <c r="C1680" i="2"/>
  <c r="J1680" i="2" l="1"/>
  <c r="D1681" i="2"/>
  <c r="I1681" i="2"/>
  <c r="H1681" i="2"/>
  <c r="F1681" i="2"/>
  <c r="E1681" i="2"/>
  <c r="G1681" i="2"/>
  <c r="C1681" i="2"/>
  <c r="J1681" i="2" l="1"/>
  <c r="F1682" i="2"/>
  <c r="I1682" i="2"/>
  <c r="E1682" i="2"/>
  <c r="H1682" i="2"/>
  <c r="G1682" i="2"/>
  <c r="D1682" i="2"/>
  <c r="C1682" i="2"/>
  <c r="J1682" i="2" l="1"/>
  <c r="H1683" i="2"/>
  <c r="E1683" i="2"/>
  <c r="G1683" i="2"/>
  <c r="D1683" i="2"/>
  <c r="F1683" i="2"/>
  <c r="I1683" i="2"/>
  <c r="C1683" i="2"/>
  <c r="J1683" i="2" l="1"/>
  <c r="G1684" i="2"/>
  <c r="G1685" i="2" s="1"/>
  <c r="I1684" i="2"/>
  <c r="I1685" i="2" s="1"/>
  <c r="H1684" i="2"/>
  <c r="D1684" i="2"/>
  <c r="D1685" i="2" s="1"/>
  <c r="F1684" i="2"/>
  <c r="F1685" i="2" s="1"/>
  <c r="E1684" i="2"/>
  <c r="E1685" i="2" s="1"/>
  <c r="C1684" i="2"/>
  <c r="C1685" i="2" s="1"/>
  <c r="J1684" i="2" l="1"/>
  <c r="H1685" i="2"/>
  <c r="J1685" i="2" s="1"/>
  <c r="C1686" i="2"/>
  <c r="H1686" i="2" l="1"/>
  <c r="J1686" i="2" s="1"/>
  <c r="I1686" i="2"/>
  <c r="G1686" i="2"/>
  <c r="D1686" i="2"/>
  <c r="F1686" i="2"/>
  <c r="E1686" i="2"/>
  <c r="D1687" i="2" l="1"/>
  <c r="I1687" i="2"/>
  <c r="F1687" i="2"/>
  <c r="H1687" i="2"/>
  <c r="G1687" i="2"/>
  <c r="E1687" i="2"/>
  <c r="C1687" i="2"/>
  <c r="J1687" i="2" l="1"/>
  <c r="F1688" i="2"/>
  <c r="H1688" i="2"/>
  <c r="G1688" i="2"/>
  <c r="I1688" i="2"/>
  <c r="E1688" i="2"/>
  <c r="D1688" i="2"/>
  <c r="C1688" i="2"/>
  <c r="J1688" i="2" l="1"/>
  <c r="H1689" i="2"/>
  <c r="E1689" i="2"/>
  <c r="D1689" i="2"/>
  <c r="G1689" i="2"/>
  <c r="F1689" i="2"/>
  <c r="I1689" i="2"/>
  <c r="C1689" i="2"/>
  <c r="J1689" i="2" l="1"/>
  <c r="G1690" i="2"/>
  <c r="I1690" i="2"/>
  <c r="F1690" i="2"/>
  <c r="E1690" i="2"/>
  <c r="H1690" i="2"/>
  <c r="D1690" i="2"/>
  <c r="C1690" i="2"/>
  <c r="J1690" i="2" l="1"/>
  <c r="D1691" i="2"/>
  <c r="D1692" i="2" s="1"/>
  <c r="I1691" i="2"/>
  <c r="I1692" i="2" s="1"/>
  <c r="F1691" i="2"/>
  <c r="F1692" i="2" s="1"/>
  <c r="H1691" i="2"/>
  <c r="G1691" i="2"/>
  <c r="G1692" i="2" s="1"/>
  <c r="E1691" i="2"/>
  <c r="E1692" i="2" s="1"/>
  <c r="C1691" i="2"/>
  <c r="C1692" i="2" s="1"/>
  <c r="J1691" i="2" l="1"/>
  <c r="D1693" i="2"/>
  <c r="H1692" i="2"/>
  <c r="J1692" i="2" s="1"/>
  <c r="H1693" i="2" l="1"/>
  <c r="I1693" i="2"/>
  <c r="F1693" i="2"/>
  <c r="G1693" i="2"/>
  <c r="E1693" i="2"/>
  <c r="C1693" i="2"/>
  <c r="J1693" i="2" l="1"/>
  <c r="F1694" i="2"/>
  <c r="H1694" i="2"/>
  <c r="E1694" i="2"/>
  <c r="D1694" i="2"/>
  <c r="G1694" i="2"/>
  <c r="I1694" i="2"/>
  <c r="C1694" i="2"/>
  <c r="J1694" i="2" l="1"/>
  <c r="H1695" i="2"/>
  <c r="E1695" i="2"/>
  <c r="I1695" i="2"/>
  <c r="D1695" i="2"/>
  <c r="G1695" i="2"/>
  <c r="F1695" i="2"/>
  <c r="C1695" i="2"/>
  <c r="J1695" i="2" l="1"/>
  <c r="G1696" i="2"/>
  <c r="F1696" i="2"/>
  <c r="D1696" i="2"/>
  <c r="I1696" i="2"/>
  <c r="H1696" i="2"/>
  <c r="E1696" i="2"/>
  <c r="C1696" i="2"/>
  <c r="J1696" i="2" l="1"/>
  <c r="D1697" i="2"/>
  <c r="I1697" i="2"/>
  <c r="H1697" i="2"/>
  <c r="G1697" i="2"/>
  <c r="F1697" i="2"/>
  <c r="E1697" i="2"/>
  <c r="C1697" i="2"/>
  <c r="J1697" i="2" l="1"/>
  <c r="F1698" i="2"/>
  <c r="F1699" i="2" s="1"/>
  <c r="E1698" i="2"/>
  <c r="E1699" i="2" s="1"/>
  <c r="H1698" i="2"/>
  <c r="D1698" i="2"/>
  <c r="D1699" i="2" s="1"/>
  <c r="I1698" i="2"/>
  <c r="I1699" i="2" s="1"/>
  <c r="G1698" i="2"/>
  <c r="G1699" i="2" s="1"/>
  <c r="C1698" i="2"/>
  <c r="C1699" i="2" s="1"/>
  <c r="J1698" i="2" l="1"/>
  <c r="H1699" i="2"/>
  <c r="J1699" i="2" s="1"/>
  <c r="H1700" i="2" l="1"/>
  <c r="F1700" i="2"/>
  <c r="E1700" i="2"/>
  <c r="D1700" i="2"/>
  <c r="I1700" i="2"/>
  <c r="G1700" i="2"/>
  <c r="C1700" i="2"/>
  <c r="J1700" i="2" l="1"/>
  <c r="H1701" i="2"/>
  <c r="E1701" i="2"/>
  <c r="G1701" i="2"/>
  <c r="F1701" i="2"/>
  <c r="I1701" i="2"/>
  <c r="D1701" i="2"/>
  <c r="C1701" i="2"/>
  <c r="J1701" i="2" l="1"/>
  <c r="G1702" i="2"/>
  <c r="D1702" i="2"/>
  <c r="F1702" i="2"/>
  <c r="I1702" i="2"/>
  <c r="H1702" i="2"/>
  <c r="E1702" i="2"/>
  <c r="C1702" i="2"/>
  <c r="J1702" i="2" l="1"/>
  <c r="D1703" i="2"/>
  <c r="I1703" i="2"/>
  <c r="H1703" i="2"/>
  <c r="F1703" i="2"/>
  <c r="E1703" i="2"/>
  <c r="G1703" i="2"/>
  <c r="C1703" i="2"/>
  <c r="J1703" i="2" l="1"/>
  <c r="F1704" i="2"/>
  <c r="I1704" i="2"/>
  <c r="E1704" i="2"/>
  <c r="G1704" i="2"/>
  <c r="H1704" i="2"/>
  <c r="D1704" i="2"/>
  <c r="C1704" i="2"/>
  <c r="J1704" i="2" l="1"/>
  <c r="H1705" i="2"/>
  <c r="E1705" i="2"/>
  <c r="E1706" i="2" s="1"/>
  <c r="G1705" i="2"/>
  <c r="G1706" i="2" s="1"/>
  <c r="D1705" i="2"/>
  <c r="D1706" i="2" s="1"/>
  <c r="I1705" i="2"/>
  <c r="I1706" i="2" s="1"/>
  <c r="F1705" i="2"/>
  <c r="F1706" i="2" s="1"/>
  <c r="C1705" i="2"/>
  <c r="C1706" i="2" s="1"/>
  <c r="J1705" i="2" l="1"/>
  <c r="H1706" i="2"/>
  <c r="J1706" i="2" s="1"/>
  <c r="H1707" i="2" l="1"/>
  <c r="I1707" i="2"/>
  <c r="G1707" i="2"/>
  <c r="E1707" i="2"/>
  <c r="D1707" i="2"/>
  <c r="F1707" i="2"/>
  <c r="C1707" i="2"/>
  <c r="J1707" i="2" l="1"/>
  <c r="G1708" i="2"/>
  <c r="I1708" i="2"/>
  <c r="H1708" i="2"/>
  <c r="D1708" i="2"/>
  <c r="F1708" i="2"/>
  <c r="E1708" i="2"/>
  <c r="C1708" i="2"/>
  <c r="J1708" i="2" l="1"/>
  <c r="D1709" i="2"/>
  <c r="I1709" i="2"/>
  <c r="F1709" i="2"/>
  <c r="H1709" i="2"/>
  <c r="E1709" i="2"/>
  <c r="G1709" i="2"/>
  <c r="C1709" i="2"/>
  <c r="J1709" i="2" l="1"/>
  <c r="F1710" i="2"/>
  <c r="H1710" i="2"/>
  <c r="G1710" i="2"/>
  <c r="I1710" i="2"/>
  <c r="E1710" i="2"/>
  <c r="D1710" i="2"/>
  <c r="C1710" i="2"/>
  <c r="J1710" i="2" l="1"/>
  <c r="H1711" i="2"/>
  <c r="E1711" i="2"/>
  <c r="D1711" i="2"/>
  <c r="G1711" i="2"/>
  <c r="I1711" i="2"/>
  <c r="F1711" i="2"/>
  <c r="C1711" i="2"/>
  <c r="J1711" i="2" l="1"/>
  <c r="G1712" i="2"/>
  <c r="G1713" i="2" s="1"/>
  <c r="I1712" i="2"/>
  <c r="I1713" i="2" s="1"/>
  <c r="F1712" i="2"/>
  <c r="F1713" i="2" s="1"/>
  <c r="E1712" i="2"/>
  <c r="E1713" i="2" s="1"/>
  <c r="H1712" i="2"/>
  <c r="D1712" i="2"/>
  <c r="D1713" i="2" s="1"/>
  <c r="C1712" i="2"/>
  <c r="C1713" i="2" s="1"/>
  <c r="J1712" i="2" l="1"/>
  <c r="H1713" i="2"/>
  <c r="J1713" i="2" s="1"/>
  <c r="H1714" i="2" l="1"/>
  <c r="C1714" i="2"/>
  <c r="I1714" i="2"/>
  <c r="F1714" i="2"/>
  <c r="G1714" i="2"/>
  <c r="E1714" i="2"/>
  <c r="D1714" i="2"/>
  <c r="J1714" i="2" l="1"/>
  <c r="D1715" i="2"/>
  <c r="I1715" i="2"/>
  <c r="F1715" i="2"/>
  <c r="G1715" i="2"/>
  <c r="E1715" i="2"/>
  <c r="H1715" i="2"/>
  <c r="C1715" i="2"/>
  <c r="J1715" i="2" l="1"/>
  <c r="F1716" i="2"/>
  <c r="H1716" i="2"/>
  <c r="E1716" i="2"/>
  <c r="D1716" i="2"/>
  <c r="I1716" i="2"/>
  <c r="G1716" i="2"/>
  <c r="C1716" i="2"/>
  <c r="J1716" i="2" l="1"/>
  <c r="H1717" i="2"/>
  <c r="E1717" i="2"/>
  <c r="I1717" i="2"/>
  <c r="D1717" i="2"/>
  <c r="G1717" i="2"/>
  <c r="F1717" i="2"/>
  <c r="C1717" i="2"/>
  <c r="J1717" i="2" l="1"/>
  <c r="G1718" i="2"/>
  <c r="F1718" i="2"/>
  <c r="D1718" i="2"/>
  <c r="I1718" i="2"/>
  <c r="E1718" i="2"/>
  <c r="H1718" i="2"/>
  <c r="C1718" i="2"/>
  <c r="J1718" i="2" l="1"/>
  <c r="D1719" i="2"/>
  <c r="D1720" i="2" s="1"/>
  <c r="I1719" i="2"/>
  <c r="I1720" i="2" s="1"/>
  <c r="H1719" i="2"/>
  <c r="G1719" i="2"/>
  <c r="G1720" i="2" s="1"/>
  <c r="F1719" i="2"/>
  <c r="F1720" i="2" s="1"/>
  <c r="E1719" i="2"/>
  <c r="E1720" i="2" s="1"/>
  <c r="C1719" i="2"/>
  <c r="C1720" i="2" s="1"/>
  <c r="J1719" i="2" l="1"/>
  <c r="I1721" i="2"/>
  <c r="H1720" i="2"/>
  <c r="J1720" i="2" s="1"/>
  <c r="H1721" i="2" l="1"/>
  <c r="D1721" i="2"/>
  <c r="G1721" i="2"/>
  <c r="F1721" i="2"/>
  <c r="E1721" i="2"/>
  <c r="C1721" i="2"/>
  <c r="J1721" i="2" l="1"/>
  <c r="F1722" i="2"/>
  <c r="E1722" i="2"/>
  <c r="H1722" i="2"/>
  <c r="I1722" i="2"/>
  <c r="G1722" i="2"/>
  <c r="D1722" i="2"/>
  <c r="C1722" i="2"/>
  <c r="J1722" i="2" l="1"/>
  <c r="H1723" i="2"/>
  <c r="E1723" i="2"/>
  <c r="G1723" i="2"/>
  <c r="F1723" i="2"/>
  <c r="I1723" i="2"/>
  <c r="D1723" i="2"/>
  <c r="C1723" i="2"/>
  <c r="J1723" i="2" l="1"/>
  <c r="G1724" i="2"/>
  <c r="D1724" i="2"/>
  <c r="F1724" i="2"/>
  <c r="I1724" i="2"/>
  <c r="H1724" i="2"/>
  <c r="E1724" i="2"/>
  <c r="C1724" i="2"/>
  <c r="J1724" i="2" l="1"/>
  <c r="D1725" i="2"/>
  <c r="I1725" i="2"/>
  <c r="H1725" i="2"/>
  <c r="F1725" i="2"/>
  <c r="E1725" i="2"/>
  <c r="G1725" i="2"/>
  <c r="C1725" i="2"/>
  <c r="J1725" i="2" l="1"/>
  <c r="F1726" i="2"/>
  <c r="F1727" i="2" s="1"/>
  <c r="I1726" i="2"/>
  <c r="I1727" i="2" s="1"/>
  <c r="E1726" i="2"/>
  <c r="E1727" i="2" s="1"/>
  <c r="H1726" i="2"/>
  <c r="G1726" i="2"/>
  <c r="G1727" i="2" s="1"/>
  <c r="D1726" i="2"/>
  <c r="D1727" i="2" s="1"/>
  <c r="C1726" i="2"/>
  <c r="C1727" i="2" s="1"/>
  <c r="J1726" i="2" l="1"/>
  <c r="G1728" i="2"/>
  <c r="H1727" i="2"/>
  <c r="J1727" i="2" s="1"/>
  <c r="C1728" i="2"/>
  <c r="E1728" i="2" l="1"/>
  <c r="F1728" i="2"/>
  <c r="H1728" i="2"/>
  <c r="J1728" i="2" s="1"/>
  <c r="I1728" i="2"/>
  <c r="D1728" i="2"/>
  <c r="H1729" i="2" l="1"/>
  <c r="E1729" i="2"/>
  <c r="G1729" i="2"/>
  <c r="D1729" i="2"/>
  <c r="F1729" i="2"/>
  <c r="I1729" i="2"/>
  <c r="C1729" i="2"/>
  <c r="J1729" i="2" l="1"/>
  <c r="G1730" i="2"/>
  <c r="I1730" i="2"/>
  <c r="H1730" i="2"/>
  <c r="D1730" i="2"/>
  <c r="F1730" i="2"/>
  <c r="E1730" i="2"/>
  <c r="C1730" i="2"/>
  <c r="J1730" i="2" l="1"/>
  <c r="D1731" i="2"/>
  <c r="I1731" i="2"/>
  <c r="F1731" i="2"/>
  <c r="H1731" i="2"/>
  <c r="G1731" i="2"/>
  <c r="E1731" i="2"/>
  <c r="C1731" i="2"/>
  <c r="J1731" i="2" l="1"/>
  <c r="F1732" i="2"/>
  <c r="H1732" i="2"/>
  <c r="G1732" i="2"/>
  <c r="I1732" i="2"/>
  <c r="E1732" i="2"/>
  <c r="D1732" i="2"/>
  <c r="C1732" i="2"/>
  <c r="J1732" i="2" l="1"/>
  <c r="H1733" i="2"/>
  <c r="E1733" i="2"/>
  <c r="E1734" i="2" s="1"/>
  <c r="D1733" i="2"/>
  <c r="D1734" i="2" s="1"/>
  <c r="G1733" i="2"/>
  <c r="G1734" i="2" s="1"/>
  <c r="I1733" i="2"/>
  <c r="I1734" i="2" s="1"/>
  <c r="F1733" i="2"/>
  <c r="F1734" i="2" s="1"/>
  <c r="C1733" i="2"/>
  <c r="C1734" i="2" s="1"/>
  <c r="J1733" i="2" l="1"/>
  <c r="H1734" i="2"/>
  <c r="J1734" i="2" s="1"/>
  <c r="C1735" i="2"/>
  <c r="H1735" i="2" l="1"/>
  <c r="J1735" i="2" s="1"/>
  <c r="E1735" i="2"/>
  <c r="D1735" i="2"/>
  <c r="F1735" i="2"/>
  <c r="G1735" i="2"/>
  <c r="I1735" i="2"/>
  <c r="G1736" i="2" l="1"/>
  <c r="I1736" i="2"/>
  <c r="F1736" i="2"/>
  <c r="E1736" i="2"/>
  <c r="H1736" i="2"/>
  <c r="D1736" i="2"/>
  <c r="C1736" i="2"/>
  <c r="J1736" i="2" l="1"/>
  <c r="D1737" i="2"/>
  <c r="I1737" i="2"/>
  <c r="F1737" i="2"/>
  <c r="H1737" i="2"/>
  <c r="G1737" i="2"/>
  <c r="E1737" i="2"/>
  <c r="C1737" i="2"/>
  <c r="J1737" i="2" l="1"/>
  <c r="F1738" i="2"/>
  <c r="H1738" i="2"/>
  <c r="E1738" i="2"/>
  <c r="D1738" i="2"/>
  <c r="G1738" i="2"/>
  <c r="I1738" i="2"/>
  <c r="C1738" i="2"/>
  <c r="J1738" i="2" l="1"/>
  <c r="H1739" i="2"/>
  <c r="E1739" i="2"/>
  <c r="I1739" i="2"/>
  <c r="D1739" i="2"/>
  <c r="G1739" i="2"/>
  <c r="F1739" i="2"/>
  <c r="C1739" i="2"/>
  <c r="J1739" i="2" l="1"/>
  <c r="G1740" i="2"/>
  <c r="G1741" i="2" s="1"/>
  <c r="F1740" i="2"/>
  <c r="F1741" i="2" s="1"/>
  <c r="D1740" i="2"/>
  <c r="D1741" i="2" s="1"/>
  <c r="I1740" i="2"/>
  <c r="I1741" i="2" s="1"/>
  <c r="H1740" i="2"/>
  <c r="E1740" i="2"/>
  <c r="E1741" i="2" s="1"/>
  <c r="C1740" i="2"/>
  <c r="C1741" i="2" s="1"/>
  <c r="J1740" i="2" l="1"/>
  <c r="H1741" i="2"/>
  <c r="J1741" i="2" s="1"/>
  <c r="E1742" i="2"/>
  <c r="C1742" i="2"/>
  <c r="H1742" i="2" l="1"/>
  <c r="J1742" i="2" s="1"/>
  <c r="F1742" i="2"/>
  <c r="G1742" i="2"/>
  <c r="D1742" i="2"/>
  <c r="I1742" i="2"/>
  <c r="D1743" i="2" l="1"/>
  <c r="I1743" i="2"/>
  <c r="H1743" i="2"/>
  <c r="G1743" i="2"/>
  <c r="F1743" i="2"/>
  <c r="E1743" i="2"/>
  <c r="C1743" i="2"/>
  <c r="J1743" i="2" l="1"/>
  <c r="F1744" i="2"/>
  <c r="E1744" i="2"/>
  <c r="H1744" i="2"/>
  <c r="D1744" i="2"/>
  <c r="I1744" i="2"/>
  <c r="G1744" i="2"/>
  <c r="C1744" i="2"/>
  <c r="J1744" i="2" l="1"/>
  <c r="H1745" i="2"/>
  <c r="E1745" i="2"/>
  <c r="G1745" i="2"/>
  <c r="F1745" i="2"/>
  <c r="I1745" i="2"/>
  <c r="D1745" i="2"/>
  <c r="C1745" i="2"/>
  <c r="J1745" i="2" l="1"/>
  <c r="G1746" i="2"/>
  <c r="D1746" i="2"/>
  <c r="F1746" i="2"/>
  <c r="I1746" i="2"/>
  <c r="H1746" i="2"/>
  <c r="E1746" i="2"/>
  <c r="C1746" i="2"/>
  <c r="J1746" i="2" l="1"/>
  <c r="D1747" i="2"/>
  <c r="D1748" i="2" s="1"/>
  <c r="I1747" i="2"/>
  <c r="I1748" i="2" s="1"/>
  <c r="H1747" i="2"/>
  <c r="F1747" i="2"/>
  <c r="F1748" i="2" s="1"/>
  <c r="E1747" i="2"/>
  <c r="E1748" i="2" s="1"/>
  <c r="G1747" i="2"/>
  <c r="G1748" i="2" s="1"/>
  <c r="C1747" i="2"/>
  <c r="C1748" i="2" s="1"/>
  <c r="J1747" i="2" l="1"/>
  <c r="H1748" i="2"/>
  <c r="J1748" i="2" s="1"/>
  <c r="H1749" i="2" l="1"/>
  <c r="D1749" i="2"/>
  <c r="C1749" i="2"/>
  <c r="I1749" i="2"/>
  <c r="F1749" i="2"/>
  <c r="E1749" i="2"/>
  <c r="G1749" i="2"/>
  <c r="J1749" i="2" l="1"/>
  <c r="F1750" i="2"/>
  <c r="I1750" i="2"/>
  <c r="E1750" i="2"/>
  <c r="H1750" i="2"/>
  <c r="G1750" i="2"/>
  <c r="D1750" i="2"/>
  <c r="C1750" i="2"/>
  <c r="J1750" i="2" l="1"/>
  <c r="H1751" i="2"/>
  <c r="E1751" i="2"/>
  <c r="G1751" i="2"/>
  <c r="D1751" i="2"/>
  <c r="I1751" i="2"/>
  <c r="F1751" i="2"/>
  <c r="C1751" i="2"/>
  <c r="J1751" i="2" l="1"/>
  <c r="G1752" i="2"/>
  <c r="I1752" i="2"/>
  <c r="H1752" i="2"/>
  <c r="D1752" i="2"/>
  <c r="F1752" i="2"/>
  <c r="E1752" i="2"/>
  <c r="C1752" i="2"/>
  <c r="J1752" i="2" l="1"/>
  <c r="D1753" i="2"/>
  <c r="I1753" i="2"/>
  <c r="F1753" i="2"/>
  <c r="H1753" i="2"/>
  <c r="E1753" i="2"/>
  <c r="G1753" i="2"/>
  <c r="C1753" i="2"/>
  <c r="J1753" i="2" l="1"/>
  <c r="F1754" i="2"/>
  <c r="F1755" i="2" s="1"/>
  <c r="H1754" i="2"/>
  <c r="G1754" i="2"/>
  <c r="G1755" i="2" s="1"/>
  <c r="I1754" i="2"/>
  <c r="I1755" i="2" s="1"/>
  <c r="D1754" i="2"/>
  <c r="D1755" i="2" s="1"/>
  <c r="E1754" i="2"/>
  <c r="E1755" i="2" s="1"/>
  <c r="C1754" i="2"/>
  <c r="C1755" i="2" s="1"/>
  <c r="J1754" i="2" l="1"/>
  <c r="H1755" i="2"/>
  <c r="J1755" i="2" s="1"/>
  <c r="E1756" i="2"/>
  <c r="C1756" i="2"/>
  <c r="H1756" i="2" l="1"/>
  <c r="J1756" i="2" s="1"/>
  <c r="I1756" i="2"/>
  <c r="F1756" i="2"/>
  <c r="G1756" i="2"/>
  <c r="D1756" i="2"/>
  <c r="H1757" i="2" l="1"/>
  <c r="E1757" i="2"/>
  <c r="D1757" i="2"/>
  <c r="G1757" i="2"/>
  <c r="I1757" i="2"/>
  <c r="F1757" i="2"/>
  <c r="C1757" i="2"/>
  <c r="J1757" i="2" l="1"/>
  <c r="G1758" i="2"/>
  <c r="I1758" i="2"/>
  <c r="F1758" i="2"/>
  <c r="E1758" i="2"/>
  <c r="H1758" i="2"/>
  <c r="D1758" i="2"/>
  <c r="C1758" i="2"/>
  <c r="J1758" i="2" l="1"/>
  <c r="D1759" i="2"/>
  <c r="I1759" i="2"/>
  <c r="F1759" i="2"/>
  <c r="E1759" i="2"/>
  <c r="G1759" i="2"/>
  <c r="H1759" i="2"/>
  <c r="C1759" i="2"/>
  <c r="J1759" i="2" l="1"/>
  <c r="F1760" i="2"/>
  <c r="H1760" i="2"/>
  <c r="E1760" i="2"/>
  <c r="D1760" i="2"/>
  <c r="I1760" i="2"/>
  <c r="G1760" i="2"/>
  <c r="C1760" i="2"/>
  <c r="J1760" i="2" l="1"/>
  <c r="H1761" i="2"/>
  <c r="E1761" i="2"/>
  <c r="E1762" i="2" s="1"/>
  <c r="I1761" i="2"/>
  <c r="I1762" i="2" s="1"/>
  <c r="D1761" i="2"/>
  <c r="D1762" i="2" s="1"/>
  <c r="G1761" i="2"/>
  <c r="G1762" i="2" s="1"/>
  <c r="F1761" i="2"/>
  <c r="F1762" i="2" s="1"/>
  <c r="C1761" i="2"/>
  <c r="C1762" i="2" s="1"/>
  <c r="J1761" i="2" l="1"/>
  <c r="H1762" i="2"/>
  <c r="J1762" i="2" s="1"/>
  <c r="C1763" i="2"/>
  <c r="H1763" i="2" l="1"/>
  <c r="J1763" i="2" s="1"/>
  <c r="E1763" i="2"/>
  <c r="I1763" i="2"/>
  <c r="D1763" i="2"/>
  <c r="G1763" i="2"/>
  <c r="F1763" i="2"/>
  <c r="G1764" i="2" l="1"/>
  <c r="F1764" i="2"/>
  <c r="D1764" i="2"/>
  <c r="I1764" i="2"/>
  <c r="E1764" i="2"/>
  <c r="H1764" i="2"/>
  <c r="C1764" i="2"/>
  <c r="J1764" i="2" l="1"/>
  <c r="D1765" i="2"/>
  <c r="I1765" i="2"/>
  <c r="H1765" i="2"/>
  <c r="G1765" i="2"/>
  <c r="F1765" i="2"/>
  <c r="E1765" i="2"/>
  <c r="C1765" i="2"/>
  <c r="J1765" i="2" l="1"/>
  <c r="F1766" i="2"/>
  <c r="E1766" i="2"/>
  <c r="H1766" i="2"/>
  <c r="I1766" i="2"/>
  <c r="G1766" i="2"/>
  <c r="D1766" i="2"/>
  <c r="C1766" i="2"/>
  <c r="J1766" i="2" l="1"/>
  <c r="H1767" i="2"/>
  <c r="E1767" i="2"/>
  <c r="G1767" i="2"/>
  <c r="F1767" i="2"/>
  <c r="I1767" i="2"/>
  <c r="D1767" i="2"/>
  <c r="C1767" i="2"/>
  <c r="J1767" i="2" l="1"/>
  <c r="G1768" i="2"/>
  <c r="G1769" i="2" s="1"/>
  <c r="D1768" i="2"/>
  <c r="D1769" i="2" s="1"/>
  <c r="F1768" i="2"/>
  <c r="F1769" i="2" s="1"/>
  <c r="E1768" i="2"/>
  <c r="E1769" i="2" s="1"/>
  <c r="I1768" i="2"/>
  <c r="I1769" i="2" s="1"/>
  <c r="H1768" i="2"/>
  <c r="C1768" i="2"/>
  <c r="C1769" i="2" s="1"/>
  <c r="J1768" i="2" l="1"/>
  <c r="C1770" i="2"/>
  <c r="H1769" i="2"/>
  <c r="J1769" i="2" s="1"/>
  <c r="H1770" i="2" l="1"/>
  <c r="J1770" i="2" s="1"/>
  <c r="G1770" i="2"/>
  <c r="D1770" i="2"/>
  <c r="F1770" i="2"/>
  <c r="E1770" i="2"/>
  <c r="I1770" i="2"/>
  <c r="D1771" i="2" l="1"/>
  <c r="I1771" i="2"/>
  <c r="H1771" i="2"/>
  <c r="F1771" i="2"/>
  <c r="E1771" i="2"/>
  <c r="G1771" i="2"/>
  <c r="C1771" i="2"/>
  <c r="J1771" i="2" l="1"/>
  <c r="F1772" i="2"/>
  <c r="I1772" i="2"/>
  <c r="E1772" i="2"/>
  <c r="H1772" i="2"/>
  <c r="G1772" i="2"/>
  <c r="D1772" i="2"/>
  <c r="C1772" i="2"/>
  <c r="J1772" i="2" l="1"/>
  <c r="H1773" i="2"/>
  <c r="E1773" i="2"/>
  <c r="G1773" i="2"/>
  <c r="D1773" i="2"/>
  <c r="F1773" i="2"/>
  <c r="I1773" i="2"/>
  <c r="C1773" i="2"/>
  <c r="J1773" i="2" l="1"/>
  <c r="G1774" i="2"/>
  <c r="I1774" i="2"/>
  <c r="H1774" i="2"/>
  <c r="D1774" i="2"/>
  <c r="F1774" i="2"/>
  <c r="E1774" i="2"/>
  <c r="C1774" i="2"/>
  <c r="J1774" i="2" l="1"/>
  <c r="D1775" i="2"/>
  <c r="D1776" i="2" s="1"/>
  <c r="I1775" i="2"/>
  <c r="I1776" i="2" s="1"/>
  <c r="F1775" i="2"/>
  <c r="F1776" i="2" s="1"/>
  <c r="H1775" i="2"/>
  <c r="G1775" i="2"/>
  <c r="G1776" i="2" s="1"/>
  <c r="E1775" i="2"/>
  <c r="E1776" i="2" s="1"/>
  <c r="C1775" i="2"/>
  <c r="C1776" i="2" s="1"/>
  <c r="J1775" i="2" l="1"/>
  <c r="H1776" i="2"/>
  <c r="J1776" i="2" s="1"/>
  <c r="H1777" i="2" l="1"/>
  <c r="D1777" i="2"/>
  <c r="I1777" i="2"/>
  <c r="F1777" i="2"/>
  <c r="G1777" i="2"/>
  <c r="E1777" i="2"/>
  <c r="C1777" i="2"/>
  <c r="J1777" i="2" l="1"/>
  <c r="F1778" i="2"/>
  <c r="H1778" i="2"/>
  <c r="G1778" i="2"/>
  <c r="I1778" i="2"/>
  <c r="E1778" i="2"/>
  <c r="D1778" i="2"/>
  <c r="C1778" i="2"/>
  <c r="J1778" i="2" l="1"/>
  <c r="H1779" i="2"/>
  <c r="E1779" i="2"/>
  <c r="D1779" i="2"/>
  <c r="G1779" i="2"/>
  <c r="I1779" i="2"/>
  <c r="F1779" i="2"/>
  <c r="C1779" i="2"/>
  <c r="J1779" i="2" l="1"/>
  <c r="G1780" i="2"/>
  <c r="I1780" i="2"/>
  <c r="F1780" i="2"/>
  <c r="E1780" i="2"/>
  <c r="H1780" i="2"/>
  <c r="D1780" i="2"/>
  <c r="C1780" i="2"/>
  <c r="J1780" i="2" l="1"/>
  <c r="D1781" i="2"/>
  <c r="I1781" i="2"/>
  <c r="F1781" i="2"/>
  <c r="H1781" i="2"/>
  <c r="G1781" i="2"/>
  <c r="E1781" i="2"/>
  <c r="C1781" i="2"/>
  <c r="J1781" i="2" l="1"/>
  <c r="F1782" i="2"/>
  <c r="F1783" i="2" s="1"/>
  <c r="H1782" i="2"/>
  <c r="E1782" i="2"/>
  <c r="E1783" i="2" s="1"/>
  <c r="D1782" i="2"/>
  <c r="D1783" i="2" s="1"/>
  <c r="G1782" i="2"/>
  <c r="G1783" i="2" s="1"/>
  <c r="I1782" i="2"/>
  <c r="I1783" i="2" s="1"/>
  <c r="C1782" i="2"/>
  <c r="C1783" i="2" s="1"/>
  <c r="J1782" i="2" l="1"/>
  <c r="I1784" i="2"/>
  <c r="H1783" i="2"/>
  <c r="J1783" i="2" s="1"/>
  <c r="C1784" i="2"/>
  <c r="H1784" i="2" l="1"/>
  <c r="J1784" i="2" s="1"/>
  <c r="F1784" i="2"/>
  <c r="E1784" i="2"/>
  <c r="D1784" i="2"/>
  <c r="G1784" i="2"/>
  <c r="H1785" i="2" l="1"/>
  <c r="E1785" i="2"/>
  <c r="I1785" i="2"/>
  <c r="D1785" i="2"/>
  <c r="F1785" i="2"/>
  <c r="G1785" i="2"/>
  <c r="C1785" i="2"/>
  <c r="J1785" i="2" l="1"/>
  <c r="G1786" i="2"/>
  <c r="F1786" i="2"/>
  <c r="D1786" i="2"/>
  <c r="I1786" i="2"/>
  <c r="H1786" i="2"/>
  <c r="E1786" i="2"/>
  <c r="C1786" i="2"/>
  <c r="J1786" i="2" l="1"/>
  <c r="D1787" i="2"/>
  <c r="I1787" i="2"/>
  <c r="H1787" i="2"/>
  <c r="G1787" i="2"/>
  <c r="F1787" i="2"/>
  <c r="E1787" i="2"/>
  <c r="C1787" i="2"/>
  <c r="J1787" i="2" l="1"/>
  <c r="F1788" i="2"/>
  <c r="E1788" i="2"/>
  <c r="H1788" i="2"/>
  <c r="D1788" i="2"/>
  <c r="I1788" i="2"/>
  <c r="G1788" i="2"/>
  <c r="C1788" i="2"/>
  <c r="J1788" i="2" l="1"/>
  <c r="H1789" i="2"/>
  <c r="E1789" i="2"/>
  <c r="E1790" i="2" s="1"/>
  <c r="G1789" i="2"/>
  <c r="G1790" i="2" s="1"/>
  <c r="F1789" i="2"/>
  <c r="I1789" i="2"/>
  <c r="I1790" i="2" s="1"/>
  <c r="D1789" i="2"/>
  <c r="D1790" i="2" s="1"/>
  <c r="C1789" i="2"/>
  <c r="C1790" i="2" s="1"/>
  <c r="H1790" i="2" l="1"/>
  <c r="J1790" i="2" s="1"/>
  <c r="F1790" i="2"/>
  <c r="F1791" i="2" s="1"/>
  <c r="G1791" i="2"/>
  <c r="E1791" i="2"/>
  <c r="J1789" i="2"/>
  <c r="H1791" i="2" l="1"/>
  <c r="I1791" i="2"/>
  <c r="D1791" i="2"/>
  <c r="C1791" i="2"/>
  <c r="J1791" i="2" l="1"/>
  <c r="G1792" i="2"/>
  <c r="D1792" i="2"/>
  <c r="F1792" i="2"/>
  <c r="I1792" i="2"/>
  <c r="H1792" i="2"/>
  <c r="E1792" i="2"/>
  <c r="C1792" i="2"/>
  <c r="J1792" i="2" l="1"/>
  <c r="D1793" i="2"/>
  <c r="I1793" i="2"/>
  <c r="H1793" i="2"/>
  <c r="F1793" i="2"/>
  <c r="E1793" i="2"/>
  <c r="G1793" i="2"/>
  <c r="C1793" i="2"/>
  <c r="J1793" i="2" l="1"/>
  <c r="F1794" i="2"/>
  <c r="I1794" i="2"/>
  <c r="E1794" i="2"/>
  <c r="G1794" i="2"/>
  <c r="D1794" i="2"/>
  <c r="H1794" i="2"/>
  <c r="C1794" i="2"/>
  <c r="J1794" i="2" l="1"/>
  <c r="I1795" i="2"/>
  <c r="G1795" i="2"/>
  <c r="E1795" i="2"/>
  <c r="F1795" i="2"/>
  <c r="D1795" i="2"/>
  <c r="H1795" i="2"/>
  <c r="C1795" i="2"/>
  <c r="J1795" i="2" l="1"/>
  <c r="E1796" i="2"/>
  <c r="E1797" i="2" s="1"/>
  <c r="D1796" i="2"/>
  <c r="D1797" i="2" s="1"/>
  <c r="I1796" i="2"/>
  <c r="I1797" i="2" s="1"/>
  <c r="G1796" i="2"/>
  <c r="G1797" i="2" s="1"/>
  <c r="H1796" i="2"/>
  <c r="F1796" i="2"/>
  <c r="F1797" i="2" s="1"/>
  <c r="C1796" i="2"/>
  <c r="C1797" i="2" s="1"/>
  <c r="J1796" i="2" l="1"/>
  <c r="H1797" i="2"/>
  <c r="J1797" i="2" s="1"/>
  <c r="H1798" i="2" l="1"/>
  <c r="E1798" i="2"/>
  <c r="D1798" i="2"/>
  <c r="I1798" i="2"/>
  <c r="G1798" i="2"/>
  <c r="F1798" i="2"/>
  <c r="C1798" i="2"/>
  <c r="J1798" i="2" l="1"/>
  <c r="G1799" i="2"/>
  <c r="F1799" i="2"/>
  <c r="E1799" i="2"/>
  <c r="I1799" i="2"/>
  <c r="H1799" i="2"/>
  <c r="D1799" i="2"/>
  <c r="C1799" i="2"/>
  <c r="J1799" i="2" l="1"/>
  <c r="I1800" i="2"/>
  <c r="H1800" i="2"/>
  <c r="G1800" i="2"/>
  <c r="E1800" i="2"/>
  <c r="F1800" i="2"/>
  <c r="D1800" i="2"/>
  <c r="C1800" i="2"/>
  <c r="J1800" i="2" l="1"/>
  <c r="I1801" i="2"/>
  <c r="G1801" i="2"/>
  <c r="E1801" i="2"/>
  <c r="D1801" i="2"/>
  <c r="H1801" i="2"/>
  <c r="F1801" i="2"/>
  <c r="C1801" i="2"/>
  <c r="J1801" i="2" l="1"/>
  <c r="E1802" i="2"/>
  <c r="D1802" i="2"/>
  <c r="I1802" i="2"/>
  <c r="G1802" i="2"/>
  <c r="F1802" i="2"/>
  <c r="H1802" i="2"/>
  <c r="C1802" i="2"/>
  <c r="J1802" i="2" l="1"/>
  <c r="G1803" i="2"/>
  <c r="G1804" i="2" s="1"/>
  <c r="F1803" i="2"/>
  <c r="F1804" i="2" s="1"/>
  <c r="E1803" i="2"/>
  <c r="E1804" i="2" s="1"/>
  <c r="I1803" i="2"/>
  <c r="I1804" i="2" s="1"/>
  <c r="D1803" i="2"/>
  <c r="D1804" i="2" s="1"/>
  <c r="H1803" i="2"/>
  <c r="C1803" i="2"/>
  <c r="C1804" i="2" s="1"/>
  <c r="J1803" i="2" l="1"/>
  <c r="H1804" i="2"/>
  <c r="J1804" i="2" s="1"/>
  <c r="H1805" i="2" l="1"/>
  <c r="G1805" i="2"/>
  <c r="F1805" i="2"/>
  <c r="I1805" i="2"/>
  <c r="E1805" i="2"/>
  <c r="D1805" i="2"/>
  <c r="C1805" i="2"/>
  <c r="J1805" i="2" l="1"/>
  <c r="I1806" i="2"/>
  <c r="H1806" i="2"/>
  <c r="G1806" i="2"/>
  <c r="E1806" i="2"/>
  <c r="F1806" i="2"/>
  <c r="D1806" i="2"/>
  <c r="C1806" i="2"/>
  <c r="J1806" i="2" l="1"/>
  <c r="I1807" i="2"/>
  <c r="G1807" i="2"/>
  <c r="E1807" i="2"/>
  <c r="H1807" i="2"/>
  <c r="F1807" i="2"/>
  <c r="D1807" i="2"/>
  <c r="C1807" i="2"/>
  <c r="J1807" i="2" l="1"/>
  <c r="E1808" i="2"/>
  <c r="D1808" i="2"/>
  <c r="I1808" i="2"/>
  <c r="G1808" i="2"/>
  <c r="H1808" i="2"/>
  <c r="F1808" i="2"/>
  <c r="C1808" i="2"/>
  <c r="J1808" i="2" l="1"/>
  <c r="G1809" i="2"/>
  <c r="F1809" i="2"/>
  <c r="E1809" i="2"/>
  <c r="I1809" i="2"/>
  <c r="H1809" i="2"/>
  <c r="D1809" i="2"/>
  <c r="C1809" i="2"/>
  <c r="J1809" i="2" l="1"/>
  <c r="I1810" i="2"/>
  <c r="I1811" i="2" s="1"/>
  <c r="H1810" i="2"/>
  <c r="G1810" i="2"/>
  <c r="G1811" i="2" s="1"/>
  <c r="E1810" i="2"/>
  <c r="E1811" i="2" s="1"/>
  <c r="D1810" i="2"/>
  <c r="D1811" i="2" s="1"/>
  <c r="F1810" i="2"/>
  <c r="F1811" i="2" s="1"/>
  <c r="C1810" i="2"/>
  <c r="C1811" i="2" s="1"/>
  <c r="J1810" i="2" l="1"/>
  <c r="H1811" i="2"/>
  <c r="J1811" i="2" s="1"/>
  <c r="C1812" i="2"/>
  <c r="H1812" i="2" l="1"/>
  <c r="J1812" i="2" s="1"/>
  <c r="I1812" i="2"/>
  <c r="G1812" i="2"/>
  <c r="E1812" i="2"/>
  <c r="D1812" i="2"/>
  <c r="F1812" i="2"/>
  <c r="I1813" i="2" l="1"/>
  <c r="G1813" i="2"/>
  <c r="E1813" i="2"/>
  <c r="F1813" i="2"/>
  <c r="D1813" i="2"/>
  <c r="H1813" i="2"/>
  <c r="C1813" i="2"/>
  <c r="J1813" i="2" l="1"/>
  <c r="E1814" i="2"/>
  <c r="D1814" i="2"/>
  <c r="I1814" i="2"/>
  <c r="G1814" i="2"/>
  <c r="H1814" i="2"/>
  <c r="F1814" i="2"/>
  <c r="C1814" i="2"/>
  <c r="J1814" i="2" l="1"/>
  <c r="G1815" i="2"/>
  <c r="F1815" i="2"/>
  <c r="E1815" i="2"/>
  <c r="I1815" i="2"/>
  <c r="H1815" i="2"/>
  <c r="D1815" i="2"/>
  <c r="C1815" i="2"/>
  <c r="J1815" i="2" l="1"/>
  <c r="I1816" i="2"/>
  <c r="H1816" i="2"/>
  <c r="G1816" i="2"/>
  <c r="E1816" i="2"/>
  <c r="F1816" i="2"/>
  <c r="D1816" i="2"/>
  <c r="C1816" i="2"/>
  <c r="J1816" i="2" l="1"/>
  <c r="I1817" i="2"/>
  <c r="I1818" i="2" s="1"/>
  <c r="G1817" i="2"/>
  <c r="G1818" i="2" s="1"/>
  <c r="E1817" i="2"/>
  <c r="E1818" i="2" s="1"/>
  <c r="F1817" i="2"/>
  <c r="F1818" i="2" s="1"/>
  <c r="D1817" i="2"/>
  <c r="D1818" i="2" s="1"/>
  <c r="H1817" i="2"/>
  <c r="C1817" i="2"/>
  <c r="C1818" i="2" s="1"/>
  <c r="J1817" i="2" l="1"/>
  <c r="F1819" i="2"/>
  <c r="H1818" i="2"/>
  <c r="J1818" i="2" s="1"/>
  <c r="C1819" i="2"/>
  <c r="H1819" i="2" l="1"/>
  <c r="J1819" i="2" s="1"/>
  <c r="G1819" i="2"/>
  <c r="I1819" i="2"/>
  <c r="E1819" i="2"/>
  <c r="D1819" i="2"/>
  <c r="E1820" i="2" l="1"/>
  <c r="D1820" i="2"/>
  <c r="I1820" i="2"/>
  <c r="G1820" i="2"/>
  <c r="H1820" i="2"/>
  <c r="F1820" i="2"/>
  <c r="C1820" i="2"/>
  <c r="J1820" i="2" l="1"/>
  <c r="G1821" i="2"/>
  <c r="F1821" i="2"/>
  <c r="E1821" i="2"/>
  <c r="I1821" i="2"/>
  <c r="D1821" i="2"/>
  <c r="H1821" i="2"/>
  <c r="C1821" i="2"/>
  <c r="J1821" i="2" l="1"/>
  <c r="I1822" i="2"/>
  <c r="H1822" i="2"/>
  <c r="G1822" i="2"/>
  <c r="E1822" i="2"/>
  <c r="F1822" i="2"/>
  <c r="D1822" i="2"/>
  <c r="C1822" i="2"/>
  <c r="J1822" i="2" l="1"/>
  <c r="I1823" i="2"/>
  <c r="G1823" i="2"/>
  <c r="E1823" i="2"/>
  <c r="D1823" i="2"/>
  <c r="H1823" i="2"/>
  <c r="F1823" i="2"/>
  <c r="C1823" i="2"/>
  <c r="J1823" i="2" l="1"/>
  <c r="E1824" i="2"/>
  <c r="E1825" i="2" s="1"/>
  <c r="D1824" i="2"/>
  <c r="D1825" i="2" s="1"/>
  <c r="I1824" i="2"/>
  <c r="I1825" i="2" s="1"/>
  <c r="G1824" i="2"/>
  <c r="G1825" i="2" s="1"/>
  <c r="H1824" i="2"/>
  <c r="F1824" i="2"/>
  <c r="F1825" i="2" s="1"/>
  <c r="C1824" i="2"/>
  <c r="C1825" i="2" s="1"/>
  <c r="J1824" i="2" l="1"/>
  <c r="G1826" i="2"/>
  <c r="H1825" i="2"/>
  <c r="J1825" i="2" s="1"/>
  <c r="D1826" i="2" l="1"/>
  <c r="E1826" i="2"/>
  <c r="I1826" i="2"/>
  <c r="H1826" i="2"/>
  <c r="C1826" i="2"/>
  <c r="F1826" i="2"/>
  <c r="J1826" i="2" l="1"/>
  <c r="G1827" i="2"/>
  <c r="F1827" i="2"/>
  <c r="E1827" i="2"/>
  <c r="I1827" i="2"/>
  <c r="H1827" i="2"/>
  <c r="D1827" i="2"/>
  <c r="C1827" i="2"/>
  <c r="J1827" i="2" l="1"/>
  <c r="I1828" i="2"/>
  <c r="H1828" i="2"/>
  <c r="G1828" i="2"/>
  <c r="E1828" i="2"/>
  <c r="F1828" i="2"/>
  <c r="D1828" i="2"/>
  <c r="C1828" i="2"/>
  <c r="J1828" i="2" l="1"/>
  <c r="I1829" i="2"/>
  <c r="G1829" i="2"/>
  <c r="E1829" i="2"/>
  <c r="D1829" i="2"/>
  <c r="H1829" i="2"/>
  <c r="F1829" i="2"/>
  <c r="C1829" i="2"/>
  <c r="J1829" i="2" l="1"/>
  <c r="E1830" i="2"/>
  <c r="D1830" i="2"/>
  <c r="I1830" i="2"/>
  <c r="G1830" i="2"/>
  <c r="F1830" i="2"/>
  <c r="H1830" i="2"/>
  <c r="C1830" i="2"/>
  <c r="J1830" i="2" l="1"/>
  <c r="G1831" i="2"/>
  <c r="G1832" i="2" s="1"/>
  <c r="G1833" i="2" s="1"/>
  <c r="F1831" i="2"/>
  <c r="F1832" i="2" s="1"/>
  <c r="F1833" i="2" s="1"/>
  <c r="E1831" i="2"/>
  <c r="E1832" i="2" s="1"/>
  <c r="E1833" i="2" s="1"/>
  <c r="I1831" i="2"/>
  <c r="I1832" i="2" s="1"/>
  <c r="I1833" i="2" s="1"/>
  <c r="H1831" i="2"/>
  <c r="D1831" i="2"/>
  <c r="D1832" i="2" s="1"/>
  <c r="D1833" i="2" s="1"/>
  <c r="C1831" i="2"/>
  <c r="C1832" i="2" s="1"/>
  <c r="C1833" i="2" s="1"/>
  <c r="H1832" i="2" l="1"/>
  <c r="J1832" i="2" s="1"/>
  <c r="J1831" i="2"/>
  <c r="H1833" i="2" l="1"/>
  <c r="J1833" i="2" s="1"/>
  <c r="I1834" i="2"/>
  <c r="H1834" i="2"/>
  <c r="G1834" i="2"/>
  <c r="E1834" i="2"/>
  <c r="D1834" i="2"/>
  <c r="F1834" i="2"/>
  <c r="C1834" i="2"/>
  <c r="J1834" i="2" l="1"/>
  <c r="I1835" i="2"/>
  <c r="G1835" i="2"/>
  <c r="E1835" i="2"/>
  <c r="H1835" i="2"/>
  <c r="F1835" i="2"/>
  <c r="D1835" i="2"/>
  <c r="C1835" i="2"/>
  <c r="J1835" i="2" l="1"/>
  <c r="E1836" i="2"/>
  <c r="D1836" i="2"/>
  <c r="I1836" i="2"/>
  <c r="G1836" i="2"/>
  <c r="H1836" i="2"/>
  <c r="F1836" i="2"/>
  <c r="C1836" i="2"/>
  <c r="J1836" i="2" l="1"/>
  <c r="G1837" i="2"/>
  <c r="F1837" i="2"/>
  <c r="E1837" i="2"/>
  <c r="I1837" i="2"/>
  <c r="H1837" i="2"/>
  <c r="D1837" i="2"/>
  <c r="C1837" i="2"/>
  <c r="J1837" i="2" l="1"/>
  <c r="I1838" i="2"/>
  <c r="I1839" i="2" s="1"/>
  <c r="H1838" i="2"/>
  <c r="G1838" i="2"/>
  <c r="G1839" i="2" s="1"/>
  <c r="E1838" i="2"/>
  <c r="E1839" i="2" s="1"/>
  <c r="D1838" i="2"/>
  <c r="D1839" i="2" s="1"/>
  <c r="F1838" i="2"/>
  <c r="F1839" i="2" s="1"/>
  <c r="C1838" i="2"/>
  <c r="C1839" i="2" s="1"/>
  <c r="J1838" i="2" l="1"/>
  <c r="F1840" i="2"/>
  <c r="H1839" i="2"/>
  <c r="J1839" i="2" s="1"/>
  <c r="H1840" i="2" l="1"/>
  <c r="I1840" i="2"/>
  <c r="D1840" i="2"/>
  <c r="G1840" i="2"/>
  <c r="E1840" i="2"/>
  <c r="C1840" i="2"/>
  <c r="J1840" i="2" l="1"/>
  <c r="I1841" i="2"/>
  <c r="G1841" i="2"/>
  <c r="E1841" i="2"/>
  <c r="F1841" i="2"/>
  <c r="D1841" i="2"/>
  <c r="H1841" i="2"/>
  <c r="C1841" i="2"/>
  <c r="J1841" i="2" l="1"/>
  <c r="E1842" i="2"/>
  <c r="D1842" i="2"/>
  <c r="I1842" i="2"/>
  <c r="G1842" i="2"/>
  <c r="H1842" i="2"/>
  <c r="F1842" i="2"/>
  <c r="C1842" i="2"/>
  <c r="J1842" i="2" l="1"/>
  <c r="G1843" i="2"/>
  <c r="F1843" i="2"/>
  <c r="E1843" i="2"/>
  <c r="I1843" i="2"/>
  <c r="D1843" i="2"/>
  <c r="H1843" i="2"/>
  <c r="C1843" i="2"/>
  <c r="J1843" i="2" l="1"/>
  <c r="I1844" i="2"/>
  <c r="H1844" i="2"/>
  <c r="G1844" i="2"/>
  <c r="E1844" i="2"/>
  <c r="F1844" i="2"/>
  <c r="D1844" i="2"/>
  <c r="C1844" i="2"/>
  <c r="J1844" i="2" l="1"/>
  <c r="I1845" i="2"/>
  <c r="I1846" i="2" s="1"/>
  <c r="I1847" i="2" s="1"/>
  <c r="G1845" i="2"/>
  <c r="G1846" i="2" s="1"/>
  <c r="G1847" i="2" s="1"/>
  <c r="E1845" i="2"/>
  <c r="E1846" i="2" s="1"/>
  <c r="E1847" i="2" s="1"/>
  <c r="H1845" i="2"/>
  <c r="D1845" i="2"/>
  <c r="D1846" i="2" s="1"/>
  <c r="D1847" i="2" s="1"/>
  <c r="F1845" i="2"/>
  <c r="F1846" i="2" s="1"/>
  <c r="F1847" i="2" s="1"/>
  <c r="C1845" i="2"/>
  <c r="C1846" i="2" s="1"/>
  <c r="C1847" i="2" s="1"/>
  <c r="H1846" i="2" l="1"/>
  <c r="J1846" i="2" s="1"/>
  <c r="J1845" i="2"/>
  <c r="H1847" i="2" l="1"/>
  <c r="J1847" i="2" s="1"/>
  <c r="E1848" i="2"/>
  <c r="D1848" i="2"/>
  <c r="I1848" i="2"/>
  <c r="G1848" i="2"/>
  <c r="H1848" i="2"/>
  <c r="F1848" i="2"/>
  <c r="C1848" i="2"/>
  <c r="J1848" i="2" l="1"/>
  <c r="G1849" i="2"/>
  <c r="F1849" i="2"/>
  <c r="E1849" i="2"/>
  <c r="I1849" i="2"/>
  <c r="D1849" i="2"/>
  <c r="H1849" i="2"/>
  <c r="C1849" i="2"/>
  <c r="J1849" i="2" l="1"/>
  <c r="I1850" i="2"/>
  <c r="H1850" i="2"/>
  <c r="G1850" i="2"/>
  <c r="E1850" i="2"/>
  <c r="F1850" i="2"/>
  <c r="D1850" i="2"/>
  <c r="C1850" i="2"/>
  <c r="J1850" i="2" l="1"/>
  <c r="I1851" i="2"/>
  <c r="G1851" i="2"/>
  <c r="E1851" i="2"/>
  <c r="H1851" i="2"/>
  <c r="F1851" i="2"/>
  <c r="D1851" i="2"/>
  <c r="C1851" i="2"/>
  <c r="J1851" i="2" l="1"/>
  <c r="E1852" i="2"/>
  <c r="E1853" i="2" s="1"/>
  <c r="D1852" i="2"/>
  <c r="D1853" i="2" s="1"/>
  <c r="I1852" i="2"/>
  <c r="I1853" i="2" s="1"/>
  <c r="G1852" i="2"/>
  <c r="G1853" i="2" s="1"/>
  <c r="F1852" i="2"/>
  <c r="F1853" i="2" s="1"/>
  <c r="H1852" i="2"/>
  <c r="C1852" i="2"/>
  <c r="C1853" i="2" s="1"/>
  <c r="J1852" i="2" l="1"/>
  <c r="H1853" i="2"/>
  <c r="J1853" i="2" s="1"/>
  <c r="H1854" i="2" l="1"/>
  <c r="E1854" i="2"/>
  <c r="D1854" i="2"/>
  <c r="I1854" i="2"/>
  <c r="G1854" i="2"/>
  <c r="F1854" i="2"/>
  <c r="C1854" i="2"/>
  <c r="J1854" i="2" l="1"/>
  <c r="G1855" i="2"/>
  <c r="F1855" i="2"/>
  <c r="E1855" i="2"/>
  <c r="I1855" i="2"/>
  <c r="H1855" i="2"/>
  <c r="D1855" i="2"/>
  <c r="C1855" i="2"/>
  <c r="J1855" i="2" l="1"/>
  <c r="I1856" i="2"/>
  <c r="H1856" i="2"/>
  <c r="G1856" i="2"/>
  <c r="E1856" i="2"/>
  <c r="D1856" i="2"/>
  <c r="F1856" i="2"/>
  <c r="C1856" i="2"/>
  <c r="J1856" i="2" l="1"/>
  <c r="I1857" i="2"/>
  <c r="G1857" i="2"/>
  <c r="E1857" i="2"/>
  <c r="H1857" i="2"/>
  <c r="F1857" i="2"/>
  <c r="D1857" i="2"/>
  <c r="C1857" i="2"/>
  <c r="J1857" i="2" l="1"/>
  <c r="E1858" i="2"/>
  <c r="D1858" i="2"/>
  <c r="I1858" i="2"/>
  <c r="G1858" i="2"/>
  <c r="F1858" i="2"/>
  <c r="H1858" i="2"/>
  <c r="C1858" i="2"/>
  <c r="J1858" i="2" l="1"/>
  <c r="G1859" i="2"/>
  <c r="G1860" i="2" s="1"/>
  <c r="G1861" i="2" s="1"/>
  <c r="F1859" i="2"/>
  <c r="F1860" i="2" s="1"/>
  <c r="F1861" i="2" s="1"/>
  <c r="E1859" i="2"/>
  <c r="E1860" i="2" s="1"/>
  <c r="E1861" i="2" s="1"/>
  <c r="I1859" i="2"/>
  <c r="I1860" i="2" s="1"/>
  <c r="I1861" i="2" s="1"/>
  <c r="H1859" i="2"/>
  <c r="D1859" i="2"/>
  <c r="D1860" i="2" s="1"/>
  <c r="D1861" i="2" s="1"/>
  <c r="C1859" i="2"/>
  <c r="C1860" i="2" s="1"/>
  <c r="C1861" i="2" s="1"/>
  <c r="H1860" i="2" l="1"/>
  <c r="J1860" i="2" s="1"/>
  <c r="J1859" i="2"/>
  <c r="H1861" i="2" l="1"/>
  <c r="J1861" i="2" s="1"/>
  <c r="I1862" i="2"/>
  <c r="H1862" i="2"/>
  <c r="G1862" i="2"/>
  <c r="E1862" i="2"/>
  <c r="F1862" i="2"/>
  <c r="D1862" i="2"/>
  <c r="C1862" i="2"/>
  <c r="J1862" i="2" l="1"/>
  <c r="I1863" i="2"/>
  <c r="G1863" i="2"/>
  <c r="E1863" i="2"/>
  <c r="F1863" i="2"/>
  <c r="D1863" i="2"/>
  <c r="H1863" i="2"/>
  <c r="C1863" i="2"/>
  <c r="J1863" i="2" l="1"/>
  <c r="E1864" i="2"/>
  <c r="D1864" i="2"/>
  <c r="I1864" i="2"/>
  <c r="G1864" i="2"/>
  <c r="H1864" i="2"/>
  <c r="F1864" i="2"/>
  <c r="C1864" i="2"/>
  <c r="J1864" i="2" l="1"/>
  <c r="G1865" i="2"/>
  <c r="F1865" i="2"/>
  <c r="E1865" i="2"/>
  <c r="I1865" i="2"/>
  <c r="D1865" i="2"/>
  <c r="H1865" i="2"/>
  <c r="C1865" i="2"/>
  <c r="J1865" i="2" l="1"/>
  <c r="I1866" i="2"/>
  <c r="I1867" i="2" s="1"/>
  <c r="H1866" i="2"/>
  <c r="G1866" i="2"/>
  <c r="G1867" i="2" s="1"/>
  <c r="E1866" i="2"/>
  <c r="E1867" i="2" s="1"/>
  <c r="F1866" i="2"/>
  <c r="F1867" i="2" s="1"/>
  <c r="D1866" i="2"/>
  <c r="D1867" i="2" s="1"/>
  <c r="C1866" i="2"/>
  <c r="C1867" i="2" s="1"/>
  <c r="J1866" i="2" l="1"/>
  <c r="H1867" i="2"/>
  <c r="J1867" i="2" s="1"/>
  <c r="H1868" i="2" l="1"/>
  <c r="I1868" i="2"/>
  <c r="D1868" i="2"/>
  <c r="E1868" i="2"/>
  <c r="G1868" i="2"/>
  <c r="F1868" i="2"/>
  <c r="C1868" i="2"/>
  <c r="J1868" i="2" l="1"/>
  <c r="I1869" i="2"/>
  <c r="G1869" i="2"/>
  <c r="E1869" i="2"/>
  <c r="D1869" i="2"/>
  <c r="F1869" i="2"/>
  <c r="H1869" i="2"/>
  <c r="C1869" i="2"/>
  <c r="J1869" i="2" l="1"/>
  <c r="E1870" i="2"/>
  <c r="D1870" i="2"/>
  <c r="I1870" i="2"/>
  <c r="G1870" i="2"/>
  <c r="H1870" i="2"/>
  <c r="F1870" i="2"/>
  <c r="C1870" i="2"/>
  <c r="J1870" i="2" l="1"/>
  <c r="G1871" i="2"/>
  <c r="F1871" i="2"/>
  <c r="E1871" i="2"/>
  <c r="I1871" i="2"/>
  <c r="H1871" i="2"/>
  <c r="D1871" i="2"/>
  <c r="C1871" i="2"/>
  <c r="J1871" i="2" l="1"/>
  <c r="I1872" i="2"/>
  <c r="H1872" i="2"/>
  <c r="G1872" i="2"/>
  <c r="E1872" i="2"/>
  <c r="F1872" i="2"/>
  <c r="D1872" i="2"/>
  <c r="C1872" i="2"/>
  <c r="J1872" i="2" l="1"/>
  <c r="I1873" i="2"/>
  <c r="I1874" i="2" s="1"/>
  <c r="I1875" i="2" s="1"/>
  <c r="G1873" i="2"/>
  <c r="G1874" i="2" s="1"/>
  <c r="G1875" i="2" s="1"/>
  <c r="E1873" i="2"/>
  <c r="E1874" i="2" s="1"/>
  <c r="E1875" i="2" s="1"/>
  <c r="H1873" i="2"/>
  <c r="F1873" i="2"/>
  <c r="F1874" i="2" s="1"/>
  <c r="F1875" i="2" s="1"/>
  <c r="D1873" i="2"/>
  <c r="D1874" i="2" s="1"/>
  <c r="D1875" i="2" s="1"/>
  <c r="C1873" i="2"/>
  <c r="C1874" i="2" s="1"/>
  <c r="C1875" i="2" s="1"/>
  <c r="H1874" i="2" l="1"/>
  <c r="J1874" i="2" s="1"/>
  <c r="J1873" i="2"/>
  <c r="H1875" i="2" l="1"/>
  <c r="J1875" i="2" s="1"/>
  <c r="E1876" i="2"/>
  <c r="D1876" i="2"/>
  <c r="I1876" i="2"/>
  <c r="G1876" i="2"/>
  <c r="F1876" i="2"/>
  <c r="H1876" i="2"/>
  <c r="C1876" i="2"/>
  <c r="J1876" i="2" l="1"/>
  <c r="G1877" i="2"/>
  <c r="F1877" i="2"/>
  <c r="E1877" i="2"/>
  <c r="I1877" i="2"/>
  <c r="H1877" i="2"/>
  <c r="D1877" i="2"/>
  <c r="C1877" i="2"/>
  <c r="J1877" i="2" l="1"/>
  <c r="I1878" i="2"/>
  <c r="H1878" i="2"/>
  <c r="G1878" i="2"/>
  <c r="E1878" i="2"/>
  <c r="D1878" i="2"/>
  <c r="F1878" i="2"/>
  <c r="C1878" i="2"/>
  <c r="J1878" i="2" l="1"/>
  <c r="I1879" i="2"/>
  <c r="G1879" i="2"/>
  <c r="E1879" i="2"/>
  <c r="H1879" i="2"/>
  <c r="F1879" i="2"/>
  <c r="D1879" i="2"/>
  <c r="C1879" i="2"/>
  <c r="J1879" i="2" l="1"/>
  <c r="E1880" i="2"/>
  <c r="E1881" i="2" s="1"/>
  <c r="D1880" i="2"/>
  <c r="D1881" i="2" s="1"/>
  <c r="I1880" i="2"/>
  <c r="I1881" i="2" s="1"/>
  <c r="G1880" i="2"/>
  <c r="G1881" i="2" s="1"/>
  <c r="H1880" i="2"/>
  <c r="F1880" i="2"/>
  <c r="F1881" i="2" s="1"/>
  <c r="C1880" i="2"/>
  <c r="C1881" i="2" s="1"/>
  <c r="J1880" i="2" l="1"/>
  <c r="D1882" i="2"/>
  <c r="H1881" i="2"/>
  <c r="J1881" i="2" s="1"/>
  <c r="C1882" i="2"/>
  <c r="H1882" i="2" l="1"/>
  <c r="J1882" i="2" s="1"/>
  <c r="E1882" i="2"/>
  <c r="I1882" i="2"/>
  <c r="G1882" i="2"/>
  <c r="F1882" i="2"/>
  <c r="G1883" i="2" l="1"/>
  <c r="F1883" i="2"/>
  <c r="E1883" i="2"/>
  <c r="I1883" i="2"/>
  <c r="H1883" i="2"/>
  <c r="D1883" i="2"/>
  <c r="C1883" i="2"/>
  <c r="J1883" i="2" l="1"/>
  <c r="I1884" i="2"/>
  <c r="H1884" i="2"/>
  <c r="G1884" i="2"/>
  <c r="E1884" i="2"/>
  <c r="F1884" i="2"/>
  <c r="D1884" i="2"/>
  <c r="C1884" i="2"/>
  <c r="J1884" i="2" l="1"/>
  <c r="I1885" i="2"/>
  <c r="G1885" i="2"/>
  <c r="E1885" i="2"/>
  <c r="F1885" i="2"/>
  <c r="D1885" i="2"/>
  <c r="H1885" i="2"/>
  <c r="C1885" i="2"/>
  <c r="J1885" i="2" l="1"/>
  <c r="E1886" i="2"/>
  <c r="D1886" i="2"/>
  <c r="I1886" i="2"/>
  <c r="G1886" i="2"/>
  <c r="H1886" i="2"/>
  <c r="F1886" i="2"/>
  <c r="C1886" i="2"/>
  <c r="J1886" i="2" l="1"/>
  <c r="G1887" i="2"/>
  <c r="G1888" i="2" s="1"/>
  <c r="G1889" i="2" s="1"/>
  <c r="F1887" i="2"/>
  <c r="F1888" i="2" s="1"/>
  <c r="F1889" i="2" s="1"/>
  <c r="E1887" i="2"/>
  <c r="E1888" i="2" s="1"/>
  <c r="E1889" i="2" s="1"/>
  <c r="I1887" i="2"/>
  <c r="I1888" i="2" s="1"/>
  <c r="I1889" i="2" s="1"/>
  <c r="D1887" i="2"/>
  <c r="D1888" i="2" s="1"/>
  <c r="D1889" i="2" s="1"/>
  <c r="H1887" i="2"/>
  <c r="C1887" i="2"/>
  <c r="H1888" i="2" l="1"/>
  <c r="H1889" i="2" s="1"/>
  <c r="J1887" i="2"/>
  <c r="C1888" i="2"/>
  <c r="C1889" i="2" s="1"/>
  <c r="J1889" i="2" l="1"/>
  <c r="I1890" i="2"/>
  <c r="H1890" i="2"/>
  <c r="G1890" i="2"/>
  <c r="E1890" i="2"/>
  <c r="F1890" i="2"/>
  <c r="D1890" i="2"/>
  <c r="C1890" i="2"/>
  <c r="J1888" i="2"/>
  <c r="J1890" i="2" l="1"/>
  <c r="I1891" i="2"/>
  <c r="G1891" i="2"/>
  <c r="E1891" i="2"/>
  <c r="H1891" i="2"/>
  <c r="D1891" i="2"/>
  <c r="F1891" i="2"/>
  <c r="C1891" i="2"/>
  <c r="J1891" i="2" l="1"/>
  <c r="E1892" i="2"/>
  <c r="D1892" i="2"/>
  <c r="I1892" i="2"/>
  <c r="G1892" i="2"/>
  <c r="H1892" i="2"/>
  <c r="F1892" i="2"/>
  <c r="C1892" i="2"/>
  <c r="J1892" i="2" l="1"/>
  <c r="G1893" i="2"/>
  <c r="F1893" i="2"/>
  <c r="E1893" i="2"/>
  <c r="I1893" i="2"/>
  <c r="H1893" i="2"/>
  <c r="D1893" i="2"/>
  <c r="C1893" i="2"/>
  <c r="J1893" i="2" l="1"/>
  <c r="I1894" i="2"/>
  <c r="I1895" i="2" s="1"/>
  <c r="H1894" i="2"/>
  <c r="G1894" i="2"/>
  <c r="G1895" i="2" s="1"/>
  <c r="E1894" i="2"/>
  <c r="E1895" i="2" s="1"/>
  <c r="F1894" i="2"/>
  <c r="F1895" i="2" s="1"/>
  <c r="D1894" i="2"/>
  <c r="D1895" i="2" s="1"/>
  <c r="C1894" i="2"/>
  <c r="J1894" i="2" l="1"/>
  <c r="H1895" i="2"/>
  <c r="C1895" i="2"/>
  <c r="C1896" i="2" s="1"/>
  <c r="J1895" i="2" l="1"/>
  <c r="H1896" i="2"/>
  <c r="J1896" i="2" s="1"/>
  <c r="E1896" i="2"/>
  <c r="I1896" i="2"/>
  <c r="G1896" i="2"/>
  <c r="F1896" i="2"/>
  <c r="D1896" i="2"/>
  <c r="I1897" i="2" l="1"/>
  <c r="G1897" i="2"/>
  <c r="E1897" i="2"/>
  <c r="H1897" i="2"/>
  <c r="F1897" i="2"/>
  <c r="D1897" i="2"/>
  <c r="C1897" i="2"/>
  <c r="J1897" i="2" l="1"/>
  <c r="E1898" i="2"/>
  <c r="D1898" i="2"/>
  <c r="I1898" i="2"/>
  <c r="G1898" i="2"/>
  <c r="F1898" i="2"/>
  <c r="H1898" i="2"/>
  <c r="C1898" i="2"/>
  <c r="J1898" i="2" l="1"/>
  <c r="G1899" i="2"/>
  <c r="F1899" i="2"/>
  <c r="E1899" i="2"/>
  <c r="I1899" i="2"/>
  <c r="H1899" i="2"/>
  <c r="D1899" i="2"/>
  <c r="C1899" i="2"/>
  <c r="J1899" i="2" l="1"/>
  <c r="I1900" i="2"/>
  <c r="H1900" i="2"/>
  <c r="G1900" i="2"/>
  <c r="E1900" i="2"/>
  <c r="D1900" i="2"/>
  <c r="F1900" i="2"/>
  <c r="C1900" i="2"/>
  <c r="J1900" i="2" l="1"/>
  <c r="I1901" i="2"/>
  <c r="I1902" i="2" s="1"/>
  <c r="G1901" i="2"/>
  <c r="G1902" i="2" s="1"/>
  <c r="E1901" i="2"/>
  <c r="E1902" i="2" s="1"/>
  <c r="H1901" i="2"/>
  <c r="F1901" i="2"/>
  <c r="F1902" i="2" s="1"/>
  <c r="D1901" i="2"/>
  <c r="D1902" i="2" s="1"/>
  <c r="C1901" i="2"/>
  <c r="C1902" i="2" s="1"/>
  <c r="J1901" i="2" l="1"/>
  <c r="H1902" i="2"/>
  <c r="J1902" i="2" s="1"/>
  <c r="H1903" i="2" l="1"/>
  <c r="E1903" i="2"/>
  <c r="G1903" i="2"/>
  <c r="I1903" i="2"/>
  <c r="D1903" i="2"/>
  <c r="F1903" i="2"/>
  <c r="C1903" i="2"/>
  <c r="J1903" i="2" l="1"/>
  <c r="E1904" i="2"/>
  <c r="D1904" i="2"/>
  <c r="I1904" i="2"/>
  <c r="G1904" i="2"/>
  <c r="H1904" i="2"/>
  <c r="F1904" i="2"/>
  <c r="C1904" i="2"/>
  <c r="J1904" i="2" l="1"/>
  <c r="G1905" i="2"/>
  <c r="F1905" i="2"/>
  <c r="E1905" i="2"/>
  <c r="I1905" i="2"/>
  <c r="H1905" i="2"/>
  <c r="D1905" i="2"/>
  <c r="C1905" i="2"/>
  <c r="J1905" i="2" l="1"/>
  <c r="I1906" i="2"/>
  <c r="H1906" i="2"/>
  <c r="G1906" i="2"/>
  <c r="E1906" i="2"/>
  <c r="F1906" i="2"/>
  <c r="D1906" i="2"/>
  <c r="C1906" i="2"/>
  <c r="J1906" i="2" l="1"/>
  <c r="I1907" i="2"/>
  <c r="G1907" i="2"/>
  <c r="E1907" i="2"/>
  <c r="F1907" i="2"/>
  <c r="D1907" i="2"/>
  <c r="H1907" i="2"/>
  <c r="C1907" i="2"/>
  <c r="J1907" i="2" l="1"/>
  <c r="E1908" i="2"/>
  <c r="E1909" i="2" s="1"/>
  <c r="D1908" i="2"/>
  <c r="D1909" i="2" s="1"/>
  <c r="I1908" i="2"/>
  <c r="I1909" i="2" s="1"/>
  <c r="G1908" i="2"/>
  <c r="G1909" i="2" s="1"/>
  <c r="H1908" i="2"/>
  <c r="F1908" i="2"/>
  <c r="F1909" i="2" s="1"/>
  <c r="C1908" i="2"/>
  <c r="C1909" i="2" s="1"/>
  <c r="J1908" i="2" l="1"/>
  <c r="D1910" i="2"/>
  <c r="H1909" i="2"/>
  <c r="J1909" i="2" s="1"/>
  <c r="C1910" i="2"/>
  <c r="H1910" i="2" l="1"/>
  <c r="J1910" i="2" s="1"/>
  <c r="E1910" i="2"/>
  <c r="I1910" i="2"/>
  <c r="G1910" i="2"/>
  <c r="F1910" i="2"/>
  <c r="G1911" i="2" l="1"/>
  <c r="F1911" i="2"/>
  <c r="E1911" i="2"/>
  <c r="I1911" i="2"/>
  <c r="D1911" i="2"/>
  <c r="H1911" i="2"/>
  <c r="C1911" i="2"/>
  <c r="J1911" i="2" l="1"/>
  <c r="I1912" i="2"/>
  <c r="H1912" i="2"/>
  <c r="G1912" i="2"/>
  <c r="E1912" i="2"/>
  <c r="F1912" i="2"/>
  <c r="D1912" i="2"/>
  <c r="C1912" i="2"/>
  <c r="J1912" i="2" l="1"/>
  <c r="I1913" i="2"/>
  <c r="G1913" i="2"/>
  <c r="E1913" i="2"/>
  <c r="D1913" i="2"/>
  <c r="H1913" i="2"/>
  <c r="F1913" i="2"/>
  <c r="C1913" i="2"/>
  <c r="J1913" i="2" l="1"/>
  <c r="E1914" i="2"/>
  <c r="D1914" i="2"/>
  <c r="I1914" i="2"/>
  <c r="G1914" i="2"/>
  <c r="H1914" i="2"/>
  <c r="F1914" i="2"/>
  <c r="C1914" i="2"/>
  <c r="J1914" i="2" l="1"/>
  <c r="G1915" i="2"/>
  <c r="G1916" i="2" s="1"/>
  <c r="F1915" i="2"/>
  <c r="F1916" i="2" s="1"/>
  <c r="E1915" i="2"/>
  <c r="E1916" i="2" s="1"/>
  <c r="I1915" i="2"/>
  <c r="I1916" i="2" s="1"/>
  <c r="H1915" i="2"/>
  <c r="D1915" i="2"/>
  <c r="D1916" i="2" s="1"/>
  <c r="C1915" i="2"/>
  <c r="C1916" i="2" s="1"/>
  <c r="J1915" i="2" l="1"/>
  <c r="H1916" i="2"/>
  <c r="J1916" i="2" s="1"/>
  <c r="H1917" i="2" l="1"/>
  <c r="G1917" i="2"/>
  <c r="F1917" i="2"/>
  <c r="E1917" i="2"/>
  <c r="I1917" i="2"/>
  <c r="D1917" i="2"/>
  <c r="C1917" i="2"/>
  <c r="J1917" i="2" l="1"/>
  <c r="I1918" i="2"/>
  <c r="H1918" i="2"/>
  <c r="G1918" i="2"/>
  <c r="E1918" i="2"/>
  <c r="F1918" i="2"/>
  <c r="D1918" i="2"/>
  <c r="C1918" i="2"/>
  <c r="J1918" i="2" l="1"/>
  <c r="I1919" i="2"/>
  <c r="G1919" i="2"/>
  <c r="E1919" i="2"/>
  <c r="D1919" i="2"/>
  <c r="H1919" i="2"/>
  <c r="F1919" i="2"/>
  <c r="C1919" i="2"/>
  <c r="J1919" i="2" l="1"/>
  <c r="E1920" i="2"/>
  <c r="D1920" i="2"/>
  <c r="I1920" i="2"/>
  <c r="G1920" i="2"/>
  <c r="F1920" i="2"/>
  <c r="H1920" i="2"/>
  <c r="C1920" i="2"/>
  <c r="J1920" i="2" l="1"/>
  <c r="G1921" i="2"/>
  <c r="F1921" i="2"/>
  <c r="E1921" i="2"/>
  <c r="I1921" i="2"/>
  <c r="H1921" i="2"/>
  <c r="D1921" i="2"/>
  <c r="C1921" i="2"/>
  <c r="J1921" i="2" l="1"/>
  <c r="I1922" i="2"/>
  <c r="I1923" i="2" s="1"/>
  <c r="H1922" i="2"/>
  <c r="G1922" i="2"/>
  <c r="G1923" i="2" s="1"/>
  <c r="E1922" i="2"/>
  <c r="E1923" i="2" s="1"/>
  <c r="D1922" i="2"/>
  <c r="D1923" i="2" s="1"/>
  <c r="F1922" i="2"/>
  <c r="F1923" i="2" s="1"/>
  <c r="C1922" i="2"/>
  <c r="C1923" i="2" s="1"/>
  <c r="J1922" i="2" l="1"/>
  <c r="H1923" i="2"/>
  <c r="J1923" i="2" s="1"/>
  <c r="C1924" i="2"/>
  <c r="H1924" i="2" l="1"/>
  <c r="J1924" i="2" s="1"/>
  <c r="D1924" i="2"/>
  <c r="I1924" i="2"/>
  <c r="G1924" i="2"/>
  <c r="E1924" i="2"/>
  <c r="F1924" i="2"/>
  <c r="I1925" i="2" l="1"/>
  <c r="G1925" i="2"/>
  <c r="E1925" i="2"/>
  <c r="H1925" i="2"/>
  <c r="F1925" i="2"/>
  <c r="D1925" i="2"/>
  <c r="C1925" i="2"/>
  <c r="J1925" i="2" l="1"/>
  <c r="E1926" i="2"/>
  <c r="D1926" i="2"/>
  <c r="I1926" i="2"/>
  <c r="G1926" i="2"/>
  <c r="H1926" i="2"/>
  <c r="F1926" i="2"/>
  <c r="C1926" i="2"/>
  <c r="J1926" i="2" l="1"/>
  <c r="G1927" i="2"/>
  <c r="F1927" i="2"/>
  <c r="E1927" i="2"/>
  <c r="I1927" i="2"/>
  <c r="H1927" i="2"/>
  <c r="D1927" i="2"/>
  <c r="C1927" i="2"/>
  <c r="J1927" i="2" l="1"/>
  <c r="I1928" i="2"/>
  <c r="H1928" i="2"/>
  <c r="G1928" i="2"/>
  <c r="E1928" i="2"/>
  <c r="D1928" i="2"/>
  <c r="F1928" i="2"/>
  <c r="C1928" i="2"/>
  <c r="J1928" i="2" l="1"/>
  <c r="I1929" i="2"/>
  <c r="I1930" i="2" s="1"/>
  <c r="G1929" i="2"/>
  <c r="G1930" i="2" s="1"/>
  <c r="E1929" i="2"/>
  <c r="E1930" i="2" s="1"/>
  <c r="F1929" i="2"/>
  <c r="F1930" i="2" s="1"/>
  <c r="D1929" i="2"/>
  <c r="D1930" i="2" s="1"/>
  <c r="H1929" i="2"/>
  <c r="C1929" i="2"/>
  <c r="C1930" i="2" s="1"/>
  <c r="J1929" i="2" l="1"/>
  <c r="I1931" i="2"/>
  <c r="H1930" i="2"/>
  <c r="J1930" i="2" s="1"/>
  <c r="H1931" i="2" l="1"/>
  <c r="G1931" i="2"/>
  <c r="E1931" i="2"/>
  <c r="F1931" i="2"/>
  <c r="D1931" i="2"/>
  <c r="C1931" i="2"/>
  <c r="J1931" i="2" l="1"/>
  <c r="E1932" i="2"/>
  <c r="D1932" i="2"/>
  <c r="I1932" i="2"/>
  <c r="G1932" i="2"/>
  <c r="H1932" i="2"/>
  <c r="F1932" i="2"/>
  <c r="C1932" i="2"/>
  <c r="J1932" i="2" l="1"/>
  <c r="G1933" i="2"/>
  <c r="F1933" i="2"/>
  <c r="E1933" i="2"/>
  <c r="I1933" i="2"/>
  <c r="D1933" i="2"/>
  <c r="H1933" i="2"/>
  <c r="C1933" i="2"/>
  <c r="J1933" i="2" l="1"/>
  <c r="I1934" i="2"/>
  <c r="H1934" i="2"/>
  <c r="G1934" i="2"/>
  <c r="E1934" i="2"/>
  <c r="F1934" i="2"/>
  <c r="D1934" i="2"/>
  <c r="C1934" i="2"/>
  <c r="J1934" i="2" l="1"/>
  <c r="I1935" i="2"/>
  <c r="G1935" i="2"/>
  <c r="E1935" i="2"/>
  <c r="H1935" i="2"/>
  <c r="D1935" i="2"/>
  <c r="F1935" i="2"/>
  <c r="C1935" i="2"/>
  <c r="J1935" i="2" l="1"/>
  <c r="E1936" i="2"/>
  <c r="E1937" i="2" s="1"/>
  <c r="D1936" i="2"/>
  <c r="D1937" i="2" s="1"/>
  <c r="I1936" i="2"/>
  <c r="I1937" i="2" s="1"/>
  <c r="G1936" i="2"/>
  <c r="G1937" i="2" s="1"/>
  <c r="H1936" i="2"/>
  <c r="F1936" i="2"/>
  <c r="F1937" i="2" s="1"/>
  <c r="C1936" i="2"/>
  <c r="C1937" i="2" s="1"/>
  <c r="J1936" i="2" l="1"/>
  <c r="H1937" i="2"/>
  <c r="J1937" i="2" s="1"/>
  <c r="C1938" i="2"/>
  <c r="H1938" i="2" l="1"/>
  <c r="J1938" i="2" s="1"/>
  <c r="G1938" i="2"/>
  <c r="E1938" i="2"/>
  <c r="D1938" i="2"/>
  <c r="I1938" i="2"/>
  <c r="F1938" i="2"/>
  <c r="G1939" i="2" l="1"/>
  <c r="F1939" i="2"/>
  <c r="E1939" i="2"/>
  <c r="I1939" i="2"/>
  <c r="D1939" i="2"/>
  <c r="H1939" i="2"/>
  <c r="C1939" i="2"/>
  <c r="J1939" i="2" l="1"/>
  <c r="I1940" i="2"/>
  <c r="H1940" i="2"/>
  <c r="G1940" i="2"/>
  <c r="E1940" i="2"/>
  <c r="F1940" i="2"/>
  <c r="D1940" i="2"/>
  <c r="C1940" i="2"/>
  <c r="I1941" i="2" l="1"/>
  <c r="G1941" i="2"/>
  <c r="E1941" i="2"/>
  <c r="H1941" i="2"/>
  <c r="F1941" i="2"/>
  <c r="D1941" i="2"/>
  <c r="C1941" i="2"/>
  <c r="J1940" i="2"/>
  <c r="J1941" i="2" l="1"/>
  <c r="E1942" i="2"/>
  <c r="D1942" i="2"/>
  <c r="I1942" i="2"/>
  <c r="G1942" i="2"/>
  <c r="F1942" i="2"/>
  <c r="H1942" i="2"/>
  <c r="C1942" i="2"/>
  <c r="J1942" i="2" l="1"/>
  <c r="G1943" i="2"/>
  <c r="G1944" i="2" s="1"/>
  <c r="G1945" i="2" s="1"/>
  <c r="F1943" i="2"/>
  <c r="F1944" i="2" s="1"/>
  <c r="F1945" i="2" s="1"/>
  <c r="E1943" i="2"/>
  <c r="E1944" i="2" s="1"/>
  <c r="E1945" i="2" s="1"/>
  <c r="I1943" i="2"/>
  <c r="I1944" i="2" s="1"/>
  <c r="I1945" i="2" s="1"/>
  <c r="H1943" i="2"/>
  <c r="D1943" i="2"/>
  <c r="D1944" i="2" s="1"/>
  <c r="D1945" i="2" s="1"/>
  <c r="C1943" i="2"/>
  <c r="C1944" i="2" s="1"/>
  <c r="C1945" i="2" s="1"/>
  <c r="H1944" i="2" l="1"/>
  <c r="J1944" i="2" s="1"/>
  <c r="J1943" i="2"/>
  <c r="H1945" i="2" l="1"/>
  <c r="J1945" i="2" s="1"/>
  <c r="I1946" i="2"/>
  <c r="H1946" i="2"/>
  <c r="G1946" i="2"/>
  <c r="E1946" i="2"/>
  <c r="D1946" i="2"/>
  <c r="F1946" i="2"/>
  <c r="C1946" i="2"/>
  <c r="J1946" i="2" l="1"/>
  <c r="I1947" i="2"/>
  <c r="G1947" i="2"/>
  <c r="E1947" i="2"/>
  <c r="H1947" i="2"/>
  <c r="F1947" i="2"/>
  <c r="D1947" i="2"/>
  <c r="C1947" i="2"/>
  <c r="J1947" i="2" l="1"/>
  <c r="E1948" i="2"/>
  <c r="D1948" i="2"/>
  <c r="I1948" i="2"/>
  <c r="G1948" i="2"/>
  <c r="F1948" i="2"/>
  <c r="H1948" i="2"/>
  <c r="C1948" i="2"/>
  <c r="J1948" i="2" l="1"/>
  <c r="G1949" i="2"/>
  <c r="F1949" i="2"/>
  <c r="E1949" i="2"/>
  <c r="I1949" i="2"/>
  <c r="H1949" i="2"/>
  <c r="D1949" i="2"/>
  <c r="C1949" i="2"/>
  <c r="J1949" i="2" l="1"/>
  <c r="I1950" i="2"/>
  <c r="I1951" i="2" s="1"/>
  <c r="H1950" i="2"/>
  <c r="G1950" i="2"/>
  <c r="G1951" i="2" s="1"/>
  <c r="E1950" i="2"/>
  <c r="E1951" i="2" s="1"/>
  <c r="F1950" i="2"/>
  <c r="F1951" i="2" s="1"/>
  <c r="D1950" i="2"/>
  <c r="D1951" i="2" s="1"/>
  <c r="C1950" i="2"/>
  <c r="C1951" i="2" s="1"/>
  <c r="J1950" i="2" l="1"/>
  <c r="D1952" i="2"/>
  <c r="H1951" i="2"/>
  <c r="J1951" i="2" s="1"/>
  <c r="H1952" i="2" l="1"/>
  <c r="I1952" i="2"/>
  <c r="F1952" i="2"/>
  <c r="G1952" i="2"/>
  <c r="E1952" i="2"/>
  <c r="C1952" i="2"/>
  <c r="J1952" i="2" l="1"/>
  <c r="I1953" i="2"/>
  <c r="G1953" i="2"/>
  <c r="E1953" i="2"/>
  <c r="F1953" i="2"/>
  <c r="D1953" i="2"/>
  <c r="H1953" i="2"/>
  <c r="C1953" i="2"/>
  <c r="J1953" i="2" l="1"/>
  <c r="E1954" i="2"/>
  <c r="D1954" i="2"/>
  <c r="I1954" i="2"/>
  <c r="G1954" i="2"/>
  <c r="H1954" i="2"/>
  <c r="F1954" i="2"/>
  <c r="C1954" i="2"/>
  <c r="J1954" i="2" l="1"/>
  <c r="G1955" i="2"/>
  <c r="F1955" i="2"/>
  <c r="E1955" i="2"/>
  <c r="I1955" i="2"/>
  <c r="D1955" i="2"/>
  <c r="H1955" i="2"/>
  <c r="C1955" i="2"/>
  <c r="J1955" i="2" l="1"/>
  <c r="I1956" i="2"/>
  <c r="H1956" i="2"/>
  <c r="G1956" i="2"/>
  <c r="E1956" i="2"/>
  <c r="F1956" i="2"/>
  <c r="D1956" i="2"/>
  <c r="C1956" i="2"/>
  <c r="J1956" i="2" l="1"/>
  <c r="I1957" i="2"/>
  <c r="I1958" i="2" s="1"/>
  <c r="I1959" i="2" s="1"/>
  <c r="G1957" i="2"/>
  <c r="G1958" i="2" s="1"/>
  <c r="G1959" i="2" s="1"/>
  <c r="E1957" i="2"/>
  <c r="E1958" i="2" s="1"/>
  <c r="E1959" i="2" s="1"/>
  <c r="D1957" i="2"/>
  <c r="D1958" i="2" s="1"/>
  <c r="D1959" i="2" s="1"/>
  <c r="F1957" i="2"/>
  <c r="F1958" i="2" s="1"/>
  <c r="F1959" i="2" s="1"/>
  <c r="H1957" i="2"/>
  <c r="C1957" i="2"/>
  <c r="C1958" i="2" s="1"/>
  <c r="C1959" i="2" s="1"/>
  <c r="H1958" i="2" l="1"/>
  <c r="J1958" i="2" s="1"/>
  <c r="J1957" i="2"/>
  <c r="H1959" i="2" l="1"/>
  <c r="J1959" i="2" s="1"/>
  <c r="E1960" i="2"/>
  <c r="D1960" i="2"/>
  <c r="I1960" i="2"/>
  <c r="G1960" i="2"/>
  <c r="H1960" i="2"/>
  <c r="F1960" i="2"/>
  <c r="C1960" i="2"/>
  <c r="J1960" i="2" l="1"/>
  <c r="G1961" i="2"/>
  <c r="F1961" i="2"/>
  <c r="E1961" i="2"/>
  <c r="I1961" i="2"/>
  <c r="H1961" i="2"/>
  <c r="D1961" i="2"/>
  <c r="C1961" i="2"/>
  <c r="J1961" i="2" l="1"/>
  <c r="I1962" i="2"/>
  <c r="H1962" i="2"/>
  <c r="G1962" i="2"/>
  <c r="E1962" i="2"/>
  <c r="F1962" i="2"/>
  <c r="D1962" i="2"/>
  <c r="C1962" i="2"/>
  <c r="J1962" i="2" l="1"/>
  <c r="I1963" i="2"/>
  <c r="G1963" i="2"/>
  <c r="E1963" i="2"/>
  <c r="H1963" i="2"/>
  <c r="F1963" i="2"/>
  <c r="D1963" i="2"/>
  <c r="C1963" i="2"/>
  <c r="J1963" i="2" l="1"/>
  <c r="E1964" i="2"/>
  <c r="E1965" i="2" s="1"/>
  <c r="D1964" i="2"/>
  <c r="D1965" i="2" s="1"/>
  <c r="I1964" i="2"/>
  <c r="I1965" i="2" s="1"/>
  <c r="G1964" i="2"/>
  <c r="G1965" i="2" s="1"/>
  <c r="F1964" i="2"/>
  <c r="F1965" i="2" s="1"/>
  <c r="H1964" i="2"/>
  <c r="C1964" i="2"/>
  <c r="C1965" i="2" s="1"/>
  <c r="J1964" i="2" l="1"/>
  <c r="H1965" i="2"/>
  <c r="J1965" i="2" s="1"/>
  <c r="H1966" i="2" l="1"/>
  <c r="E1966" i="2"/>
  <c r="D1966" i="2"/>
  <c r="I1966" i="2"/>
  <c r="G1966" i="2"/>
  <c r="F1966" i="2"/>
  <c r="C1966" i="2"/>
  <c r="J1966" i="2" l="1"/>
  <c r="G1967" i="2"/>
  <c r="F1967" i="2"/>
  <c r="E1967" i="2"/>
  <c r="I1967" i="2"/>
  <c r="H1967" i="2"/>
  <c r="D1967" i="2"/>
  <c r="C1967" i="2"/>
  <c r="J1967" i="2" l="1"/>
  <c r="I1968" i="2"/>
  <c r="H1968" i="2"/>
  <c r="G1968" i="2"/>
  <c r="E1968" i="2"/>
  <c r="D1968" i="2"/>
  <c r="F1968" i="2"/>
  <c r="C1968" i="2"/>
  <c r="J1968" i="2" l="1"/>
  <c r="I1969" i="2"/>
  <c r="G1969" i="2"/>
  <c r="E1969" i="2"/>
  <c r="H1969" i="2"/>
  <c r="F1969" i="2"/>
  <c r="D1969" i="2"/>
  <c r="C1969" i="2"/>
  <c r="J1969" i="2" l="1"/>
  <c r="E1970" i="2"/>
  <c r="D1970" i="2"/>
  <c r="I1970" i="2"/>
  <c r="G1970" i="2"/>
  <c r="H1970" i="2"/>
  <c r="F1970" i="2"/>
  <c r="C1970" i="2"/>
  <c r="J1970" i="2" l="1"/>
  <c r="G1971" i="2"/>
  <c r="G1972" i="2" s="1"/>
  <c r="F1971" i="2"/>
  <c r="F1972" i="2" s="1"/>
  <c r="E1971" i="2"/>
  <c r="E1972" i="2" s="1"/>
  <c r="I1971" i="2"/>
  <c r="I1972" i="2" s="1"/>
  <c r="H1971" i="2"/>
  <c r="D1971" i="2"/>
  <c r="D1972" i="2" s="1"/>
  <c r="C1971" i="2"/>
  <c r="C1972" i="2" s="1"/>
  <c r="J1971" i="2" l="1"/>
  <c r="E1973" i="2"/>
  <c r="H1972" i="2"/>
  <c r="J1972" i="2" s="1"/>
  <c r="C1973" i="2"/>
  <c r="G1973" i="2" l="1"/>
  <c r="H1973" i="2"/>
  <c r="J1973" i="2" s="1"/>
  <c r="I1973" i="2"/>
  <c r="F1973" i="2"/>
  <c r="D1973" i="2"/>
  <c r="I1974" i="2" l="1"/>
  <c r="H1974" i="2"/>
  <c r="G1974" i="2"/>
  <c r="E1974" i="2"/>
  <c r="D1974" i="2"/>
  <c r="F1974" i="2"/>
  <c r="C1974" i="2"/>
  <c r="J1974" i="2" l="1"/>
  <c r="I1975" i="2"/>
  <c r="G1975" i="2"/>
  <c r="E1975" i="2"/>
  <c r="F1975" i="2"/>
  <c r="D1975" i="2"/>
  <c r="H1975" i="2"/>
  <c r="C1975" i="2"/>
  <c r="J1975" i="2" l="1"/>
  <c r="E1976" i="2"/>
  <c r="D1976" i="2"/>
  <c r="I1976" i="2"/>
  <c r="G1976" i="2"/>
  <c r="H1976" i="2"/>
  <c r="F1976" i="2"/>
  <c r="C1976" i="2"/>
  <c r="J1976" i="2" l="1"/>
  <c r="G1977" i="2"/>
  <c r="F1977" i="2"/>
  <c r="E1977" i="2"/>
  <c r="I1977" i="2"/>
  <c r="D1977" i="2"/>
  <c r="H1977" i="2"/>
  <c r="C1977" i="2"/>
  <c r="J1977" i="2" l="1"/>
  <c r="I1978" i="2"/>
  <c r="I1979" i="2" s="1"/>
  <c r="H1978" i="2"/>
  <c r="G1978" i="2"/>
  <c r="G1979" i="2" s="1"/>
  <c r="E1978" i="2"/>
  <c r="E1979" i="2" s="1"/>
  <c r="F1978" i="2"/>
  <c r="F1979" i="2" s="1"/>
  <c r="D1978" i="2"/>
  <c r="D1979" i="2" s="1"/>
  <c r="C1978" i="2"/>
  <c r="C1979" i="2" s="1"/>
  <c r="J1978" i="2" l="1"/>
  <c r="I1980" i="2"/>
  <c r="H1979" i="2"/>
  <c r="J1979" i="2" s="1"/>
  <c r="D1980" i="2" l="1"/>
  <c r="H1980" i="2"/>
  <c r="F1980" i="2"/>
  <c r="G1980" i="2"/>
  <c r="E1980" i="2"/>
  <c r="C1980" i="2"/>
  <c r="J1980" i="2" l="1"/>
  <c r="I1981" i="2"/>
  <c r="G1981" i="2"/>
  <c r="E1981" i="2"/>
  <c r="H1981" i="2"/>
  <c r="D1981" i="2"/>
  <c r="F1981" i="2"/>
  <c r="C1981" i="2"/>
  <c r="J1981" i="2" l="1"/>
  <c r="I1982" i="2"/>
  <c r="G1982" i="2"/>
  <c r="E1982" i="2"/>
  <c r="D1982" i="2"/>
  <c r="H1982" i="2"/>
  <c r="F1982" i="2"/>
  <c r="C1982" i="2"/>
  <c r="J1982" i="2" l="1"/>
  <c r="G1983" i="2"/>
  <c r="I1983" i="2"/>
  <c r="H1983" i="2"/>
  <c r="E1983" i="2"/>
  <c r="D1983" i="2"/>
  <c r="F1983" i="2"/>
  <c r="C1983" i="2"/>
  <c r="J1983" i="2" l="1"/>
  <c r="I1984" i="2"/>
  <c r="E1984" i="2"/>
  <c r="F1984" i="2"/>
  <c r="D1984" i="2"/>
  <c r="H1984" i="2"/>
  <c r="G1984" i="2"/>
  <c r="C1984" i="2"/>
  <c r="J1984" i="2" l="1"/>
  <c r="G1985" i="2"/>
  <c r="G1986" i="2" s="1"/>
  <c r="E1985" i="2"/>
  <c r="E1986" i="2" s="1"/>
  <c r="I1985" i="2"/>
  <c r="I1986" i="2" s="1"/>
  <c r="F1985" i="2"/>
  <c r="F1986" i="2" s="1"/>
  <c r="H1985" i="2"/>
  <c r="D1985" i="2"/>
  <c r="D1986" i="2" s="1"/>
  <c r="C1985" i="2"/>
  <c r="C1986" i="2" s="1"/>
  <c r="J1985" i="2" l="1"/>
  <c r="H1986" i="2"/>
  <c r="J1986" i="2" s="1"/>
  <c r="H1987" i="2" l="1"/>
  <c r="G1987" i="2"/>
  <c r="D1987" i="2"/>
  <c r="E1987" i="2"/>
  <c r="I1987" i="2"/>
  <c r="F1987" i="2"/>
  <c r="C1987" i="2"/>
  <c r="J1987" i="2" l="1"/>
  <c r="E1988" i="2"/>
  <c r="I1988" i="2"/>
  <c r="G1988" i="2"/>
  <c r="F1988" i="2"/>
  <c r="D1988" i="2"/>
  <c r="H1988" i="2"/>
  <c r="C1988" i="2"/>
  <c r="J1988" i="2" l="1"/>
  <c r="G1989" i="2"/>
  <c r="I1989" i="2"/>
  <c r="F1989" i="2"/>
  <c r="D1989" i="2"/>
  <c r="H1989" i="2"/>
  <c r="E1989" i="2"/>
  <c r="C1989" i="2"/>
  <c r="J1989" i="2" l="1"/>
  <c r="I1990" i="2"/>
  <c r="E1990" i="2"/>
  <c r="G1990" i="2"/>
  <c r="F1990" i="2"/>
  <c r="D1990" i="2"/>
  <c r="H1990" i="2"/>
  <c r="C1990" i="2"/>
  <c r="J1990" i="2" l="1"/>
  <c r="G1991" i="2"/>
  <c r="E1991" i="2"/>
  <c r="H1991" i="2"/>
  <c r="D1991" i="2"/>
  <c r="I1991" i="2"/>
  <c r="F1991" i="2"/>
  <c r="C1991" i="2"/>
  <c r="J1991" i="2" l="1"/>
  <c r="E1992" i="2"/>
  <c r="E1993" i="2" s="1"/>
  <c r="I1992" i="2"/>
  <c r="I1993" i="2" s="1"/>
  <c r="G1992" i="2"/>
  <c r="G1993" i="2" s="1"/>
  <c r="H1992" i="2"/>
  <c r="F1992" i="2"/>
  <c r="F1993" i="2" s="1"/>
  <c r="D1992" i="2"/>
  <c r="D1993" i="2" s="1"/>
  <c r="C1992" i="2"/>
  <c r="C1993" i="2" s="1"/>
  <c r="J1992" i="2" l="1"/>
  <c r="H1993" i="2"/>
  <c r="J1993" i="2" s="1"/>
  <c r="C1994" i="2"/>
  <c r="H1994" i="2" l="1"/>
  <c r="J1994" i="2" s="1"/>
  <c r="E1994" i="2"/>
  <c r="I1994" i="2"/>
  <c r="G1994" i="2"/>
  <c r="F1994" i="2"/>
  <c r="D1994" i="2"/>
  <c r="G1995" i="2" l="1"/>
  <c r="I1995" i="2"/>
  <c r="H1995" i="2"/>
  <c r="E1995" i="2"/>
  <c r="F1995" i="2"/>
  <c r="D1995" i="2"/>
  <c r="C1995" i="2"/>
  <c r="J1995" i="2" l="1"/>
  <c r="I1996" i="2"/>
  <c r="E1996" i="2"/>
  <c r="H1996" i="2"/>
  <c r="G1996" i="2"/>
  <c r="F1996" i="2"/>
  <c r="D1996" i="2"/>
  <c r="C1996" i="2"/>
  <c r="J1996" i="2" l="1"/>
  <c r="G1997" i="2"/>
  <c r="E1997" i="2"/>
  <c r="I1997" i="2"/>
  <c r="F1997" i="2"/>
  <c r="H1997" i="2"/>
  <c r="D1997" i="2"/>
  <c r="C1997" i="2"/>
  <c r="J1997" i="2" l="1"/>
  <c r="E1998" i="2"/>
  <c r="I1998" i="2"/>
  <c r="G1998" i="2"/>
  <c r="H1998" i="2"/>
  <c r="F1998" i="2"/>
  <c r="D1998" i="2"/>
  <c r="C1998" i="2"/>
  <c r="J1998" i="2" l="1"/>
  <c r="G1999" i="2"/>
  <c r="G2000" i="2" s="1"/>
  <c r="I1999" i="2"/>
  <c r="I2000" i="2" s="1"/>
  <c r="D1999" i="2"/>
  <c r="D2000" i="2" s="1"/>
  <c r="F1999" i="2"/>
  <c r="F2000" i="2" s="1"/>
  <c r="E1999" i="2"/>
  <c r="E2000" i="2" s="1"/>
  <c r="H1999" i="2"/>
  <c r="C1999" i="2"/>
  <c r="C2000" i="2" s="1"/>
  <c r="J1999" i="2" l="1"/>
  <c r="H2000" i="2"/>
  <c r="J2000" i="2" s="1"/>
  <c r="H2001" i="2" l="1"/>
  <c r="G2001" i="2"/>
  <c r="I2001" i="2"/>
  <c r="D2001" i="2"/>
  <c r="F2001" i="2"/>
  <c r="E2001" i="2"/>
  <c r="C2001" i="2"/>
  <c r="J2001" i="2" l="1"/>
  <c r="I2002" i="2"/>
  <c r="E2002" i="2"/>
  <c r="H2002" i="2"/>
  <c r="G2002" i="2"/>
  <c r="D2002" i="2"/>
  <c r="F2002" i="2"/>
  <c r="C2002" i="2"/>
  <c r="J2002" i="2" l="1"/>
  <c r="G2003" i="2"/>
  <c r="E2003" i="2"/>
  <c r="D2003" i="2"/>
  <c r="H2003" i="2"/>
  <c r="F2003" i="2"/>
  <c r="I2003" i="2"/>
  <c r="C2003" i="2"/>
  <c r="J2003" i="2" l="1"/>
  <c r="E2004" i="2"/>
  <c r="I2004" i="2"/>
  <c r="G2004" i="2"/>
  <c r="H2004" i="2"/>
  <c r="D2004" i="2"/>
  <c r="F2004" i="2"/>
  <c r="C2004" i="2"/>
  <c r="J2004" i="2" l="1"/>
  <c r="G2005" i="2"/>
  <c r="I2005" i="2"/>
  <c r="E2005" i="2"/>
  <c r="D2005" i="2"/>
  <c r="H2005" i="2"/>
  <c r="F2005" i="2"/>
  <c r="C2005" i="2"/>
  <c r="J2005" i="2" l="1"/>
  <c r="I2006" i="2"/>
  <c r="I2007" i="2" s="1"/>
  <c r="I2008" i="2" s="1"/>
  <c r="E2006" i="2"/>
  <c r="E2007" i="2" s="1"/>
  <c r="E2008" i="2" s="1"/>
  <c r="D2006" i="2"/>
  <c r="D2007" i="2" s="1"/>
  <c r="D2008" i="2" s="1"/>
  <c r="G2006" i="2"/>
  <c r="G2007" i="2" s="1"/>
  <c r="G2008" i="2" s="1"/>
  <c r="F2006" i="2"/>
  <c r="F2007" i="2" s="1"/>
  <c r="F2008" i="2" s="1"/>
  <c r="H2006" i="2"/>
  <c r="C2006" i="2"/>
  <c r="C2007" i="2" s="1"/>
  <c r="C2008" i="2" s="1"/>
  <c r="H2007" i="2" l="1"/>
  <c r="J2007" i="2" s="1"/>
  <c r="J2006" i="2"/>
  <c r="H2008" i="2" l="1"/>
  <c r="J2008" i="2" s="1"/>
  <c r="G2009" i="2"/>
  <c r="E2009" i="2"/>
  <c r="I2009" i="2"/>
  <c r="H2009" i="2"/>
  <c r="F2009" i="2"/>
  <c r="D2009" i="2"/>
  <c r="C2009" i="2"/>
  <c r="J2009" i="2" l="1"/>
  <c r="E2010" i="2"/>
  <c r="I2010" i="2"/>
  <c r="G2010" i="2"/>
  <c r="D2010" i="2"/>
  <c r="H2010" i="2"/>
  <c r="F2010" i="2"/>
  <c r="C2010" i="2"/>
  <c r="J2010" i="2" l="1"/>
  <c r="G2011" i="2"/>
  <c r="I2011" i="2"/>
  <c r="H2011" i="2"/>
  <c r="E2011" i="2"/>
  <c r="F2011" i="2"/>
  <c r="D2011" i="2"/>
  <c r="C2011" i="2"/>
  <c r="J2011" i="2" l="1"/>
  <c r="I2012" i="2"/>
  <c r="E2012" i="2"/>
  <c r="F2012" i="2"/>
  <c r="D2012" i="2"/>
  <c r="H2012" i="2"/>
  <c r="G2012" i="2"/>
  <c r="C2012" i="2"/>
  <c r="J2012" i="2" l="1"/>
  <c r="G2013" i="2"/>
  <c r="G2014" i="2" s="1"/>
  <c r="E2013" i="2"/>
  <c r="E2014" i="2" s="1"/>
  <c r="I2013" i="2"/>
  <c r="I2014" i="2" s="1"/>
  <c r="F2013" i="2"/>
  <c r="F2014" i="2" s="1"/>
  <c r="H2013" i="2"/>
  <c r="D2013" i="2"/>
  <c r="D2014" i="2" s="1"/>
  <c r="C2013" i="2"/>
  <c r="C2014" i="2" s="1"/>
  <c r="J2013" i="2" l="1"/>
  <c r="H2014" i="2"/>
  <c r="J2014" i="2" s="1"/>
  <c r="H2015" i="2" l="1"/>
  <c r="G2015" i="2"/>
  <c r="E2015" i="2"/>
  <c r="I2015" i="2"/>
  <c r="F2015" i="2"/>
  <c r="D2015" i="2"/>
  <c r="C2015" i="2"/>
  <c r="J2015" i="2" l="1"/>
  <c r="E2016" i="2"/>
  <c r="I2016" i="2"/>
  <c r="G2016" i="2"/>
  <c r="F2016" i="2"/>
  <c r="D2016" i="2"/>
  <c r="H2016" i="2"/>
  <c r="C2016" i="2"/>
  <c r="J2016" i="2" l="1"/>
  <c r="G2017" i="2"/>
  <c r="I2017" i="2"/>
  <c r="F2017" i="2"/>
  <c r="E2017" i="2"/>
  <c r="D2017" i="2"/>
  <c r="H2017" i="2"/>
  <c r="C2017" i="2"/>
  <c r="J2017" i="2" l="1"/>
  <c r="I2018" i="2"/>
  <c r="E2018" i="2"/>
  <c r="G2018" i="2"/>
  <c r="F2018" i="2"/>
  <c r="D2018" i="2"/>
  <c r="H2018" i="2"/>
  <c r="C2018" i="2"/>
  <c r="J2018" i="2" l="1"/>
  <c r="G2019" i="2"/>
  <c r="E2019" i="2"/>
  <c r="I2019" i="2"/>
  <c r="H2019" i="2"/>
  <c r="D2019" i="2"/>
  <c r="F2019" i="2"/>
  <c r="C2019" i="2"/>
  <c r="J2019" i="2" l="1"/>
  <c r="E2020" i="2"/>
  <c r="E2021" i="2" s="1"/>
  <c r="E2022" i="2" s="1"/>
  <c r="I2020" i="2"/>
  <c r="I2021" i="2" s="1"/>
  <c r="I2022" i="2" s="1"/>
  <c r="G2020" i="2"/>
  <c r="G2021" i="2" s="1"/>
  <c r="G2022" i="2" s="1"/>
  <c r="H2020" i="2"/>
  <c r="F2020" i="2"/>
  <c r="F2021" i="2" s="1"/>
  <c r="F2022" i="2" s="1"/>
  <c r="D2020" i="2"/>
  <c r="D2021" i="2" s="1"/>
  <c r="D2022" i="2" s="1"/>
  <c r="C2020" i="2"/>
  <c r="C2021" i="2" s="1"/>
  <c r="C2022" i="2" s="1"/>
  <c r="H2021" i="2" l="1"/>
  <c r="J2021" i="2" s="1"/>
  <c r="J2020" i="2"/>
  <c r="H2022" i="2" l="1"/>
  <c r="J2022" i="2" s="1"/>
  <c r="G2023" i="2"/>
  <c r="I2023" i="2"/>
  <c r="H2023" i="2"/>
  <c r="E2023" i="2"/>
  <c r="F2023" i="2"/>
  <c r="D2023" i="2"/>
  <c r="C2023" i="2"/>
  <c r="J2023" i="2" l="1"/>
  <c r="I2024" i="2"/>
  <c r="E2024" i="2"/>
  <c r="H2024" i="2"/>
  <c r="G2024" i="2"/>
  <c r="F2024" i="2"/>
  <c r="D2024" i="2"/>
  <c r="C2024" i="2"/>
  <c r="J2024" i="2" l="1"/>
  <c r="G2025" i="2"/>
  <c r="E2025" i="2"/>
  <c r="F2025" i="2"/>
  <c r="D2025" i="2"/>
  <c r="I2025" i="2"/>
  <c r="H2025" i="2"/>
  <c r="C2025" i="2"/>
  <c r="J2025" i="2" l="1"/>
  <c r="E2026" i="2"/>
  <c r="I2026" i="2"/>
  <c r="G2026" i="2"/>
  <c r="H2026" i="2"/>
  <c r="F2026" i="2"/>
  <c r="D2026" i="2"/>
  <c r="C2026" i="2"/>
  <c r="J2026" i="2" l="1"/>
  <c r="G2027" i="2"/>
  <c r="G2028" i="2" s="1"/>
  <c r="I2027" i="2"/>
  <c r="I2028" i="2" s="1"/>
  <c r="D2027" i="2"/>
  <c r="D2028" i="2" s="1"/>
  <c r="H2027" i="2"/>
  <c r="F2027" i="2"/>
  <c r="F2028" i="2" s="1"/>
  <c r="E2027" i="2"/>
  <c r="E2028" i="2" s="1"/>
  <c r="C2027" i="2"/>
  <c r="C2028" i="2" s="1"/>
  <c r="J2027" i="2" l="1"/>
  <c r="G2029" i="2"/>
  <c r="H2028" i="2"/>
  <c r="J2028" i="2" s="1"/>
  <c r="C2029" i="2"/>
  <c r="H2029" i="2" l="1"/>
  <c r="J2029" i="2" s="1"/>
  <c r="I2029" i="2"/>
  <c r="D2029" i="2"/>
  <c r="F2029" i="2"/>
  <c r="E2029" i="2"/>
  <c r="I2030" i="2" l="1"/>
  <c r="E2030" i="2"/>
  <c r="H2030" i="2"/>
  <c r="D2030" i="2"/>
  <c r="G2030" i="2"/>
  <c r="F2030" i="2"/>
  <c r="C2030" i="2"/>
  <c r="J2030" i="2" l="1"/>
  <c r="G2031" i="2"/>
  <c r="E2031" i="2"/>
  <c r="D2031" i="2"/>
  <c r="H2031" i="2"/>
  <c r="I2031" i="2"/>
  <c r="F2031" i="2"/>
  <c r="C2031" i="2"/>
  <c r="J2031" i="2" l="1"/>
  <c r="E2032" i="2"/>
  <c r="I2032" i="2"/>
  <c r="G2032" i="2"/>
  <c r="H2032" i="2"/>
  <c r="F2032" i="2"/>
  <c r="D2032" i="2"/>
  <c r="C2032" i="2"/>
  <c r="J2032" i="2" l="1"/>
  <c r="G2033" i="2"/>
  <c r="I2033" i="2"/>
  <c r="E2033" i="2"/>
  <c r="D2033" i="2"/>
  <c r="H2033" i="2"/>
  <c r="F2033" i="2"/>
  <c r="C2033" i="2"/>
  <c r="J2033" i="2" l="1"/>
  <c r="I2034" i="2"/>
  <c r="I2035" i="2" s="1"/>
  <c r="E2034" i="2"/>
  <c r="E2035" i="2" s="1"/>
  <c r="H2034" i="2"/>
  <c r="F2034" i="2"/>
  <c r="F2035" i="2" s="1"/>
  <c r="G2034" i="2"/>
  <c r="G2035" i="2" s="1"/>
  <c r="D2034" i="2"/>
  <c r="D2035" i="2" s="1"/>
  <c r="C2034" i="2"/>
  <c r="C2035" i="2" s="1"/>
  <c r="J2034" i="2" l="1"/>
  <c r="G2036" i="2"/>
  <c r="H2035" i="2"/>
  <c r="J2035" i="2" s="1"/>
  <c r="H2036" i="2" l="1"/>
  <c r="I2036" i="2"/>
  <c r="D2036" i="2"/>
  <c r="E2036" i="2"/>
  <c r="F2036" i="2"/>
  <c r="C2036" i="2"/>
  <c r="J2036" i="2" l="1"/>
  <c r="G2037" i="2"/>
  <c r="E2037" i="2"/>
  <c r="F2037" i="2"/>
  <c r="D2037" i="2"/>
  <c r="I2037" i="2"/>
  <c r="H2037" i="2"/>
  <c r="C2037" i="2"/>
  <c r="J2037" i="2" l="1"/>
  <c r="E2038" i="2"/>
  <c r="I2038" i="2"/>
  <c r="G2038" i="2"/>
  <c r="F2038" i="2"/>
  <c r="H2038" i="2"/>
  <c r="D2038" i="2"/>
  <c r="C2038" i="2"/>
  <c r="J2038" i="2" l="1"/>
  <c r="G2039" i="2"/>
  <c r="I2039" i="2"/>
  <c r="F2039" i="2"/>
  <c r="E2039" i="2"/>
  <c r="D2039" i="2"/>
  <c r="H2039" i="2"/>
  <c r="C2039" i="2"/>
  <c r="J2039" i="2" l="1"/>
  <c r="I2040" i="2"/>
  <c r="E2040" i="2"/>
  <c r="G2040" i="2"/>
  <c r="F2040" i="2"/>
  <c r="D2040" i="2"/>
  <c r="H2040" i="2"/>
  <c r="C2040" i="2"/>
  <c r="J2040" i="2" l="1"/>
  <c r="G2041" i="2"/>
  <c r="G2042" i="2" s="1"/>
  <c r="G2043" i="2" s="1"/>
  <c r="E2041" i="2"/>
  <c r="E2042" i="2" s="1"/>
  <c r="E2043" i="2" s="1"/>
  <c r="H2041" i="2"/>
  <c r="F2041" i="2"/>
  <c r="F2042" i="2" s="1"/>
  <c r="F2043" i="2" s="1"/>
  <c r="D2041" i="2"/>
  <c r="D2042" i="2" s="1"/>
  <c r="D2043" i="2" s="1"/>
  <c r="I2041" i="2"/>
  <c r="I2042" i="2" s="1"/>
  <c r="I2043" i="2" s="1"/>
  <c r="C2041" i="2"/>
  <c r="C2042" i="2" s="1"/>
  <c r="C2043" i="2" s="1"/>
  <c r="H2042" i="2" l="1"/>
  <c r="J2042" i="2" s="1"/>
  <c r="J2041" i="2"/>
  <c r="H2043" i="2" l="1"/>
  <c r="J2043" i="2" s="1"/>
  <c r="E2044" i="2"/>
  <c r="I2044" i="2"/>
  <c r="G2044" i="2"/>
  <c r="H2044" i="2"/>
  <c r="D2044" i="2"/>
  <c r="F2044" i="2"/>
  <c r="C2044" i="2"/>
  <c r="J2044" i="2" l="1"/>
  <c r="G2045" i="2"/>
  <c r="I2045" i="2"/>
  <c r="H2045" i="2"/>
  <c r="F2045" i="2"/>
  <c r="E2045" i="2"/>
  <c r="D2045" i="2"/>
  <c r="C2045" i="2"/>
  <c r="J2045" i="2" l="1"/>
  <c r="I2046" i="2"/>
  <c r="E2046" i="2"/>
  <c r="H2046" i="2"/>
  <c r="F2046" i="2"/>
  <c r="G2046" i="2"/>
  <c r="D2046" i="2"/>
  <c r="C2046" i="2"/>
  <c r="J2046" i="2" l="1"/>
  <c r="G2047" i="2"/>
  <c r="E2047" i="2"/>
  <c r="I2047" i="2"/>
  <c r="H2047" i="2"/>
  <c r="F2047" i="2"/>
  <c r="D2047" i="2"/>
  <c r="C2047" i="2"/>
  <c r="J2047" i="2" l="1"/>
  <c r="E2048" i="2"/>
  <c r="E2049" i="2" s="1"/>
  <c r="I2048" i="2"/>
  <c r="I2049" i="2" s="1"/>
  <c r="G2048" i="2"/>
  <c r="G2049" i="2" s="1"/>
  <c r="F2048" i="2"/>
  <c r="F2049" i="2" s="1"/>
  <c r="D2048" i="2"/>
  <c r="D2049" i="2" s="1"/>
  <c r="H2048" i="2"/>
  <c r="C2048" i="2"/>
  <c r="C2049" i="2" s="1"/>
  <c r="J2048" i="2" l="1"/>
  <c r="H2049" i="2"/>
  <c r="J2049" i="2" s="1"/>
  <c r="H2050" i="2" l="1"/>
  <c r="E2050" i="2"/>
  <c r="I2050" i="2"/>
  <c r="G2050" i="2"/>
  <c r="F2050" i="2"/>
  <c r="D2050" i="2"/>
  <c r="C2050" i="2"/>
  <c r="J2050" i="2" l="1"/>
  <c r="G2051" i="2"/>
  <c r="I2051" i="2"/>
  <c r="H2051" i="2"/>
  <c r="F2051" i="2"/>
  <c r="D2051" i="2"/>
  <c r="E2051" i="2"/>
  <c r="C2051" i="2"/>
  <c r="J2051" i="2" l="1"/>
  <c r="I2052" i="2"/>
  <c r="E2052" i="2"/>
  <c r="D2052" i="2"/>
  <c r="H2052" i="2"/>
  <c r="G2052" i="2"/>
  <c r="F2052" i="2"/>
  <c r="C2052" i="2"/>
  <c r="J2052" i="2" l="1"/>
  <c r="G2053" i="2"/>
  <c r="E2053" i="2"/>
  <c r="I2053" i="2"/>
  <c r="D2053" i="2"/>
  <c r="H2053" i="2"/>
  <c r="F2053" i="2"/>
  <c r="C2053" i="2"/>
  <c r="J2053" i="2" l="1"/>
  <c r="E2054" i="2"/>
  <c r="I2054" i="2"/>
  <c r="G2054" i="2"/>
  <c r="D2054" i="2"/>
  <c r="H2054" i="2"/>
  <c r="F2054" i="2"/>
  <c r="C2054" i="2"/>
  <c r="J2054" i="2" l="1"/>
  <c r="G2055" i="2"/>
  <c r="G2056" i="2" s="1"/>
  <c r="I2055" i="2"/>
  <c r="I2056" i="2" s="1"/>
  <c r="H2055" i="2"/>
  <c r="F2055" i="2"/>
  <c r="F2056" i="2" s="1"/>
  <c r="E2055" i="2"/>
  <c r="E2056" i="2" s="1"/>
  <c r="D2055" i="2"/>
  <c r="D2056" i="2" s="1"/>
  <c r="C2055" i="2"/>
  <c r="C2056" i="2" s="1"/>
  <c r="J2055" i="2" l="1"/>
  <c r="C2057" i="2"/>
  <c r="H2056" i="2"/>
  <c r="J2056" i="2" s="1"/>
  <c r="H2057" i="2" l="1"/>
  <c r="J2057" i="2" s="1"/>
  <c r="I2057" i="2"/>
  <c r="G2057" i="2"/>
  <c r="F2057" i="2"/>
  <c r="E2057" i="2"/>
  <c r="D2057" i="2"/>
  <c r="I2058" i="2" l="1"/>
  <c r="E2058" i="2"/>
  <c r="F2058" i="2"/>
  <c r="D2058" i="2"/>
  <c r="H2058" i="2"/>
  <c r="G2058" i="2"/>
  <c r="C2058" i="2"/>
  <c r="J2058" i="2" l="1"/>
  <c r="G2059" i="2"/>
  <c r="E2059" i="2"/>
  <c r="I2059" i="2"/>
  <c r="F2059" i="2"/>
  <c r="H2059" i="2"/>
  <c r="D2059" i="2"/>
  <c r="C2059" i="2"/>
  <c r="J2059" i="2" l="1"/>
  <c r="E2060" i="2"/>
  <c r="I2060" i="2"/>
  <c r="G2060" i="2"/>
  <c r="F2060" i="2"/>
  <c r="D2060" i="2"/>
  <c r="H2060" i="2"/>
  <c r="C2060" i="2"/>
  <c r="J2060" i="2" l="1"/>
  <c r="G2061" i="2"/>
  <c r="I2061" i="2"/>
  <c r="D2061" i="2"/>
  <c r="F2061" i="2"/>
  <c r="E2061" i="2"/>
  <c r="H2061" i="2"/>
  <c r="C2061" i="2"/>
  <c r="J2061" i="2" l="1"/>
  <c r="I2062" i="2"/>
  <c r="I2063" i="2" s="1"/>
  <c r="I2064" i="2" s="1"/>
  <c r="E2062" i="2"/>
  <c r="E2063" i="2" s="1"/>
  <c r="E2064" i="2" s="1"/>
  <c r="G2062" i="2"/>
  <c r="G2063" i="2" s="1"/>
  <c r="G2064" i="2" s="1"/>
  <c r="F2062" i="2"/>
  <c r="F2063" i="2" s="1"/>
  <c r="F2064" i="2" s="1"/>
  <c r="D2062" i="2"/>
  <c r="D2063" i="2" s="1"/>
  <c r="D2064" i="2" s="1"/>
  <c r="H2062" i="2"/>
  <c r="C2062" i="2"/>
  <c r="C2063" i="2" s="1"/>
  <c r="C2064" i="2" s="1"/>
  <c r="H2063" i="2" l="1"/>
  <c r="J2063" i="2" s="1"/>
  <c r="J2062" i="2"/>
  <c r="H2064" i="2" l="1"/>
  <c r="J2064" i="2" s="1"/>
  <c r="G2065" i="2"/>
  <c r="E2065" i="2"/>
  <c r="H2065" i="2"/>
  <c r="F2065" i="2"/>
  <c r="D2065" i="2"/>
  <c r="I2065" i="2"/>
  <c r="C2065" i="2"/>
  <c r="J2065" i="2" l="1"/>
  <c r="E2066" i="2"/>
  <c r="I2066" i="2"/>
  <c r="G2066" i="2"/>
  <c r="H2066" i="2"/>
  <c r="F2066" i="2"/>
  <c r="D2066" i="2"/>
  <c r="C2066" i="2"/>
  <c r="J2066" i="2" l="1"/>
  <c r="G2067" i="2"/>
  <c r="I2067" i="2"/>
  <c r="H2067" i="2"/>
  <c r="E2067" i="2"/>
  <c r="F2067" i="2"/>
  <c r="D2067" i="2"/>
  <c r="C2067" i="2"/>
  <c r="J2067" i="2" l="1"/>
  <c r="I2068" i="2"/>
  <c r="E2068" i="2"/>
  <c r="H2068" i="2"/>
  <c r="G2068" i="2"/>
  <c r="F2068" i="2"/>
  <c r="D2068" i="2"/>
  <c r="C2068" i="2"/>
  <c r="J2068" i="2" l="1"/>
  <c r="G2069" i="2"/>
  <c r="G2070" i="2" s="1"/>
  <c r="E2069" i="2"/>
  <c r="E2070" i="2" s="1"/>
  <c r="I2069" i="2"/>
  <c r="I2070" i="2" s="1"/>
  <c r="F2069" i="2"/>
  <c r="F2070" i="2" s="1"/>
  <c r="H2069" i="2"/>
  <c r="D2069" i="2"/>
  <c r="D2070" i="2" s="1"/>
  <c r="C2069" i="2"/>
  <c r="C2070" i="2" s="1"/>
  <c r="J2069" i="2" l="1"/>
  <c r="D2071" i="2"/>
  <c r="H2070" i="2"/>
  <c r="J2070" i="2" s="1"/>
  <c r="H2071" i="2" l="1"/>
  <c r="G2071" i="2"/>
  <c r="F2071" i="2"/>
  <c r="E2071" i="2"/>
  <c r="I2071" i="2"/>
  <c r="C2071" i="2"/>
  <c r="J2071" i="2" l="1"/>
  <c r="E2072" i="2"/>
  <c r="I2072" i="2"/>
  <c r="G2072" i="2"/>
  <c r="H2072" i="2"/>
  <c r="F2072" i="2"/>
  <c r="D2072" i="2"/>
  <c r="C2072" i="2"/>
  <c r="J2072" i="2" l="1"/>
  <c r="G2073" i="2"/>
  <c r="I2073" i="2"/>
  <c r="D2073" i="2"/>
  <c r="F2073" i="2"/>
  <c r="E2073" i="2"/>
  <c r="H2073" i="2"/>
  <c r="C2073" i="2"/>
  <c r="J2073" i="2" l="1"/>
  <c r="I2074" i="2"/>
  <c r="E2074" i="2"/>
  <c r="H2074" i="2"/>
  <c r="G2074" i="2"/>
  <c r="D2074" i="2"/>
  <c r="F2074" i="2"/>
  <c r="C2074" i="2"/>
  <c r="J2074" i="2" l="1"/>
  <c r="G2075" i="2"/>
  <c r="E2075" i="2"/>
  <c r="D2075" i="2"/>
  <c r="I2075" i="2"/>
  <c r="H2075" i="2"/>
  <c r="F2075" i="2"/>
  <c r="C2075" i="2"/>
  <c r="J2075" i="2" l="1"/>
  <c r="E2076" i="2"/>
  <c r="E2077" i="2" s="1"/>
  <c r="I2076" i="2"/>
  <c r="I2077" i="2" s="1"/>
  <c r="G2076" i="2"/>
  <c r="G2077" i="2" s="1"/>
  <c r="D2076" i="2"/>
  <c r="D2077" i="2" s="1"/>
  <c r="H2076" i="2"/>
  <c r="F2076" i="2"/>
  <c r="F2077" i="2" s="1"/>
  <c r="C2076" i="2"/>
  <c r="C2077" i="2" s="1"/>
  <c r="J2076" i="2" l="1"/>
  <c r="C2078" i="2"/>
  <c r="H2077" i="2"/>
  <c r="J2077" i="2" s="1"/>
  <c r="H2078" i="2" l="1"/>
  <c r="J2078" i="2" s="1"/>
  <c r="I2078" i="2"/>
  <c r="E2078" i="2"/>
  <c r="G2078" i="2"/>
  <c r="D2078" i="2"/>
  <c r="F2078" i="2"/>
  <c r="G2079" i="2" l="1"/>
  <c r="I2079" i="2"/>
  <c r="E2079" i="2"/>
  <c r="D2079" i="2"/>
  <c r="H2079" i="2"/>
  <c r="F2079" i="2"/>
  <c r="C2079" i="2"/>
  <c r="J2079" i="2" l="1"/>
  <c r="I2080" i="2"/>
  <c r="E2080" i="2"/>
  <c r="H2080" i="2"/>
  <c r="G2080" i="2"/>
  <c r="F2080" i="2"/>
  <c r="D2080" i="2"/>
  <c r="C2080" i="2"/>
  <c r="J2080" i="2" l="1"/>
  <c r="G2081" i="2"/>
  <c r="E2081" i="2"/>
  <c r="F2081" i="2"/>
  <c r="D2081" i="2"/>
  <c r="I2081" i="2"/>
  <c r="H2081" i="2"/>
  <c r="C2081" i="2"/>
  <c r="J2081" i="2" l="1"/>
  <c r="E2082" i="2"/>
  <c r="I2082" i="2"/>
  <c r="G2082" i="2"/>
  <c r="F2082" i="2"/>
  <c r="D2082" i="2"/>
  <c r="H2082" i="2"/>
  <c r="C2082" i="2"/>
  <c r="J2082" i="2" l="1"/>
  <c r="G2083" i="2"/>
  <c r="G2084" i="2" s="1"/>
  <c r="G2085" i="2" s="1"/>
  <c r="I2083" i="2"/>
  <c r="I2084" i="2" s="1"/>
  <c r="I2085" i="2" s="1"/>
  <c r="F2083" i="2"/>
  <c r="F2084" i="2" s="1"/>
  <c r="F2085" i="2" s="1"/>
  <c r="E2083" i="2"/>
  <c r="E2084" i="2" s="1"/>
  <c r="E2085" i="2" s="1"/>
  <c r="H2083" i="2"/>
  <c r="D2083" i="2"/>
  <c r="D2084" i="2" s="1"/>
  <c r="D2085" i="2" s="1"/>
  <c r="C2083" i="2"/>
  <c r="C2084" i="2" s="1"/>
  <c r="C2085" i="2" s="1"/>
  <c r="H2084" i="2" l="1"/>
  <c r="J2084" i="2" s="1"/>
  <c r="J2083" i="2"/>
  <c r="H2085" i="2" l="1"/>
  <c r="J2085" i="2" s="1"/>
  <c r="I2086" i="2"/>
  <c r="E2086" i="2"/>
  <c r="D2086" i="2"/>
  <c r="G2086" i="2"/>
  <c r="H2086" i="2"/>
  <c r="F2086" i="2"/>
  <c r="C2086" i="2"/>
  <c r="J2086" i="2" l="1"/>
  <c r="G2087" i="2"/>
  <c r="E2087" i="2"/>
  <c r="H2087" i="2"/>
  <c r="F2087" i="2"/>
  <c r="D2087" i="2"/>
  <c r="I2087" i="2"/>
  <c r="C2087" i="2"/>
  <c r="J2087" i="2" l="1"/>
  <c r="E2088" i="2"/>
  <c r="I2088" i="2"/>
  <c r="G2088" i="2"/>
  <c r="H2088" i="2"/>
  <c r="F2088" i="2"/>
  <c r="D2088" i="2"/>
  <c r="C2088" i="2"/>
  <c r="J2088" i="2" l="1"/>
  <c r="G2089" i="2"/>
  <c r="I2089" i="2"/>
  <c r="H2089" i="2"/>
  <c r="F2089" i="2"/>
  <c r="E2089" i="2"/>
  <c r="D2089" i="2"/>
  <c r="C2089" i="2"/>
  <c r="J2089" i="2" l="1"/>
  <c r="I2090" i="2"/>
  <c r="I2091" i="2" s="1"/>
  <c r="E2090" i="2"/>
  <c r="E2091" i="2" s="1"/>
  <c r="H2090" i="2"/>
  <c r="F2090" i="2"/>
  <c r="F2091" i="2" s="1"/>
  <c r="G2090" i="2"/>
  <c r="G2091" i="2" s="1"/>
  <c r="D2090" i="2"/>
  <c r="D2091" i="2" s="1"/>
  <c r="C2090" i="2"/>
  <c r="C2091" i="2" s="1"/>
  <c r="J2090" i="2" l="1"/>
  <c r="H2091" i="2"/>
  <c r="J2091" i="2" s="1"/>
  <c r="C2092" i="2"/>
  <c r="H2092" i="2" l="1"/>
  <c r="J2092" i="2" s="1"/>
  <c r="F2092" i="2"/>
  <c r="I2092" i="2"/>
  <c r="E2092" i="2"/>
  <c r="G2092" i="2"/>
  <c r="D2092" i="2"/>
  <c r="G2093" i="2" l="1"/>
  <c r="E2093" i="2"/>
  <c r="I2093" i="2"/>
  <c r="H2093" i="2"/>
  <c r="F2093" i="2"/>
  <c r="D2093" i="2"/>
  <c r="C2093" i="2"/>
  <c r="J2093" i="2" l="1"/>
  <c r="E2094" i="2"/>
  <c r="I2094" i="2"/>
  <c r="G2094" i="2"/>
  <c r="F2094" i="2"/>
  <c r="H2094" i="2"/>
  <c r="D2094" i="2"/>
  <c r="C2094" i="2"/>
  <c r="J2094" i="2" l="1"/>
  <c r="G2095" i="2"/>
  <c r="I2095" i="2"/>
  <c r="H2095" i="2"/>
  <c r="F2095" i="2"/>
  <c r="D2095" i="2"/>
  <c r="E2095" i="2"/>
  <c r="C2095" i="2"/>
  <c r="J2095" i="2" l="1"/>
  <c r="I2096" i="2"/>
  <c r="E2096" i="2"/>
  <c r="D2096" i="2"/>
  <c r="G2096" i="2"/>
  <c r="F2096" i="2"/>
  <c r="H2096" i="2"/>
  <c r="C2096" i="2"/>
  <c r="J2096" i="2" l="1"/>
  <c r="G2097" i="2"/>
  <c r="G2098" i="2" s="1"/>
  <c r="E2097" i="2"/>
  <c r="E2098" i="2" s="1"/>
  <c r="I2097" i="2"/>
  <c r="I2098" i="2" s="1"/>
  <c r="H2097" i="2"/>
  <c r="D2097" i="2"/>
  <c r="D2098" i="2" s="1"/>
  <c r="F2097" i="2"/>
  <c r="F2098" i="2" s="1"/>
  <c r="C2097" i="2"/>
  <c r="C2098" i="2" s="1"/>
  <c r="J2097" i="2" l="1"/>
  <c r="F2099" i="2"/>
  <c r="H2098" i="2"/>
  <c r="J2098" i="2" s="1"/>
  <c r="H2099" i="2" l="1"/>
  <c r="G2099" i="2"/>
  <c r="D2099" i="2"/>
  <c r="E2099" i="2"/>
  <c r="I2099" i="2"/>
  <c r="C2099" i="2"/>
  <c r="J2099" i="2" l="1"/>
  <c r="E2100" i="2"/>
  <c r="I2100" i="2"/>
  <c r="G2100" i="2"/>
  <c r="D2100" i="2"/>
  <c r="H2100" i="2"/>
  <c r="F2100" i="2"/>
  <c r="C2100" i="2"/>
  <c r="J2100" i="2" l="1"/>
  <c r="G2101" i="2"/>
  <c r="I2101" i="2"/>
  <c r="E2101" i="2"/>
  <c r="D2101" i="2"/>
  <c r="H2101" i="2"/>
  <c r="F2101" i="2"/>
  <c r="C2101" i="2"/>
  <c r="J2101" i="2" l="1"/>
  <c r="I2102" i="2"/>
  <c r="E2102" i="2"/>
  <c r="F2102" i="2"/>
  <c r="D2102" i="2"/>
  <c r="H2102" i="2"/>
  <c r="G2102" i="2"/>
  <c r="C2102" i="2"/>
  <c r="J2102" i="2" l="1"/>
  <c r="G2103" i="2"/>
  <c r="E2103" i="2"/>
  <c r="I2103" i="2"/>
  <c r="H2103" i="2"/>
  <c r="F2103" i="2"/>
  <c r="D2103" i="2"/>
  <c r="C2103" i="2"/>
  <c r="J2103" i="2" l="1"/>
  <c r="E2104" i="2"/>
  <c r="E2105" i="2" s="1"/>
  <c r="E2106" i="2" s="1"/>
  <c r="I2104" i="2"/>
  <c r="I2105" i="2" s="1"/>
  <c r="I2106" i="2" s="1"/>
  <c r="G2104" i="2"/>
  <c r="G2105" i="2" s="1"/>
  <c r="G2106" i="2" s="1"/>
  <c r="F2104" i="2"/>
  <c r="F2105" i="2" s="1"/>
  <c r="F2106" i="2" s="1"/>
  <c r="D2104" i="2"/>
  <c r="D2105" i="2" s="1"/>
  <c r="D2106" i="2" s="1"/>
  <c r="H2104" i="2"/>
  <c r="C2104" i="2"/>
  <c r="C2105" i="2" s="1"/>
  <c r="C2106" i="2" s="1"/>
  <c r="H2105" i="2" l="1"/>
  <c r="J2105" i="2" s="1"/>
  <c r="J2104" i="2"/>
  <c r="H2106" i="2" l="1"/>
  <c r="J2106" i="2" s="1"/>
  <c r="G2107" i="2"/>
  <c r="I2107" i="2"/>
  <c r="F2107" i="2"/>
  <c r="D2107" i="2"/>
  <c r="H2107" i="2"/>
  <c r="E2107" i="2"/>
  <c r="C2107" i="2"/>
  <c r="J2107" i="2" l="1"/>
  <c r="I2108" i="2"/>
  <c r="E2108" i="2"/>
  <c r="G2108" i="2"/>
  <c r="F2108" i="2"/>
  <c r="H2108" i="2"/>
  <c r="D2108" i="2"/>
  <c r="C2108" i="2"/>
  <c r="J2108" i="2" l="1"/>
  <c r="G2109" i="2"/>
  <c r="E2109" i="2"/>
  <c r="D2109" i="2"/>
  <c r="H2109" i="2"/>
  <c r="I2109" i="2"/>
  <c r="F2109" i="2"/>
  <c r="C2109" i="2"/>
  <c r="J2109" i="2" l="1"/>
  <c r="E2110" i="2"/>
  <c r="I2110" i="2"/>
  <c r="G2110" i="2"/>
  <c r="H2110" i="2"/>
  <c r="F2110" i="2"/>
  <c r="D2110" i="2"/>
  <c r="C2110" i="2"/>
  <c r="J2110" i="2" l="1"/>
  <c r="G2111" i="2"/>
  <c r="G2112" i="2" s="1"/>
  <c r="G2113" i="2" s="1"/>
  <c r="I2111" i="2"/>
  <c r="I2112" i="2" s="1"/>
  <c r="I2113" i="2" s="1"/>
  <c r="H2111" i="2"/>
  <c r="F2111" i="2"/>
  <c r="F2112" i="2" s="1"/>
  <c r="F2113" i="2" s="1"/>
  <c r="E2111" i="2"/>
  <c r="E2112" i="2" s="1"/>
  <c r="E2113" i="2" s="1"/>
  <c r="D2111" i="2"/>
  <c r="D2112" i="2" s="1"/>
  <c r="D2113" i="2" s="1"/>
  <c r="C2111" i="2"/>
  <c r="C2112" i="2" s="1"/>
  <c r="C2113" i="2" s="1"/>
  <c r="H2112" i="2" l="1"/>
  <c r="J2112" i="2" s="1"/>
  <c r="J2111" i="2"/>
  <c r="H2113" i="2" l="1"/>
  <c r="J2113" i="2" s="1"/>
  <c r="I2114" i="2"/>
  <c r="E2114" i="2"/>
  <c r="H2114" i="2"/>
  <c r="G2114" i="2"/>
  <c r="F2114" i="2"/>
  <c r="D2114" i="2"/>
  <c r="C2114" i="2"/>
  <c r="J2114" i="2" l="1"/>
  <c r="G2115" i="2"/>
  <c r="E2115" i="2"/>
  <c r="I2115" i="2"/>
  <c r="F2115" i="2"/>
  <c r="H2115" i="2"/>
  <c r="D2115" i="2"/>
  <c r="C2115" i="2"/>
  <c r="J2115" i="2" l="1"/>
  <c r="E2116" i="2"/>
  <c r="I2116" i="2"/>
  <c r="G2116" i="2"/>
  <c r="H2116" i="2"/>
  <c r="F2116" i="2"/>
  <c r="D2116" i="2"/>
  <c r="C2116" i="2"/>
  <c r="J2116" i="2" l="1"/>
  <c r="G2117" i="2"/>
  <c r="I2117" i="2"/>
  <c r="D2117" i="2"/>
  <c r="F2117" i="2"/>
  <c r="H2117" i="2"/>
  <c r="E2117" i="2"/>
  <c r="C2117" i="2"/>
  <c r="J2117" i="2" l="1"/>
  <c r="I2118" i="2"/>
  <c r="I2119" i="2" s="1"/>
  <c r="E2118" i="2"/>
  <c r="E2119" i="2" s="1"/>
  <c r="H2118" i="2"/>
  <c r="G2118" i="2"/>
  <c r="G2119" i="2" s="1"/>
  <c r="D2118" i="2"/>
  <c r="D2119" i="2" s="1"/>
  <c r="F2118" i="2"/>
  <c r="F2119" i="2" s="1"/>
  <c r="C2118" i="2"/>
  <c r="C2119" i="2" s="1"/>
  <c r="J2118" i="2" l="1"/>
  <c r="F2120" i="2"/>
  <c r="H2119" i="2"/>
  <c r="J2119" i="2" s="1"/>
  <c r="H2120" i="2" l="1"/>
  <c r="I2120" i="2"/>
  <c r="E2120" i="2"/>
  <c r="D2120" i="2"/>
  <c r="G2120" i="2"/>
  <c r="C2120" i="2"/>
  <c r="G2121" i="2" l="1"/>
  <c r="E2121" i="2"/>
  <c r="D2121" i="2"/>
  <c r="H2121" i="2"/>
  <c r="F2121" i="2"/>
  <c r="I2121" i="2"/>
  <c r="C2121" i="2"/>
  <c r="J2120" i="2"/>
  <c r="J2121" i="2" l="1"/>
  <c r="E2122" i="2"/>
  <c r="I2122" i="2"/>
  <c r="G2122" i="2"/>
  <c r="H2122" i="2"/>
  <c r="D2122" i="2"/>
  <c r="F2122" i="2"/>
  <c r="C2122" i="2"/>
  <c r="J2122" i="2" l="1"/>
  <c r="G2123" i="2"/>
  <c r="I2123" i="2"/>
  <c r="E2123" i="2"/>
  <c r="D2123" i="2"/>
  <c r="H2123" i="2"/>
  <c r="F2123" i="2"/>
  <c r="C2123" i="2"/>
  <c r="J2123" i="2" l="1"/>
  <c r="I2124" i="2"/>
  <c r="E2124" i="2"/>
  <c r="F2124" i="2"/>
  <c r="D2124" i="2"/>
  <c r="H2124" i="2"/>
  <c r="G2124" i="2"/>
  <c r="C2124" i="2"/>
  <c r="J2124" i="2" l="1"/>
  <c r="G2125" i="2"/>
  <c r="G2126" i="2" s="1"/>
  <c r="E2125" i="2"/>
  <c r="E2126" i="2" s="1"/>
  <c r="F2125" i="2"/>
  <c r="F2126" i="2" s="1"/>
  <c r="D2125" i="2"/>
  <c r="D2126" i="2" s="1"/>
  <c r="I2125" i="2"/>
  <c r="I2126" i="2" s="1"/>
  <c r="H2125" i="2"/>
  <c r="C2125" i="2"/>
  <c r="C2126" i="2" s="1"/>
  <c r="J2125" i="2" l="1"/>
  <c r="H2126" i="2"/>
  <c r="J2126" i="2" s="1"/>
  <c r="H2127" i="2" l="1"/>
  <c r="G2127" i="2"/>
  <c r="I2127" i="2"/>
  <c r="E2127" i="2"/>
  <c r="F2127" i="2"/>
  <c r="D2127" i="2"/>
  <c r="C2127" i="2"/>
  <c r="J2127" i="2" l="1"/>
  <c r="E2128" i="2"/>
  <c r="I2128" i="2"/>
  <c r="G2128" i="2"/>
  <c r="H2128" i="2"/>
  <c r="F2128" i="2"/>
  <c r="D2128" i="2"/>
  <c r="C2128" i="2"/>
  <c r="J2128" i="2" l="1"/>
  <c r="G2129" i="2"/>
  <c r="I2129" i="2"/>
  <c r="F2129" i="2"/>
  <c r="E2129" i="2"/>
  <c r="D2129" i="2"/>
  <c r="H2129" i="2"/>
  <c r="C2129" i="2"/>
  <c r="J2129" i="2" l="1"/>
  <c r="I2130" i="2"/>
  <c r="E2130" i="2"/>
  <c r="G2130" i="2"/>
  <c r="D2130" i="2"/>
  <c r="H2130" i="2"/>
  <c r="F2130" i="2"/>
  <c r="C2130" i="2"/>
  <c r="J2130" i="2" l="1"/>
  <c r="G2131" i="2"/>
  <c r="E2131" i="2"/>
  <c r="H2131" i="2"/>
  <c r="F2131" i="2"/>
  <c r="I2131" i="2"/>
  <c r="D2131" i="2"/>
  <c r="C2131" i="2"/>
  <c r="J2131" i="2" l="1"/>
  <c r="E2132" i="2"/>
  <c r="E2133" i="2" s="1"/>
  <c r="I2132" i="2"/>
  <c r="I2133" i="2" s="1"/>
  <c r="G2132" i="2"/>
  <c r="G2133" i="2" s="1"/>
  <c r="D2132" i="2"/>
  <c r="D2133" i="2" s="1"/>
  <c r="H2132" i="2"/>
  <c r="F2132" i="2"/>
  <c r="F2133" i="2" s="1"/>
  <c r="C2132" i="2"/>
  <c r="C2133" i="2" s="1"/>
  <c r="J2132" i="2" l="1"/>
  <c r="H2133" i="2"/>
  <c r="J2133" i="2" s="1"/>
  <c r="C2134" i="2"/>
  <c r="H2134" i="2" l="1"/>
  <c r="J2134" i="2" s="1"/>
  <c r="G2134" i="2"/>
  <c r="E2134" i="2"/>
  <c r="I2134" i="2"/>
  <c r="D2134" i="2"/>
  <c r="F2134" i="2"/>
  <c r="G2135" i="2" l="1"/>
  <c r="I2135" i="2"/>
  <c r="H2135" i="2"/>
  <c r="F2135" i="2"/>
  <c r="E2135" i="2"/>
  <c r="D2135" i="2"/>
  <c r="C2135" i="2"/>
  <c r="J2135" i="2" l="1"/>
  <c r="I2136" i="2"/>
  <c r="E2136" i="2"/>
  <c r="H2136" i="2"/>
  <c r="G2136" i="2"/>
  <c r="F2136" i="2"/>
  <c r="D2136" i="2"/>
  <c r="C2136" i="2"/>
  <c r="J2136" i="2" l="1"/>
  <c r="G2137" i="2"/>
  <c r="E2137" i="2"/>
  <c r="I2137" i="2"/>
  <c r="H2137" i="2"/>
  <c r="F2137" i="2"/>
  <c r="D2137" i="2"/>
  <c r="C2137" i="2"/>
  <c r="J2137" i="2" l="1"/>
  <c r="E2138" i="2"/>
  <c r="I2138" i="2"/>
  <c r="G2138" i="2"/>
  <c r="F2138" i="2"/>
  <c r="H2138" i="2"/>
  <c r="D2138" i="2"/>
  <c r="C2138" i="2"/>
  <c r="J2138" i="2" l="1"/>
  <c r="G2139" i="2"/>
  <c r="G2140" i="2" s="1"/>
  <c r="G2141" i="2" s="1"/>
  <c r="I2139" i="2"/>
  <c r="I2140" i="2" s="1"/>
  <c r="I2141" i="2" s="1"/>
  <c r="H2139" i="2"/>
  <c r="F2139" i="2"/>
  <c r="F2140" i="2" s="1"/>
  <c r="F2141" i="2" s="1"/>
  <c r="E2139" i="2"/>
  <c r="E2140" i="2" s="1"/>
  <c r="E2141" i="2" s="1"/>
  <c r="D2139" i="2"/>
  <c r="D2140" i="2" s="1"/>
  <c r="D2141" i="2" s="1"/>
  <c r="C2139" i="2"/>
  <c r="C2140" i="2" s="1"/>
  <c r="C2141" i="2" s="1"/>
  <c r="H2140" i="2" l="1"/>
  <c r="J2140" i="2" s="1"/>
  <c r="J2139" i="2"/>
  <c r="H2141" i="2" l="1"/>
  <c r="J2141" i="2" s="1"/>
  <c r="I2142" i="2"/>
  <c r="E2142" i="2"/>
  <c r="D2142" i="2"/>
  <c r="G2142" i="2"/>
  <c r="H2142" i="2"/>
  <c r="F2142" i="2"/>
  <c r="C2142" i="2"/>
  <c r="J2142" i="2" l="1"/>
  <c r="G2143" i="2"/>
  <c r="E2143" i="2"/>
  <c r="I2143" i="2"/>
  <c r="H2143" i="2"/>
  <c r="D2143" i="2"/>
  <c r="F2143" i="2"/>
  <c r="C2143" i="2"/>
  <c r="J2143" i="2" l="1"/>
  <c r="E2144" i="2"/>
  <c r="I2144" i="2"/>
  <c r="G2144" i="2"/>
  <c r="D2144" i="2"/>
  <c r="H2144" i="2"/>
  <c r="F2144" i="2"/>
  <c r="C2144" i="2"/>
  <c r="J2144" i="2" l="1"/>
  <c r="G2145" i="2"/>
  <c r="I2145" i="2"/>
  <c r="H2145" i="2"/>
  <c r="E2145" i="2"/>
  <c r="D2145" i="2"/>
  <c r="F2145" i="2"/>
  <c r="C2145" i="2"/>
  <c r="J2145" i="2" l="1"/>
  <c r="I2146" i="2"/>
  <c r="I2147" i="2" s="1"/>
  <c r="E2146" i="2"/>
  <c r="E2147" i="2" s="1"/>
  <c r="F2146" i="2"/>
  <c r="F2147" i="2" s="1"/>
  <c r="D2146" i="2"/>
  <c r="D2147" i="2" s="1"/>
  <c r="H2146" i="2"/>
  <c r="G2146" i="2"/>
  <c r="G2147" i="2" s="1"/>
  <c r="C2146" i="2"/>
  <c r="C2147" i="2" s="1"/>
  <c r="J2146" i="2" l="1"/>
  <c r="I2148" i="2"/>
  <c r="H2147" i="2"/>
  <c r="J2147" i="2" s="1"/>
  <c r="C2148" i="2"/>
  <c r="H2148" i="2" l="1"/>
  <c r="J2148" i="2" s="1"/>
  <c r="E2148" i="2"/>
  <c r="F2148" i="2"/>
  <c r="D2148" i="2"/>
  <c r="G2148" i="2"/>
  <c r="G2149" i="2" l="1"/>
  <c r="E2149" i="2"/>
  <c r="F2149" i="2"/>
  <c r="D2149" i="2"/>
  <c r="I2149" i="2"/>
  <c r="H2149" i="2"/>
  <c r="C2149" i="2"/>
  <c r="J2149" i="2" l="1"/>
  <c r="E2150" i="2"/>
  <c r="I2150" i="2"/>
  <c r="G2150" i="2"/>
  <c r="F2150" i="2"/>
  <c r="D2150" i="2"/>
  <c r="H2150" i="2"/>
  <c r="C2150" i="2"/>
  <c r="J2150" i="2" l="1"/>
  <c r="G2151" i="2"/>
  <c r="I2151" i="2"/>
  <c r="H2151" i="2"/>
  <c r="F2151" i="2"/>
  <c r="D2151" i="2"/>
  <c r="E2151" i="2"/>
  <c r="C2151" i="2"/>
  <c r="J2151" i="2" l="1"/>
  <c r="I2152" i="2"/>
  <c r="E2152" i="2"/>
  <c r="G2152" i="2"/>
  <c r="F2152" i="2"/>
  <c r="D2152" i="2"/>
  <c r="H2152" i="2"/>
  <c r="C2152" i="2"/>
  <c r="J2152" i="2" l="1"/>
  <c r="G2153" i="2"/>
  <c r="G2154" i="2" s="1"/>
  <c r="E2153" i="2"/>
  <c r="E2154" i="2" s="1"/>
  <c r="H2153" i="2"/>
  <c r="D2153" i="2"/>
  <c r="D2154" i="2" s="1"/>
  <c r="I2153" i="2"/>
  <c r="I2154" i="2" s="1"/>
  <c r="F2153" i="2"/>
  <c r="F2154" i="2" s="1"/>
  <c r="C2153" i="2"/>
  <c r="C2154" i="2" s="1"/>
  <c r="J2153" i="2" l="1"/>
  <c r="H2154" i="2"/>
  <c r="J2154" i="2" s="1"/>
  <c r="H2155" i="2" l="1"/>
  <c r="G2155" i="2"/>
  <c r="E2155" i="2"/>
  <c r="D2155" i="2"/>
  <c r="I2155" i="2"/>
  <c r="F2155" i="2"/>
  <c r="C2155" i="2"/>
  <c r="J2155" i="2" l="1"/>
  <c r="E2156" i="2"/>
  <c r="I2156" i="2"/>
  <c r="G2156" i="2"/>
  <c r="H2156" i="2"/>
  <c r="F2156" i="2"/>
  <c r="D2156" i="2"/>
  <c r="C2156" i="2"/>
  <c r="J2156" i="2" l="1"/>
  <c r="G2157" i="2"/>
  <c r="I2157" i="2"/>
  <c r="E2157" i="2"/>
  <c r="D2157" i="2"/>
  <c r="H2157" i="2"/>
  <c r="F2157" i="2"/>
  <c r="C2157" i="2"/>
  <c r="J2157" i="2" l="1"/>
  <c r="I2158" i="2"/>
  <c r="E2158" i="2"/>
  <c r="H2158" i="2"/>
  <c r="G2158" i="2"/>
  <c r="F2158" i="2"/>
  <c r="D2158" i="2"/>
  <c r="C2158" i="2"/>
  <c r="J2158" i="2" l="1"/>
  <c r="G2159" i="2"/>
  <c r="E2159" i="2"/>
  <c r="I2159" i="2"/>
  <c r="H2159" i="2"/>
  <c r="F2159" i="2"/>
  <c r="D2159" i="2"/>
  <c r="C2159" i="2"/>
  <c r="J2159" i="2" l="1"/>
  <c r="E2160" i="2"/>
  <c r="E2161" i="2" s="1"/>
  <c r="I2160" i="2"/>
  <c r="I2161" i="2" s="1"/>
  <c r="G2160" i="2"/>
  <c r="G2161" i="2" s="1"/>
  <c r="H2160" i="2"/>
  <c r="F2160" i="2"/>
  <c r="F2161" i="2" s="1"/>
  <c r="D2160" i="2"/>
  <c r="D2161" i="2" s="1"/>
  <c r="C2160" i="2"/>
  <c r="C2161" i="2" s="1"/>
  <c r="J2160" i="2" l="1"/>
  <c r="H2161" i="2"/>
  <c r="J2161" i="2" s="1"/>
  <c r="H2162" i="2" l="1"/>
  <c r="G2162" i="2"/>
  <c r="E2162" i="2"/>
  <c r="I2162" i="2"/>
  <c r="F2162" i="2"/>
  <c r="C2162" i="2"/>
  <c r="D2162" i="2"/>
  <c r="J2162" i="2" l="1"/>
  <c r="G2163" i="2"/>
  <c r="I2163" i="2"/>
  <c r="D2163" i="2"/>
  <c r="F2163" i="2"/>
  <c r="H2163" i="2"/>
  <c r="E2163" i="2"/>
  <c r="C2163" i="2"/>
  <c r="J2163" i="2" l="1"/>
  <c r="I2164" i="2"/>
  <c r="E2164" i="2"/>
  <c r="H2164" i="2"/>
  <c r="G2164" i="2"/>
  <c r="F2164" i="2"/>
  <c r="D2164" i="2"/>
  <c r="C2164" i="2"/>
  <c r="J2164" i="2" l="1"/>
  <c r="G2165" i="2"/>
  <c r="E2165" i="2"/>
  <c r="D2165" i="2"/>
  <c r="H2165" i="2"/>
  <c r="I2165" i="2"/>
  <c r="F2165" i="2"/>
  <c r="C2165" i="2"/>
  <c r="J2165" i="2" l="1"/>
  <c r="E2166" i="2"/>
  <c r="I2166" i="2"/>
  <c r="G2166" i="2"/>
  <c r="H2166" i="2"/>
  <c r="D2166" i="2"/>
  <c r="F2166" i="2"/>
  <c r="C2166" i="2"/>
  <c r="J2166" i="2" l="1"/>
  <c r="G2167" i="2"/>
  <c r="G2168" i="2" s="1"/>
  <c r="I2167" i="2"/>
  <c r="I2168" i="2" s="1"/>
  <c r="E2167" i="2"/>
  <c r="E2168" i="2" s="1"/>
  <c r="D2167" i="2"/>
  <c r="D2168" i="2" s="1"/>
  <c r="H2167" i="2"/>
  <c r="F2167" i="2"/>
  <c r="F2168" i="2" s="1"/>
  <c r="C2167" i="2"/>
  <c r="C2168" i="2" s="1"/>
  <c r="J2167" i="2" l="1"/>
  <c r="D2169" i="2"/>
  <c r="H2168" i="2"/>
  <c r="J2168" i="2" s="1"/>
  <c r="I2169" i="2" l="1"/>
  <c r="H2169" i="2"/>
  <c r="E2169" i="2"/>
  <c r="G2169" i="2"/>
  <c r="F2169" i="2"/>
  <c r="C2169" i="2"/>
  <c r="J2169" i="2" l="1"/>
  <c r="I2170" i="2"/>
  <c r="E2170" i="2"/>
  <c r="H2170" i="2"/>
  <c r="F2170" i="2"/>
  <c r="G2170" i="2"/>
  <c r="D2170" i="2"/>
  <c r="C2170" i="2"/>
  <c r="J2170" i="2" l="1"/>
  <c r="G2171" i="2"/>
  <c r="E2171" i="2"/>
  <c r="F2171" i="2"/>
  <c r="D2171" i="2"/>
  <c r="I2171" i="2"/>
  <c r="H2171" i="2"/>
  <c r="C2171" i="2"/>
  <c r="J2171" i="2" l="1"/>
  <c r="E2172" i="2"/>
  <c r="I2172" i="2"/>
  <c r="G2172" i="2"/>
  <c r="F2172" i="2"/>
  <c r="D2172" i="2"/>
  <c r="H2172" i="2"/>
  <c r="C2172" i="2"/>
  <c r="J2172" i="2" l="1"/>
  <c r="G2173" i="2"/>
  <c r="I2173" i="2"/>
  <c r="F2173" i="2"/>
  <c r="E2173" i="2"/>
  <c r="D2173" i="2"/>
  <c r="H2173" i="2"/>
  <c r="C2173" i="2"/>
  <c r="J2173" i="2" l="1"/>
  <c r="I2174" i="2"/>
  <c r="I2175" i="2" s="1"/>
  <c r="E2174" i="2"/>
  <c r="E2175" i="2" s="1"/>
  <c r="H2174" i="2"/>
  <c r="G2174" i="2"/>
  <c r="G2175" i="2" s="1"/>
  <c r="D2174" i="2"/>
  <c r="D2175" i="2" s="1"/>
  <c r="F2174" i="2"/>
  <c r="F2175" i="2" s="1"/>
  <c r="C2174" i="2"/>
  <c r="C2175" i="2" s="1"/>
  <c r="J2174" i="2" l="1"/>
  <c r="G2176" i="2"/>
  <c r="H2175" i="2"/>
  <c r="J2175" i="2" s="1"/>
  <c r="E2176" i="2" l="1"/>
  <c r="I2176" i="2"/>
  <c r="H2176" i="2"/>
  <c r="D2176" i="2"/>
  <c r="F2176" i="2"/>
  <c r="C2176" i="2"/>
  <c r="J2176" i="2" l="1"/>
  <c r="G2177" i="2"/>
  <c r="E2177" i="2"/>
  <c r="H2177" i="2"/>
  <c r="F2177" i="2"/>
  <c r="D2177" i="2"/>
  <c r="I2177" i="2"/>
  <c r="C2177" i="2"/>
  <c r="J2177" i="2" l="1"/>
  <c r="E2178" i="2"/>
  <c r="I2178" i="2"/>
  <c r="G2178" i="2"/>
  <c r="H2178" i="2"/>
  <c r="D2178" i="2"/>
  <c r="F2178" i="2"/>
  <c r="C2178" i="2"/>
  <c r="J2178" i="2" l="1"/>
  <c r="G2179" i="2"/>
  <c r="I2179" i="2"/>
  <c r="H2179" i="2"/>
  <c r="F2179" i="2"/>
  <c r="E2179" i="2"/>
  <c r="D2179" i="2"/>
  <c r="C2179" i="2"/>
  <c r="J2179" i="2" l="1"/>
  <c r="G2180" i="2"/>
  <c r="E2180" i="2"/>
  <c r="F2180" i="2"/>
  <c r="H2180" i="2"/>
  <c r="D2180" i="2"/>
  <c r="I2180" i="2"/>
  <c r="C2180" i="2"/>
  <c r="J2180" i="2" l="1"/>
  <c r="I2181" i="2"/>
  <c r="I2182" i="2" s="1"/>
  <c r="I2183" i="2" s="1"/>
  <c r="G2181" i="2"/>
  <c r="G2182" i="2" s="1"/>
  <c r="G2183" i="2" s="1"/>
  <c r="E2181" i="2"/>
  <c r="E2182" i="2" s="1"/>
  <c r="E2183" i="2" s="1"/>
  <c r="H2181" i="2"/>
  <c r="D2181" i="2"/>
  <c r="D2182" i="2" s="1"/>
  <c r="D2183" i="2" s="1"/>
  <c r="F2181" i="2"/>
  <c r="F2182" i="2" s="1"/>
  <c r="F2183" i="2" s="1"/>
  <c r="C2181" i="2"/>
  <c r="C2182" i="2" s="1"/>
  <c r="C2183" i="2" s="1"/>
  <c r="H2182" i="2" l="1"/>
  <c r="J2182" i="2" s="1"/>
  <c r="J2181" i="2"/>
  <c r="H2183" i="2" l="1"/>
  <c r="J2183" i="2" s="1"/>
  <c r="I2184" i="2"/>
  <c r="E2184" i="2"/>
  <c r="G2184" i="2"/>
  <c r="F2184" i="2"/>
  <c r="D2184" i="2"/>
  <c r="H2184" i="2"/>
  <c r="C2184" i="2"/>
  <c r="J2184" i="2" l="1"/>
  <c r="E2185" i="2"/>
  <c r="D2185" i="2"/>
  <c r="I2185" i="2"/>
  <c r="G2185" i="2"/>
  <c r="H2185" i="2"/>
  <c r="F2185" i="2"/>
  <c r="C2185" i="2"/>
  <c r="J2185" i="2" l="1"/>
  <c r="G2186" i="2"/>
  <c r="E2186" i="2"/>
  <c r="I2186" i="2"/>
  <c r="D2186" i="2"/>
  <c r="H2186" i="2"/>
  <c r="F2186" i="2"/>
  <c r="C2186" i="2"/>
  <c r="J2186" i="2" l="1"/>
  <c r="I2187" i="2"/>
  <c r="G2187" i="2"/>
  <c r="H2187" i="2"/>
  <c r="E2187" i="2"/>
  <c r="F2187" i="2"/>
  <c r="D2187" i="2"/>
  <c r="C2187" i="2"/>
  <c r="J2187" i="2" l="1"/>
  <c r="I2188" i="2"/>
  <c r="I2189" i="2" s="1"/>
  <c r="G2188" i="2"/>
  <c r="G2189" i="2" s="1"/>
  <c r="H2188" i="2"/>
  <c r="E2188" i="2"/>
  <c r="E2189" i="2" s="1"/>
  <c r="F2188" i="2"/>
  <c r="F2189" i="2" s="1"/>
  <c r="D2188" i="2"/>
  <c r="D2189" i="2" s="1"/>
  <c r="C2188" i="2"/>
  <c r="C2189" i="2" s="1"/>
  <c r="J2188" i="2" l="1"/>
  <c r="H2189" i="2"/>
  <c r="J2189" i="2" s="1"/>
  <c r="H2190" i="2" l="1"/>
  <c r="D2190" i="2"/>
  <c r="G2190" i="2"/>
  <c r="F2190" i="2"/>
  <c r="I2190" i="2"/>
  <c r="C2190" i="2"/>
  <c r="E2190" i="2"/>
  <c r="J2190" i="2" l="1"/>
  <c r="E2191" i="2"/>
  <c r="G2191" i="2"/>
  <c r="D2191" i="2"/>
  <c r="I2191" i="2"/>
  <c r="H2191" i="2"/>
  <c r="F2191" i="2"/>
  <c r="C2191" i="2"/>
  <c r="J2191" i="2" l="1"/>
  <c r="G2192" i="2"/>
  <c r="E2192" i="2"/>
  <c r="F2192" i="2"/>
  <c r="I2192" i="2"/>
  <c r="D2192" i="2"/>
  <c r="H2192" i="2"/>
  <c r="C2192" i="2"/>
  <c r="J2192" i="2" l="1"/>
  <c r="I2193" i="2"/>
  <c r="G2193" i="2"/>
  <c r="E2193" i="2"/>
  <c r="H2193" i="2"/>
  <c r="D2193" i="2"/>
  <c r="F2193" i="2"/>
  <c r="C2193" i="2"/>
  <c r="J2193" i="2" l="1"/>
  <c r="I2194" i="2"/>
  <c r="E2194" i="2"/>
  <c r="G2194" i="2"/>
  <c r="H2194" i="2"/>
  <c r="F2194" i="2"/>
  <c r="D2194" i="2"/>
  <c r="C2194" i="2"/>
  <c r="J2194" i="2" l="1"/>
  <c r="E2195" i="2"/>
  <c r="E2196" i="2" s="1"/>
  <c r="I2195" i="2"/>
  <c r="I2196" i="2" s="1"/>
  <c r="D2195" i="2"/>
  <c r="D2196" i="2" s="1"/>
  <c r="F2195" i="2"/>
  <c r="F2196" i="2" s="1"/>
  <c r="H2195" i="2"/>
  <c r="G2195" i="2"/>
  <c r="G2196" i="2" s="1"/>
  <c r="C2195" i="2"/>
  <c r="C2196" i="2" s="1"/>
  <c r="J2195" i="2" l="1"/>
  <c r="E2197" i="2"/>
  <c r="H2196" i="2"/>
  <c r="J2196" i="2" s="1"/>
  <c r="H5" i="4" s="1"/>
  <c r="F2197" i="2" l="1"/>
  <c r="H2197" i="2"/>
  <c r="I2197" i="2"/>
  <c r="D2197" i="2"/>
  <c r="C2197" i="2"/>
  <c r="G2197" i="2"/>
  <c r="J2197" i="2" l="1"/>
  <c r="H6" i="4" s="1"/>
  <c r="G2198" i="2"/>
  <c r="E2198" i="2"/>
  <c r="I2198" i="2"/>
  <c r="F2198" i="2"/>
  <c r="H2198" i="2"/>
  <c r="D2198" i="2"/>
  <c r="C2198" i="2"/>
  <c r="J2198" i="2" l="1"/>
  <c r="H7" i="4" s="1"/>
  <c r="I2199" i="2"/>
  <c r="G2199" i="2"/>
  <c r="H2199" i="2"/>
  <c r="F2199" i="2"/>
  <c r="E2199" i="2"/>
  <c r="D2199" i="2"/>
  <c r="C2199" i="2"/>
  <c r="J2199" i="2" l="1"/>
  <c r="H8" i="4" s="1"/>
  <c r="I2200" i="2"/>
  <c r="G2200" i="2"/>
  <c r="E2200" i="2"/>
  <c r="D2200" i="2"/>
  <c r="H2200" i="2"/>
  <c r="F2200" i="2"/>
  <c r="C2200" i="2"/>
  <c r="J2200" i="2" l="1"/>
  <c r="H9" i="4" s="1"/>
  <c r="E2201" i="2"/>
  <c r="G2201" i="2"/>
  <c r="I2201" i="2"/>
  <c r="F2201" i="2"/>
  <c r="D2201" i="2"/>
  <c r="H2201" i="2"/>
  <c r="C2201" i="2"/>
  <c r="J2201" i="2" l="1"/>
  <c r="H10" i="4" s="1"/>
  <c r="G2202" i="2"/>
  <c r="E2202" i="2"/>
  <c r="F2202" i="2"/>
  <c r="I2202" i="2"/>
  <c r="I2203" i="2" s="1"/>
  <c r="H2202" i="2"/>
  <c r="D2202" i="2"/>
  <c r="C2202" i="2"/>
  <c r="C2203" i="2" s="1"/>
  <c r="J2202" i="2" l="1"/>
  <c r="H11" i="4" s="1"/>
  <c r="F2203" i="2"/>
  <c r="F2204" i="2" s="1"/>
  <c r="E2203" i="2"/>
  <c r="E2204" i="2" s="1"/>
  <c r="H2203" i="2"/>
  <c r="J2203" i="2" s="1"/>
  <c r="H12" i="4" s="1"/>
  <c r="D2203" i="2"/>
  <c r="D2204" i="2" s="1"/>
  <c r="G2203" i="2"/>
  <c r="G2204" i="2" s="1"/>
  <c r="H2204" i="2" l="1"/>
  <c r="C2204" i="2"/>
  <c r="I2204" i="2"/>
  <c r="J2204" i="2" l="1"/>
  <c r="H13" i="4" s="1"/>
  <c r="I2205" i="2"/>
  <c r="G2205" i="2"/>
  <c r="E2205" i="2"/>
  <c r="H2205" i="2"/>
  <c r="F2205" i="2"/>
  <c r="D2205" i="2"/>
  <c r="C2205" i="2"/>
  <c r="J2205" i="2" l="1"/>
  <c r="I2206" i="2"/>
  <c r="E2206" i="2"/>
  <c r="H2206" i="2"/>
  <c r="G2206" i="2"/>
  <c r="F2206" i="2"/>
  <c r="D2206" i="2"/>
  <c r="C2206" i="2"/>
  <c r="J2206" i="2" l="1"/>
  <c r="E2207" i="2"/>
  <c r="D2207" i="2"/>
  <c r="I2207" i="2"/>
  <c r="G2207" i="2"/>
  <c r="H2207" i="2"/>
  <c r="F2207" i="2"/>
  <c r="C2207" i="2"/>
  <c r="J2207" i="2" l="1"/>
  <c r="G2208" i="2"/>
  <c r="E2208" i="2"/>
  <c r="I2208" i="2"/>
  <c r="F2208" i="2"/>
  <c r="H2208" i="2"/>
  <c r="D2208" i="2"/>
  <c r="C2208" i="2"/>
  <c r="J2208" i="2" l="1"/>
  <c r="I2209" i="2"/>
  <c r="I2210" i="2" s="1"/>
  <c r="G2209" i="2"/>
  <c r="G2210" i="2" s="1"/>
  <c r="H2209" i="2"/>
  <c r="E2209" i="2"/>
  <c r="E2210" i="2" s="1"/>
  <c r="D2209" i="2"/>
  <c r="D2210" i="2" s="1"/>
  <c r="F2209" i="2"/>
  <c r="F2210" i="2" s="1"/>
  <c r="C2209" i="2"/>
  <c r="C2210" i="2" s="1"/>
  <c r="J2209" i="2" l="1"/>
  <c r="C2211" i="2"/>
  <c r="H2210" i="2"/>
  <c r="J2210" i="2" s="1"/>
  <c r="H2211" i="2" l="1"/>
  <c r="J2211" i="2" s="1"/>
  <c r="G2211" i="2"/>
  <c r="I2211" i="2"/>
  <c r="E2211" i="2"/>
  <c r="D2211" i="2"/>
  <c r="F2211" i="2"/>
  <c r="I2212" i="2" l="1"/>
  <c r="G2212" i="2"/>
  <c r="E2212" i="2"/>
  <c r="H2212" i="2"/>
  <c r="F2212" i="2"/>
  <c r="D2212" i="2"/>
  <c r="C2212" i="2"/>
  <c r="J2212" i="2" l="1"/>
  <c r="E2213" i="2"/>
  <c r="I2213" i="2"/>
  <c r="G2213" i="2"/>
  <c r="D2213" i="2"/>
  <c r="H2213" i="2"/>
  <c r="F2213" i="2"/>
  <c r="C2213" i="2"/>
  <c r="J2213" i="2" l="1"/>
  <c r="G2214" i="2"/>
  <c r="E2214" i="2"/>
  <c r="F2214" i="2"/>
  <c r="I2214" i="2"/>
  <c r="H2214" i="2"/>
  <c r="D2214" i="2"/>
  <c r="C2214" i="2"/>
  <c r="J2214" i="2" l="1"/>
  <c r="I2215" i="2"/>
  <c r="G2215" i="2"/>
  <c r="H2215" i="2"/>
  <c r="E2215" i="2"/>
  <c r="F2215" i="2"/>
  <c r="D2215" i="2"/>
  <c r="C2215" i="2"/>
  <c r="J2215" i="2" l="1"/>
  <c r="I2216" i="2"/>
  <c r="I2217" i="2" s="1"/>
  <c r="E2216" i="2"/>
  <c r="E2217" i="2" s="1"/>
  <c r="G2216" i="2"/>
  <c r="G2217" i="2" s="1"/>
  <c r="F2216" i="2"/>
  <c r="F2217" i="2" s="1"/>
  <c r="D2216" i="2"/>
  <c r="D2217" i="2" s="1"/>
  <c r="H2216" i="2"/>
  <c r="C2216" i="2"/>
  <c r="C2217" i="2" s="1"/>
  <c r="J2216" i="2" l="1"/>
  <c r="D2218" i="2"/>
  <c r="H2217" i="2"/>
  <c r="J2217" i="2" s="1"/>
  <c r="G2218" i="2" l="1"/>
  <c r="E2218" i="2"/>
  <c r="H2218" i="2"/>
  <c r="I2218" i="2"/>
  <c r="F2218" i="2"/>
  <c r="C2218" i="2"/>
  <c r="J2218" i="2" l="1"/>
  <c r="E2219" i="2"/>
  <c r="I2219" i="2"/>
  <c r="G2219" i="2"/>
  <c r="D2219" i="2"/>
  <c r="H2219" i="2"/>
  <c r="F2219" i="2"/>
  <c r="C2219" i="2"/>
  <c r="J2219" i="2" l="1"/>
  <c r="G2220" i="2"/>
  <c r="E2220" i="2"/>
  <c r="I2220" i="2"/>
  <c r="F2220" i="2"/>
  <c r="D2220" i="2"/>
  <c r="H2220" i="2"/>
  <c r="C2220" i="2"/>
  <c r="J2220" i="2" l="1"/>
  <c r="I2221" i="2"/>
  <c r="G2221" i="2"/>
  <c r="H2221" i="2"/>
  <c r="E2221" i="2"/>
  <c r="F2221" i="2"/>
  <c r="D2221" i="2"/>
  <c r="C2221" i="2"/>
  <c r="J2221" i="2" l="1"/>
  <c r="I2222" i="2"/>
  <c r="G2222" i="2"/>
  <c r="F2222" i="2"/>
  <c r="E2222" i="2"/>
  <c r="D2222" i="2"/>
  <c r="H2222" i="2"/>
  <c r="C2222" i="2"/>
  <c r="J2222" i="2" l="1"/>
  <c r="E2223" i="2"/>
  <c r="E2224" i="2" s="1"/>
  <c r="G2223" i="2"/>
  <c r="G2224" i="2" s="1"/>
  <c r="D2223" i="2"/>
  <c r="D2224" i="2" s="1"/>
  <c r="I2223" i="2"/>
  <c r="I2224" i="2" s="1"/>
  <c r="F2223" i="2"/>
  <c r="F2224" i="2" s="1"/>
  <c r="H2223" i="2"/>
  <c r="C2223" i="2"/>
  <c r="C2224" i="2" s="1"/>
  <c r="J2223" i="2" l="1"/>
  <c r="G2225" i="2"/>
  <c r="H2224" i="2"/>
  <c r="J2224" i="2" s="1"/>
  <c r="H2225" i="2" l="1"/>
  <c r="D2225" i="2"/>
  <c r="F2225" i="2"/>
  <c r="E2225" i="2"/>
  <c r="I2225" i="2"/>
  <c r="C2225" i="2"/>
  <c r="J2225" i="2" l="1"/>
  <c r="G2226" i="2"/>
  <c r="E2226" i="2"/>
  <c r="I2226" i="2"/>
  <c r="F2226" i="2"/>
  <c r="D2226" i="2"/>
  <c r="H2226" i="2"/>
  <c r="C2226" i="2"/>
  <c r="J2226" i="2" l="1"/>
  <c r="I2227" i="2"/>
  <c r="G2227" i="2"/>
  <c r="E2227" i="2"/>
  <c r="H2227" i="2"/>
  <c r="F2227" i="2"/>
  <c r="D2227" i="2"/>
  <c r="C2227" i="2"/>
  <c r="J2227" i="2" l="1"/>
  <c r="I2228" i="2"/>
  <c r="G2228" i="2"/>
  <c r="E2228" i="2"/>
  <c r="D2228" i="2"/>
  <c r="H2228" i="2"/>
  <c r="F2228" i="2"/>
  <c r="C2228" i="2"/>
  <c r="J2228" i="2" l="1"/>
  <c r="E2229" i="2"/>
  <c r="D2229" i="2"/>
  <c r="I2229" i="2"/>
  <c r="H2229" i="2"/>
  <c r="G2229" i="2"/>
  <c r="F2229" i="2"/>
  <c r="C2229" i="2"/>
  <c r="J2229" i="2" l="1"/>
  <c r="G2230" i="2"/>
  <c r="G2231" i="2" s="1"/>
  <c r="E2230" i="2"/>
  <c r="E2231" i="2" s="1"/>
  <c r="I2230" i="2"/>
  <c r="I2231" i="2" s="1"/>
  <c r="F2230" i="2"/>
  <c r="F2231" i="2" s="1"/>
  <c r="D2230" i="2"/>
  <c r="D2231" i="2" s="1"/>
  <c r="H2230" i="2"/>
  <c r="C2230" i="2"/>
  <c r="C2231" i="2" s="1"/>
  <c r="J2230" i="2" l="1"/>
  <c r="H2231" i="2"/>
  <c r="J2231" i="2" s="1"/>
  <c r="H2232" i="2" l="1"/>
  <c r="G2232" i="2"/>
  <c r="E2232" i="2"/>
  <c r="C2232" i="2"/>
  <c r="I2232" i="2"/>
  <c r="F2232" i="2"/>
  <c r="D2232" i="2"/>
  <c r="J2232" i="2" l="1"/>
  <c r="I2233" i="2"/>
  <c r="G2233" i="2"/>
  <c r="H2233" i="2"/>
  <c r="F2233" i="2"/>
  <c r="E2233" i="2"/>
  <c r="D2233" i="2"/>
  <c r="C2233" i="2"/>
  <c r="J2233" i="2" l="1"/>
  <c r="I2234" i="2"/>
  <c r="G2234" i="2"/>
  <c r="E2234" i="2"/>
  <c r="H2234" i="2"/>
  <c r="F2234" i="2"/>
  <c r="D2234" i="2"/>
  <c r="C2234" i="2"/>
  <c r="J2234" i="2" l="1"/>
  <c r="E2235" i="2"/>
  <c r="I2235" i="2"/>
  <c r="G2235" i="2"/>
  <c r="F2235" i="2"/>
  <c r="D2235" i="2"/>
  <c r="H2235" i="2"/>
  <c r="C2235" i="2"/>
  <c r="J2235" i="2" l="1"/>
  <c r="G2236" i="2"/>
  <c r="E2236" i="2"/>
  <c r="F2236" i="2"/>
  <c r="I2236" i="2"/>
  <c r="H2236" i="2"/>
  <c r="D2236" i="2"/>
  <c r="C2236" i="2"/>
  <c r="J2236" i="2" l="1"/>
  <c r="I2237" i="2"/>
  <c r="I2238" i="2" s="1"/>
  <c r="I2239" i="2" s="1"/>
  <c r="G2237" i="2"/>
  <c r="G2238" i="2" s="1"/>
  <c r="G2239" i="2" s="1"/>
  <c r="H2237" i="2"/>
  <c r="E2237" i="2"/>
  <c r="E2238" i="2" s="1"/>
  <c r="E2239" i="2" s="1"/>
  <c r="D2237" i="2"/>
  <c r="D2238" i="2" s="1"/>
  <c r="D2239" i="2" s="1"/>
  <c r="F2237" i="2"/>
  <c r="F2238" i="2" s="1"/>
  <c r="F2239" i="2" s="1"/>
  <c r="C2237" i="2"/>
  <c r="C2238" i="2" s="1"/>
  <c r="C2239" i="2" s="1"/>
  <c r="H2238" i="2" l="1"/>
  <c r="J2238" i="2" s="1"/>
  <c r="J2237" i="2"/>
  <c r="H2239" i="2" l="1"/>
  <c r="J2239" i="2" s="1"/>
  <c r="H2240" i="2"/>
  <c r="E2240" i="2"/>
  <c r="I2240" i="2"/>
  <c r="G2240" i="2"/>
  <c r="D2240" i="2"/>
  <c r="F2240" i="2"/>
  <c r="C2240" i="2"/>
  <c r="J2240" i="2" l="1"/>
  <c r="F2241" i="2"/>
  <c r="D2241" i="2"/>
  <c r="H2241" i="2"/>
  <c r="E2241" i="2"/>
  <c r="I2241" i="2"/>
  <c r="G2241" i="2"/>
  <c r="C2241" i="2"/>
  <c r="J2241" i="2" l="1"/>
  <c r="D2242" i="2"/>
  <c r="I2242" i="2"/>
  <c r="G2242" i="2"/>
  <c r="E2242" i="2"/>
  <c r="H2242" i="2"/>
  <c r="F2242" i="2"/>
  <c r="C2242" i="2"/>
  <c r="J2242" i="2" l="1"/>
  <c r="F2243" i="2"/>
  <c r="D2243" i="2"/>
  <c r="I2243" i="2"/>
  <c r="G2243" i="2"/>
  <c r="E2243" i="2"/>
  <c r="H2243" i="2"/>
  <c r="C2243" i="2"/>
  <c r="J2243" i="2" l="1"/>
  <c r="H2244" i="2"/>
  <c r="E2244" i="2"/>
  <c r="E2245" i="2" s="1"/>
  <c r="I2244" i="2"/>
  <c r="I2245" i="2" s="1"/>
  <c r="F2244" i="2"/>
  <c r="F2245" i="2" s="1"/>
  <c r="G2244" i="2"/>
  <c r="G2245" i="2" s="1"/>
  <c r="D2244" i="2"/>
  <c r="D2245" i="2" s="1"/>
  <c r="C2244" i="2"/>
  <c r="C2245" i="2" s="1"/>
  <c r="J2244" i="2" l="1"/>
  <c r="E2246" i="2"/>
  <c r="H2245" i="2"/>
  <c r="J2245" i="2" s="1"/>
  <c r="H2246" i="2" l="1"/>
  <c r="G2246" i="2"/>
  <c r="I2246" i="2"/>
  <c r="F2246" i="2"/>
  <c r="D2246" i="2"/>
  <c r="C2246" i="2"/>
  <c r="J2246" i="2" l="1"/>
  <c r="G2247" i="2"/>
  <c r="H2247" i="2"/>
  <c r="F2247" i="2"/>
  <c r="E2247" i="2"/>
  <c r="I2247" i="2"/>
  <c r="D2247" i="2"/>
  <c r="C2247" i="2"/>
  <c r="J2247" i="2" l="1"/>
  <c r="D2248" i="2"/>
  <c r="I2248" i="2"/>
  <c r="G2248" i="2"/>
  <c r="E2248" i="2"/>
  <c r="F2248" i="2"/>
  <c r="H2248" i="2"/>
  <c r="C2248" i="2"/>
  <c r="J2248" i="2" l="1"/>
  <c r="F2249" i="2"/>
  <c r="I2249" i="2"/>
  <c r="D2249" i="2"/>
  <c r="H2249" i="2"/>
  <c r="G2249" i="2"/>
  <c r="E2249" i="2"/>
  <c r="C2249" i="2"/>
  <c r="J2249" i="2" l="1"/>
  <c r="H2250" i="2"/>
  <c r="E2250" i="2"/>
  <c r="F2250" i="2"/>
  <c r="I2250" i="2"/>
  <c r="D2250" i="2"/>
  <c r="G2250" i="2"/>
  <c r="C2250" i="2"/>
  <c r="J2250" i="2" l="1"/>
  <c r="G2251" i="2"/>
  <c r="G2252" i="2" s="1"/>
  <c r="H2251" i="2"/>
  <c r="E2251" i="2"/>
  <c r="E2252" i="2" s="1"/>
  <c r="I2251" i="2"/>
  <c r="I2252" i="2" s="1"/>
  <c r="D2251" i="2"/>
  <c r="D2252" i="2" s="1"/>
  <c r="F2251" i="2"/>
  <c r="F2252" i="2" s="1"/>
  <c r="C2251" i="2"/>
  <c r="C2252" i="2" s="1"/>
  <c r="J2251" i="2" l="1"/>
  <c r="G2253" i="2"/>
  <c r="H2252" i="2"/>
  <c r="J2252" i="2" s="1"/>
  <c r="C2253" i="2"/>
  <c r="H2253" i="2" l="1"/>
  <c r="J2253" i="2" s="1"/>
  <c r="D2253" i="2"/>
  <c r="E2253" i="2"/>
  <c r="I2253" i="2"/>
  <c r="F2253" i="2"/>
  <c r="D2254" i="2" l="1"/>
  <c r="I2254" i="2"/>
  <c r="E2254" i="2"/>
  <c r="G2254" i="2"/>
  <c r="F2254" i="2"/>
  <c r="H2254" i="2"/>
  <c r="C2254" i="2"/>
  <c r="J2254" i="2" l="1"/>
  <c r="F2255" i="2"/>
  <c r="I2255" i="2"/>
  <c r="G2255" i="2"/>
  <c r="H2255" i="2"/>
  <c r="D2255" i="2"/>
  <c r="E2255" i="2"/>
  <c r="C2255" i="2"/>
  <c r="J2255" i="2" l="1"/>
  <c r="H2256" i="2"/>
  <c r="E2256" i="2"/>
  <c r="D2256" i="2"/>
  <c r="I2256" i="2"/>
  <c r="G2256" i="2"/>
  <c r="F2256" i="2"/>
  <c r="C2256" i="2"/>
  <c r="J2256" i="2" l="1"/>
  <c r="G2257" i="2"/>
  <c r="E2257" i="2"/>
  <c r="H2257" i="2"/>
  <c r="I2257" i="2"/>
  <c r="D2257" i="2"/>
  <c r="F2257" i="2"/>
  <c r="C2257" i="2"/>
  <c r="J2257" i="2" l="1"/>
  <c r="D2258" i="2"/>
  <c r="D2259" i="2" s="1"/>
  <c r="I2258" i="2"/>
  <c r="I2259" i="2" s="1"/>
  <c r="G2258" i="2"/>
  <c r="G2259" i="2" s="1"/>
  <c r="E2258" i="2"/>
  <c r="E2259" i="2" s="1"/>
  <c r="H2258" i="2"/>
  <c r="F2258" i="2"/>
  <c r="F2259" i="2" s="1"/>
  <c r="C2258" i="2"/>
  <c r="C2259" i="2" s="1"/>
  <c r="J2258" i="2" l="1"/>
  <c r="F2260" i="2"/>
  <c r="H2259" i="2"/>
  <c r="J2259" i="2" s="1"/>
  <c r="H2260" i="2" l="1"/>
  <c r="I2260" i="2"/>
  <c r="D2260" i="2"/>
  <c r="G2260" i="2"/>
  <c r="E2260" i="2"/>
  <c r="C2260" i="2"/>
  <c r="J2260" i="2" l="1"/>
  <c r="F2261" i="2"/>
  <c r="I2261" i="2"/>
  <c r="H2261" i="2"/>
  <c r="G2261" i="2"/>
  <c r="E2261" i="2"/>
  <c r="D2261" i="2"/>
  <c r="C2261" i="2"/>
  <c r="J2261" i="2" l="1"/>
  <c r="H2262" i="2"/>
  <c r="E2262" i="2"/>
  <c r="F2262" i="2"/>
  <c r="I2262" i="2"/>
  <c r="D2262" i="2"/>
  <c r="G2262" i="2"/>
  <c r="C2262" i="2"/>
  <c r="J2262" i="2" l="1"/>
  <c r="G2263" i="2"/>
  <c r="E2263" i="2"/>
  <c r="I2263" i="2"/>
  <c r="F2263" i="2"/>
  <c r="H2263" i="2"/>
  <c r="D2263" i="2"/>
  <c r="C2263" i="2"/>
  <c r="J2263" i="2" l="1"/>
  <c r="D2264" i="2"/>
  <c r="I2264" i="2"/>
  <c r="G2264" i="2"/>
  <c r="F2264" i="2"/>
  <c r="H2264" i="2"/>
  <c r="E2264" i="2"/>
  <c r="C2264" i="2"/>
  <c r="J2264" i="2" l="1"/>
  <c r="F2265" i="2"/>
  <c r="F2266" i="2" s="1"/>
  <c r="I2265" i="2"/>
  <c r="I2266" i="2" s="1"/>
  <c r="G2265" i="2"/>
  <c r="G2266" i="2" s="1"/>
  <c r="D2265" i="2"/>
  <c r="D2266" i="2" s="1"/>
  <c r="H2265" i="2"/>
  <c r="E2265" i="2"/>
  <c r="E2266" i="2" s="1"/>
  <c r="C2265" i="2"/>
  <c r="C2266" i="2" s="1"/>
  <c r="J2265" i="2" l="1"/>
  <c r="H2266" i="2"/>
  <c r="J2266" i="2" s="1"/>
  <c r="C2267" i="2"/>
  <c r="H2267" i="2" l="1"/>
  <c r="J2267" i="2" s="1"/>
  <c r="F2267" i="2"/>
  <c r="I2267" i="2"/>
  <c r="G2267" i="2"/>
  <c r="D2267" i="2"/>
  <c r="E2267" i="2"/>
  <c r="H2268" i="2" l="1"/>
  <c r="E2268" i="2"/>
  <c r="G2268" i="2"/>
  <c r="D2268" i="2"/>
  <c r="F2268" i="2"/>
  <c r="I2268" i="2"/>
  <c r="C2268" i="2"/>
  <c r="J2268" i="2" l="1"/>
  <c r="G2269" i="2"/>
  <c r="E2269" i="2"/>
  <c r="H2269" i="2"/>
  <c r="F2269" i="2"/>
  <c r="D2269" i="2"/>
  <c r="I2269" i="2"/>
  <c r="C2269" i="2"/>
  <c r="J2269" i="2" l="1"/>
  <c r="D2270" i="2"/>
  <c r="I2270" i="2"/>
  <c r="G2270" i="2"/>
  <c r="H2270" i="2"/>
  <c r="E2270" i="2"/>
  <c r="F2270" i="2"/>
  <c r="C2270" i="2"/>
  <c r="J2270" i="2" l="1"/>
  <c r="F2271" i="2"/>
  <c r="I2271" i="2"/>
  <c r="E2271" i="2"/>
  <c r="H2271" i="2"/>
  <c r="G2271" i="2"/>
  <c r="D2271" i="2"/>
  <c r="C2271" i="2"/>
  <c r="J2271" i="2" l="1"/>
  <c r="H2272" i="2"/>
  <c r="E2272" i="2"/>
  <c r="E2273" i="2" s="1"/>
  <c r="I2272" i="2"/>
  <c r="I2273" i="2" s="1"/>
  <c r="F2272" i="2"/>
  <c r="F2273" i="2" s="1"/>
  <c r="G2272" i="2"/>
  <c r="G2273" i="2" s="1"/>
  <c r="D2272" i="2"/>
  <c r="D2273" i="2" s="1"/>
  <c r="C2272" i="2"/>
  <c r="C2273" i="2" s="1"/>
  <c r="J2272" i="2" l="1"/>
  <c r="H2273" i="2"/>
  <c r="J2273" i="2" s="1"/>
  <c r="H2274" i="2" l="1"/>
  <c r="E2274" i="2"/>
  <c r="D2274" i="2"/>
  <c r="I2274" i="2"/>
  <c r="F2274" i="2"/>
  <c r="G2274" i="2"/>
  <c r="C2274" i="2"/>
  <c r="J2274" i="2" l="1"/>
  <c r="G2275" i="2"/>
  <c r="E2275" i="2"/>
  <c r="I2275" i="2"/>
  <c r="F2275" i="2"/>
  <c r="H2275" i="2"/>
  <c r="D2275" i="2"/>
  <c r="C2275" i="2"/>
  <c r="D2276" i="2" l="1"/>
  <c r="I2276" i="2"/>
  <c r="G2276" i="2"/>
  <c r="F2276" i="2"/>
  <c r="H2276" i="2"/>
  <c r="E2276" i="2"/>
  <c r="C2276" i="2"/>
  <c r="J2276" i="2" l="1"/>
  <c r="F2277" i="2"/>
  <c r="I2277" i="2"/>
  <c r="D2277" i="2"/>
  <c r="G2277" i="2"/>
  <c r="E2277" i="2"/>
  <c r="H2277" i="2"/>
  <c r="C2277" i="2"/>
  <c r="J2277" i="2" l="1"/>
  <c r="H2278" i="2"/>
  <c r="E2278" i="2"/>
  <c r="G2278" i="2"/>
  <c r="I2278" i="2"/>
  <c r="D2278" i="2"/>
  <c r="F2278" i="2"/>
  <c r="C2278" i="2"/>
  <c r="J2278" i="2" l="1"/>
  <c r="G2279" i="2"/>
  <c r="G2280" i="2" s="1"/>
  <c r="E2279" i="2"/>
  <c r="E2280" i="2" s="1"/>
  <c r="D2279" i="2"/>
  <c r="D2280" i="2" s="1"/>
  <c r="I2279" i="2"/>
  <c r="I2280" i="2" s="1"/>
  <c r="H2279" i="2"/>
  <c r="F2279" i="2"/>
  <c r="F2280" i="2" s="1"/>
  <c r="C2279" i="2"/>
  <c r="J2279" i="2" l="1"/>
  <c r="F2281" i="2"/>
  <c r="H2280" i="2"/>
  <c r="C2280" i="2"/>
  <c r="C2281" i="2" s="1"/>
  <c r="J2280" i="2" l="1"/>
  <c r="H2281" i="2"/>
  <c r="J2281" i="2" s="1"/>
  <c r="G2281" i="2"/>
  <c r="D2281" i="2"/>
  <c r="I2281" i="2"/>
  <c r="E2281" i="2"/>
  <c r="D2282" i="2" l="1"/>
  <c r="I2282" i="2"/>
  <c r="G2282" i="2"/>
  <c r="H2282" i="2"/>
  <c r="E2282" i="2"/>
  <c r="F2282" i="2"/>
  <c r="C2282" i="2"/>
  <c r="J2282" i="2" l="1"/>
  <c r="F2283" i="2"/>
  <c r="I2283" i="2"/>
  <c r="E2283" i="2"/>
  <c r="H2283" i="2"/>
  <c r="D2283" i="2"/>
  <c r="G2283" i="2"/>
  <c r="C2283" i="2"/>
  <c r="J2283" i="2" l="1"/>
  <c r="H2284" i="2"/>
  <c r="E2284" i="2"/>
  <c r="I2284" i="2"/>
  <c r="G2284" i="2"/>
  <c r="F2284" i="2"/>
  <c r="D2284" i="2"/>
  <c r="C2284" i="2"/>
  <c r="J2284" i="2" l="1"/>
  <c r="G2285" i="2"/>
  <c r="E2285" i="2"/>
  <c r="F2285" i="2"/>
  <c r="I2285" i="2"/>
  <c r="D2285" i="2"/>
  <c r="H2285" i="2"/>
  <c r="C2285" i="2"/>
  <c r="J2285" i="2" l="1"/>
  <c r="D2286" i="2"/>
  <c r="D2287" i="2" s="1"/>
  <c r="I2286" i="2"/>
  <c r="I2287" i="2" s="1"/>
  <c r="G2286" i="2"/>
  <c r="G2287" i="2" s="1"/>
  <c r="F2286" i="2"/>
  <c r="F2287" i="2" s="1"/>
  <c r="H2286" i="2"/>
  <c r="E2286" i="2"/>
  <c r="E2287" i="2" s="1"/>
  <c r="C2286" i="2"/>
  <c r="C2287" i="2" s="1"/>
  <c r="J2286" i="2" l="1"/>
  <c r="H2287" i="2"/>
  <c r="J2287" i="2" s="1"/>
  <c r="H2288" i="2" l="1"/>
  <c r="D2288" i="2"/>
  <c r="I2288" i="2"/>
  <c r="G2288" i="2"/>
  <c r="F2288" i="2"/>
  <c r="E2288" i="2"/>
  <c r="C2288" i="2"/>
  <c r="J2288" i="2" l="1"/>
  <c r="H2289" i="2"/>
  <c r="F2289" i="2"/>
  <c r="G2289" i="2"/>
  <c r="D2289" i="2"/>
  <c r="I2289" i="2"/>
  <c r="E2289" i="2"/>
  <c r="C2289" i="2"/>
  <c r="J2289" i="2" l="1"/>
  <c r="F2290" i="2"/>
  <c r="G2290" i="2"/>
  <c r="D2290" i="2"/>
  <c r="I2290" i="2"/>
  <c r="E2290" i="2"/>
  <c r="H2290" i="2"/>
  <c r="C2290" i="2"/>
  <c r="J2290" i="2" l="1"/>
  <c r="D2291" i="2"/>
  <c r="H2291" i="2"/>
  <c r="E2291" i="2"/>
  <c r="I2291" i="2"/>
  <c r="G2291" i="2"/>
  <c r="F2291" i="2"/>
  <c r="C2291" i="2"/>
  <c r="J2291" i="2" l="1"/>
  <c r="F2292" i="2"/>
  <c r="I2292" i="2"/>
  <c r="E2292" i="2"/>
  <c r="G2292" i="2"/>
  <c r="D2292" i="2"/>
  <c r="H2292" i="2"/>
  <c r="C2292" i="2"/>
  <c r="J2292" i="2" l="1"/>
  <c r="H2293" i="2"/>
  <c r="D2293" i="2"/>
  <c r="D2294" i="2" s="1"/>
  <c r="G2293" i="2"/>
  <c r="G2294" i="2" s="1"/>
  <c r="I2293" i="2"/>
  <c r="I2294" i="2" s="1"/>
  <c r="F2293" i="2"/>
  <c r="F2294" i="2" s="1"/>
  <c r="E2293" i="2"/>
  <c r="E2294" i="2" s="1"/>
  <c r="C2293" i="2"/>
  <c r="C2294" i="2" s="1"/>
  <c r="J2293" i="2" l="1"/>
  <c r="H2294" i="2"/>
  <c r="J2294" i="2" s="1"/>
  <c r="H2295" i="2" l="1"/>
  <c r="G2295" i="2"/>
  <c r="D2295" i="2"/>
  <c r="I2295" i="2"/>
  <c r="F2295" i="2"/>
  <c r="E2295" i="2"/>
  <c r="C2295" i="2"/>
  <c r="J2295" i="2" l="1"/>
  <c r="F2296" i="2"/>
  <c r="H2296" i="2"/>
  <c r="D2296" i="2"/>
  <c r="G2296" i="2"/>
  <c r="I2296" i="2"/>
  <c r="E2296" i="2"/>
  <c r="C2296" i="2"/>
  <c r="J2296" i="2" l="1"/>
  <c r="D2297" i="2"/>
  <c r="H2297" i="2"/>
  <c r="I2297" i="2"/>
  <c r="F2297" i="2"/>
  <c r="E2297" i="2"/>
  <c r="G2297" i="2"/>
  <c r="C2297" i="2"/>
  <c r="J2297" i="2" l="1"/>
  <c r="F2298" i="2"/>
  <c r="G2298" i="2"/>
  <c r="D2298" i="2"/>
  <c r="I2298" i="2"/>
  <c r="H2298" i="2"/>
  <c r="E2298" i="2"/>
  <c r="C2298" i="2"/>
  <c r="J2298" i="2" l="1"/>
  <c r="H2299" i="2"/>
  <c r="D2299" i="2"/>
  <c r="G2299" i="2"/>
  <c r="E2299" i="2"/>
  <c r="F2299" i="2"/>
  <c r="I2299" i="2"/>
  <c r="C2299" i="2"/>
  <c r="J2299" i="2" l="1"/>
  <c r="F2300" i="2"/>
  <c r="F2301" i="2" s="1"/>
  <c r="E2300" i="2"/>
  <c r="E2301" i="2" s="1"/>
  <c r="I2300" i="2"/>
  <c r="I2301" i="2" s="1"/>
  <c r="D2300" i="2"/>
  <c r="D2301" i="2" s="1"/>
  <c r="H2300" i="2"/>
  <c r="G2300" i="2"/>
  <c r="G2301" i="2" s="1"/>
  <c r="C2300" i="2"/>
  <c r="C2301" i="2" s="1"/>
  <c r="J2300" i="2" l="1"/>
  <c r="H2301" i="2"/>
  <c r="J2301" i="2" s="1"/>
  <c r="H2302" i="2" l="1"/>
  <c r="E2302" i="2"/>
  <c r="D2302" i="2"/>
  <c r="F2302" i="2"/>
  <c r="I2302" i="2"/>
  <c r="G2302" i="2"/>
  <c r="C2302" i="2"/>
  <c r="J2302" i="2" l="1"/>
  <c r="D2303" i="2"/>
  <c r="H2303" i="2"/>
  <c r="F2303" i="2"/>
  <c r="G2303" i="2"/>
  <c r="E2303" i="2"/>
  <c r="I2303" i="2"/>
  <c r="C2303" i="2"/>
  <c r="J2303" i="2" l="1"/>
  <c r="F2304" i="2"/>
  <c r="D2304" i="2"/>
  <c r="H2304" i="2"/>
  <c r="I2304" i="2"/>
  <c r="E2304" i="2"/>
  <c r="G2304" i="2"/>
  <c r="C2304" i="2"/>
  <c r="J2304" i="2" l="1"/>
  <c r="H2305" i="2"/>
  <c r="D2305" i="2"/>
  <c r="I2305" i="2"/>
  <c r="E2305" i="2"/>
  <c r="G2305" i="2"/>
  <c r="F2305" i="2"/>
  <c r="C2305" i="2"/>
  <c r="J2305" i="2" l="1"/>
  <c r="F2306" i="2"/>
  <c r="I2306" i="2"/>
  <c r="G2306" i="2"/>
  <c r="E2306" i="2"/>
  <c r="H2306" i="2"/>
  <c r="D2306" i="2"/>
  <c r="C2306" i="2"/>
  <c r="J2306" i="2" l="1"/>
  <c r="D2307" i="2"/>
  <c r="D2308" i="2" s="1"/>
  <c r="H2307" i="2"/>
  <c r="G2307" i="2"/>
  <c r="G2308" i="2" s="1"/>
  <c r="I2307" i="2"/>
  <c r="I2308" i="2" s="1"/>
  <c r="E2307" i="2"/>
  <c r="E2308" i="2" s="1"/>
  <c r="F2307" i="2"/>
  <c r="F2308" i="2" s="1"/>
  <c r="C2307" i="2"/>
  <c r="C2308" i="2" s="1"/>
  <c r="J2307" i="2" l="1"/>
  <c r="H2308" i="2"/>
  <c r="J2308" i="2" s="1"/>
  <c r="H2309" i="2" l="1"/>
  <c r="C2309" i="2"/>
  <c r="D2309" i="2"/>
  <c r="I2309" i="2"/>
  <c r="G2309" i="2"/>
  <c r="E2309" i="2"/>
  <c r="F2309" i="2"/>
  <c r="J2309" i="2" l="1"/>
  <c r="F2310" i="2"/>
  <c r="H2310" i="2"/>
  <c r="E2310" i="2"/>
  <c r="I2310" i="2"/>
  <c r="G2310" i="2"/>
  <c r="D2310" i="2"/>
  <c r="C2310" i="2"/>
  <c r="J2310" i="2" l="1"/>
  <c r="H2311" i="2"/>
  <c r="D2311" i="2"/>
  <c r="F2311" i="2"/>
  <c r="I2311" i="2"/>
  <c r="E2311" i="2"/>
  <c r="G2311" i="2"/>
  <c r="C2311" i="2"/>
  <c r="J2311" i="2" l="1"/>
  <c r="F2312" i="2"/>
  <c r="G2312" i="2"/>
  <c r="D2312" i="2"/>
  <c r="H2312" i="2"/>
  <c r="E2312" i="2"/>
  <c r="I2312" i="2"/>
  <c r="C2312" i="2"/>
  <c r="J2312" i="2" l="1"/>
  <c r="D2313" i="2"/>
  <c r="H2313" i="2"/>
  <c r="E2313" i="2"/>
  <c r="I2313" i="2"/>
  <c r="F2313" i="2"/>
  <c r="G2313" i="2"/>
  <c r="C2313" i="2"/>
  <c r="J2313" i="2" l="1"/>
  <c r="F2314" i="2"/>
  <c r="F2315" i="2" s="1"/>
  <c r="I2314" i="2"/>
  <c r="I2315" i="2" s="1"/>
  <c r="E2314" i="2"/>
  <c r="E2315" i="2" s="1"/>
  <c r="H2314" i="2"/>
  <c r="G2314" i="2"/>
  <c r="G2315" i="2" s="1"/>
  <c r="D2314" i="2"/>
  <c r="D2315" i="2" s="1"/>
  <c r="C2314" i="2"/>
  <c r="C2315" i="2" s="1"/>
  <c r="J2314" i="2" l="1"/>
  <c r="H2315" i="2"/>
  <c r="J2315" i="2" s="1"/>
  <c r="H2316" i="2" l="1"/>
  <c r="F2316" i="2"/>
  <c r="I2316" i="2"/>
  <c r="G2316" i="2"/>
  <c r="E2316" i="2"/>
  <c r="D2316" i="2"/>
  <c r="C2316" i="2"/>
  <c r="J2316" i="2" l="1"/>
  <c r="H2317" i="2"/>
  <c r="D2317" i="2"/>
  <c r="G2317" i="2"/>
  <c r="F2317" i="2"/>
  <c r="E2317" i="2"/>
  <c r="I2317" i="2"/>
  <c r="C2317" i="2"/>
  <c r="J2317" i="2" l="1"/>
  <c r="F2318" i="2"/>
  <c r="H2318" i="2"/>
  <c r="D2318" i="2"/>
  <c r="I2318" i="2"/>
  <c r="E2318" i="2"/>
  <c r="G2318" i="2"/>
  <c r="C2318" i="2"/>
  <c r="J2318" i="2" l="1"/>
  <c r="D2319" i="2"/>
  <c r="H2319" i="2"/>
  <c r="I2319" i="2"/>
  <c r="F2319" i="2"/>
  <c r="G2319" i="2"/>
  <c r="E2319" i="2"/>
  <c r="C2319" i="2"/>
  <c r="J2319" i="2" l="1"/>
  <c r="F2320" i="2"/>
  <c r="G2320" i="2"/>
  <c r="E2320" i="2"/>
  <c r="I2320" i="2"/>
  <c r="H2320" i="2"/>
  <c r="D2320" i="2"/>
  <c r="C2320" i="2"/>
  <c r="J2320" i="2" l="1"/>
  <c r="H2321" i="2"/>
  <c r="D2321" i="2"/>
  <c r="D2322" i="2" s="1"/>
  <c r="D2323" i="2" s="1"/>
  <c r="G2321" i="2"/>
  <c r="G2322" i="2" s="1"/>
  <c r="G2323" i="2" s="1"/>
  <c r="E2321" i="2"/>
  <c r="E2322" i="2" s="1"/>
  <c r="E2323" i="2" s="1"/>
  <c r="I2321" i="2"/>
  <c r="I2322" i="2" s="1"/>
  <c r="I2323" i="2" s="1"/>
  <c r="F2321" i="2"/>
  <c r="F2322" i="2" s="1"/>
  <c r="F2323" i="2" s="1"/>
  <c r="C2321" i="2"/>
  <c r="C2322" i="2" s="1"/>
  <c r="C2323" i="2" s="1"/>
  <c r="H2322" i="2" l="1"/>
  <c r="J2322" i="2" s="1"/>
  <c r="J2321" i="2"/>
  <c r="H2323" i="2" l="1"/>
  <c r="J2323" i="2" s="1"/>
  <c r="F2324" i="2"/>
  <c r="E2324" i="2"/>
  <c r="I2324" i="2"/>
  <c r="G2324" i="2"/>
  <c r="H2324" i="2"/>
  <c r="D2324" i="2"/>
  <c r="C2324" i="2"/>
  <c r="J2324" i="2" l="1"/>
  <c r="D2325" i="2"/>
  <c r="H2325" i="2"/>
  <c r="F2325" i="2"/>
  <c r="E2325" i="2"/>
  <c r="I2325" i="2"/>
  <c r="G2325" i="2"/>
  <c r="C2325" i="2"/>
  <c r="J2325" i="2" l="1"/>
  <c r="F2326" i="2"/>
  <c r="D2326" i="2"/>
  <c r="H2326" i="2"/>
  <c r="G2326" i="2"/>
  <c r="E2326" i="2"/>
  <c r="I2326" i="2"/>
  <c r="C2326" i="2"/>
  <c r="J2326" i="2" l="1"/>
  <c r="H2327" i="2"/>
  <c r="D2327" i="2"/>
  <c r="I2327" i="2"/>
  <c r="E2327" i="2"/>
  <c r="F2327" i="2"/>
  <c r="G2327" i="2"/>
  <c r="C2327" i="2"/>
  <c r="J2327" i="2" l="1"/>
  <c r="F2328" i="2"/>
  <c r="F2329" i="2" s="1"/>
  <c r="I2328" i="2"/>
  <c r="I2329" i="2" s="1"/>
  <c r="G2328" i="2"/>
  <c r="G2329" i="2" s="1"/>
  <c r="D2328" i="2"/>
  <c r="D2329" i="2" s="1"/>
  <c r="H2328" i="2"/>
  <c r="E2328" i="2"/>
  <c r="E2329" i="2" s="1"/>
  <c r="C2328" i="2"/>
  <c r="C2329" i="2" s="1"/>
  <c r="J2328" i="2" l="1"/>
  <c r="H2329" i="2"/>
  <c r="J2329" i="2" s="1"/>
  <c r="C2330" i="2"/>
  <c r="H2330" i="2" l="1"/>
  <c r="J2330" i="2" s="1"/>
  <c r="I2330" i="2"/>
  <c r="F2330" i="2"/>
  <c r="G2330" i="2"/>
  <c r="D2330" i="2"/>
  <c r="E2330" i="2"/>
  <c r="D2331" i="2" l="1"/>
  <c r="H2331" i="2"/>
  <c r="G2331" i="2"/>
  <c r="I2331" i="2"/>
  <c r="F2331" i="2"/>
  <c r="E2331" i="2"/>
  <c r="C2331" i="2"/>
  <c r="J2331" i="2" l="1"/>
  <c r="F2332" i="2"/>
  <c r="H2332" i="2"/>
  <c r="E2332" i="2"/>
  <c r="I2332" i="2"/>
  <c r="D2332" i="2"/>
  <c r="G2332" i="2"/>
  <c r="C2332" i="2"/>
  <c r="J2332" i="2" l="1"/>
  <c r="H2333" i="2"/>
  <c r="D2333" i="2"/>
  <c r="F2333" i="2"/>
  <c r="G2333" i="2"/>
  <c r="I2333" i="2"/>
  <c r="E2333" i="2"/>
  <c r="C2333" i="2"/>
  <c r="J2333" i="2" l="1"/>
  <c r="F2334" i="2"/>
  <c r="G2334" i="2"/>
  <c r="D2334" i="2"/>
  <c r="I2334" i="2"/>
  <c r="E2334" i="2"/>
  <c r="H2334" i="2"/>
  <c r="C2334" i="2"/>
  <c r="J2334" i="2" l="1"/>
  <c r="D2335" i="2"/>
  <c r="D2336" i="2" s="1"/>
  <c r="H2335" i="2"/>
  <c r="E2335" i="2"/>
  <c r="E2336" i="2" s="1"/>
  <c r="I2335" i="2"/>
  <c r="I2336" i="2" s="1"/>
  <c r="G2335" i="2"/>
  <c r="G2336" i="2" s="1"/>
  <c r="F2335" i="2"/>
  <c r="F2336" i="2" s="1"/>
  <c r="C2335" i="2"/>
  <c r="C2336" i="2" s="1"/>
  <c r="J2335" i="2" l="1"/>
  <c r="H2336" i="2"/>
  <c r="J2336" i="2" s="1"/>
  <c r="H2337" i="2" l="1"/>
  <c r="D2337" i="2"/>
  <c r="E2337" i="2"/>
  <c r="I2337" i="2"/>
  <c r="G2337" i="2"/>
  <c r="F2337" i="2"/>
  <c r="C2337" i="2"/>
  <c r="J2337" i="2" l="1"/>
  <c r="F2338" i="2"/>
  <c r="I2338" i="2"/>
  <c r="E2338" i="2"/>
  <c r="G2338" i="2"/>
  <c r="D2338" i="2"/>
  <c r="H2338" i="2"/>
  <c r="C2338" i="2"/>
  <c r="J2338" i="2" l="1"/>
  <c r="H2339" i="2"/>
  <c r="D2339" i="2"/>
  <c r="G2339" i="2"/>
  <c r="I2339" i="2"/>
  <c r="E2339" i="2"/>
  <c r="F2339" i="2"/>
  <c r="C2339" i="2"/>
  <c r="J2339" i="2" l="1"/>
  <c r="F2340" i="2"/>
  <c r="H2340" i="2"/>
  <c r="D2340" i="2"/>
  <c r="G2340" i="2"/>
  <c r="E2340" i="2"/>
  <c r="I2340" i="2"/>
  <c r="C2340" i="2"/>
  <c r="J2340" i="2" l="1"/>
  <c r="D2341" i="2"/>
  <c r="H2341" i="2"/>
  <c r="I2341" i="2"/>
  <c r="F2341" i="2"/>
  <c r="G2341" i="2"/>
  <c r="E2341" i="2"/>
  <c r="C2341" i="2"/>
  <c r="J2341" i="2" l="1"/>
  <c r="F2342" i="2"/>
  <c r="F2343" i="2" s="1"/>
  <c r="G2342" i="2"/>
  <c r="G2343" i="2" s="1"/>
  <c r="H2342" i="2"/>
  <c r="I2342" i="2"/>
  <c r="I2343" i="2" s="1"/>
  <c r="D2342" i="2"/>
  <c r="D2343" i="2" s="1"/>
  <c r="E2342" i="2"/>
  <c r="E2343" i="2" s="1"/>
  <c r="C2342" i="2"/>
  <c r="C2343" i="2" s="1"/>
  <c r="J2342" i="2" l="1"/>
  <c r="H2343" i="2"/>
  <c r="J2343" i="2" s="1"/>
  <c r="G2344" i="2"/>
  <c r="C2344" i="2"/>
  <c r="H2344" i="2" l="1"/>
  <c r="J2344" i="2" s="1"/>
  <c r="F2344" i="2"/>
  <c r="I2344" i="2"/>
  <c r="D2344" i="2"/>
  <c r="E2344" i="2"/>
  <c r="H2345" i="2" l="1"/>
  <c r="D2345" i="2"/>
  <c r="G2345" i="2"/>
  <c r="E2345" i="2"/>
  <c r="F2345" i="2"/>
  <c r="I2345" i="2"/>
  <c r="C2345" i="2"/>
  <c r="J2345" i="2" l="1"/>
  <c r="F2346" i="2"/>
  <c r="E2346" i="2"/>
  <c r="I2346" i="2"/>
  <c r="D2346" i="2"/>
  <c r="H2346" i="2"/>
  <c r="G2346" i="2"/>
  <c r="C2346" i="2"/>
  <c r="J2346" i="2" l="1"/>
  <c r="F2347" i="2"/>
  <c r="D2347" i="2"/>
  <c r="I2347" i="2"/>
  <c r="G2347" i="2"/>
  <c r="H2347" i="2"/>
  <c r="E2347" i="2"/>
  <c r="C2347" i="2"/>
  <c r="J2347" i="2" l="1"/>
  <c r="D2348" i="2"/>
  <c r="H2348" i="2"/>
  <c r="I2348" i="2"/>
  <c r="F2348" i="2"/>
  <c r="G2348" i="2"/>
  <c r="E2348" i="2"/>
  <c r="C2348" i="2"/>
  <c r="J2348" i="2" l="1"/>
  <c r="F2349" i="2"/>
  <c r="F2350" i="2" s="1"/>
  <c r="H2349" i="2"/>
  <c r="I2349" i="2"/>
  <c r="I2350" i="2" s="1"/>
  <c r="E2349" i="2"/>
  <c r="E2350" i="2" s="1"/>
  <c r="G2349" i="2"/>
  <c r="G2350" i="2" s="1"/>
  <c r="D2349" i="2"/>
  <c r="D2350" i="2" s="1"/>
  <c r="C2349" i="2"/>
  <c r="C2350" i="2" s="1"/>
  <c r="J2349" i="2" l="1"/>
  <c r="H2350" i="2"/>
  <c r="J2350" i="2" s="1"/>
  <c r="H2351" i="2" l="1"/>
  <c r="F2351" i="2"/>
  <c r="E2351" i="2"/>
  <c r="I2351" i="2"/>
  <c r="G2351" i="2"/>
  <c r="D2351" i="2"/>
  <c r="C2351" i="2"/>
  <c r="J2351" i="2" l="1"/>
  <c r="H2352" i="2"/>
  <c r="D2352" i="2"/>
  <c r="G2352" i="2"/>
  <c r="I2352" i="2"/>
  <c r="F2352" i="2"/>
  <c r="E2352" i="2"/>
  <c r="C2352" i="2"/>
  <c r="J2352" i="2" l="1"/>
  <c r="F2353" i="2"/>
  <c r="G2353" i="2"/>
  <c r="H2353" i="2"/>
  <c r="E2353" i="2"/>
  <c r="I2353" i="2"/>
  <c r="D2353" i="2"/>
  <c r="C2353" i="2"/>
  <c r="J2353" i="2" l="1"/>
  <c r="D2354" i="2"/>
  <c r="H2354" i="2"/>
  <c r="F2354" i="2"/>
  <c r="E2354" i="2"/>
  <c r="G2354" i="2"/>
  <c r="I2354" i="2"/>
  <c r="C2354" i="2"/>
  <c r="J2354" i="2" l="1"/>
  <c r="F2355" i="2"/>
  <c r="E2355" i="2"/>
  <c r="D2355" i="2"/>
  <c r="I2355" i="2"/>
  <c r="G2355" i="2"/>
  <c r="H2355" i="2"/>
  <c r="C2355" i="2"/>
  <c r="J2355" i="2" l="1"/>
  <c r="H2356" i="2"/>
  <c r="D2356" i="2"/>
  <c r="D2357" i="2" s="1"/>
  <c r="E2356" i="2"/>
  <c r="E2357" i="2" s="1"/>
  <c r="G2356" i="2"/>
  <c r="G2357" i="2" s="1"/>
  <c r="F2356" i="2"/>
  <c r="F2357" i="2" s="1"/>
  <c r="I2356" i="2"/>
  <c r="I2357" i="2" s="1"/>
  <c r="C2356" i="2"/>
  <c r="C2357" i="2" s="1"/>
  <c r="J2356" i="2" l="1"/>
  <c r="H2357" i="2"/>
  <c r="J2357" i="2" s="1"/>
  <c r="C2358" i="2"/>
  <c r="H2358" i="2" l="1"/>
  <c r="J2358" i="2" s="1"/>
  <c r="D2358" i="2"/>
  <c r="G2358" i="2"/>
  <c r="I2358" i="2"/>
  <c r="E2358" i="2"/>
  <c r="F2358" i="2"/>
  <c r="F2359" i="2" l="1"/>
  <c r="I2359" i="2"/>
  <c r="D2359" i="2"/>
  <c r="G2359" i="2"/>
  <c r="E2359" i="2"/>
  <c r="H2359" i="2"/>
  <c r="C2359" i="2"/>
  <c r="J2359" i="2" l="1"/>
  <c r="D2360" i="2"/>
  <c r="H2360" i="2"/>
  <c r="I2360" i="2"/>
  <c r="F2360" i="2"/>
  <c r="E2360" i="2"/>
  <c r="G2360" i="2"/>
  <c r="C2360" i="2"/>
  <c r="J2360" i="2" l="1"/>
  <c r="F2361" i="2"/>
  <c r="H2361" i="2"/>
  <c r="I2361" i="2"/>
  <c r="D2361" i="2"/>
  <c r="G2361" i="2"/>
  <c r="E2361" i="2"/>
  <c r="C2361" i="2"/>
  <c r="J2361" i="2" l="1"/>
  <c r="H2362" i="2"/>
  <c r="D2362" i="2"/>
  <c r="G2362" i="2"/>
  <c r="I2362" i="2"/>
  <c r="E2362" i="2"/>
  <c r="F2362" i="2"/>
  <c r="C2362" i="2"/>
  <c r="J2362" i="2" l="1"/>
  <c r="F2363" i="2"/>
  <c r="F2364" i="2" s="1"/>
  <c r="G2363" i="2"/>
  <c r="G2364" i="2" s="1"/>
  <c r="E2363" i="2"/>
  <c r="E2364" i="2" s="1"/>
  <c r="I2363" i="2"/>
  <c r="I2364" i="2" s="1"/>
  <c r="D2363" i="2"/>
  <c r="D2364" i="2" s="1"/>
  <c r="H2363" i="2"/>
  <c r="C2363" i="2"/>
  <c r="C2364" i="2" s="1"/>
  <c r="J2363" i="2" l="1"/>
  <c r="H2364" i="2"/>
  <c r="J2364" i="2" s="1"/>
  <c r="C2365" i="2"/>
  <c r="H2365" i="2" l="1"/>
  <c r="J2365" i="2" s="1"/>
  <c r="F2365" i="2"/>
  <c r="G2365" i="2"/>
  <c r="E2365" i="2"/>
  <c r="I2365" i="2"/>
  <c r="D2365" i="2"/>
  <c r="D2366" i="2" l="1"/>
  <c r="H2366" i="2"/>
  <c r="F2366" i="2"/>
  <c r="E2366" i="2"/>
  <c r="I2366" i="2"/>
  <c r="G2366" i="2"/>
  <c r="C2366" i="2"/>
  <c r="J2366" i="2" l="1"/>
  <c r="F2367" i="2"/>
  <c r="E2367" i="2"/>
  <c r="H2367" i="2"/>
  <c r="D2367" i="2"/>
  <c r="I2367" i="2"/>
  <c r="G2367" i="2"/>
  <c r="C2367" i="2"/>
  <c r="J2367" i="2" l="1"/>
  <c r="H2368" i="2"/>
  <c r="D2368" i="2"/>
  <c r="E2368" i="2"/>
  <c r="G2368" i="2"/>
  <c r="I2368" i="2"/>
  <c r="F2368" i="2"/>
  <c r="C2368" i="2"/>
  <c r="J2368" i="2" l="1"/>
  <c r="F2369" i="2"/>
  <c r="D2369" i="2"/>
  <c r="I2369" i="2"/>
  <c r="G2369" i="2"/>
  <c r="H2369" i="2"/>
  <c r="E2369" i="2"/>
  <c r="C2369" i="2"/>
  <c r="J2369" i="2" l="1"/>
  <c r="D2370" i="2"/>
  <c r="D2371" i="2" s="1"/>
  <c r="H2370" i="2"/>
  <c r="I2370" i="2"/>
  <c r="I2371" i="2" s="1"/>
  <c r="E2370" i="2"/>
  <c r="E2371" i="2" s="1"/>
  <c r="G2370" i="2"/>
  <c r="G2371" i="2" s="1"/>
  <c r="F2370" i="2"/>
  <c r="F2371" i="2" s="1"/>
  <c r="C2370" i="2"/>
  <c r="C2371" i="2" s="1"/>
  <c r="J2370" i="2" l="1"/>
  <c r="H2371" i="2"/>
  <c r="J2371" i="2" s="1"/>
  <c r="H2372" i="2" l="1"/>
  <c r="D2372" i="2"/>
  <c r="I2372" i="2"/>
  <c r="E2372" i="2"/>
  <c r="G2372" i="2"/>
  <c r="F2372" i="2"/>
  <c r="C2372" i="2"/>
  <c r="J2372" i="2" l="1"/>
  <c r="F2373" i="2"/>
  <c r="H2373" i="2"/>
  <c r="D2373" i="2"/>
  <c r="I2373" i="2"/>
  <c r="G2373" i="2"/>
  <c r="E2373" i="2"/>
  <c r="C2373" i="2"/>
  <c r="J2373" i="2" l="1"/>
  <c r="H2374" i="2"/>
  <c r="D2374" i="2"/>
  <c r="G2374" i="2"/>
  <c r="F2374" i="2"/>
  <c r="I2374" i="2"/>
  <c r="E2374" i="2"/>
  <c r="C2374" i="2"/>
  <c r="J2374" i="2" l="1"/>
  <c r="F2375" i="2"/>
  <c r="G2375" i="2"/>
  <c r="E2375" i="2"/>
  <c r="H2375" i="2"/>
  <c r="I2375" i="2"/>
  <c r="D2375" i="2"/>
  <c r="C2375" i="2"/>
  <c r="J2375" i="2" l="1"/>
  <c r="D2376" i="2"/>
  <c r="H2376" i="2"/>
  <c r="G2376" i="2"/>
  <c r="F2376" i="2"/>
  <c r="E2376" i="2"/>
  <c r="I2376" i="2"/>
  <c r="C2376" i="2"/>
  <c r="J2376" i="2" l="1"/>
  <c r="F2377" i="2"/>
  <c r="F2378" i="2" s="1"/>
  <c r="E2377" i="2"/>
  <c r="E2378" i="2" s="1"/>
  <c r="I2377" i="2"/>
  <c r="I2378" i="2" s="1"/>
  <c r="D2377" i="2"/>
  <c r="D2378" i="2" s="1"/>
  <c r="H2377" i="2"/>
  <c r="G2377" i="2"/>
  <c r="G2378" i="2" s="1"/>
  <c r="C2377" i="2"/>
  <c r="C2378" i="2" s="1"/>
  <c r="J2377" i="2" l="1"/>
  <c r="H2378" i="2"/>
  <c r="J2378" i="2" s="1"/>
  <c r="C2379" i="2"/>
  <c r="H2379" i="2" l="1"/>
  <c r="J2379" i="2" s="1"/>
  <c r="F2379" i="2"/>
  <c r="E2379" i="2"/>
  <c r="I2379" i="2"/>
  <c r="D2379" i="2"/>
  <c r="G2379" i="2"/>
  <c r="H2380" i="2" l="1"/>
  <c r="D2380" i="2"/>
  <c r="F2380" i="2"/>
  <c r="E2380" i="2"/>
  <c r="I2380" i="2"/>
  <c r="G2380" i="2"/>
  <c r="C2380" i="2"/>
  <c r="J2380" i="2" l="1"/>
  <c r="F2381" i="2"/>
  <c r="I2381" i="2"/>
  <c r="D2381" i="2"/>
  <c r="H2381" i="2"/>
  <c r="E2381" i="2"/>
  <c r="G2381" i="2"/>
  <c r="C2381" i="2"/>
  <c r="J2381" i="2" l="1"/>
  <c r="D2382" i="2"/>
  <c r="H2382" i="2"/>
  <c r="E2382" i="2"/>
  <c r="I2382" i="2"/>
  <c r="F2382" i="2"/>
  <c r="G2382" i="2"/>
  <c r="C2382" i="2"/>
  <c r="J2382" i="2" l="1"/>
  <c r="F2383" i="2"/>
  <c r="I2383" i="2"/>
  <c r="H2383" i="2"/>
  <c r="D2383" i="2"/>
  <c r="G2383" i="2"/>
  <c r="E2383" i="2"/>
  <c r="C2383" i="2"/>
  <c r="J2383" i="2" l="1"/>
  <c r="H2384" i="2"/>
  <c r="D2384" i="2"/>
  <c r="D2385" i="2" s="1"/>
  <c r="G2384" i="2"/>
  <c r="G2385" i="2" s="1"/>
  <c r="I2384" i="2"/>
  <c r="I2385" i="2" s="1"/>
  <c r="E2384" i="2"/>
  <c r="E2385" i="2" s="1"/>
  <c r="F2384" i="2"/>
  <c r="F2385" i="2" s="1"/>
  <c r="C2384" i="2"/>
  <c r="C2385" i="2" s="1"/>
  <c r="J2384" i="2" l="1"/>
  <c r="H2385" i="2"/>
  <c r="J2385" i="2" s="1"/>
  <c r="H2386" i="2" l="1"/>
  <c r="G2386" i="2"/>
  <c r="D2386" i="2"/>
  <c r="I2386" i="2"/>
  <c r="E2386" i="2"/>
  <c r="F2386" i="2"/>
  <c r="C2386" i="2"/>
  <c r="J2386" i="2" l="1"/>
  <c r="F2387" i="2"/>
  <c r="H2387" i="2"/>
  <c r="G2387" i="2"/>
  <c r="I2387" i="2"/>
  <c r="E2387" i="2"/>
  <c r="D2387" i="2"/>
  <c r="C2387" i="2"/>
  <c r="J2387" i="2" l="1"/>
  <c r="D2388" i="2"/>
  <c r="H2388" i="2"/>
  <c r="F2388" i="2"/>
  <c r="I2388" i="2"/>
  <c r="G2388" i="2"/>
  <c r="E2388" i="2"/>
  <c r="C2388" i="2"/>
  <c r="J2388" i="2" l="1"/>
  <c r="F2389" i="2"/>
  <c r="G2389" i="2"/>
  <c r="E2389" i="2"/>
  <c r="H2389" i="2"/>
  <c r="I2389" i="2"/>
  <c r="D2389" i="2"/>
  <c r="C2389" i="2"/>
  <c r="J2389" i="2" l="1"/>
  <c r="H2390" i="2"/>
  <c r="D2390" i="2"/>
  <c r="E2390" i="2"/>
  <c r="G2390" i="2"/>
  <c r="I2390" i="2"/>
  <c r="F2390" i="2"/>
  <c r="C2390" i="2"/>
  <c r="J2390" i="2" l="1"/>
  <c r="F2391" i="2"/>
  <c r="F2392" i="2" s="1"/>
  <c r="E2391" i="2"/>
  <c r="E2392" i="2" s="1"/>
  <c r="D2391" i="2"/>
  <c r="D2392" i="2" s="1"/>
  <c r="I2391" i="2"/>
  <c r="I2392" i="2" s="1"/>
  <c r="H2391" i="2"/>
  <c r="G2391" i="2"/>
  <c r="G2392" i="2" s="1"/>
  <c r="C2391" i="2"/>
  <c r="C2392" i="2" s="1"/>
  <c r="J2391" i="2" l="1"/>
  <c r="F2393" i="2"/>
  <c r="H2392" i="2"/>
  <c r="J2392" i="2" s="1"/>
  <c r="C2393" i="2"/>
  <c r="E2393" i="2" l="1"/>
  <c r="H2393" i="2"/>
  <c r="J2393" i="2" s="1"/>
  <c r="D2393" i="2"/>
  <c r="I2393" i="2"/>
  <c r="G2393" i="2"/>
  <c r="D2394" i="2" l="1"/>
  <c r="H2394" i="2"/>
  <c r="I2394" i="2"/>
  <c r="F2394" i="2"/>
  <c r="E2394" i="2"/>
  <c r="G2394" i="2"/>
  <c r="C2394" i="2"/>
  <c r="J2394" i="2" l="1"/>
  <c r="F2395" i="2"/>
  <c r="D2395" i="2"/>
  <c r="H2395" i="2"/>
  <c r="G2395" i="2"/>
  <c r="E2395" i="2"/>
  <c r="I2395" i="2"/>
  <c r="C2395" i="2"/>
  <c r="J2395" i="2" l="1"/>
  <c r="H2396" i="2"/>
  <c r="D2396" i="2"/>
  <c r="I2396" i="2"/>
  <c r="G2396" i="2"/>
  <c r="F2396" i="2"/>
  <c r="E2396" i="2"/>
  <c r="C2396" i="2"/>
  <c r="J2396" i="2" l="1"/>
  <c r="F2397" i="2"/>
  <c r="G2397" i="2"/>
  <c r="E2397" i="2"/>
  <c r="H2397" i="2"/>
  <c r="I2397" i="2"/>
  <c r="D2397" i="2"/>
  <c r="C2397" i="2"/>
  <c r="J2397" i="2" l="1"/>
  <c r="D2398" i="2"/>
  <c r="D2399" i="2" s="1"/>
  <c r="H2398" i="2"/>
  <c r="G2398" i="2"/>
  <c r="G2399" i="2" s="1"/>
  <c r="F2398" i="2"/>
  <c r="F2399" i="2" s="1"/>
  <c r="E2398" i="2"/>
  <c r="E2399" i="2" s="1"/>
  <c r="I2398" i="2"/>
  <c r="I2399" i="2" s="1"/>
  <c r="C2398" i="2"/>
  <c r="C2399" i="2" s="1"/>
  <c r="J2398" i="2" l="1"/>
  <c r="D2400" i="2"/>
  <c r="H2399" i="2"/>
  <c r="J2399" i="2" s="1"/>
  <c r="H2400" i="2" l="1"/>
  <c r="G2400" i="2"/>
  <c r="F2400" i="2"/>
  <c r="E2400" i="2"/>
  <c r="I2400" i="2"/>
  <c r="C2400" i="2"/>
  <c r="J2400" i="2" l="1"/>
  <c r="F2401" i="2"/>
  <c r="E2401" i="2"/>
  <c r="I2401" i="2"/>
  <c r="G2401" i="2"/>
  <c r="H2401" i="2"/>
  <c r="D2401" i="2"/>
  <c r="C2401" i="2"/>
  <c r="J2401" i="2" l="1"/>
  <c r="H2402" i="2"/>
  <c r="D2402" i="2"/>
  <c r="F2402" i="2"/>
  <c r="E2402" i="2"/>
  <c r="I2402" i="2"/>
  <c r="G2402" i="2"/>
  <c r="C2402" i="2"/>
  <c r="J2402" i="2" l="1"/>
  <c r="F2403" i="2"/>
  <c r="I2403" i="2"/>
  <c r="D2403" i="2"/>
  <c r="E2403" i="2"/>
  <c r="H2403" i="2"/>
  <c r="G2403" i="2"/>
  <c r="C2403" i="2"/>
  <c r="J2403" i="2" l="1"/>
  <c r="D2404" i="2"/>
  <c r="H2404" i="2"/>
  <c r="E2404" i="2"/>
  <c r="I2404" i="2"/>
  <c r="F2404" i="2"/>
  <c r="G2404" i="2"/>
  <c r="C2404" i="2"/>
  <c r="J2404" i="2" l="1"/>
  <c r="F2405" i="2"/>
  <c r="F2406" i="2" s="1"/>
  <c r="I2405" i="2"/>
  <c r="I2406" i="2" s="1"/>
  <c r="H2405" i="2"/>
  <c r="D2405" i="2"/>
  <c r="D2406" i="2" s="1"/>
  <c r="E2405" i="2"/>
  <c r="E2406" i="2" s="1"/>
  <c r="G2405" i="2"/>
  <c r="G2406" i="2" s="1"/>
  <c r="C2405" i="2"/>
  <c r="C2406" i="2" s="1"/>
  <c r="J2405" i="2" l="1"/>
  <c r="H2406" i="2"/>
  <c r="J2406" i="2" s="1"/>
  <c r="C2407" i="2"/>
  <c r="H2407" i="2" l="1"/>
  <c r="J2407" i="2" s="1"/>
  <c r="I2407" i="2"/>
  <c r="F2407" i="2"/>
  <c r="D2407" i="2"/>
  <c r="E2407" i="2"/>
  <c r="G2407" i="2"/>
  <c r="H2408" i="2" l="1"/>
  <c r="D2408" i="2"/>
  <c r="G2408" i="2"/>
  <c r="E2408" i="2"/>
  <c r="F2408" i="2"/>
  <c r="I2408" i="2"/>
  <c r="C2408" i="2"/>
  <c r="J2408" i="2" l="1"/>
  <c r="F2409" i="2"/>
  <c r="D2409" i="2"/>
  <c r="I2409" i="2"/>
  <c r="H2409" i="2"/>
  <c r="E2409" i="2"/>
  <c r="G2409" i="2"/>
  <c r="C2409" i="2"/>
  <c r="J2409" i="2" l="1"/>
  <c r="D2410" i="2"/>
  <c r="H2410" i="2"/>
  <c r="F2410" i="2"/>
  <c r="I2410" i="2"/>
  <c r="E2410" i="2"/>
  <c r="G2410" i="2"/>
  <c r="C2410" i="2"/>
  <c r="J2410" i="2" l="1"/>
  <c r="F2411" i="2"/>
  <c r="H2411" i="2"/>
  <c r="I2411" i="2"/>
  <c r="E2411" i="2"/>
  <c r="D2411" i="2"/>
  <c r="G2411" i="2"/>
  <c r="C2411" i="2"/>
  <c r="J2411" i="2" l="1"/>
  <c r="H2412" i="2"/>
  <c r="D2412" i="2"/>
  <c r="D2413" i="2" s="1"/>
  <c r="E2412" i="2"/>
  <c r="E2413" i="2" s="1"/>
  <c r="I2412" i="2"/>
  <c r="I2413" i="2" s="1"/>
  <c r="G2412" i="2"/>
  <c r="G2413" i="2" s="1"/>
  <c r="F2412" i="2"/>
  <c r="F2413" i="2" s="1"/>
  <c r="C2412" i="2"/>
  <c r="C2413" i="2" s="1"/>
  <c r="J2412" i="2" l="1"/>
  <c r="H2413" i="2"/>
  <c r="J2413" i="2" s="1"/>
  <c r="H2414" i="2" l="1"/>
  <c r="D2414" i="2"/>
  <c r="E2414" i="2"/>
  <c r="I2414" i="2"/>
  <c r="G2414" i="2"/>
  <c r="F2414" i="2"/>
  <c r="C2414" i="2"/>
  <c r="J2414" i="2" l="1"/>
  <c r="F2415" i="2"/>
  <c r="D2415" i="2"/>
  <c r="I2415" i="2"/>
  <c r="G2415" i="2"/>
  <c r="H2415" i="2"/>
  <c r="E2415" i="2"/>
  <c r="C2415" i="2"/>
  <c r="J2415" i="2" l="1"/>
  <c r="D2416" i="2"/>
  <c r="H2416" i="2"/>
  <c r="F2416" i="2"/>
  <c r="E2416" i="2"/>
  <c r="I2416" i="2"/>
  <c r="G2416" i="2"/>
  <c r="C2416" i="2"/>
  <c r="J2416" i="2" l="1"/>
  <c r="F2417" i="2"/>
  <c r="H2417" i="2"/>
  <c r="D2417" i="2"/>
  <c r="I2417" i="2"/>
  <c r="E2417" i="2"/>
  <c r="G2417" i="2"/>
  <c r="C2417" i="2"/>
  <c r="J2417" i="2" l="1"/>
  <c r="H2418" i="2"/>
  <c r="D2418" i="2"/>
  <c r="F2418" i="2"/>
  <c r="E2418" i="2"/>
  <c r="I2418" i="2"/>
  <c r="G2418" i="2"/>
  <c r="C2418" i="2"/>
  <c r="J2418" i="2" l="1"/>
  <c r="F2419" i="2"/>
  <c r="F2420" i="2" s="1"/>
  <c r="D2419" i="2"/>
  <c r="D2420" i="2" s="1"/>
  <c r="E2419" i="2"/>
  <c r="E2420" i="2" s="1"/>
  <c r="I2419" i="2"/>
  <c r="I2420" i="2" s="1"/>
  <c r="H2419" i="2"/>
  <c r="G2419" i="2"/>
  <c r="G2420" i="2" s="1"/>
  <c r="C2419" i="2"/>
  <c r="C2420" i="2" s="1"/>
  <c r="J2419" i="2" l="1"/>
  <c r="H2420" i="2"/>
  <c r="J2420" i="2" s="1"/>
  <c r="I2421" i="2"/>
  <c r="C2421" i="2"/>
  <c r="H2421" i="2" l="1"/>
  <c r="J2421" i="2" s="1"/>
  <c r="F2421" i="2"/>
  <c r="D2421" i="2"/>
  <c r="E2421" i="2"/>
  <c r="G2421" i="2"/>
  <c r="D2422" i="2" l="1"/>
  <c r="H2422" i="2"/>
  <c r="F2422" i="2"/>
  <c r="G2422" i="2"/>
  <c r="E2422" i="2"/>
  <c r="I2422" i="2"/>
  <c r="C2422" i="2"/>
  <c r="J2422" i="2" l="1"/>
  <c r="F2423" i="2"/>
  <c r="H2423" i="2"/>
  <c r="E2423" i="2"/>
  <c r="G2423" i="2"/>
  <c r="D2423" i="2"/>
  <c r="I2423" i="2"/>
  <c r="C2423" i="2"/>
  <c r="J2423" i="2" l="1"/>
  <c r="H2424" i="2"/>
  <c r="D2424" i="2"/>
  <c r="G2424" i="2"/>
  <c r="F2424" i="2"/>
  <c r="E2424" i="2"/>
  <c r="I2424" i="2"/>
  <c r="C2424" i="2"/>
  <c r="J2424" i="2" l="1"/>
  <c r="F2425" i="2"/>
  <c r="D2425" i="2"/>
  <c r="G2425" i="2"/>
  <c r="H2425" i="2"/>
  <c r="I2425" i="2"/>
  <c r="E2425" i="2"/>
  <c r="C2425" i="2"/>
  <c r="J2425" i="2" l="1"/>
  <c r="D2426" i="2"/>
  <c r="D2427" i="2" s="1"/>
  <c r="H2426" i="2"/>
  <c r="F2426" i="2"/>
  <c r="F2427" i="2" s="1"/>
  <c r="I2426" i="2"/>
  <c r="I2427" i="2" s="1"/>
  <c r="G2426" i="2"/>
  <c r="G2427" i="2" s="1"/>
  <c r="E2426" i="2"/>
  <c r="E2427" i="2" s="1"/>
  <c r="C2426" i="2"/>
  <c r="C2427" i="2" s="1"/>
  <c r="J2426" i="2" l="1"/>
  <c r="D2428" i="2"/>
  <c r="H2427" i="2"/>
  <c r="J2427" i="2" s="1"/>
  <c r="H2428" i="2" l="1"/>
  <c r="F2428" i="2"/>
  <c r="I2428" i="2"/>
  <c r="G2428" i="2"/>
  <c r="E2428" i="2"/>
  <c r="C2428" i="2"/>
  <c r="J2428" i="2" l="1"/>
  <c r="F2429" i="2"/>
  <c r="H2429" i="2"/>
  <c r="G2429" i="2"/>
  <c r="I2429" i="2"/>
  <c r="D2429" i="2"/>
  <c r="E2429" i="2"/>
  <c r="C2429" i="2"/>
  <c r="J2429" i="2" l="1"/>
  <c r="H2430" i="2"/>
  <c r="D2430" i="2"/>
  <c r="I2430" i="2"/>
  <c r="G2430" i="2"/>
  <c r="F2430" i="2"/>
  <c r="E2430" i="2"/>
  <c r="C2430" i="2"/>
  <c r="J2430" i="2" l="1"/>
  <c r="F2431" i="2"/>
  <c r="D2431" i="2"/>
  <c r="H2431" i="2"/>
  <c r="E2431" i="2"/>
  <c r="I2431" i="2"/>
  <c r="G2431" i="2"/>
  <c r="C2431" i="2"/>
  <c r="J2431" i="2" l="1"/>
  <c r="D2432" i="2"/>
  <c r="H2432" i="2"/>
  <c r="F2432" i="2"/>
  <c r="I2432" i="2"/>
  <c r="E2432" i="2"/>
  <c r="G2432" i="2"/>
  <c r="C2432" i="2"/>
  <c r="J2432" i="2" l="1"/>
  <c r="F2433" i="2"/>
  <c r="F2434" i="2" s="1"/>
  <c r="H2433" i="2"/>
  <c r="D2433" i="2"/>
  <c r="D2434" i="2" s="1"/>
  <c r="I2433" i="2"/>
  <c r="I2434" i="2" s="1"/>
  <c r="E2433" i="2"/>
  <c r="E2434" i="2" s="1"/>
  <c r="G2433" i="2"/>
  <c r="G2434" i="2" s="1"/>
  <c r="C2433" i="2"/>
  <c r="C2434" i="2" s="1"/>
  <c r="J2433" i="2" l="1"/>
  <c r="H2434" i="2"/>
  <c r="J2434" i="2" s="1"/>
  <c r="C2435" i="2"/>
  <c r="H2435" i="2" l="1"/>
  <c r="J2435" i="2" s="1"/>
  <c r="F2435" i="2"/>
  <c r="D2435" i="2"/>
  <c r="I2435" i="2"/>
  <c r="E2435" i="2"/>
  <c r="G2435" i="2"/>
  <c r="H2436" i="2" l="1"/>
  <c r="D2436" i="2"/>
  <c r="I2436" i="2"/>
  <c r="F2436" i="2"/>
  <c r="G2436" i="2"/>
  <c r="E2436" i="2"/>
  <c r="C2436" i="2"/>
  <c r="J2436" i="2" l="1"/>
  <c r="F2437" i="2"/>
  <c r="D2437" i="2"/>
  <c r="E2437" i="2"/>
  <c r="I2437" i="2"/>
  <c r="H2437" i="2"/>
  <c r="G2437" i="2"/>
  <c r="C2437" i="2"/>
  <c r="J2437" i="2" l="1"/>
  <c r="D2438" i="2"/>
  <c r="H2438" i="2"/>
  <c r="F2438" i="2"/>
  <c r="G2438" i="2"/>
  <c r="E2438" i="2"/>
  <c r="I2438" i="2"/>
  <c r="C2438" i="2"/>
  <c r="J2438" i="2" l="1"/>
  <c r="F2439" i="2"/>
  <c r="H2439" i="2"/>
  <c r="E2439" i="2"/>
  <c r="D2439" i="2"/>
  <c r="I2439" i="2"/>
  <c r="G2439" i="2"/>
  <c r="C2439" i="2"/>
  <c r="J2439" i="2" l="1"/>
  <c r="H2440" i="2"/>
  <c r="D2440" i="2"/>
  <c r="D2441" i="2" s="1"/>
  <c r="E2440" i="2"/>
  <c r="E2441" i="2" s="1"/>
  <c r="I2440" i="2"/>
  <c r="I2441" i="2" s="1"/>
  <c r="G2440" i="2"/>
  <c r="G2441" i="2" s="1"/>
  <c r="F2440" i="2"/>
  <c r="F2441" i="2" s="1"/>
  <c r="C2440" i="2"/>
  <c r="C2441" i="2" s="1"/>
  <c r="J2440" i="2" l="1"/>
  <c r="H2441" i="2"/>
  <c r="J2441" i="2" s="1"/>
  <c r="H2442" i="2" l="1"/>
  <c r="D2442" i="2"/>
  <c r="E2442" i="2"/>
  <c r="I2442" i="2"/>
  <c r="G2442" i="2"/>
  <c r="F2442" i="2"/>
  <c r="C2442" i="2"/>
  <c r="J2442" i="2" l="1"/>
  <c r="F2443" i="2"/>
  <c r="D2443" i="2"/>
  <c r="G2443" i="2"/>
  <c r="E2443" i="2"/>
  <c r="I2443" i="2"/>
  <c r="H2443" i="2"/>
  <c r="C2443" i="2"/>
  <c r="J2443" i="2" l="1"/>
  <c r="D2444" i="2"/>
  <c r="H2444" i="2"/>
  <c r="F2444" i="2"/>
  <c r="E2444" i="2"/>
  <c r="G2444" i="2"/>
  <c r="I2444" i="2"/>
  <c r="C2444" i="2"/>
  <c r="J2444" i="2" l="1"/>
  <c r="F2445" i="2"/>
  <c r="H2445" i="2"/>
  <c r="G2445" i="2"/>
  <c r="E2445" i="2"/>
  <c r="D2445" i="2"/>
  <c r="I2445" i="2"/>
  <c r="C2445" i="2"/>
  <c r="J2445" i="2" l="1"/>
  <c r="H2446" i="2"/>
  <c r="D2446" i="2"/>
  <c r="F2446" i="2"/>
  <c r="G2446" i="2"/>
  <c r="I2446" i="2"/>
  <c r="E2446" i="2"/>
  <c r="C2446" i="2"/>
  <c r="J2446" i="2" l="1"/>
  <c r="F2447" i="2"/>
  <c r="F2448" i="2" s="1"/>
  <c r="D2447" i="2"/>
  <c r="D2448" i="2" s="1"/>
  <c r="H2447" i="2"/>
  <c r="G2447" i="2"/>
  <c r="G2448" i="2" s="1"/>
  <c r="E2447" i="2"/>
  <c r="E2448" i="2" s="1"/>
  <c r="I2447" i="2"/>
  <c r="I2448" i="2" s="1"/>
  <c r="C2447" i="2"/>
  <c r="C2448" i="2" s="1"/>
  <c r="J2447" i="2" l="1"/>
  <c r="D2449" i="2"/>
  <c r="H2448" i="2"/>
  <c r="J2448" i="2" s="1"/>
  <c r="C2449" i="2"/>
  <c r="H2449" i="2" l="1"/>
  <c r="J2449" i="2" s="1"/>
  <c r="F2449" i="2"/>
  <c r="G2449" i="2"/>
  <c r="E2449" i="2"/>
  <c r="I2449" i="2"/>
  <c r="D2450" i="2" l="1"/>
  <c r="H2450" i="2"/>
  <c r="F2450" i="2"/>
  <c r="G2450" i="2"/>
  <c r="I2450" i="2"/>
  <c r="E2450" i="2"/>
  <c r="C2450" i="2"/>
  <c r="J2450" i="2" l="1"/>
  <c r="F2451" i="2"/>
  <c r="H2451" i="2"/>
  <c r="I2451" i="2"/>
  <c r="G2451" i="2"/>
  <c r="E2451" i="2"/>
  <c r="D2451" i="2"/>
  <c r="C2451" i="2"/>
  <c r="J2451" i="2" l="1"/>
  <c r="H2452" i="2"/>
  <c r="F2452" i="2"/>
  <c r="D2452" i="2"/>
  <c r="I2452" i="2"/>
  <c r="E2452" i="2"/>
  <c r="G2452" i="2"/>
  <c r="C2452" i="2"/>
  <c r="J2452" i="2" l="1"/>
  <c r="H2453" i="2"/>
  <c r="F2453" i="2"/>
  <c r="D2453" i="2"/>
  <c r="E2453" i="2"/>
  <c r="G2453" i="2"/>
  <c r="I2453" i="2"/>
  <c r="C2453" i="2"/>
  <c r="J2453" i="2" l="1"/>
  <c r="D2454" i="2"/>
  <c r="D2455" i="2" s="1"/>
  <c r="H2454" i="2"/>
  <c r="F2454" i="2"/>
  <c r="F2455" i="2" s="1"/>
  <c r="G2454" i="2"/>
  <c r="G2455" i="2" s="1"/>
  <c r="E2454" i="2"/>
  <c r="E2455" i="2" s="1"/>
  <c r="I2454" i="2"/>
  <c r="I2455" i="2" s="1"/>
  <c r="C2454" i="2"/>
  <c r="C2455" i="2" s="1"/>
  <c r="J2454" i="2" l="1"/>
  <c r="D2456" i="2"/>
  <c r="H2455" i="2"/>
  <c r="J2455" i="2" s="1"/>
  <c r="H2456" i="2" l="1"/>
  <c r="F2456" i="2"/>
  <c r="E2456" i="2"/>
  <c r="G2456" i="2"/>
  <c r="I2456" i="2"/>
  <c r="C2456" i="2"/>
  <c r="J2456" i="2" l="1"/>
  <c r="F2457" i="2"/>
  <c r="D2457" i="2"/>
  <c r="H2457" i="2"/>
  <c r="G2457" i="2"/>
  <c r="E2457" i="2"/>
  <c r="I2457" i="2"/>
  <c r="C2457" i="2"/>
  <c r="J2457" i="2" l="1"/>
  <c r="H2458" i="2"/>
  <c r="F2458" i="2"/>
  <c r="D2458" i="2"/>
  <c r="I2458" i="2"/>
  <c r="E2458" i="2"/>
  <c r="G2458" i="2"/>
  <c r="C2458" i="2"/>
  <c r="J2458" i="2" l="1"/>
  <c r="H2459" i="2"/>
  <c r="F2459" i="2"/>
  <c r="D2459" i="2"/>
  <c r="E2459" i="2"/>
  <c r="G2459" i="2"/>
  <c r="I2459" i="2"/>
  <c r="C2459" i="2"/>
  <c r="J2459" i="2" l="1"/>
  <c r="D2460" i="2"/>
  <c r="H2460" i="2"/>
  <c r="F2460" i="2"/>
  <c r="E2460" i="2"/>
  <c r="I2460" i="2"/>
  <c r="G2460" i="2"/>
  <c r="C2460" i="2"/>
  <c r="J2460" i="2" l="1"/>
  <c r="F2461" i="2"/>
  <c r="F2462" i="2" s="1"/>
  <c r="D2461" i="2"/>
  <c r="D2462" i="2" s="1"/>
  <c r="H2461" i="2"/>
  <c r="I2461" i="2"/>
  <c r="I2462" i="2" s="1"/>
  <c r="G2461" i="2"/>
  <c r="G2462" i="2" s="1"/>
  <c r="E2461" i="2"/>
  <c r="E2462" i="2" s="1"/>
  <c r="C2461" i="2"/>
  <c r="C2462" i="2" s="1"/>
  <c r="J2461" i="2" l="1"/>
  <c r="H2462" i="2"/>
  <c r="J2462" i="2" s="1"/>
  <c r="C2463" i="2"/>
  <c r="H2463" i="2" l="1"/>
  <c r="J2463" i="2" s="1"/>
  <c r="D2463" i="2"/>
  <c r="F2463" i="2"/>
  <c r="I2463" i="2"/>
  <c r="G2463" i="2"/>
  <c r="E2463" i="2"/>
  <c r="H2464" i="2" l="1"/>
  <c r="F2464" i="2"/>
  <c r="D2464" i="2"/>
  <c r="I2464" i="2"/>
  <c r="G2464" i="2"/>
  <c r="E2464" i="2"/>
  <c r="C2464" i="2"/>
  <c r="J2464" i="2" l="1"/>
  <c r="H2465" i="2"/>
  <c r="F2465" i="2"/>
  <c r="D2465" i="2"/>
  <c r="G2465" i="2"/>
  <c r="I2465" i="2"/>
  <c r="E2465" i="2"/>
  <c r="C2465" i="2"/>
  <c r="J2465" i="2" l="1"/>
  <c r="D2466" i="2"/>
  <c r="H2466" i="2"/>
  <c r="F2466" i="2"/>
  <c r="G2466" i="2"/>
  <c r="E2466" i="2"/>
  <c r="I2466" i="2"/>
  <c r="C2466" i="2"/>
  <c r="J2466" i="2" l="1"/>
  <c r="F2467" i="2"/>
  <c r="D2467" i="2"/>
  <c r="H2467" i="2"/>
  <c r="G2467" i="2"/>
  <c r="E2467" i="2"/>
  <c r="I2467" i="2"/>
  <c r="C2467" i="2"/>
  <c r="J2467" i="2" l="1"/>
  <c r="H2468" i="2"/>
  <c r="F2468" i="2"/>
  <c r="F2469" i="2" s="1"/>
  <c r="D2468" i="2"/>
  <c r="D2469" i="2" s="1"/>
  <c r="I2468" i="2"/>
  <c r="I2469" i="2" s="1"/>
  <c r="G2468" i="2"/>
  <c r="G2469" i="2" s="1"/>
  <c r="E2468" i="2"/>
  <c r="E2469" i="2" s="1"/>
  <c r="C2468" i="2"/>
  <c r="C2469" i="2" s="1"/>
  <c r="J2468" i="2" l="1"/>
  <c r="H2469" i="2"/>
  <c r="C2470" i="2" l="1"/>
  <c r="G2470" i="2"/>
  <c r="H2470" i="2"/>
  <c r="J2469" i="2"/>
  <c r="F2470" i="2"/>
  <c r="D2470" i="2"/>
  <c r="I2470" i="2"/>
  <c r="E2470" i="2"/>
  <c r="J2470" i="2" l="1"/>
  <c r="H2471" i="2"/>
  <c r="F2471" i="2"/>
  <c r="D2471" i="2"/>
  <c r="E2471" i="2"/>
  <c r="I2471" i="2"/>
  <c r="G2471" i="2"/>
  <c r="C2471" i="2"/>
  <c r="J2471" i="2" l="1"/>
  <c r="D2472" i="2"/>
  <c r="H2472" i="2"/>
  <c r="F2472" i="2"/>
  <c r="E2472" i="2"/>
  <c r="I2472" i="2"/>
  <c r="G2472" i="2"/>
  <c r="C2472" i="2"/>
  <c r="J2472" i="2" l="1"/>
  <c r="F2473" i="2"/>
  <c r="D2473" i="2"/>
  <c r="H2473" i="2"/>
  <c r="I2473" i="2"/>
  <c r="G2473" i="2"/>
  <c r="E2473" i="2"/>
  <c r="C2473" i="2"/>
  <c r="J2473" i="2" l="1"/>
  <c r="H2474" i="2"/>
  <c r="F2474" i="2"/>
  <c r="D2474" i="2"/>
  <c r="I2474" i="2"/>
  <c r="E2474" i="2"/>
  <c r="G2474" i="2"/>
  <c r="C2474" i="2"/>
  <c r="J2474" i="2" l="1"/>
  <c r="H2475" i="2"/>
  <c r="F2475" i="2"/>
  <c r="F2476" i="2" s="1"/>
  <c r="D2475" i="2"/>
  <c r="D2476" i="2" s="1"/>
  <c r="I2475" i="2"/>
  <c r="I2476" i="2" s="1"/>
  <c r="E2475" i="2"/>
  <c r="E2476" i="2" s="1"/>
  <c r="G2475" i="2"/>
  <c r="C2475" i="2"/>
  <c r="J2475" i="2" l="1"/>
  <c r="G2476" i="2"/>
  <c r="H2476" i="2"/>
  <c r="C2476" i="2"/>
  <c r="J2476" i="2" l="1"/>
  <c r="C2477" i="2"/>
  <c r="G2477" i="2"/>
  <c r="H2477" i="2"/>
  <c r="F2477" i="2"/>
  <c r="D2477" i="2"/>
  <c r="I2477" i="2"/>
  <c r="E2477" i="2"/>
  <c r="J2477" i="2" l="1"/>
  <c r="D2478" i="2"/>
  <c r="H2478" i="2"/>
  <c r="F2478" i="2"/>
  <c r="G2478" i="2"/>
  <c r="E2478" i="2"/>
  <c r="I2478" i="2"/>
  <c r="C2478" i="2"/>
  <c r="J2478" i="2" l="1"/>
  <c r="F2479" i="2"/>
  <c r="D2479" i="2"/>
  <c r="H2479" i="2"/>
  <c r="G2479" i="2"/>
  <c r="I2479" i="2"/>
  <c r="E2479" i="2"/>
  <c r="C2479" i="2"/>
  <c r="J2479" i="2" l="1"/>
  <c r="H2480" i="2"/>
  <c r="F2480" i="2"/>
  <c r="D2480" i="2"/>
  <c r="I2480" i="2"/>
  <c r="E2480" i="2"/>
  <c r="G2480" i="2"/>
  <c r="C2480" i="2"/>
  <c r="J2480" i="2" l="1"/>
  <c r="H2481" i="2"/>
  <c r="F2481" i="2"/>
  <c r="D2481" i="2"/>
  <c r="E2481" i="2"/>
  <c r="G2481" i="2"/>
  <c r="I2481" i="2"/>
  <c r="C2481" i="2"/>
  <c r="J2481" i="2" l="1"/>
  <c r="D2482" i="2"/>
  <c r="D2483" i="2" s="1"/>
  <c r="H2482" i="2"/>
  <c r="F2482" i="2"/>
  <c r="F2483" i="2" s="1"/>
  <c r="E2482" i="2"/>
  <c r="E2483" i="2" s="1"/>
  <c r="G2482" i="2"/>
  <c r="I2482" i="2"/>
  <c r="I2483" i="2" s="1"/>
  <c r="C2482" i="2"/>
  <c r="J2482" i="2" l="1"/>
  <c r="D2484" i="2"/>
  <c r="H2483" i="2"/>
  <c r="G2483" i="2"/>
  <c r="C2483" i="2"/>
  <c r="J2483" i="2" l="1"/>
  <c r="H2484" i="2"/>
  <c r="G2484" i="2"/>
  <c r="C2484" i="2"/>
  <c r="F2484" i="2"/>
  <c r="E2484" i="2"/>
  <c r="I2484" i="2"/>
  <c r="J2484" i="2" l="1"/>
  <c r="F2485" i="2"/>
  <c r="D2485" i="2"/>
  <c r="H2485" i="2"/>
  <c r="I2485" i="2"/>
  <c r="G2485" i="2"/>
  <c r="E2485" i="2"/>
  <c r="C2485" i="2"/>
  <c r="J2485" i="2" l="1"/>
  <c r="H2486" i="2"/>
  <c r="F2486" i="2"/>
  <c r="D2486" i="2"/>
  <c r="I2486" i="2"/>
  <c r="G2486" i="2"/>
  <c r="E2486" i="2"/>
  <c r="C2486" i="2"/>
  <c r="J2486" i="2" l="1"/>
  <c r="H2487" i="2"/>
  <c r="F2487" i="2"/>
  <c r="D2487" i="2"/>
  <c r="G2487" i="2"/>
  <c r="I2487" i="2"/>
  <c r="E2487" i="2"/>
  <c r="C2487" i="2"/>
  <c r="J2487" i="2" l="1"/>
  <c r="D2488" i="2"/>
  <c r="H2488" i="2"/>
  <c r="F2488" i="2"/>
  <c r="G2488" i="2"/>
  <c r="E2488" i="2"/>
  <c r="I2488" i="2"/>
  <c r="C2488" i="2"/>
  <c r="J2488" i="2" l="1"/>
  <c r="F2489" i="2"/>
  <c r="F2490" i="2" s="1"/>
  <c r="D2489" i="2"/>
  <c r="D2490" i="2" s="1"/>
  <c r="H2489" i="2"/>
  <c r="G2489" i="2"/>
  <c r="I2489" i="2"/>
  <c r="I2490" i="2" s="1"/>
  <c r="E2489" i="2"/>
  <c r="E2490" i="2" s="1"/>
  <c r="C2489" i="2"/>
  <c r="J2489" i="2" l="1"/>
  <c r="G2490" i="2"/>
  <c r="C2490" i="2"/>
  <c r="H2490" i="2"/>
  <c r="C2491" i="2" l="1"/>
  <c r="H2491" i="2"/>
  <c r="G2491" i="2"/>
  <c r="F2491" i="2"/>
  <c r="D2491" i="2"/>
  <c r="E2491" i="2"/>
  <c r="J2490" i="2"/>
  <c r="I2491" i="2"/>
  <c r="J2491" i="2" l="1"/>
  <c r="H2492" i="2"/>
  <c r="F2492" i="2"/>
  <c r="D2492" i="2"/>
  <c r="I2492" i="2"/>
  <c r="G2492" i="2"/>
  <c r="E2492" i="2"/>
  <c r="C2492" i="2"/>
  <c r="J2492" i="2" l="1"/>
  <c r="H2493" i="2"/>
  <c r="F2493" i="2"/>
  <c r="D2493" i="2"/>
  <c r="E2493" i="2"/>
  <c r="I2493" i="2"/>
  <c r="G2493" i="2"/>
  <c r="C2493" i="2"/>
  <c r="J2493" i="2" l="1"/>
  <c r="D2494" i="2"/>
  <c r="H2494" i="2"/>
  <c r="F2494" i="2"/>
  <c r="E2494" i="2"/>
  <c r="I2494" i="2"/>
  <c r="G2494" i="2"/>
  <c r="C2494" i="2"/>
  <c r="J2494" i="2" l="1"/>
  <c r="F2495" i="2"/>
  <c r="D2495" i="2"/>
  <c r="H2495" i="2"/>
  <c r="I2495" i="2"/>
  <c r="G2495" i="2"/>
  <c r="E2495" i="2"/>
  <c r="C2495" i="2"/>
  <c r="J2495" i="2" l="1"/>
  <c r="H2496" i="2"/>
  <c r="F2496" i="2"/>
  <c r="F2497" i="2" s="1"/>
  <c r="D2496" i="2"/>
  <c r="D2497" i="2" s="1"/>
  <c r="I2496" i="2"/>
  <c r="I2497" i="2" s="1"/>
  <c r="G2496" i="2"/>
  <c r="E2496" i="2"/>
  <c r="E2497" i="2" s="1"/>
  <c r="C2496" i="2"/>
  <c r="J2496" i="2" l="1"/>
  <c r="C2497" i="2"/>
  <c r="G2497" i="2"/>
  <c r="H2497" i="2"/>
  <c r="C2498" i="2" l="1"/>
  <c r="H2498" i="2"/>
  <c r="G2498" i="2"/>
  <c r="F2498" i="2"/>
  <c r="D2498" i="2"/>
  <c r="I2498" i="2"/>
  <c r="J2497" i="2"/>
  <c r="E2498" i="2"/>
  <c r="J2498" i="2" l="1"/>
  <c r="H2499" i="2"/>
  <c r="F2499" i="2"/>
  <c r="D2499" i="2"/>
  <c r="E2499" i="2"/>
  <c r="I2499" i="2"/>
  <c r="G2499" i="2"/>
  <c r="C2499" i="2"/>
  <c r="J2499" i="2" l="1"/>
  <c r="D2500" i="2"/>
  <c r="H2500" i="2"/>
  <c r="F2500" i="2"/>
  <c r="G2500" i="2"/>
  <c r="E2500" i="2"/>
  <c r="I2500" i="2"/>
  <c r="J2500" i="2" l="1"/>
  <c r="F2501" i="2"/>
  <c r="D2501" i="2"/>
  <c r="H2501" i="2"/>
  <c r="G2501" i="2"/>
  <c r="E2501" i="2"/>
  <c r="I2501" i="2"/>
  <c r="C2501" i="2"/>
  <c r="J2501" i="2" l="1"/>
  <c r="H2502" i="2"/>
  <c r="F2502" i="2"/>
  <c r="D2502" i="2"/>
  <c r="I2502" i="2"/>
  <c r="G2502" i="2"/>
  <c r="E2502" i="2"/>
  <c r="C2502" i="2"/>
  <c r="I2506" i="2" l="1"/>
  <c r="E2506" i="2"/>
  <c r="G2506" i="2"/>
  <c r="C2506" i="2"/>
  <c r="F2506" i="2"/>
  <c r="D2506" i="2"/>
  <c r="H2506" i="2"/>
  <c r="E28" i="4"/>
  <c r="D21" i="4"/>
  <c r="E21" i="4"/>
  <c r="C28" i="4"/>
  <c r="D28" i="4"/>
  <c r="H310" i="4"/>
  <c r="J2502" i="2"/>
  <c r="H2503" i="2"/>
  <c r="E7" i="4" s="1"/>
  <c r="F2503" i="2"/>
  <c r="D2503" i="2"/>
  <c r="E2503" i="2"/>
  <c r="G2503" i="2"/>
  <c r="D7" i="4" s="1"/>
  <c r="I2503" i="2"/>
  <c r="C2503" i="2"/>
  <c r="J2506" i="2" l="1"/>
  <c r="F36" i="5"/>
  <c r="I39" i="5"/>
  <c r="I30" i="5"/>
  <c r="H38" i="5"/>
  <c r="H358" i="4"/>
  <c r="G16" i="5"/>
  <c r="M26" i="5"/>
  <c r="G30" i="5"/>
  <c r="H387" i="4"/>
  <c r="I25" i="5"/>
  <c r="L18" i="5"/>
  <c r="F25" i="5"/>
  <c r="M37" i="5"/>
  <c r="H30" i="5"/>
  <c r="F26" i="5"/>
  <c r="J22" i="5"/>
  <c r="J38" i="5"/>
  <c r="H320" i="4"/>
  <c r="K24" i="5"/>
  <c r="J40" i="5"/>
  <c r="J24" i="5"/>
  <c r="L24" i="5"/>
  <c r="G22" i="5"/>
  <c r="I22" i="5"/>
  <c r="F31" i="5"/>
  <c r="F19" i="5"/>
  <c r="F18" i="5"/>
  <c r="I23" i="5"/>
  <c r="H378" i="4"/>
  <c r="H39" i="5"/>
  <c r="J31" i="5"/>
  <c r="L16" i="5"/>
  <c r="F32" i="5"/>
  <c r="H35" i="5"/>
  <c r="F33" i="5"/>
  <c r="H351" i="4"/>
  <c r="H366" i="4"/>
  <c r="M38" i="5"/>
  <c r="L22" i="5"/>
  <c r="H332" i="4"/>
  <c r="J37" i="5"/>
  <c r="G19" i="5"/>
  <c r="J26" i="5"/>
  <c r="K40" i="5"/>
  <c r="K38" i="5"/>
  <c r="L37" i="5"/>
  <c r="J32" i="5"/>
  <c r="G26" i="5"/>
  <c r="L38" i="5"/>
  <c r="L17" i="5"/>
  <c r="H16" i="5"/>
  <c r="J17" i="5"/>
  <c r="K17" i="5"/>
  <c r="K34" i="5"/>
  <c r="I38" i="5"/>
  <c r="H334" i="4"/>
  <c r="L25" i="5"/>
  <c r="I17" i="5"/>
  <c r="H23" i="5"/>
  <c r="H25" i="5"/>
  <c r="M41" i="5"/>
  <c r="I37" i="5"/>
  <c r="H40" i="5"/>
  <c r="F38" i="5"/>
  <c r="H357" i="4"/>
  <c r="H26" i="5"/>
  <c r="K35" i="5"/>
  <c r="H32" i="5"/>
  <c r="H367" i="4"/>
  <c r="F24" i="5"/>
  <c r="G39" i="5"/>
  <c r="F30" i="5"/>
  <c r="F29" i="5"/>
  <c r="J19" i="5"/>
  <c r="H37" i="5"/>
  <c r="J21" i="5"/>
  <c r="K28" i="5"/>
  <c r="J39" i="5"/>
  <c r="H24" i="5"/>
  <c r="L39" i="5"/>
  <c r="I21" i="5"/>
  <c r="L23" i="5"/>
  <c r="F22" i="5"/>
  <c r="I16" i="5"/>
  <c r="I29" i="5"/>
  <c r="J16" i="5"/>
  <c r="G32" i="5"/>
  <c r="L32" i="5"/>
  <c r="H352" i="4"/>
  <c r="I26" i="5"/>
  <c r="H374" i="4"/>
  <c r="G25" i="5"/>
  <c r="K36" i="5"/>
  <c r="F17" i="5"/>
  <c r="H384" i="4"/>
  <c r="J20" i="5"/>
  <c r="F23" i="5"/>
  <c r="L20" i="5"/>
  <c r="G28" i="5"/>
  <c r="M33" i="5"/>
  <c r="J23" i="5"/>
  <c r="H341" i="4"/>
  <c r="M20" i="5"/>
  <c r="H36" i="5"/>
  <c r="M30" i="5"/>
  <c r="I18" i="5"/>
  <c r="F21" i="5"/>
  <c r="L40" i="5"/>
  <c r="G29" i="5"/>
  <c r="H346" i="4"/>
  <c r="K32" i="5"/>
  <c r="M40" i="5"/>
  <c r="L41" i="5"/>
  <c r="I24" i="5"/>
  <c r="I19" i="5"/>
  <c r="G23" i="5"/>
  <c r="H386" i="4"/>
  <c r="L29" i="5"/>
  <c r="H331" i="4"/>
  <c r="G33" i="5"/>
  <c r="H317" i="4"/>
  <c r="K19" i="5"/>
  <c r="H31" i="5"/>
  <c r="G36" i="5"/>
  <c r="H365" i="4"/>
  <c r="G21" i="5"/>
  <c r="M39" i="5"/>
  <c r="H385" i="4"/>
  <c r="H353" i="4"/>
  <c r="G38" i="5"/>
  <c r="L21" i="5"/>
  <c r="K27" i="5"/>
  <c r="H379" i="4"/>
  <c r="J27" i="5"/>
  <c r="H348" i="4"/>
  <c r="K21" i="5"/>
  <c r="M17" i="5"/>
  <c r="H360" i="4"/>
  <c r="H340" i="4"/>
  <c r="L36" i="5"/>
  <c r="L30" i="5"/>
  <c r="F27" i="5"/>
  <c r="J29" i="5"/>
  <c r="H356" i="4"/>
  <c r="H361" i="4"/>
  <c r="I33" i="5"/>
  <c r="F37" i="5"/>
  <c r="G24" i="5"/>
  <c r="K39" i="5"/>
  <c r="H371" i="4"/>
  <c r="J30" i="5"/>
  <c r="H342" i="4"/>
  <c r="H333" i="4"/>
  <c r="I31" i="5"/>
  <c r="I28" i="5"/>
  <c r="J36" i="5"/>
  <c r="H322" i="4"/>
  <c r="H335" i="4"/>
  <c r="L19" i="5"/>
  <c r="K22" i="5"/>
  <c r="H17" i="5"/>
  <c r="G20" i="5"/>
  <c r="F41" i="5"/>
  <c r="G18" i="5"/>
  <c r="M35" i="5"/>
  <c r="I32" i="5"/>
  <c r="K16" i="5"/>
  <c r="H22" i="5"/>
  <c r="F16" i="5"/>
  <c r="H18" i="5"/>
  <c r="H345" i="4"/>
  <c r="H359" i="4"/>
  <c r="I20" i="5"/>
  <c r="H347" i="4"/>
  <c r="G17" i="5"/>
  <c r="M31" i="5"/>
  <c r="I36" i="5"/>
  <c r="M16" i="5"/>
  <c r="H344" i="4"/>
  <c r="H315" i="4"/>
  <c r="K20" i="5"/>
  <c r="J34" i="5"/>
  <c r="J18" i="5"/>
  <c r="K23" i="5"/>
  <c r="G34" i="5"/>
  <c r="K29" i="5"/>
  <c r="J41" i="5"/>
  <c r="H323" i="4"/>
  <c r="M32" i="5"/>
  <c r="H19" i="5"/>
  <c r="G37" i="5"/>
  <c r="J25" i="5"/>
  <c r="H377" i="4"/>
  <c r="H316" i="4"/>
  <c r="G31" i="5"/>
  <c r="K25" i="5"/>
  <c r="F40" i="5"/>
  <c r="M23" i="5"/>
  <c r="H388" i="4"/>
  <c r="L26" i="5"/>
  <c r="H329" i="4"/>
  <c r="H368" i="4"/>
  <c r="F39" i="5"/>
  <c r="H21" i="5"/>
  <c r="I27" i="5"/>
  <c r="H369" i="4"/>
  <c r="H327" i="4"/>
  <c r="L28" i="5"/>
  <c r="H325" i="4"/>
  <c r="G40" i="5"/>
  <c r="I40" i="5"/>
  <c r="H381" i="4"/>
  <c r="H41" i="5"/>
  <c r="M34" i="5"/>
  <c r="K31" i="5"/>
  <c r="M19" i="5"/>
  <c r="K26" i="5"/>
  <c r="H324" i="4"/>
  <c r="H27" i="5"/>
  <c r="K33" i="5"/>
  <c r="J33" i="5"/>
  <c r="H328" i="4"/>
  <c r="H318" i="4"/>
  <c r="M27" i="5"/>
  <c r="K37" i="5"/>
  <c r="H376" i="4"/>
  <c r="G41" i="5"/>
  <c r="H34" i="5"/>
  <c r="L35" i="5"/>
  <c r="J35" i="5"/>
  <c r="H33" i="5"/>
  <c r="H363" i="4"/>
  <c r="H29" i="5"/>
  <c r="H330" i="4"/>
  <c r="L31" i="5"/>
  <c r="H339" i="4"/>
  <c r="H321" i="4"/>
  <c r="L33" i="5"/>
  <c r="K41" i="5"/>
  <c r="H350" i="4"/>
  <c r="H362" i="4"/>
  <c r="H338" i="4"/>
  <c r="H20" i="5"/>
  <c r="H354" i="4"/>
  <c r="F28" i="5"/>
  <c r="I34" i="5"/>
  <c r="G35" i="5"/>
  <c r="M25" i="5"/>
  <c r="H319" i="4"/>
  <c r="M18" i="5"/>
  <c r="K18" i="5"/>
  <c r="F20" i="5"/>
  <c r="G27" i="5"/>
  <c r="M28" i="5"/>
  <c r="H383" i="4"/>
  <c r="I35" i="5"/>
  <c r="L27" i="5"/>
  <c r="H355" i="4"/>
  <c r="H373" i="4"/>
  <c r="L34" i="5"/>
  <c r="H380" i="4"/>
  <c r="H28" i="5"/>
  <c r="M24" i="5"/>
  <c r="H337" i="4"/>
  <c r="M21" i="5"/>
  <c r="M22" i="5"/>
  <c r="F34" i="5"/>
  <c r="H382" i="4"/>
  <c r="H370" i="4"/>
  <c r="M29" i="5"/>
  <c r="H372" i="4"/>
  <c r="I41" i="5"/>
  <c r="J28" i="5"/>
  <c r="H375" i="4"/>
  <c r="K30" i="5"/>
  <c r="H349" i="4"/>
  <c r="H364" i="4"/>
  <c r="H343" i="4"/>
  <c r="M36" i="5"/>
  <c r="H326" i="4"/>
  <c r="F35" i="5"/>
  <c r="H336" i="4"/>
  <c r="E15" i="4"/>
  <c r="D15" i="4"/>
  <c r="D29" i="4"/>
  <c r="D22" i="4"/>
  <c r="E23" i="4"/>
  <c r="E22" i="4"/>
  <c r="H2504" i="2"/>
  <c r="E29" i="4"/>
  <c r="E30" i="4"/>
  <c r="G2504" i="2"/>
  <c r="D8" i="4" s="1"/>
  <c r="F2504" i="2"/>
  <c r="C2504" i="2"/>
  <c r="D2504" i="2"/>
  <c r="I2504" i="2"/>
  <c r="E2504" i="2"/>
  <c r="H311" i="4"/>
  <c r="J2503" i="2"/>
  <c r="E8" i="4" l="1"/>
  <c r="E5" i="4"/>
  <c r="D16" i="4"/>
  <c r="E16" i="4"/>
  <c r="E9" i="4"/>
  <c r="E11" i="4"/>
  <c r="H2505" i="2"/>
  <c r="E12" i="4" s="1"/>
  <c r="E19" i="4"/>
  <c r="E18" i="4"/>
  <c r="D23" i="4"/>
  <c r="E25" i="4"/>
  <c r="E26" i="4"/>
  <c r="D30" i="4"/>
  <c r="J2504" i="2"/>
  <c r="H313" i="4" s="1"/>
  <c r="E32" i="4"/>
  <c r="E33" i="4"/>
  <c r="E2505" i="2"/>
  <c r="C2505" i="2"/>
  <c r="I2505" i="2"/>
  <c r="F2505" i="2"/>
  <c r="G2505" i="2"/>
  <c r="D2505" i="2"/>
  <c r="E35" i="4"/>
  <c r="H312" i="4"/>
  <c r="C23" i="4"/>
  <c r="C36" i="4"/>
  <c r="D5" i="4"/>
  <c r="C29" i="4"/>
  <c r="C22" i="4"/>
  <c r="C7" i="4"/>
  <c r="C21" i="4"/>
  <c r="C8" i="3"/>
  <c r="H14" i="4"/>
  <c r="C14" i="4"/>
  <c r="C16" i="4"/>
  <c r="C35" i="4"/>
  <c r="C11" i="3"/>
  <c r="C18" i="4"/>
  <c r="C10" i="3"/>
  <c r="C6" i="3"/>
  <c r="C33" i="4"/>
  <c r="H15" i="4"/>
  <c r="E17" i="4"/>
  <c r="D34" i="4"/>
  <c r="C13" i="3"/>
  <c r="E27" i="4"/>
  <c r="D19" i="4"/>
  <c r="C9" i="3"/>
  <c r="C30" i="4"/>
  <c r="D12" i="4"/>
  <c r="C15" i="4"/>
  <c r="C7" i="3"/>
  <c r="C8" i="4"/>
  <c r="D36" i="4"/>
  <c r="C32" i="4"/>
  <c r="D26" i="4"/>
  <c r="E36" i="4"/>
  <c r="C5" i="4"/>
  <c r="E10" i="4"/>
  <c r="E20" i="4"/>
  <c r="D33" i="4"/>
  <c r="E31" i="4"/>
  <c r="C34" i="4"/>
  <c r="D18" i="4"/>
  <c r="C12" i="3"/>
  <c r="E34" i="4"/>
  <c r="C13" i="4"/>
  <c r="C19" i="4"/>
  <c r="E24" i="4"/>
  <c r="H18" i="4"/>
  <c r="E13" i="4"/>
  <c r="C27" i="4"/>
  <c r="D27" i="4"/>
  <c r="D11" i="4"/>
  <c r="D32" i="4"/>
  <c r="E6" i="4"/>
  <c r="H16" i="4"/>
  <c r="C11" i="4"/>
  <c r="D13" i="4"/>
  <c r="H17" i="4"/>
  <c r="H20" i="4"/>
  <c r="H19" i="4"/>
  <c r="H21" i="4"/>
  <c r="H23" i="4"/>
  <c r="H22" i="4"/>
  <c r="H24" i="4"/>
  <c r="H25" i="4"/>
  <c r="H26" i="4"/>
  <c r="H28" i="4"/>
  <c r="H27" i="4"/>
  <c r="H29" i="4"/>
  <c r="H30" i="4"/>
  <c r="H31" i="4"/>
  <c r="H33" i="4"/>
  <c r="H32" i="4"/>
  <c r="H35" i="4"/>
  <c r="H34" i="4"/>
  <c r="H36" i="4"/>
  <c r="H38" i="4"/>
  <c r="H37" i="4"/>
  <c r="H40" i="4"/>
  <c r="H39" i="4"/>
  <c r="H41" i="4"/>
  <c r="H42" i="4"/>
  <c r="H43" i="4"/>
  <c r="H45" i="4"/>
  <c r="H44" i="4"/>
  <c r="H46" i="4"/>
  <c r="H47" i="4"/>
  <c r="H48" i="4"/>
  <c r="H49" i="4"/>
  <c r="H50" i="4"/>
  <c r="H51" i="4"/>
  <c r="H52" i="4"/>
  <c r="H55" i="4"/>
  <c r="H53" i="4"/>
  <c r="H54" i="4"/>
  <c r="H56" i="4"/>
  <c r="H57" i="4"/>
  <c r="H58" i="4"/>
  <c r="H59" i="4"/>
  <c r="H60" i="4"/>
  <c r="H62" i="4"/>
  <c r="H61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80" i="4"/>
  <c r="H81" i="4"/>
  <c r="H79" i="4"/>
  <c r="H82" i="4"/>
  <c r="H84" i="4"/>
  <c r="H83" i="4"/>
  <c r="H85" i="4"/>
  <c r="H86" i="4"/>
  <c r="H87" i="4"/>
  <c r="H89" i="4"/>
  <c r="H88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5" i="4"/>
  <c r="H134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7" i="4"/>
  <c r="H156" i="4"/>
  <c r="H159" i="4"/>
  <c r="H158" i="4"/>
  <c r="H161" i="4"/>
  <c r="H160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1" i="4"/>
  <c r="H200" i="4"/>
  <c r="H202" i="4"/>
  <c r="H203" i="4"/>
  <c r="H204" i="4"/>
  <c r="H205" i="4"/>
  <c r="H206" i="4"/>
  <c r="H207" i="4"/>
  <c r="H208" i="4"/>
  <c r="H210" i="4"/>
  <c r="H209" i="4"/>
  <c r="H211" i="4"/>
  <c r="H212" i="4"/>
  <c r="H213" i="4"/>
  <c r="H214" i="4"/>
  <c r="H215" i="4"/>
  <c r="H217" i="4"/>
  <c r="H216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3" i="4"/>
  <c r="H232" i="4"/>
  <c r="H234" i="4"/>
  <c r="H235" i="4"/>
  <c r="H236" i="4"/>
  <c r="H237" i="4"/>
  <c r="H238" i="4"/>
  <c r="H239" i="4"/>
  <c r="H240" i="4"/>
  <c r="H241" i="4"/>
  <c r="H243" i="4"/>
  <c r="H242" i="4"/>
  <c r="H244" i="4"/>
  <c r="H245" i="4"/>
  <c r="H246" i="4"/>
  <c r="H247" i="4"/>
  <c r="H248" i="4"/>
  <c r="H250" i="4"/>
  <c r="H249" i="4"/>
  <c r="H252" i="4"/>
  <c r="H251" i="4"/>
  <c r="H253" i="4"/>
  <c r="H255" i="4"/>
  <c r="H254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8" i="4"/>
  <c r="H277" i="4"/>
  <c r="H279" i="4"/>
  <c r="H280" i="4"/>
  <c r="H282" i="4"/>
  <c r="H281" i="4"/>
  <c r="H283" i="4"/>
  <c r="H284" i="4"/>
  <c r="H286" i="4"/>
  <c r="H285" i="4"/>
  <c r="H287" i="4"/>
  <c r="H288" i="4"/>
  <c r="H289" i="4"/>
  <c r="H290" i="4"/>
  <c r="H291" i="4"/>
  <c r="H292" i="4"/>
  <c r="H293" i="4"/>
  <c r="H294" i="4"/>
  <c r="H295" i="4"/>
  <c r="H297" i="4"/>
  <c r="H296" i="4"/>
  <c r="H298" i="4"/>
  <c r="H299" i="4"/>
  <c r="H300" i="4"/>
  <c r="H301" i="4"/>
  <c r="H303" i="4"/>
  <c r="H302" i="4"/>
  <c r="H304" i="4"/>
  <c r="H305" i="4"/>
  <c r="H307" i="4"/>
  <c r="H306" i="4"/>
  <c r="H309" i="4"/>
  <c r="H308" i="4"/>
  <c r="D9" i="4" l="1"/>
  <c r="D6" i="4"/>
  <c r="C9" i="4"/>
  <c r="C6" i="4"/>
  <c r="D14" i="4"/>
  <c r="D10" i="4"/>
  <c r="C12" i="4"/>
  <c r="C10" i="4"/>
  <c r="E14" i="4"/>
  <c r="C17" i="4"/>
  <c r="D31" i="4"/>
  <c r="D17" i="4"/>
  <c r="C20" i="4"/>
  <c r="D20" i="4"/>
  <c r="D24" i="4"/>
  <c r="C24" i="4"/>
  <c r="C25" i="4"/>
  <c r="D25" i="4"/>
  <c r="C26" i="4"/>
  <c r="J2505" i="2"/>
  <c r="H314" i="4" s="1"/>
  <c r="C31" i="4"/>
  <c r="D35" i="4"/>
  <c r="E13" i="3"/>
  <c r="G13" i="3"/>
  <c r="D13" i="3"/>
  <c r="G6" i="3"/>
  <c r="F6" i="3"/>
  <c r="E6" i="3"/>
  <c r="D6" i="3"/>
  <c r="G7" i="3"/>
  <c r="F7" i="3"/>
  <c r="E7" i="3"/>
  <c r="D7" i="3"/>
  <c r="G10" i="3"/>
  <c r="F10" i="3"/>
  <c r="E10" i="3"/>
  <c r="D10" i="3"/>
  <c r="G8" i="3"/>
  <c r="F8" i="3"/>
  <c r="E8" i="3"/>
  <c r="D8" i="3"/>
  <c r="G11" i="3"/>
  <c r="F11" i="3"/>
  <c r="E11" i="3"/>
  <c r="D11" i="3"/>
  <c r="G12" i="3"/>
  <c r="F12" i="3"/>
  <c r="E12" i="3"/>
  <c r="D12" i="3"/>
  <c r="F9" i="3"/>
  <c r="G9" i="3"/>
  <c r="E9" i="3"/>
  <c r="D9" i="3"/>
  <c r="F1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Fernando</author>
  </authors>
  <commentList>
    <comment ref="F3" authorId="0" shapeId="0" xr:uid="{552770B7-7275-4FEF-B06B-DBD47B3730A5}">
      <text>
        <r>
          <rPr>
            <b/>
            <sz val="9"/>
            <color indexed="81"/>
            <rFont val="Tahoma"/>
            <family val="2"/>
          </rPr>
          <t xml:space="preserve">Fernando: </t>
        </r>
        <r>
          <rPr>
            <sz val="9"/>
            <color indexed="81"/>
            <rFont val="Tahoma"/>
            <family val="2"/>
          </rPr>
          <t xml:space="preserve">Se deberá consultar a partir del cierre de la cotización. (18:00 hrs)
</t>
        </r>
      </text>
    </comment>
    <comment ref="G3" authorId="0" shapeId="0" xr:uid="{54264D64-50E2-40D5-943D-494C678EA83C}">
      <text>
        <r>
          <rPr>
            <b/>
            <sz val="9"/>
            <color indexed="81"/>
            <rFont val="Tahoma"/>
            <family val="2"/>
          </rPr>
          <t>Fernando:</t>
        </r>
        <r>
          <rPr>
            <sz val="9"/>
            <color indexed="81"/>
            <rFont val="Tahoma"/>
            <family val="2"/>
          </rPr>
          <t xml:space="preserve">
Se deberá actualizar las carpetas de platts por medio de winSCP a partir de las 18:00 hrs</t>
        </r>
      </text>
    </comment>
  </commentList>
</comments>
</file>

<file path=xl/sharedStrings.xml><?xml version="1.0" encoding="utf-8"?>
<sst xmlns="http://schemas.openxmlformats.org/spreadsheetml/2006/main" count="100" uniqueCount="48">
  <si>
    <t>Fecha</t>
  </si>
  <si>
    <t>MME</t>
  </si>
  <si>
    <t>Istmo</t>
  </si>
  <si>
    <t>Maya</t>
  </si>
  <si>
    <t>Olmeca</t>
  </si>
  <si>
    <t>Brent</t>
  </si>
  <si>
    <t>WTI</t>
  </si>
  <si>
    <t>LLS</t>
  </si>
  <si>
    <t>Dif. WTI-MME</t>
  </si>
  <si>
    <t>Precios Platts (cotización)</t>
  </si>
  <si>
    <t>Dia</t>
  </si>
  <si>
    <t>Mes</t>
  </si>
  <si>
    <t>Año</t>
  </si>
  <si>
    <t>Tabla</t>
  </si>
  <si>
    <t>Crudo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</si>
  <si>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</si>
  <si>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</si>
  <si>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</si>
  <si>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</si>
  <si>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</si>
  <si>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</si>
  <si>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</si>
  <si>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</si>
  <si>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</si>
  <si>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</si>
  <si>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</si>
  <si>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Diario</t>
  </si>
  <si>
    <t>Semanal</t>
  </si>
  <si>
    <t>Mensual</t>
  </si>
  <si>
    <t>Anual</t>
  </si>
  <si>
    <t>Cambio (%)</t>
  </si>
  <si>
    <t>Mezcla Mexicana</t>
  </si>
  <si>
    <t>WTI **</t>
  </si>
  <si>
    <t>Brent*</t>
  </si>
  <si>
    <t>LLS***</t>
  </si>
  <si>
    <t>WTI-MME</t>
  </si>
  <si>
    <t>Graficas</t>
  </si>
  <si>
    <t>Periodo</t>
  </si>
  <si>
    <t xml:space="preserve">WTI </t>
  </si>
  <si>
    <t>diciembre</t>
  </si>
  <si>
    <t>Enero</t>
  </si>
  <si>
    <t>El día de hoy no se publica precio de la Mezcla Mexicana de Exportación debido a la falta de cotizaciones por el feriado del Día de los Presidentes en EUA.</t>
  </si>
  <si>
    <t>ese dia si cotizó</t>
  </si>
  <si>
    <t>ese dia no cotizó y se reporta el del dia anterior</t>
  </si>
  <si>
    <t>Febrero</t>
  </si>
  <si>
    <t>Marzo</t>
  </si>
  <si>
    <t>Platts</t>
  </si>
  <si>
    <t>Pemex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</si>
</sst>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sz val="11"/>
      <color theme="1"/>
      <name val="Montserrat"/>
    </font>
    <font>
      <sz val="10"/>
      <color theme="1"/>
      <name val="Montserrat"/>
    </font>
    <font>
      <sz val="8"/>
      <name val="Calibri"/>
      <family val="2"/>
      <scheme val="minor"/>
    </font>
    <font>
      <b/>
      <sz val="10"/>
      <color theme="0"/>
      <name val="Montserrat"/>
    </font>
    <font>
      <sz val="7"/>
      <color theme="0" tint="-0.249977111117893"/>
      <name val="Montserrat"/>
    </font>
    <font>
      <b/>
      <sz val="11"/>
      <color theme="0"/>
      <name val="Montserrat"/>
    </font>
    <font>
      <b/>
      <sz val="9"/>
      <color theme="0"/>
      <name val="Montserrat"/>
    </font>
    <font>
      <b/>
      <sz val="11"/>
      <color rgb="FFF8F8F8"/>
      <name val="Montserrat"/>
    </font>
    <font>
      <sz val="11"/>
      <color rgb="FF000000"/>
      <name val="Montserrat"/>
    </font>
    <font>
      <sz val="10"/>
      <color theme="0" tint="-9.9978637043366805E-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691C2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rgb="FF7B7B7B"/>
      </left>
      <right style="medium">
        <color rgb="FF7B7B7B"/>
      </right>
      <top style="medium">
        <color rgb="FF7B7B7B"/>
      </top>
      <bottom style="medium">
        <color rgb="FF7B7B7B"/>
      </bottom>
      <diagonal/>
    </border>
    <border>
      <left/>
      <right style="medium">
        <color rgb="FF7B7B7B"/>
      </right>
      <top style="medium">
        <color rgb="FF7B7B7B"/>
      </top>
      <bottom style="medium">
        <color rgb="FF7B7B7B"/>
      </bottom>
      <diagonal/>
    </border>
    <border>
      <left style="medium">
        <color rgb="FF7B7B7B"/>
      </left>
      <right/>
      <top/>
      <bottom/>
      <diagonal/>
    </border>
    <border>
      <left/>
      <right style="medium">
        <color rgb="FF7B7B7B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/>
    </xf>
    <xf numFmtId="165" fontId="6" fillId="0" borderId="5" xfId="0" applyNumberFormat="1" applyFont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6" fillId="0" borderId="8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165" fontId="6" fillId="0" borderId="2" xfId="0" applyNumberFormat="1" applyFont="1" applyBorder="1" applyAlignment="1">
      <alignment horizontal="center" vertical="center"/>
    </xf>
    <xf numFmtId="164" fontId="6" fillId="0" borderId="2" xfId="1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165" fontId="6" fillId="0" borderId="3" xfId="0" applyNumberFormat="1" applyFont="1" applyBorder="1" applyAlignment="1">
      <alignment horizontal="center" vertical="center"/>
    </xf>
    <xf numFmtId="164" fontId="6" fillId="0" borderId="3" xfId="1" applyNumberFormat="1" applyFont="1" applyBorder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 wrapText="1"/>
    </xf>
    <xf numFmtId="0" fontId="13" fillId="4" borderId="10" xfId="0" applyFont="1" applyFill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4" fontId="2" fillId="0" borderId="13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691C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r>
              <a:rPr lang="en-US" sz="1200" b="1"/>
              <a:t>Precio del Crudo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Montserrat" panose="00000500000000000000" pitchFamily="2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5387224082530729"/>
          <c:y val="0.18615612564558462"/>
          <c:w val="0.80948695264680648"/>
          <c:h val="0.5150071966810601"/>
        </c:manualLayout>
      </c:layout>
      <c:lineChart>
        <c:grouping val="standard"/>
        <c:varyColors val="0"/>
        <c:ser>
          <c:idx val="0"/>
          <c:order val="0"/>
          <c:tx>
            <c:strRef>
              <c:f>GPrecio!$C$4</c:f>
              <c:strCache>
                <c:ptCount val="1"/>
                <c:pt idx="0">
                  <c:v>MME</c:v>
                </c:pt>
              </c:strCache>
            </c:strRef>
          </c:tx>
          <c:spPr>
            <a:ln w="28575" cap="rnd">
              <a:solidFill>
                <a:schemeClr val="accent6">
                  <a:lumMod val="90000"/>
                  <a:lumOff val="1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GPrecio!$B$5:$B$36</c:f>
              <c:numCache>
                <c:formatCode>m/d/yyyy</c:formatCode>
                <c:ptCount val="32"/>
                <c:pt idx="0">
                  <c:v>44970</c:v>
                </c:pt>
                <c:pt idx="1">
                  <c:v>44971</c:v>
                </c:pt>
                <c:pt idx="2">
                  <c:v>44972</c:v>
                </c:pt>
                <c:pt idx="3">
                  <c:v>44973</c:v>
                </c:pt>
                <c:pt idx="4">
                  <c:v>44974</c:v>
                </c:pt>
                <c:pt idx="5">
                  <c:v>44975</c:v>
                </c:pt>
                <c:pt idx="6">
                  <c:v>44976</c:v>
                </c:pt>
                <c:pt idx="7">
                  <c:v>44977</c:v>
                </c:pt>
                <c:pt idx="8">
                  <c:v>44978</c:v>
                </c:pt>
                <c:pt idx="9">
                  <c:v>44979</c:v>
                </c:pt>
                <c:pt idx="10">
                  <c:v>44980</c:v>
                </c:pt>
                <c:pt idx="11">
                  <c:v>44981</c:v>
                </c:pt>
                <c:pt idx="12">
                  <c:v>44982</c:v>
                </c:pt>
                <c:pt idx="13">
                  <c:v>44983</c:v>
                </c:pt>
                <c:pt idx="14">
                  <c:v>44984</c:v>
                </c:pt>
                <c:pt idx="15">
                  <c:v>44985</c:v>
                </c:pt>
                <c:pt idx="16">
                  <c:v>44986</c:v>
                </c:pt>
                <c:pt idx="17">
                  <c:v>44987</c:v>
                </c:pt>
                <c:pt idx="18">
                  <c:v>44988</c:v>
                </c:pt>
                <c:pt idx="19">
                  <c:v>44989</c:v>
                </c:pt>
                <c:pt idx="20">
                  <c:v>44990</c:v>
                </c:pt>
                <c:pt idx="21">
                  <c:v>44991</c:v>
                </c:pt>
                <c:pt idx="22">
                  <c:v>44992</c:v>
                </c:pt>
                <c:pt idx="23">
                  <c:v>44993</c:v>
                </c:pt>
                <c:pt idx="24">
                  <c:v>44994</c:v>
                </c:pt>
                <c:pt idx="25">
                  <c:v>44995</c:v>
                </c:pt>
                <c:pt idx="26">
                  <c:v>44996</c:v>
                </c:pt>
                <c:pt idx="27">
                  <c:v>44997</c:v>
                </c:pt>
                <c:pt idx="28">
                  <c:v>44998</c:v>
                </c:pt>
                <c:pt idx="29">
                  <c:v>44999</c:v>
                </c:pt>
                <c:pt idx="30">
                  <c:v>45000</c:v>
                </c:pt>
                <c:pt idx="31">
                  <c:v>45001</c:v>
                </c:pt>
              </c:numCache>
            </c:numRef>
          </c:cat>
          <c:val>
            <c:numRef>
              <c:f>GPrecio!$C$5:$C$36</c:f>
              <c:numCache>
                <c:formatCode>General</c:formatCode>
                <c:ptCount val="32"/>
                <c:pt idx="0">
                  <c:v>70.33</c:v>
                </c:pt>
                <c:pt idx="1">
                  <c:v>69.47</c:v>
                </c:pt>
                <c:pt idx="2">
                  <c:v>69.06</c:v>
                </c:pt>
                <c:pt idx="3">
                  <c:v>68.819999999999993</c:v>
                </c:pt>
                <c:pt idx="4">
                  <c:v>66.680000000000007</c:v>
                </c:pt>
                <c:pt idx="5">
                  <c:v>66.680000000000007</c:v>
                </c:pt>
                <c:pt idx="6">
                  <c:v>66.680000000000007</c:v>
                </c:pt>
                <c:pt idx="7">
                  <c:v>66.680000000000007</c:v>
                </c:pt>
                <c:pt idx="8">
                  <c:v>66.63</c:v>
                </c:pt>
                <c:pt idx="9">
                  <c:v>64.22</c:v>
                </c:pt>
                <c:pt idx="10">
                  <c:v>65.69</c:v>
                </c:pt>
                <c:pt idx="11">
                  <c:v>66.64</c:v>
                </c:pt>
                <c:pt idx="12">
                  <c:v>66.64</c:v>
                </c:pt>
                <c:pt idx="13">
                  <c:v>66.64</c:v>
                </c:pt>
                <c:pt idx="14">
                  <c:v>66.05</c:v>
                </c:pt>
                <c:pt idx="15">
                  <c:v>67.27</c:v>
                </c:pt>
                <c:pt idx="16">
                  <c:v>68.260000000000005</c:v>
                </c:pt>
                <c:pt idx="17">
                  <c:v>68.680000000000007</c:v>
                </c:pt>
                <c:pt idx="18">
                  <c:v>69.88</c:v>
                </c:pt>
                <c:pt idx="19">
                  <c:v>69.88</c:v>
                </c:pt>
                <c:pt idx="20">
                  <c:v>69.88</c:v>
                </c:pt>
                <c:pt idx="21">
                  <c:v>70.37</c:v>
                </c:pt>
                <c:pt idx="22">
                  <c:v>67.61</c:v>
                </c:pt>
                <c:pt idx="23">
                  <c:v>66.819999999999993</c:v>
                </c:pt>
                <c:pt idx="24">
                  <c:v>65.95</c:v>
                </c:pt>
                <c:pt idx="25">
                  <c:v>66.84</c:v>
                </c:pt>
                <c:pt idx="26">
                  <c:v>66.84</c:v>
                </c:pt>
                <c:pt idx="27">
                  <c:v>66.84</c:v>
                </c:pt>
                <c:pt idx="28">
                  <c:v>65.069999999999993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02-4A53-85DB-4CAB0DF6A9C5}"/>
            </c:ext>
          </c:extLst>
        </c:ser>
        <c:ser>
          <c:idx val="1"/>
          <c:order val="1"/>
          <c:tx>
            <c:strRef>
              <c:f>GPrecio!$D$4</c:f>
              <c:strCache>
                <c:ptCount val="1"/>
                <c:pt idx="0">
                  <c:v>Brent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GPrecio!$B$5:$B$36</c:f>
              <c:numCache>
                <c:formatCode>m/d/yyyy</c:formatCode>
                <c:ptCount val="32"/>
                <c:pt idx="0">
                  <c:v>44970</c:v>
                </c:pt>
                <c:pt idx="1">
                  <c:v>44971</c:v>
                </c:pt>
                <c:pt idx="2">
                  <c:v>44972</c:v>
                </c:pt>
                <c:pt idx="3">
                  <c:v>44973</c:v>
                </c:pt>
                <c:pt idx="4">
                  <c:v>44974</c:v>
                </c:pt>
                <c:pt idx="5">
                  <c:v>44975</c:v>
                </c:pt>
                <c:pt idx="6">
                  <c:v>44976</c:v>
                </c:pt>
                <c:pt idx="7">
                  <c:v>44977</c:v>
                </c:pt>
                <c:pt idx="8">
                  <c:v>44978</c:v>
                </c:pt>
                <c:pt idx="9">
                  <c:v>44979</c:v>
                </c:pt>
                <c:pt idx="10">
                  <c:v>44980</c:v>
                </c:pt>
                <c:pt idx="11">
                  <c:v>44981</c:v>
                </c:pt>
                <c:pt idx="12">
                  <c:v>44982</c:v>
                </c:pt>
                <c:pt idx="13">
                  <c:v>44983</c:v>
                </c:pt>
                <c:pt idx="14">
                  <c:v>44984</c:v>
                </c:pt>
                <c:pt idx="15">
                  <c:v>44985</c:v>
                </c:pt>
                <c:pt idx="16">
                  <c:v>44986</c:v>
                </c:pt>
                <c:pt idx="17">
                  <c:v>44987</c:v>
                </c:pt>
                <c:pt idx="18">
                  <c:v>44988</c:v>
                </c:pt>
                <c:pt idx="19">
                  <c:v>44989</c:v>
                </c:pt>
                <c:pt idx="20">
                  <c:v>44990</c:v>
                </c:pt>
                <c:pt idx="21">
                  <c:v>44991</c:v>
                </c:pt>
                <c:pt idx="22">
                  <c:v>44992</c:v>
                </c:pt>
                <c:pt idx="23">
                  <c:v>44993</c:v>
                </c:pt>
                <c:pt idx="24">
                  <c:v>44994</c:v>
                </c:pt>
                <c:pt idx="25">
                  <c:v>44995</c:v>
                </c:pt>
                <c:pt idx="26">
                  <c:v>44996</c:v>
                </c:pt>
                <c:pt idx="27">
                  <c:v>44997</c:v>
                </c:pt>
                <c:pt idx="28">
                  <c:v>44998</c:v>
                </c:pt>
                <c:pt idx="29">
                  <c:v>44999</c:v>
                </c:pt>
                <c:pt idx="30">
                  <c:v>45000</c:v>
                </c:pt>
                <c:pt idx="31">
                  <c:v>45001</c:v>
                </c:pt>
              </c:numCache>
            </c:numRef>
          </c:cat>
          <c:val>
            <c:numRef>
              <c:f>GPrecio!$D$5:$D$36</c:f>
              <c:numCache>
                <c:formatCode>General</c:formatCode>
                <c:ptCount val="32"/>
                <c:pt idx="0">
                  <c:v>86.11</c:v>
                </c:pt>
                <c:pt idx="1">
                  <c:v>85.34</c:v>
                </c:pt>
                <c:pt idx="2">
                  <c:v>84.43</c:v>
                </c:pt>
                <c:pt idx="3">
                  <c:v>85.42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83.4</c:v>
                </c:pt>
                <c:pt idx="8">
                  <c:v>83.19</c:v>
                </c:pt>
                <c:pt idx="9">
                  <c:v>81.349999999999994</c:v>
                </c:pt>
                <c:pt idx="10">
                  <c:v>81.84</c:v>
                </c:pt>
                <c:pt idx="11">
                  <c:v>82.84</c:v>
                </c:pt>
                <c:pt idx="12">
                  <c:v>82.84</c:v>
                </c:pt>
                <c:pt idx="13">
                  <c:v>82.84</c:v>
                </c:pt>
                <c:pt idx="14">
                  <c:v>82.22</c:v>
                </c:pt>
                <c:pt idx="15">
                  <c:v>84.22</c:v>
                </c:pt>
                <c:pt idx="16">
                  <c:v>83.71</c:v>
                </c:pt>
                <c:pt idx="17">
                  <c:v>85.09</c:v>
                </c:pt>
                <c:pt idx="18">
                  <c:v>85.44</c:v>
                </c:pt>
                <c:pt idx="19">
                  <c:v>85.44</c:v>
                </c:pt>
                <c:pt idx="20">
                  <c:v>85.44</c:v>
                </c:pt>
                <c:pt idx="21">
                  <c:v>86.18</c:v>
                </c:pt>
                <c:pt idx="22">
                  <c:v>84.31</c:v>
                </c:pt>
                <c:pt idx="23">
                  <c:v>82.85</c:v>
                </c:pt>
                <c:pt idx="24">
                  <c:v>83.41</c:v>
                </c:pt>
                <c:pt idx="25">
                  <c:v>82.8</c:v>
                </c:pt>
                <c:pt idx="26">
                  <c:v>82.8</c:v>
                </c:pt>
                <c:pt idx="27">
                  <c:v>82.8</c:v>
                </c:pt>
                <c:pt idx="28">
                  <c:v>81.72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02-4A53-85DB-4CAB0DF6A9C5}"/>
            </c:ext>
          </c:extLst>
        </c:ser>
        <c:ser>
          <c:idx val="2"/>
          <c:order val="2"/>
          <c:tx>
            <c:strRef>
              <c:f>GPrecio!$E$4</c:f>
              <c:strCache>
                <c:ptCount val="1"/>
                <c:pt idx="0">
                  <c:v>WTI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GPrecio!$B$5:$B$36</c:f>
              <c:numCache>
                <c:formatCode>m/d/yyyy</c:formatCode>
                <c:ptCount val="32"/>
                <c:pt idx="0">
                  <c:v>44970</c:v>
                </c:pt>
                <c:pt idx="1">
                  <c:v>44971</c:v>
                </c:pt>
                <c:pt idx="2">
                  <c:v>44972</c:v>
                </c:pt>
                <c:pt idx="3">
                  <c:v>44973</c:v>
                </c:pt>
                <c:pt idx="4">
                  <c:v>44974</c:v>
                </c:pt>
                <c:pt idx="5">
                  <c:v>44975</c:v>
                </c:pt>
                <c:pt idx="6">
                  <c:v>44976</c:v>
                </c:pt>
                <c:pt idx="7">
                  <c:v>44977</c:v>
                </c:pt>
                <c:pt idx="8">
                  <c:v>44978</c:v>
                </c:pt>
                <c:pt idx="9">
                  <c:v>44979</c:v>
                </c:pt>
                <c:pt idx="10">
                  <c:v>44980</c:v>
                </c:pt>
                <c:pt idx="11">
                  <c:v>44981</c:v>
                </c:pt>
                <c:pt idx="12">
                  <c:v>44982</c:v>
                </c:pt>
                <c:pt idx="13">
                  <c:v>44983</c:v>
                </c:pt>
                <c:pt idx="14">
                  <c:v>44984</c:v>
                </c:pt>
                <c:pt idx="15">
                  <c:v>44985</c:v>
                </c:pt>
                <c:pt idx="16">
                  <c:v>44986</c:v>
                </c:pt>
                <c:pt idx="17">
                  <c:v>44987</c:v>
                </c:pt>
                <c:pt idx="18">
                  <c:v>44988</c:v>
                </c:pt>
                <c:pt idx="19">
                  <c:v>44989</c:v>
                </c:pt>
                <c:pt idx="20">
                  <c:v>44990</c:v>
                </c:pt>
                <c:pt idx="21">
                  <c:v>44991</c:v>
                </c:pt>
                <c:pt idx="22">
                  <c:v>44992</c:v>
                </c:pt>
                <c:pt idx="23">
                  <c:v>44993</c:v>
                </c:pt>
                <c:pt idx="24">
                  <c:v>44994</c:v>
                </c:pt>
                <c:pt idx="25">
                  <c:v>44995</c:v>
                </c:pt>
                <c:pt idx="26">
                  <c:v>44996</c:v>
                </c:pt>
                <c:pt idx="27">
                  <c:v>44997</c:v>
                </c:pt>
                <c:pt idx="28">
                  <c:v>44998</c:v>
                </c:pt>
                <c:pt idx="29">
                  <c:v>44999</c:v>
                </c:pt>
                <c:pt idx="30">
                  <c:v>45000</c:v>
                </c:pt>
                <c:pt idx="31">
                  <c:v>45001</c:v>
                </c:pt>
              </c:numCache>
            </c:numRef>
          </c:cat>
          <c:val>
            <c:numRef>
              <c:f>GPrecio!$E$5:$E$36</c:f>
              <c:numCache>
                <c:formatCode>General</c:formatCode>
                <c:ptCount val="32"/>
                <c:pt idx="0">
                  <c:v>80.14</c:v>
                </c:pt>
                <c:pt idx="1">
                  <c:v>79.06</c:v>
                </c:pt>
                <c:pt idx="2">
                  <c:v>78.59</c:v>
                </c:pt>
                <c:pt idx="3">
                  <c:v>78.489999999999995</c:v>
                </c:pt>
                <c:pt idx="4">
                  <c:v>76.34</c:v>
                </c:pt>
                <c:pt idx="5">
                  <c:v>76.34</c:v>
                </c:pt>
                <c:pt idx="6">
                  <c:v>76.34</c:v>
                </c:pt>
                <c:pt idx="7">
                  <c:v>76.34</c:v>
                </c:pt>
                <c:pt idx="8">
                  <c:v>76.16</c:v>
                </c:pt>
                <c:pt idx="9">
                  <c:v>73.8</c:v>
                </c:pt>
                <c:pt idx="10">
                  <c:v>75.290000000000006</c:v>
                </c:pt>
                <c:pt idx="11">
                  <c:v>76.319999999999993</c:v>
                </c:pt>
                <c:pt idx="12">
                  <c:v>76.319999999999993</c:v>
                </c:pt>
                <c:pt idx="13">
                  <c:v>76.319999999999993</c:v>
                </c:pt>
                <c:pt idx="14">
                  <c:v>75.680000000000007</c:v>
                </c:pt>
                <c:pt idx="15">
                  <c:v>77.05</c:v>
                </c:pt>
                <c:pt idx="16">
                  <c:v>77.69</c:v>
                </c:pt>
                <c:pt idx="17">
                  <c:v>78.16</c:v>
                </c:pt>
                <c:pt idx="18">
                  <c:v>79.680000000000007</c:v>
                </c:pt>
                <c:pt idx="19">
                  <c:v>79.680000000000007</c:v>
                </c:pt>
                <c:pt idx="20">
                  <c:v>79.680000000000007</c:v>
                </c:pt>
                <c:pt idx="21">
                  <c:v>80.459999999999994</c:v>
                </c:pt>
                <c:pt idx="22">
                  <c:v>77.58</c:v>
                </c:pt>
                <c:pt idx="23">
                  <c:v>76.66</c:v>
                </c:pt>
                <c:pt idx="24">
                  <c:v>75.72</c:v>
                </c:pt>
                <c:pt idx="25">
                  <c:v>76.680000000000007</c:v>
                </c:pt>
                <c:pt idx="26">
                  <c:v>76.680000000000007</c:v>
                </c:pt>
                <c:pt idx="27">
                  <c:v>76.680000000000007</c:v>
                </c:pt>
                <c:pt idx="28">
                  <c:v>74.8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02-4A53-85DB-4CAB0DF6A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5480000"/>
        <c:axId val="925480328"/>
      </c:lineChart>
      <c:dateAx>
        <c:axId val="925480000"/>
        <c:scaling>
          <c:orientation val="minMax"/>
          <c:max val="44998"/>
          <c:min val="44970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s-MX"/>
          </a:p>
        </c:txPr>
        <c:crossAx val="925480328"/>
        <c:crosses val="autoZero"/>
        <c:auto val="1"/>
        <c:lblOffset val="100"/>
        <c:baseTimeUnit val="days"/>
        <c:majorUnit val="2"/>
        <c:majorTimeUnit val="days"/>
      </c:dateAx>
      <c:valAx>
        <c:axId val="925480328"/>
        <c:scaling>
          <c:orientation val="minMax"/>
          <c:max val="100"/>
          <c:min val="5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r>
                  <a:rPr lang="es-MX" sz="800"/>
                  <a:t>Dólares</a:t>
                </a:r>
                <a:r>
                  <a:rPr lang="es-MX" sz="800" baseline="0"/>
                  <a:t> por barril</a:t>
                </a:r>
                <a:endParaRPr lang="es-MX" sz="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s-MX"/>
          </a:p>
        </c:txPr>
        <c:crossAx val="925480000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ontserrat" panose="00000500000000000000" pitchFamily="2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Montserrat" panose="00000500000000000000" pitchFamily="2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r>
              <a:rPr lang="en-US" sz="1200" b="1"/>
              <a:t>Diferencial WTI-MME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Montserrat" panose="00000500000000000000" pitchFamily="2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GPrecio!$H$4</c:f>
              <c:strCache>
                <c:ptCount val="1"/>
                <c:pt idx="0">
                  <c:v>Dif. WTI-MME</c:v>
                </c:pt>
              </c:strCache>
            </c:strRef>
          </c:tx>
          <c:spPr>
            <a:ln w="25400" cap="rnd">
              <a:solidFill>
                <a:schemeClr val="accent6">
                  <a:lumMod val="90000"/>
                  <a:lumOff val="1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GPrecio!$G$5:$G$441</c:f>
              <c:numCache>
                <c:formatCode>m/d/yyyy</c:formatCode>
                <c:ptCount val="437"/>
                <c:pt idx="0">
                  <c:v>44562</c:v>
                </c:pt>
                <c:pt idx="1">
                  <c:v>44563</c:v>
                </c:pt>
                <c:pt idx="2">
                  <c:v>44564</c:v>
                </c:pt>
                <c:pt idx="3">
                  <c:v>44565</c:v>
                </c:pt>
                <c:pt idx="4">
                  <c:v>44566</c:v>
                </c:pt>
                <c:pt idx="5">
                  <c:v>44567</c:v>
                </c:pt>
                <c:pt idx="6">
                  <c:v>44568</c:v>
                </c:pt>
                <c:pt idx="7">
                  <c:v>44569</c:v>
                </c:pt>
                <c:pt idx="8">
                  <c:v>44570</c:v>
                </c:pt>
                <c:pt idx="9">
                  <c:v>44571</c:v>
                </c:pt>
                <c:pt idx="10">
                  <c:v>44572</c:v>
                </c:pt>
                <c:pt idx="11">
                  <c:v>44573</c:v>
                </c:pt>
                <c:pt idx="12">
                  <c:v>44574</c:v>
                </c:pt>
                <c:pt idx="13">
                  <c:v>44575</c:v>
                </c:pt>
                <c:pt idx="14">
                  <c:v>44576</c:v>
                </c:pt>
                <c:pt idx="15">
                  <c:v>44577</c:v>
                </c:pt>
                <c:pt idx="16">
                  <c:v>44578</c:v>
                </c:pt>
                <c:pt idx="17">
                  <c:v>44579</c:v>
                </c:pt>
                <c:pt idx="18">
                  <c:v>44580</c:v>
                </c:pt>
                <c:pt idx="19">
                  <c:v>44581</c:v>
                </c:pt>
                <c:pt idx="20">
                  <c:v>44582</c:v>
                </c:pt>
                <c:pt idx="21">
                  <c:v>44583</c:v>
                </c:pt>
                <c:pt idx="22">
                  <c:v>44584</c:v>
                </c:pt>
                <c:pt idx="23">
                  <c:v>44585</c:v>
                </c:pt>
                <c:pt idx="24">
                  <c:v>44586</c:v>
                </c:pt>
                <c:pt idx="25">
                  <c:v>44587</c:v>
                </c:pt>
                <c:pt idx="26">
                  <c:v>44588</c:v>
                </c:pt>
                <c:pt idx="27">
                  <c:v>44589</c:v>
                </c:pt>
                <c:pt idx="28">
                  <c:v>44590</c:v>
                </c:pt>
                <c:pt idx="29">
                  <c:v>44591</c:v>
                </c:pt>
                <c:pt idx="30">
                  <c:v>44592</c:v>
                </c:pt>
                <c:pt idx="31">
                  <c:v>44593</c:v>
                </c:pt>
                <c:pt idx="32">
                  <c:v>44594</c:v>
                </c:pt>
                <c:pt idx="33">
                  <c:v>44595</c:v>
                </c:pt>
                <c:pt idx="34">
                  <c:v>44596</c:v>
                </c:pt>
                <c:pt idx="35">
                  <c:v>44597</c:v>
                </c:pt>
                <c:pt idx="36">
                  <c:v>44598</c:v>
                </c:pt>
                <c:pt idx="37">
                  <c:v>44599</c:v>
                </c:pt>
                <c:pt idx="38">
                  <c:v>44600</c:v>
                </c:pt>
                <c:pt idx="39">
                  <c:v>44601</c:v>
                </c:pt>
                <c:pt idx="40">
                  <c:v>44602</c:v>
                </c:pt>
                <c:pt idx="41">
                  <c:v>44603</c:v>
                </c:pt>
                <c:pt idx="42">
                  <c:v>44604</c:v>
                </c:pt>
                <c:pt idx="43">
                  <c:v>44605</c:v>
                </c:pt>
                <c:pt idx="44">
                  <c:v>44606</c:v>
                </c:pt>
                <c:pt idx="45">
                  <c:v>44607</c:v>
                </c:pt>
                <c:pt idx="46">
                  <c:v>44608</c:v>
                </c:pt>
                <c:pt idx="47">
                  <c:v>44609</c:v>
                </c:pt>
                <c:pt idx="48">
                  <c:v>44610</c:v>
                </c:pt>
                <c:pt idx="49">
                  <c:v>44611</c:v>
                </c:pt>
                <c:pt idx="50">
                  <c:v>44612</c:v>
                </c:pt>
                <c:pt idx="51">
                  <c:v>44613</c:v>
                </c:pt>
                <c:pt idx="52">
                  <c:v>44614</c:v>
                </c:pt>
                <c:pt idx="53">
                  <c:v>44615</c:v>
                </c:pt>
                <c:pt idx="54">
                  <c:v>44616</c:v>
                </c:pt>
                <c:pt idx="55">
                  <c:v>44617</c:v>
                </c:pt>
                <c:pt idx="56">
                  <c:v>44618</c:v>
                </c:pt>
                <c:pt idx="57">
                  <c:v>44619</c:v>
                </c:pt>
                <c:pt idx="58">
                  <c:v>44620</c:v>
                </c:pt>
                <c:pt idx="59">
                  <c:v>44621</c:v>
                </c:pt>
                <c:pt idx="60">
                  <c:v>44622</c:v>
                </c:pt>
                <c:pt idx="61">
                  <c:v>44623</c:v>
                </c:pt>
                <c:pt idx="62">
                  <c:v>44624</c:v>
                </c:pt>
                <c:pt idx="63">
                  <c:v>44625</c:v>
                </c:pt>
                <c:pt idx="64">
                  <c:v>44626</c:v>
                </c:pt>
                <c:pt idx="65">
                  <c:v>44627</c:v>
                </c:pt>
                <c:pt idx="66">
                  <c:v>44628</c:v>
                </c:pt>
                <c:pt idx="67">
                  <c:v>44629</c:v>
                </c:pt>
                <c:pt idx="68">
                  <c:v>44630</c:v>
                </c:pt>
                <c:pt idx="69">
                  <c:v>44631</c:v>
                </c:pt>
                <c:pt idx="70">
                  <c:v>44632</c:v>
                </c:pt>
                <c:pt idx="71">
                  <c:v>44633</c:v>
                </c:pt>
                <c:pt idx="72">
                  <c:v>44634</c:v>
                </c:pt>
                <c:pt idx="73">
                  <c:v>44635</c:v>
                </c:pt>
                <c:pt idx="74">
                  <c:v>44636</c:v>
                </c:pt>
                <c:pt idx="75">
                  <c:v>44637</c:v>
                </c:pt>
                <c:pt idx="76">
                  <c:v>44638</c:v>
                </c:pt>
                <c:pt idx="77">
                  <c:v>44639</c:v>
                </c:pt>
                <c:pt idx="78">
                  <c:v>44640</c:v>
                </c:pt>
                <c:pt idx="79">
                  <c:v>44641</c:v>
                </c:pt>
                <c:pt idx="80">
                  <c:v>44642</c:v>
                </c:pt>
                <c:pt idx="81">
                  <c:v>44643</c:v>
                </c:pt>
                <c:pt idx="82">
                  <c:v>44644</c:v>
                </c:pt>
                <c:pt idx="83">
                  <c:v>44645</c:v>
                </c:pt>
                <c:pt idx="84">
                  <c:v>44646</c:v>
                </c:pt>
                <c:pt idx="85">
                  <c:v>44647</c:v>
                </c:pt>
                <c:pt idx="86">
                  <c:v>44648</c:v>
                </c:pt>
                <c:pt idx="87">
                  <c:v>44649</c:v>
                </c:pt>
                <c:pt idx="88">
                  <c:v>44650</c:v>
                </c:pt>
                <c:pt idx="89">
                  <c:v>44651</c:v>
                </c:pt>
                <c:pt idx="90">
                  <c:v>44652</c:v>
                </c:pt>
                <c:pt idx="91">
                  <c:v>44653</c:v>
                </c:pt>
                <c:pt idx="92">
                  <c:v>44654</c:v>
                </c:pt>
                <c:pt idx="93">
                  <c:v>44655</c:v>
                </c:pt>
                <c:pt idx="94">
                  <c:v>44656</c:v>
                </c:pt>
                <c:pt idx="95">
                  <c:v>44657</c:v>
                </c:pt>
                <c:pt idx="96">
                  <c:v>44658</c:v>
                </c:pt>
                <c:pt idx="97">
                  <c:v>44659</c:v>
                </c:pt>
                <c:pt idx="98">
                  <c:v>44660</c:v>
                </c:pt>
                <c:pt idx="99">
                  <c:v>44661</c:v>
                </c:pt>
                <c:pt idx="100">
                  <c:v>44662</c:v>
                </c:pt>
                <c:pt idx="101">
                  <c:v>44663</c:v>
                </c:pt>
                <c:pt idx="102">
                  <c:v>44664</c:v>
                </c:pt>
                <c:pt idx="103">
                  <c:v>44665</c:v>
                </c:pt>
                <c:pt idx="104">
                  <c:v>44666</c:v>
                </c:pt>
                <c:pt idx="105">
                  <c:v>44667</c:v>
                </c:pt>
                <c:pt idx="106">
                  <c:v>44668</c:v>
                </c:pt>
                <c:pt idx="107">
                  <c:v>44669</c:v>
                </c:pt>
                <c:pt idx="108">
                  <c:v>44670</c:v>
                </c:pt>
                <c:pt idx="109">
                  <c:v>44671</c:v>
                </c:pt>
                <c:pt idx="110">
                  <c:v>44672</c:v>
                </c:pt>
                <c:pt idx="111">
                  <c:v>44673</c:v>
                </c:pt>
                <c:pt idx="112">
                  <c:v>44674</c:v>
                </c:pt>
                <c:pt idx="113">
                  <c:v>44675</c:v>
                </c:pt>
                <c:pt idx="114">
                  <c:v>44676</c:v>
                </c:pt>
                <c:pt idx="115">
                  <c:v>44677</c:v>
                </c:pt>
                <c:pt idx="116">
                  <c:v>44678</c:v>
                </c:pt>
                <c:pt idx="117">
                  <c:v>44679</c:v>
                </c:pt>
                <c:pt idx="118">
                  <c:v>44680</c:v>
                </c:pt>
                <c:pt idx="119">
                  <c:v>44681</c:v>
                </c:pt>
                <c:pt idx="120">
                  <c:v>44682</c:v>
                </c:pt>
                <c:pt idx="121">
                  <c:v>44683</c:v>
                </c:pt>
                <c:pt idx="122">
                  <c:v>44684</c:v>
                </c:pt>
                <c:pt idx="123">
                  <c:v>44685</c:v>
                </c:pt>
                <c:pt idx="124">
                  <c:v>44686</c:v>
                </c:pt>
                <c:pt idx="125">
                  <c:v>44687</c:v>
                </c:pt>
                <c:pt idx="126">
                  <c:v>44688</c:v>
                </c:pt>
                <c:pt idx="127">
                  <c:v>44689</c:v>
                </c:pt>
                <c:pt idx="128">
                  <c:v>44690</c:v>
                </c:pt>
                <c:pt idx="129">
                  <c:v>44691</c:v>
                </c:pt>
                <c:pt idx="130">
                  <c:v>44692</c:v>
                </c:pt>
                <c:pt idx="131">
                  <c:v>44693</c:v>
                </c:pt>
                <c:pt idx="132">
                  <c:v>44694</c:v>
                </c:pt>
                <c:pt idx="133">
                  <c:v>44695</c:v>
                </c:pt>
                <c:pt idx="134">
                  <c:v>44696</c:v>
                </c:pt>
                <c:pt idx="135">
                  <c:v>44697</c:v>
                </c:pt>
                <c:pt idx="136">
                  <c:v>44698</c:v>
                </c:pt>
                <c:pt idx="137">
                  <c:v>44699</c:v>
                </c:pt>
                <c:pt idx="138">
                  <c:v>44700</c:v>
                </c:pt>
                <c:pt idx="139">
                  <c:v>44701</c:v>
                </c:pt>
                <c:pt idx="140">
                  <c:v>44702</c:v>
                </c:pt>
                <c:pt idx="141">
                  <c:v>44703</c:v>
                </c:pt>
                <c:pt idx="142">
                  <c:v>44704</c:v>
                </c:pt>
                <c:pt idx="143">
                  <c:v>44705</c:v>
                </c:pt>
                <c:pt idx="144">
                  <c:v>44706</c:v>
                </c:pt>
                <c:pt idx="145">
                  <c:v>44707</c:v>
                </c:pt>
                <c:pt idx="146">
                  <c:v>44708</c:v>
                </c:pt>
                <c:pt idx="147">
                  <c:v>44709</c:v>
                </c:pt>
                <c:pt idx="148">
                  <c:v>44710</c:v>
                </c:pt>
                <c:pt idx="149">
                  <c:v>44711</c:v>
                </c:pt>
                <c:pt idx="150">
                  <c:v>44712</c:v>
                </c:pt>
                <c:pt idx="151">
                  <c:v>44713</c:v>
                </c:pt>
                <c:pt idx="152">
                  <c:v>44714</c:v>
                </c:pt>
                <c:pt idx="153">
                  <c:v>44715</c:v>
                </c:pt>
                <c:pt idx="154">
                  <c:v>44716</c:v>
                </c:pt>
                <c:pt idx="155">
                  <c:v>44717</c:v>
                </c:pt>
                <c:pt idx="156">
                  <c:v>44718</c:v>
                </c:pt>
                <c:pt idx="157">
                  <c:v>44719</c:v>
                </c:pt>
                <c:pt idx="158">
                  <c:v>44720</c:v>
                </c:pt>
                <c:pt idx="159">
                  <c:v>44721</c:v>
                </c:pt>
                <c:pt idx="160">
                  <c:v>44722</c:v>
                </c:pt>
                <c:pt idx="161">
                  <c:v>44723</c:v>
                </c:pt>
                <c:pt idx="162">
                  <c:v>44724</c:v>
                </c:pt>
                <c:pt idx="163">
                  <c:v>44725</c:v>
                </c:pt>
                <c:pt idx="164">
                  <c:v>44726</c:v>
                </c:pt>
                <c:pt idx="165">
                  <c:v>44727</c:v>
                </c:pt>
                <c:pt idx="166">
                  <c:v>44728</c:v>
                </c:pt>
                <c:pt idx="167">
                  <c:v>44729</c:v>
                </c:pt>
                <c:pt idx="168">
                  <c:v>44730</c:v>
                </c:pt>
                <c:pt idx="169">
                  <c:v>44731</c:v>
                </c:pt>
                <c:pt idx="170">
                  <c:v>44732</c:v>
                </c:pt>
                <c:pt idx="171">
                  <c:v>44733</c:v>
                </c:pt>
                <c:pt idx="172">
                  <c:v>44734</c:v>
                </c:pt>
                <c:pt idx="173">
                  <c:v>44735</c:v>
                </c:pt>
                <c:pt idx="174">
                  <c:v>44736</c:v>
                </c:pt>
                <c:pt idx="175">
                  <c:v>44737</c:v>
                </c:pt>
                <c:pt idx="176">
                  <c:v>44738</c:v>
                </c:pt>
                <c:pt idx="177">
                  <c:v>44739</c:v>
                </c:pt>
                <c:pt idx="178">
                  <c:v>44740</c:v>
                </c:pt>
                <c:pt idx="179">
                  <c:v>44741</c:v>
                </c:pt>
                <c:pt idx="180">
                  <c:v>44742</c:v>
                </c:pt>
                <c:pt idx="181">
                  <c:v>44743</c:v>
                </c:pt>
                <c:pt idx="182">
                  <c:v>44744</c:v>
                </c:pt>
                <c:pt idx="183">
                  <c:v>44745</c:v>
                </c:pt>
                <c:pt idx="184">
                  <c:v>44746</c:v>
                </c:pt>
                <c:pt idx="185">
                  <c:v>44747</c:v>
                </c:pt>
                <c:pt idx="186">
                  <c:v>44748</c:v>
                </c:pt>
                <c:pt idx="187">
                  <c:v>44749</c:v>
                </c:pt>
                <c:pt idx="188">
                  <c:v>44750</c:v>
                </c:pt>
                <c:pt idx="189">
                  <c:v>44751</c:v>
                </c:pt>
                <c:pt idx="190">
                  <c:v>44752</c:v>
                </c:pt>
                <c:pt idx="191">
                  <c:v>44753</c:v>
                </c:pt>
                <c:pt idx="192">
                  <c:v>44754</c:v>
                </c:pt>
                <c:pt idx="193">
                  <c:v>44755</c:v>
                </c:pt>
                <c:pt idx="194">
                  <c:v>44756</c:v>
                </c:pt>
                <c:pt idx="195">
                  <c:v>44757</c:v>
                </c:pt>
                <c:pt idx="196">
                  <c:v>44758</c:v>
                </c:pt>
                <c:pt idx="197">
                  <c:v>44759</c:v>
                </c:pt>
                <c:pt idx="198">
                  <c:v>44760</c:v>
                </c:pt>
                <c:pt idx="199">
                  <c:v>44761</c:v>
                </c:pt>
                <c:pt idx="200">
                  <c:v>44762</c:v>
                </c:pt>
                <c:pt idx="201">
                  <c:v>44763</c:v>
                </c:pt>
                <c:pt idx="202">
                  <c:v>44764</c:v>
                </c:pt>
                <c:pt idx="203">
                  <c:v>44765</c:v>
                </c:pt>
                <c:pt idx="204">
                  <c:v>44766</c:v>
                </c:pt>
                <c:pt idx="205">
                  <c:v>44767</c:v>
                </c:pt>
                <c:pt idx="206">
                  <c:v>44768</c:v>
                </c:pt>
                <c:pt idx="207">
                  <c:v>44769</c:v>
                </c:pt>
                <c:pt idx="208">
                  <c:v>44770</c:v>
                </c:pt>
                <c:pt idx="209">
                  <c:v>44771</c:v>
                </c:pt>
                <c:pt idx="210">
                  <c:v>44772</c:v>
                </c:pt>
                <c:pt idx="211">
                  <c:v>44773</c:v>
                </c:pt>
                <c:pt idx="212">
                  <c:v>44774</c:v>
                </c:pt>
                <c:pt idx="213">
                  <c:v>44775</c:v>
                </c:pt>
                <c:pt idx="214">
                  <c:v>44776</c:v>
                </c:pt>
                <c:pt idx="215">
                  <c:v>44777</c:v>
                </c:pt>
                <c:pt idx="216">
                  <c:v>44778</c:v>
                </c:pt>
                <c:pt idx="217">
                  <c:v>44779</c:v>
                </c:pt>
                <c:pt idx="218">
                  <c:v>44780</c:v>
                </c:pt>
                <c:pt idx="219">
                  <c:v>44781</c:v>
                </c:pt>
                <c:pt idx="220">
                  <c:v>44782</c:v>
                </c:pt>
                <c:pt idx="221">
                  <c:v>44783</c:v>
                </c:pt>
                <c:pt idx="222">
                  <c:v>44784</c:v>
                </c:pt>
                <c:pt idx="223">
                  <c:v>44785</c:v>
                </c:pt>
                <c:pt idx="224">
                  <c:v>44786</c:v>
                </c:pt>
                <c:pt idx="225">
                  <c:v>44787</c:v>
                </c:pt>
                <c:pt idx="226">
                  <c:v>44788</c:v>
                </c:pt>
                <c:pt idx="227">
                  <c:v>44789</c:v>
                </c:pt>
                <c:pt idx="228">
                  <c:v>44790</c:v>
                </c:pt>
                <c:pt idx="229">
                  <c:v>44791</c:v>
                </c:pt>
                <c:pt idx="230">
                  <c:v>44792</c:v>
                </c:pt>
                <c:pt idx="231">
                  <c:v>44793</c:v>
                </c:pt>
                <c:pt idx="232">
                  <c:v>44794</c:v>
                </c:pt>
                <c:pt idx="233">
                  <c:v>44795</c:v>
                </c:pt>
                <c:pt idx="234">
                  <c:v>44796</c:v>
                </c:pt>
                <c:pt idx="235">
                  <c:v>44797</c:v>
                </c:pt>
                <c:pt idx="236">
                  <c:v>44798</c:v>
                </c:pt>
                <c:pt idx="237">
                  <c:v>44799</c:v>
                </c:pt>
                <c:pt idx="238">
                  <c:v>44800</c:v>
                </c:pt>
                <c:pt idx="239">
                  <c:v>44801</c:v>
                </c:pt>
                <c:pt idx="240">
                  <c:v>44802</c:v>
                </c:pt>
                <c:pt idx="241">
                  <c:v>44803</c:v>
                </c:pt>
                <c:pt idx="242">
                  <c:v>44804</c:v>
                </c:pt>
                <c:pt idx="243">
                  <c:v>44805</c:v>
                </c:pt>
                <c:pt idx="244">
                  <c:v>44806</c:v>
                </c:pt>
                <c:pt idx="245">
                  <c:v>44807</c:v>
                </c:pt>
                <c:pt idx="246">
                  <c:v>44808</c:v>
                </c:pt>
                <c:pt idx="247">
                  <c:v>44809</c:v>
                </c:pt>
                <c:pt idx="248">
                  <c:v>44810</c:v>
                </c:pt>
                <c:pt idx="249">
                  <c:v>44811</c:v>
                </c:pt>
                <c:pt idx="250">
                  <c:v>44812</c:v>
                </c:pt>
                <c:pt idx="251">
                  <c:v>44813</c:v>
                </c:pt>
                <c:pt idx="252">
                  <c:v>44814</c:v>
                </c:pt>
                <c:pt idx="253">
                  <c:v>44815</c:v>
                </c:pt>
                <c:pt idx="254">
                  <c:v>44816</c:v>
                </c:pt>
                <c:pt idx="255">
                  <c:v>44817</c:v>
                </c:pt>
                <c:pt idx="256">
                  <c:v>44818</c:v>
                </c:pt>
                <c:pt idx="257">
                  <c:v>44819</c:v>
                </c:pt>
                <c:pt idx="258">
                  <c:v>44820</c:v>
                </c:pt>
                <c:pt idx="259">
                  <c:v>44821</c:v>
                </c:pt>
                <c:pt idx="260">
                  <c:v>44822</c:v>
                </c:pt>
                <c:pt idx="261">
                  <c:v>44823</c:v>
                </c:pt>
                <c:pt idx="262">
                  <c:v>44824</c:v>
                </c:pt>
                <c:pt idx="263">
                  <c:v>44825</c:v>
                </c:pt>
                <c:pt idx="264">
                  <c:v>44826</c:v>
                </c:pt>
                <c:pt idx="265">
                  <c:v>44827</c:v>
                </c:pt>
                <c:pt idx="266">
                  <c:v>44828</c:v>
                </c:pt>
                <c:pt idx="267">
                  <c:v>44829</c:v>
                </c:pt>
                <c:pt idx="268">
                  <c:v>44830</c:v>
                </c:pt>
                <c:pt idx="269">
                  <c:v>44831</c:v>
                </c:pt>
                <c:pt idx="270">
                  <c:v>44832</c:v>
                </c:pt>
                <c:pt idx="271">
                  <c:v>44833</c:v>
                </c:pt>
                <c:pt idx="272">
                  <c:v>44834</c:v>
                </c:pt>
                <c:pt idx="273">
                  <c:v>44835</c:v>
                </c:pt>
                <c:pt idx="274">
                  <c:v>44836</c:v>
                </c:pt>
                <c:pt idx="275">
                  <c:v>44837</c:v>
                </c:pt>
                <c:pt idx="276">
                  <c:v>44838</c:v>
                </c:pt>
                <c:pt idx="277">
                  <c:v>44839</c:v>
                </c:pt>
                <c:pt idx="278">
                  <c:v>44840</c:v>
                </c:pt>
                <c:pt idx="279">
                  <c:v>44841</c:v>
                </c:pt>
                <c:pt idx="280">
                  <c:v>44842</c:v>
                </c:pt>
                <c:pt idx="281">
                  <c:v>44843</c:v>
                </c:pt>
                <c:pt idx="282">
                  <c:v>44844</c:v>
                </c:pt>
                <c:pt idx="283">
                  <c:v>44845</c:v>
                </c:pt>
                <c:pt idx="284">
                  <c:v>44846</c:v>
                </c:pt>
                <c:pt idx="285">
                  <c:v>44847</c:v>
                </c:pt>
                <c:pt idx="286">
                  <c:v>44848</c:v>
                </c:pt>
                <c:pt idx="287">
                  <c:v>44849</c:v>
                </c:pt>
                <c:pt idx="288">
                  <c:v>44850</c:v>
                </c:pt>
                <c:pt idx="289">
                  <c:v>44851</c:v>
                </c:pt>
                <c:pt idx="290">
                  <c:v>44852</c:v>
                </c:pt>
                <c:pt idx="291">
                  <c:v>44853</c:v>
                </c:pt>
                <c:pt idx="292">
                  <c:v>44854</c:v>
                </c:pt>
                <c:pt idx="293">
                  <c:v>44855</c:v>
                </c:pt>
                <c:pt idx="294">
                  <c:v>44856</c:v>
                </c:pt>
                <c:pt idx="295">
                  <c:v>44857</c:v>
                </c:pt>
                <c:pt idx="296">
                  <c:v>44858</c:v>
                </c:pt>
                <c:pt idx="297">
                  <c:v>44859</c:v>
                </c:pt>
                <c:pt idx="298">
                  <c:v>44860</c:v>
                </c:pt>
                <c:pt idx="299">
                  <c:v>44861</c:v>
                </c:pt>
                <c:pt idx="300">
                  <c:v>44862</c:v>
                </c:pt>
                <c:pt idx="301">
                  <c:v>44863</c:v>
                </c:pt>
                <c:pt idx="302">
                  <c:v>44864</c:v>
                </c:pt>
                <c:pt idx="303">
                  <c:v>44865</c:v>
                </c:pt>
                <c:pt idx="304">
                  <c:v>44866</c:v>
                </c:pt>
                <c:pt idx="305">
                  <c:v>44867</c:v>
                </c:pt>
                <c:pt idx="306">
                  <c:v>44868</c:v>
                </c:pt>
                <c:pt idx="307">
                  <c:v>44869</c:v>
                </c:pt>
                <c:pt idx="308">
                  <c:v>44870</c:v>
                </c:pt>
                <c:pt idx="309">
                  <c:v>44871</c:v>
                </c:pt>
                <c:pt idx="310">
                  <c:v>44872</c:v>
                </c:pt>
                <c:pt idx="311">
                  <c:v>44873</c:v>
                </c:pt>
                <c:pt idx="312">
                  <c:v>44874</c:v>
                </c:pt>
                <c:pt idx="313">
                  <c:v>44875</c:v>
                </c:pt>
                <c:pt idx="314">
                  <c:v>44876</c:v>
                </c:pt>
                <c:pt idx="315">
                  <c:v>44877</c:v>
                </c:pt>
                <c:pt idx="316">
                  <c:v>44878</c:v>
                </c:pt>
                <c:pt idx="317">
                  <c:v>44879</c:v>
                </c:pt>
                <c:pt idx="318">
                  <c:v>44880</c:v>
                </c:pt>
                <c:pt idx="319">
                  <c:v>44881</c:v>
                </c:pt>
                <c:pt idx="320">
                  <c:v>44882</c:v>
                </c:pt>
                <c:pt idx="321">
                  <c:v>44883</c:v>
                </c:pt>
                <c:pt idx="322">
                  <c:v>44884</c:v>
                </c:pt>
                <c:pt idx="323">
                  <c:v>44885</c:v>
                </c:pt>
                <c:pt idx="324">
                  <c:v>44886</c:v>
                </c:pt>
                <c:pt idx="325">
                  <c:v>44887</c:v>
                </c:pt>
                <c:pt idx="326">
                  <c:v>44888</c:v>
                </c:pt>
                <c:pt idx="327">
                  <c:v>44889</c:v>
                </c:pt>
                <c:pt idx="328">
                  <c:v>44890</c:v>
                </c:pt>
                <c:pt idx="329">
                  <c:v>44891</c:v>
                </c:pt>
                <c:pt idx="330">
                  <c:v>44892</c:v>
                </c:pt>
                <c:pt idx="331">
                  <c:v>44893</c:v>
                </c:pt>
                <c:pt idx="332">
                  <c:v>44894</c:v>
                </c:pt>
                <c:pt idx="333">
                  <c:v>44895</c:v>
                </c:pt>
                <c:pt idx="334">
                  <c:v>44896</c:v>
                </c:pt>
                <c:pt idx="335">
                  <c:v>44897</c:v>
                </c:pt>
                <c:pt idx="336">
                  <c:v>44898</c:v>
                </c:pt>
                <c:pt idx="337">
                  <c:v>44899</c:v>
                </c:pt>
                <c:pt idx="338">
                  <c:v>44900</c:v>
                </c:pt>
                <c:pt idx="339">
                  <c:v>44901</c:v>
                </c:pt>
                <c:pt idx="340">
                  <c:v>44902</c:v>
                </c:pt>
                <c:pt idx="341">
                  <c:v>44903</c:v>
                </c:pt>
                <c:pt idx="342">
                  <c:v>44904</c:v>
                </c:pt>
                <c:pt idx="343">
                  <c:v>44905</c:v>
                </c:pt>
                <c:pt idx="344">
                  <c:v>44906</c:v>
                </c:pt>
                <c:pt idx="345">
                  <c:v>44907</c:v>
                </c:pt>
                <c:pt idx="346">
                  <c:v>44908</c:v>
                </c:pt>
                <c:pt idx="347">
                  <c:v>44909</c:v>
                </c:pt>
                <c:pt idx="348">
                  <c:v>44910</c:v>
                </c:pt>
                <c:pt idx="349">
                  <c:v>44911</c:v>
                </c:pt>
                <c:pt idx="350">
                  <c:v>44912</c:v>
                </c:pt>
                <c:pt idx="351">
                  <c:v>44913</c:v>
                </c:pt>
                <c:pt idx="352">
                  <c:v>44914</c:v>
                </c:pt>
                <c:pt idx="353">
                  <c:v>44915</c:v>
                </c:pt>
                <c:pt idx="354">
                  <c:v>44916</c:v>
                </c:pt>
                <c:pt idx="355">
                  <c:v>44917</c:v>
                </c:pt>
                <c:pt idx="356">
                  <c:v>44918</c:v>
                </c:pt>
                <c:pt idx="357">
                  <c:v>44919</c:v>
                </c:pt>
                <c:pt idx="358">
                  <c:v>44920</c:v>
                </c:pt>
                <c:pt idx="359">
                  <c:v>44921</c:v>
                </c:pt>
                <c:pt idx="360">
                  <c:v>44922</c:v>
                </c:pt>
                <c:pt idx="361">
                  <c:v>44923</c:v>
                </c:pt>
                <c:pt idx="362">
                  <c:v>44924</c:v>
                </c:pt>
                <c:pt idx="363">
                  <c:v>44925</c:v>
                </c:pt>
                <c:pt idx="364">
                  <c:v>44926</c:v>
                </c:pt>
                <c:pt idx="365">
                  <c:v>44927</c:v>
                </c:pt>
                <c:pt idx="366">
                  <c:v>44928</c:v>
                </c:pt>
                <c:pt idx="367">
                  <c:v>44929</c:v>
                </c:pt>
                <c:pt idx="368">
                  <c:v>44930</c:v>
                </c:pt>
                <c:pt idx="369">
                  <c:v>44931</c:v>
                </c:pt>
                <c:pt idx="370">
                  <c:v>44932</c:v>
                </c:pt>
                <c:pt idx="371">
                  <c:v>44933</c:v>
                </c:pt>
                <c:pt idx="372">
                  <c:v>44934</c:v>
                </c:pt>
                <c:pt idx="373">
                  <c:v>44935</c:v>
                </c:pt>
                <c:pt idx="374">
                  <c:v>44936</c:v>
                </c:pt>
                <c:pt idx="375">
                  <c:v>44937</c:v>
                </c:pt>
                <c:pt idx="376">
                  <c:v>44938</c:v>
                </c:pt>
                <c:pt idx="377">
                  <c:v>44939</c:v>
                </c:pt>
                <c:pt idx="378">
                  <c:v>44940</c:v>
                </c:pt>
                <c:pt idx="379">
                  <c:v>44941</c:v>
                </c:pt>
                <c:pt idx="380">
                  <c:v>44942</c:v>
                </c:pt>
                <c:pt idx="381">
                  <c:v>44943</c:v>
                </c:pt>
                <c:pt idx="382">
                  <c:v>44944</c:v>
                </c:pt>
                <c:pt idx="383">
                  <c:v>44945</c:v>
                </c:pt>
                <c:pt idx="384">
                  <c:v>44946</c:v>
                </c:pt>
                <c:pt idx="385">
                  <c:v>44947</c:v>
                </c:pt>
                <c:pt idx="386">
                  <c:v>44948</c:v>
                </c:pt>
                <c:pt idx="387">
                  <c:v>44949</c:v>
                </c:pt>
                <c:pt idx="388">
                  <c:v>44950</c:v>
                </c:pt>
                <c:pt idx="389">
                  <c:v>44951</c:v>
                </c:pt>
                <c:pt idx="390">
                  <c:v>44952</c:v>
                </c:pt>
                <c:pt idx="391">
                  <c:v>44953</c:v>
                </c:pt>
                <c:pt idx="392">
                  <c:v>44954</c:v>
                </c:pt>
                <c:pt idx="393">
                  <c:v>44955</c:v>
                </c:pt>
                <c:pt idx="394">
                  <c:v>44956</c:v>
                </c:pt>
                <c:pt idx="395">
                  <c:v>44957</c:v>
                </c:pt>
                <c:pt idx="396">
                  <c:v>44958</c:v>
                </c:pt>
                <c:pt idx="397">
                  <c:v>44959</c:v>
                </c:pt>
                <c:pt idx="398">
                  <c:v>44960</c:v>
                </c:pt>
                <c:pt idx="399">
                  <c:v>44961</c:v>
                </c:pt>
                <c:pt idx="400">
                  <c:v>44962</c:v>
                </c:pt>
                <c:pt idx="401">
                  <c:v>44963</c:v>
                </c:pt>
                <c:pt idx="402">
                  <c:v>44964</c:v>
                </c:pt>
                <c:pt idx="403">
                  <c:v>44965</c:v>
                </c:pt>
                <c:pt idx="404">
                  <c:v>44966</c:v>
                </c:pt>
                <c:pt idx="405">
                  <c:v>44967</c:v>
                </c:pt>
                <c:pt idx="406">
                  <c:v>44968</c:v>
                </c:pt>
                <c:pt idx="407">
                  <c:v>44969</c:v>
                </c:pt>
                <c:pt idx="408">
                  <c:v>44970</c:v>
                </c:pt>
                <c:pt idx="409">
                  <c:v>44971</c:v>
                </c:pt>
                <c:pt idx="410">
                  <c:v>44972</c:v>
                </c:pt>
                <c:pt idx="411">
                  <c:v>44973</c:v>
                </c:pt>
                <c:pt idx="412">
                  <c:v>44974</c:v>
                </c:pt>
                <c:pt idx="413">
                  <c:v>44975</c:v>
                </c:pt>
                <c:pt idx="414">
                  <c:v>44976</c:v>
                </c:pt>
                <c:pt idx="415">
                  <c:v>44977</c:v>
                </c:pt>
                <c:pt idx="416">
                  <c:v>44978</c:v>
                </c:pt>
                <c:pt idx="417">
                  <c:v>44979</c:v>
                </c:pt>
                <c:pt idx="418">
                  <c:v>44980</c:v>
                </c:pt>
                <c:pt idx="419">
                  <c:v>44981</c:v>
                </c:pt>
                <c:pt idx="420">
                  <c:v>44982</c:v>
                </c:pt>
                <c:pt idx="421">
                  <c:v>44983</c:v>
                </c:pt>
                <c:pt idx="422">
                  <c:v>44984</c:v>
                </c:pt>
                <c:pt idx="423">
                  <c:v>44985</c:v>
                </c:pt>
                <c:pt idx="424">
                  <c:v>44986</c:v>
                </c:pt>
                <c:pt idx="425">
                  <c:v>44987</c:v>
                </c:pt>
                <c:pt idx="426">
                  <c:v>44988</c:v>
                </c:pt>
                <c:pt idx="427">
                  <c:v>44989</c:v>
                </c:pt>
                <c:pt idx="428">
                  <c:v>44990</c:v>
                </c:pt>
                <c:pt idx="429">
                  <c:v>44991</c:v>
                </c:pt>
                <c:pt idx="430">
                  <c:v>44992</c:v>
                </c:pt>
                <c:pt idx="431">
                  <c:v>44993</c:v>
                </c:pt>
                <c:pt idx="432">
                  <c:v>44994</c:v>
                </c:pt>
                <c:pt idx="433">
                  <c:v>44995</c:v>
                </c:pt>
                <c:pt idx="434">
                  <c:v>44996</c:v>
                </c:pt>
                <c:pt idx="435">
                  <c:v>44997</c:v>
                </c:pt>
                <c:pt idx="436">
                  <c:v>44998</c:v>
                </c:pt>
              </c:numCache>
            </c:numRef>
          </c:cat>
          <c:val>
            <c:numRef>
              <c:f>GPrecio!$H$5:$H$441</c:f>
              <c:numCache>
                <c:formatCode>General</c:formatCode>
                <c:ptCount val="437"/>
                <c:pt idx="0">
                  <c:v>5.6999999999999886</c:v>
                </c:pt>
                <c:pt idx="1">
                  <c:v>5.6999999999999886</c:v>
                </c:pt>
                <c:pt idx="2">
                  <c:v>5.1799999999999926</c:v>
                </c:pt>
                <c:pt idx="3">
                  <c:v>5.1400000000000006</c:v>
                </c:pt>
                <c:pt idx="4">
                  <c:v>5.0799999999999983</c:v>
                </c:pt>
                <c:pt idx="5">
                  <c:v>5.3399999999999892</c:v>
                </c:pt>
                <c:pt idx="6">
                  <c:v>4.8900000000000006</c:v>
                </c:pt>
                <c:pt idx="7">
                  <c:v>4.8900000000000006</c:v>
                </c:pt>
                <c:pt idx="8">
                  <c:v>4.8900000000000006</c:v>
                </c:pt>
                <c:pt idx="9">
                  <c:v>4.9100000000000108</c:v>
                </c:pt>
                <c:pt idx="10">
                  <c:v>5.4599999999999937</c:v>
                </c:pt>
                <c:pt idx="11">
                  <c:v>5.6700000000000017</c:v>
                </c:pt>
                <c:pt idx="12">
                  <c:v>5.3700000000000045</c:v>
                </c:pt>
                <c:pt idx="13">
                  <c:v>5.4599999999999937</c:v>
                </c:pt>
                <c:pt idx="14">
                  <c:v>5.4599999999999937</c:v>
                </c:pt>
                <c:pt idx="15">
                  <c:v>5.4599999999999937</c:v>
                </c:pt>
                <c:pt idx="16">
                  <c:v>5.4599999999999937</c:v>
                </c:pt>
                <c:pt idx="17">
                  <c:v>7.0700000000000074</c:v>
                </c:pt>
                <c:pt idx="18">
                  <c:v>5.8299999999999983</c:v>
                </c:pt>
                <c:pt idx="19">
                  <c:v>5.8100000000000023</c:v>
                </c:pt>
                <c:pt idx="20">
                  <c:v>5.8700000000000045</c:v>
                </c:pt>
                <c:pt idx="21">
                  <c:v>5.8700000000000045</c:v>
                </c:pt>
                <c:pt idx="22">
                  <c:v>5.8700000000000045</c:v>
                </c:pt>
                <c:pt idx="23">
                  <c:v>5.0699999999999932</c:v>
                </c:pt>
                <c:pt idx="24">
                  <c:v>4.480000000000004</c:v>
                </c:pt>
                <c:pt idx="25">
                  <c:v>5.2399999999999949</c:v>
                </c:pt>
                <c:pt idx="26">
                  <c:v>5.0100000000000051</c:v>
                </c:pt>
                <c:pt idx="27">
                  <c:v>5.0099999999999909</c:v>
                </c:pt>
                <c:pt idx="28">
                  <c:v>5.0099999999999909</c:v>
                </c:pt>
                <c:pt idx="29">
                  <c:v>5.0099999999999909</c:v>
                </c:pt>
                <c:pt idx="30">
                  <c:v>5.0400000000000063</c:v>
                </c:pt>
                <c:pt idx="31">
                  <c:v>5.0900000000000034</c:v>
                </c:pt>
                <c:pt idx="32">
                  <c:v>5.1500000000000057</c:v>
                </c:pt>
                <c:pt idx="33">
                  <c:v>6.4500000000000028</c:v>
                </c:pt>
                <c:pt idx="34">
                  <c:v>6.3799999999999955</c:v>
                </c:pt>
                <c:pt idx="35">
                  <c:v>6.3799999999999955</c:v>
                </c:pt>
                <c:pt idx="36">
                  <c:v>6.3799999999999955</c:v>
                </c:pt>
                <c:pt idx="37">
                  <c:v>5.3899999999999864</c:v>
                </c:pt>
                <c:pt idx="38">
                  <c:v>5.7600000000000051</c:v>
                </c:pt>
                <c:pt idx="39">
                  <c:v>5.7000000000000028</c:v>
                </c:pt>
                <c:pt idx="40">
                  <c:v>5.7599999999999909</c:v>
                </c:pt>
                <c:pt idx="41">
                  <c:v>6.2599999999999909</c:v>
                </c:pt>
                <c:pt idx="42">
                  <c:v>6.2599999999999909</c:v>
                </c:pt>
                <c:pt idx="43">
                  <c:v>6.2599999999999909</c:v>
                </c:pt>
                <c:pt idx="44">
                  <c:v>6.3599999999999994</c:v>
                </c:pt>
                <c:pt idx="45">
                  <c:v>5.8599999999999994</c:v>
                </c:pt>
                <c:pt idx="46">
                  <c:v>6.2199999999999989</c:v>
                </c:pt>
                <c:pt idx="47">
                  <c:v>6.0400000000000063</c:v>
                </c:pt>
                <c:pt idx="48">
                  <c:v>5.519999999999996</c:v>
                </c:pt>
                <c:pt idx="49">
                  <c:v>5.519999999999996</c:v>
                </c:pt>
                <c:pt idx="50">
                  <c:v>5.519999999999996</c:v>
                </c:pt>
                <c:pt idx="51">
                  <c:v>5.519999999999996</c:v>
                </c:pt>
                <c:pt idx="52">
                  <c:v>3.8699999999999903</c:v>
                </c:pt>
                <c:pt idx="53">
                  <c:v>4.4200000000000017</c:v>
                </c:pt>
                <c:pt idx="54">
                  <c:v>3.1400000000000006</c:v>
                </c:pt>
                <c:pt idx="55">
                  <c:v>3.6299999999999955</c:v>
                </c:pt>
                <c:pt idx="56">
                  <c:v>3.6299999999999955</c:v>
                </c:pt>
                <c:pt idx="57">
                  <c:v>3.6299999999999955</c:v>
                </c:pt>
                <c:pt idx="58">
                  <c:v>3.9200000000000017</c:v>
                </c:pt>
                <c:pt idx="59">
                  <c:v>5.8400000000000034</c:v>
                </c:pt>
                <c:pt idx="60">
                  <c:v>5.0799999999999983</c:v>
                </c:pt>
                <c:pt idx="61">
                  <c:v>3.960000000000008</c:v>
                </c:pt>
                <c:pt idx="62">
                  <c:v>5.6600000000000108</c:v>
                </c:pt>
                <c:pt idx="63">
                  <c:v>5.6600000000000108</c:v>
                </c:pt>
                <c:pt idx="64">
                  <c:v>5.6600000000000108</c:v>
                </c:pt>
                <c:pt idx="65">
                  <c:v>3.7400000000000091</c:v>
                </c:pt>
                <c:pt idx="66">
                  <c:v>4.0799999999999983</c:v>
                </c:pt>
                <c:pt idx="67">
                  <c:v>2.730000000000004</c:v>
                </c:pt>
                <c:pt idx="68">
                  <c:v>3.5300000000000011</c:v>
                </c:pt>
                <c:pt idx="69">
                  <c:v>4.3700000000000045</c:v>
                </c:pt>
                <c:pt idx="70">
                  <c:v>4.3700000000000045</c:v>
                </c:pt>
                <c:pt idx="71">
                  <c:v>4.3700000000000045</c:v>
                </c:pt>
                <c:pt idx="72">
                  <c:v>3.5300000000000011</c:v>
                </c:pt>
                <c:pt idx="73">
                  <c:v>4.1799999999999926</c:v>
                </c:pt>
                <c:pt idx="74">
                  <c:v>4.0800000000000125</c:v>
                </c:pt>
                <c:pt idx="75">
                  <c:v>4.7000000000000028</c:v>
                </c:pt>
                <c:pt idx="76">
                  <c:v>6.4200000000000017</c:v>
                </c:pt>
                <c:pt idx="77">
                  <c:v>6.4200000000000017</c:v>
                </c:pt>
                <c:pt idx="78">
                  <c:v>6.4200000000000017</c:v>
                </c:pt>
                <c:pt idx="79">
                  <c:v>6.4200000000000017</c:v>
                </c:pt>
                <c:pt idx="80">
                  <c:v>4.730000000000004</c:v>
                </c:pt>
                <c:pt idx="81">
                  <c:v>5.2900000000000063</c:v>
                </c:pt>
                <c:pt idx="82">
                  <c:v>4.5</c:v>
                </c:pt>
                <c:pt idx="83">
                  <c:v>5.4500000000000028</c:v>
                </c:pt>
                <c:pt idx="84">
                  <c:v>5.4500000000000028</c:v>
                </c:pt>
                <c:pt idx="85">
                  <c:v>5.4500000000000028</c:v>
                </c:pt>
                <c:pt idx="86">
                  <c:v>2.9199999999999875</c:v>
                </c:pt>
                <c:pt idx="87">
                  <c:v>3.25</c:v>
                </c:pt>
                <c:pt idx="88">
                  <c:v>3.7799999999999869</c:v>
                </c:pt>
                <c:pt idx="89">
                  <c:v>2.2800000000000011</c:v>
                </c:pt>
                <c:pt idx="90">
                  <c:v>2.019999999999996</c:v>
                </c:pt>
                <c:pt idx="91">
                  <c:v>2.019999999999996</c:v>
                </c:pt>
                <c:pt idx="92">
                  <c:v>2.019999999999996</c:v>
                </c:pt>
                <c:pt idx="93">
                  <c:v>3.1200000000000045</c:v>
                </c:pt>
                <c:pt idx="94">
                  <c:v>2.0999999999999943</c:v>
                </c:pt>
                <c:pt idx="95">
                  <c:v>1.2600000000000051</c:v>
                </c:pt>
                <c:pt idx="96">
                  <c:v>2.5999999999999943</c:v>
                </c:pt>
                <c:pt idx="97">
                  <c:v>2.9000000000000057</c:v>
                </c:pt>
                <c:pt idx="98">
                  <c:v>2.9000000000000057</c:v>
                </c:pt>
                <c:pt idx="99">
                  <c:v>2.9000000000000057</c:v>
                </c:pt>
                <c:pt idx="100">
                  <c:v>2.3599999999999994</c:v>
                </c:pt>
                <c:pt idx="101">
                  <c:v>3.4399999999999977</c:v>
                </c:pt>
                <c:pt idx="102">
                  <c:v>3.1099999999999994</c:v>
                </c:pt>
                <c:pt idx="103">
                  <c:v>5.8100000000000023</c:v>
                </c:pt>
                <c:pt idx="104">
                  <c:v>5.8100000000000023</c:v>
                </c:pt>
                <c:pt idx="105">
                  <c:v>5.8100000000000023</c:v>
                </c:pt>
                <c:pt idx="106">
                  <c:v>5.8100000000000023</c:v>
                </c:pt>
                <c:pt idx="107">
                  <c:v>2.7099999999999937</c:v>
                </c:pt>
                <c:pt idx="108">
                  <c:v>1.6400000000000006</c:v>
                </c:pt>
                <c:pt idx="109">
                  <c:v>2.5</c:v>
                </c:pt>
                <c:pt idx="110">
                  <c:v>2.9099999999999966</c:v>
                </c:pt>
                <c:pt idx="111">
                  <c:v>2.7600000000000051</c:v>
                </c:pt>
                <c:pt idx="112">
                  <c:v>2.7600000000000051</c:v>
                </c:pt>
                <c:pt idx="113">
                  <c:v>2.7600000000000051</c:v>
                </c:pt>
                <c:pt idx="114">
                  <c:v>3.480000000000004</c:v>
                </c:pt>
                <c:pt idx="115">
                  <c:v>3.6800000000000068</c:v>
                </c:pt>
                <c:pt idx="116">
                  <c:v>3.1299999999999955</c:v>
                </c:pt>
                <c:pt idx="117">
                  <c:v>4.2000000000000028</c:v>
                </c:pt>
                <c:pt idx="118">
                  <c:v>2.6700000000000017</c:v>
                </c:pt>
                <c:pt idx="119">
                  <c:v>2.6700000000000017</c:v>
                </c:pt>
                <c:pt idx="120">
                  <c:v>2.6700000000000017</c:v>
                </c:pt>
                <c:pt idx="121">
                  <c:v>3.1500000000000057</c:v>
                </c:pt>
                <c:pt idx="122">
                  <c:v>0.39000000000000057</c:v>
                </c:pt>
                <c:pt idx="123">
                  <c:v>3.6299999999999955</c:v>
                </c:pt>
                <c:pt idx="124">
                  <c:v>4.0799999999999983</c:v>
                </c:pt>
                <c:pt idx="125">
                  <c:v>3.3199999999999932</c:v>
                </c:pt>
                <c:pt idx="126">
                  <c:v>3.3199999999999932</c:v>
                </c:pt>
                <c:pt idx="127">
                  <c:v>3.3199999999999932</c:v>
                </c:pt>
                <c:pt idx="128">
                  <c:v>2.2700000000000102</c:v>
                </c:pt>
                <c:pt idx="129">
                  <c:v>2.5</c:v>
                </c:pt>
                <c:pt idx="130">
                  <c:v>3.6799999999999926</c:v>
                </c:pt>
                <c:pt idx="131">
                  <c:v>3.9899999999999949</c:v>
                </c:pt>
                <c:pt idx="132">
                  <c:v>4.1299999999999955</c:v>
                </c:pt>
                <c:pt idx="133">
                  <c:v>4.1299999999999955</c:v>
                </c:pt>
                <c:pt idx="134">
                  <c:v>4.1299999999999955</c:v>
                </c:pt>
                <c:pt idx="135">
                  <c:v>7.8400000000000034</c:v>
                </c:pt>
                <c:pt idx="136">
                  <c:v>4.6000000000000085</c:v>
                </c:pt>
                <c:pt idx="137">
                  <c:v>4.4699999999999989</c:v>
                </c:pt>
                <c:pt idx="138">
                  <c:v>5.1899999999999977</c:v>
                </c:pt>
                <c:pt idx="139">
                  <c:v>5.3700000000000045</c:v>
                </c:pt>
                <c:pt idx="140">
                  <c:v>5.3700000000000045</c:v>
                </c:pt>
                <c:pt idx="141">
                  <c:v>5.3700000000000045</c:v>
                </c:pt>
                <c:pt idx="142">
                  <c:v>4.8099999999999881</c:v>
                </c:pt>
                <c:pt idx="143">
                  <c:v>4.4299999999999926</c:v>
                </c:pt>
                <c:pt idx="144">
                  <c:v>4.4200000000000017</c:v>
                </c:pt>
                <c:pt idx="145">
                  <c:v>3.6500000000000057</c:v>
                </c:pt>
                <c:pt idx="146">
                  <c:v>2.8699999999999903</c:v>
                </c:pt>
                <c:pt idx="147">
                  <c:v>2.8699999999999903</c:v>
                </c:pt>
                <c:pt idx="148">
                  <c:v>2.8699999999999903</c:v>
                </c:pt>
                <c:pt idx="149">
                  <c:v>2.8699999999999903</c:v>
                </c:pt>
                <c:pt idx="150">
                  <c:v>0.84000000000000341</c:v>
                </c:pt>
                <c:pt idx="151">
                  <c:v>5.6300000000000097</c:v>
                </c:pt>
                <c:pt idx="152">
                  <c:v>6.3200000000000074</c:v>
                </c:pt>
                <c:pt idx="153">
                  <c:v>6.1700000000000017</c:v>
                </c:pt>
                <c:pt idx="154">
                  <c:v>6.1700000000000017</c:v>
                </c:pt>
                <c:pt idx="155">
                  <c:v>6.1700000000000017</c:v>
                </c:pt>
                <c:pt idx="156">
                  <c:v>5.75</c:v>
                </c:pt>
                <c:pt idx="157">
                  <c:v>5.8199999999999932</c:v>
                </c:pt>
                <c:pt idx="158">
                  <c:v>5.8299999999999983</c:v>
                </c:pt>
                <c:pt idx="159">
                  <c:v>5.5300000000000011</c:v>
                </c:pt>
                <c:pt idx="160">
                  <c:v>5.4699999999999989</c:v>
                </c:pt>
                <c:pt idx="161">
                  <c:v>5.4699999999999989</c:v>
                </c:pt>
                <c:pt idx="162">
                  <c:v>5.4699999999999989</c:v>
                </c:pt>
                <c:pt idx="163">
                  <c:v>5.8700000000000045</c:v>
                </c:pt>
                <c:pt idx="164">
                  <c:v>4.9700000000000131</c:v>
                </c:pt>
                <c:pt idx="165">
                  <c:v>4.3900000000000006</c:v>
                </c:pt>
                <c:pt idx="166">
                  <c:v>5.1799999999999926</c:v>
                </c:pt>
                <c:pt idx="167">
                  <c:v>3.6599999999999966</c:v>
                </c:pt>
                <c:pt idx="168">
                  <c:v>3.6599999999999966</c:v>
                </c:pt>
                <c:pt idx="169">
                  <c:v>3.6599999999999966</c:v>
                </c:pt>
                <c:pt idx="170">
                  <c:v>3.6599999999999966</c:v>
                </c:pt>
                <c:pt idx="171">
                  <c:v>3.9300000000000068</c:v>
                </c:pt>
                <c:pt idx="172">
                  <c:v>3.8999999999999915</c:v>
                </c:pt>
                <c:pt idx="173">
                  <c:v>3.6799999999999926</c:v>
                </c:pt>
                <c:pt idx="174">
                  <c:v>4.0600000000000023</c:v>
                </c:pt>
                <c:pt idx="175">
                  <c:v>4.0600000000000023</c:v>
                </c:pt>
                <c:pt idx="176">
                  <c:v>4.0600000000000023</c:v>
                </c:pt>
                <c:pt idx="177">
                  <c:v>3.3199999999999932</c:v>
                </c:pt>
                <c:pt idx="178">
                  <c:v>2.9900000000000091</c:v>
                </c:pt>
                <c:pt idx="179">
                  <c:v>2.4300000000000068</c:v>
                </c:pt>
                <c:pt idx="180">
                  <c:v>0.96999999999999886</c:v>
                </c:pt>
                <c:pt idx="181">
                  <c:v>5.4100000000000108</c:v>
                </c:pt>
                <c:pt idx="182">
                  <c:v>5.4100000000000108</c:v>
                </c:pt>
                <c:pt idx="183">
                  <c:v>5.4100000000000108</c:v>
                </c:pt>
                <c:pt idx="184">
                  <c:v>5.4100000000000108</c:v>
                </c:pt>
                <c:pt idx="185">
                  <c:v>4.3700000000000045</c:v>
                </c:pt>
                <c:pt idx="186">
                  <c:v>5.4500000000000028</c:v>
                </c:pt>
                <c:pt idx="187">
                  <c:v>6.2000000000000028</c:v>
                </c:pt>
                <c:pt idx="188">
                  <c:v>5.8000000000000114</c:v>
                </c:pt>
                <c:pt idx="189">
                  <c:v>5.8000000000000114</c:v>
                </c:pt>
                <c:pt idx="190">
                  <c:v>5.8000000000000114</c:v>
                </c:pt>
                <c:pt idx="191">
                  <c:v>5.1000000000000085</c:v>
                </c:pt>
                <c:pt idx="192">
                  <c:v>4.5400000000000063</c:v>
                </c:pt>
                <c:pt idx="193">
                  <c:v>4.9299999999999926</c:v>
                </c:pt>
                <c:pt idx="194">
                  <c:v>4.9099999999999966</c:v>
                </c:pt>
                <c:pt idx="195">
                  <c:v>5.9099999999999966</c:v>
                </c:pt>
                <c:pt idx="196">
                  <c:v>5.9099999999999966</c:v>
                </c:pt>
                <c:pt idx="197">
                  <c:v>5.9099999999999966</c:v>
                </c:pt>
                <c:pt idx="198">
                  <c:v>4.9699999999999989</c:v>
                </c:pt>
                <c:pt idx="199">
                  <c:v>4.8599999999999994</c:v>
                </c:pt>
                <c:pt idx="200">
                  <c:v>4.1099999999999994</c:v>
                </c:pt>
                <c:pt idx="201">
                  <c:v>4.1699999999999875</c:v>
                </c:pt>
                <c:pt idx="202">
                  <c:v>2.4599999999999937</c:v>
                </c:pt>
                <c:pt idx="203">
                  <c:v>2.4599999999999937</c:v>
                </c:pt>
                <c:pt idx="204">
                  <c:v>2.4599999999999937</c:v>
                </c:pt>
                <c:pt idx="205">
                  <c:v>1.9099999999999966</c:v>
                </c:pt>
                <c:pt idx="206">
                  <c:v>1.3700000000000045</c:v>
                </c:pt>
                <c:pt idx="207">
                  <c:v>1.710000000000008</c:v>
                </c:pt>
                <c:pt idx="208">
                  <c:v>0.67000000000000171</c:v>
                </c:pt>
                <c:pt idx="209">
                  <c:v>0.29000000000000625</c:v>
                </c:pt>
                <c:pt idx="210">
                  <c:v>0.29000000000000625</c:v>
                </c:pt>
                <c:pt idx="211">
                  <c:v>0.29000000000000625</c:v>
                </c:pt>
                <c:pt idx="212">
                  <c:v>3.9300000000000068</c:v>
                </c:pt>
                <c:pt idx="213">
                  <c:v>4.4500000000000028</c:v>
                </c:pt>
                <c:pt idx="214">
                  <c:v>3.9899999999999949</c:v>
                </c:pt>
                <c:pt idx="215">
                  <c:v>4.3400000000000034</c:v>
                </c:pt>
                <c:pt idx="216">
                  <c:v>4.4699999999999989</c:v>
                </c:pt>
                <c:pt idx="217">
                  <c:v>4.4699999999999989</c:v>
                </c:pt>
                <c:pt idx="218">
                  <c:v>4.4699999999999989</c:v>
                </c:pt>
                <c:pt idx="219">
                  <c:v>4.6500000000000057</c:v>
                </c:pt>
                <c:pt idx="220">
                  <c:v>4.3900000000000006</c:v>
                </c:pt>
                <c:pt idx="221">
                  <c:v>4.9700000000000131</c:v>
                </c:pt>
                <c:pt idx="222">
                  <c:v>5.2000000000000028</c:v>
                </c:pt>
                <c:pt idx="223">
                  <c:v>4.3500000000000085</c:v>
                </c:pt>
                <c:pt idx="224">
                  <c:v>4.3500000000000085</c:v>
                </c:pt>
                <c:pt idx="225">
                  <c:v>4.3500000000000085</c:v>
                </c:pt>
                <c:pt idx="226">
                  <c:v>4.6199999999999903</c:v>
                </c:pt>
                <c:pt idx="227">
                  <c:v>4.5799999999999983</c:v>
                </c:pt>
                <c:pt idx="228">
                  <c:v>5.0600000000000023</c:v>
                </c:pt>
                <c:pt idx="229">
                  <c:v>4.7900000000000063</c:v>
                </c:pt>
                <c:pt idx="230">
                  <c:v>4.6799999999999926</c:v>
                </c:pt>
                <c:pt idx="231">
                  <c:v>4.6799999999999926</c:v>
                </c:pt>
                <c:pt idx="232">
                  <c:v>4.6799999999999926</c:v>
                </c:pt>
                <c:pt idx="233">
                  <c:v>4.3400000000000034</c:v>
                </c:pt>
                <c:pt idx="234">
                  <c:v>4.4300000000000068</c:v>
                </c:pt>
                <c:pt idx="235">
                  <c:v>4.5799999999999983</c:v>
                </c:pt>
                <c:pt idx="236">
                  <c:v>3.519999999999996</c:v>
                </c:pt>
                <c:pt idx="237">
                  <c:v>3.3299999999999983</c:v>
                </c:pt>
                <c:pt idx="238">
                  <c:v>3.3299999999999983</c:v>
                </c:pt>
                <c:pt idx="239">
                  <c:v>3.3299999999999983</c:v>
                </c:pt>
                <c:pt idx="240">
                  <c:v>3.6300000000000097</c:v>
                </c:pt>
                <c:pt idx="241">
                  <c:v>2.9899999999999949</c:v>
                </c:pt>
                <c:pt idx="242">
                  <c:v>3.5900000000000034</c:v>
                </c:pt>
                <c:pt idx="243">
                  <c:v>4.0499999999999972</c:v>
                </c:pt>
                <c:pt idx="244">
                  <c:v>3.7800000000000011</c:v>
                </c:pt>
                <c:pt idx="245">
                  <c:v>3.7800000000000011</c:v>
                </c:pt>
                <c:pt idx="246">
                  <c:v>3.7800000000000011</c:v>
                </c:pt>
                <c:pt idx="247">
                  <c:v>3.7800000000000011</c:v>
                </c:pt>
                <c:pt idx="248">
                  <c:v>3.75</c:v>
                </c:pt>
                <c:pt idx="249">
                  <c:v>3.4599999999999937</c:v>
                </c:pt>
                <c:pt idx="250">
                  <c:v>4.3599999999999994</c:v>
                </c:pt>
                <c:pt idx="251">
                  <c:v>4.2900000000000063</c:v>
                </c:pt>
                <c:pt idx="252">
                  <c:v>4.2900000000000063</c:v>
                </c:pt>
                <c:pt idx="253">
                  <c:v>4.2900000000000063</c:v>
                </c:pt>
                <c:pt idx="254">
                  <c:v>3.0800000000000125</c:v>
                </c:pt>
                <c:pt idx="255">
                  <c:v>3.8500000000000085</c:v>
                </c:pt>
                <c:pt idx="256">
                  <c:v>4.3500000000000085</c:v>
                </c:pt>
                <c:pt idx="257">
                  <c:v>3.7099999999999937</c:v>
                </c:pt>
                <c:pt idx="258">
                  <c:v>3.7199999999999989</c:v>
                </c:pt>
                <c:pt idx="259">
                  <c:v>3.7199999999999989</c:v>
                </c:pt>
                <c:pt idx="260">
                  <c:v>3.7199999999999989</c:v>
                </c:pt>
                <c:pt idx="261">
                  <c:v>3.6899999999999977</c:v>
                </c:pt>
                <c:pt idx="262">
                  <c:v>3.4000000000000057</c:v>
                </c:pt>
                <c:pt idx="263">
                  <c:v>3.3599999999999994</c:v>
                </c:pt>
                <c:pt idx="264">
                  <c:v>3.6899999999999977</c:v>
                </c:pt>
                <c:pt idx="265">
                  <c:v>3.1599999999999966</c:v>
                </c:pt>
                <c:pt idx="266">
                  <c:v>3.1599999999999966</c:v>
                </c:pt>
                <c:pt idx="267">
                  <c:v>3.1599999999999966</c:v>
                </c:pt>
                <c:pt idx="268">
                  <c:v>3.0499999999999972</c:v>
                </c:pt>
                <c:pt idx="269">
                  <c:v>4.9200000000000017</c:v>
                </c:pt>
                <c:pt idx="270">
                  <c:v>3.8900000000000006</c:v>
                </c:pt>
                <c:pt idx="271">
                  <c:v>4.3599999999999994</c:v>
                </c:pt>
                <c:pt idx="272">
                  <c:v>2.3299999999999983</c:v>
                </c:pt>
                <c:pt idx="273">
                  <c:v>2.3299999999999983</c:v>
                </c:pt>
                <c:pt idx="274">
                  <c:v>2.3299999999999983</c:v>
                </c:pt>
                <c:pt idx="275">
                  <c:v>6.5300000000000011</c:v>
                </c:pt>
                <c:pt idx="276">
                  <c:v>6.7399999999999949</c:v>
                </c:pt>
                <c:pt idx="277">
                  <c:v>6.4300000000000068</c:v>
                </c:pt>
                <c:pt idx="278">
                  <c:v>6.1099999999999994</c:v>
                </c:pt>
                <c:pt idx="279">
                  <c:v>6.769999999999996</c:v>
                </c:pt>
                <c:pt idx="280">
                  <c:v>6.769999999999996</c:v>
                </c:pt>
                <c:pt idx="281">
                  <c:v>6.769999999999996</c:v>
                </c:pt>
                <c:pt idx="282">
                  <c:v>6.5499999999999972</c:v>
                </c:pt>
                <c:pt idx="283">
                  <c:v>6.6799999999999926</c:v>
                </c:pt>
                <c:pt idx="284">
                  <c:v>6.4500000000000028</c:v>
                </c:pt>
                <c:pt idx="285">
                  <c:v>6.6599999999999966</c:v>
                </c:pt>
                <c:pt idx="286">
                  <c:v>5.9299999999999926</c:v>
                </c:pt>
                <c:pt idx="287">
                  <c:v>5.9299999999999926</c:v>
                </c:pt>
                <c:pt idx="288">
                  <c:v>5.9299999999999926</c:v>
                </c:pt>
                <c:pt idx="289">
                  <c:v>6.039999999999992</c:v>
                </c:pt>
                <c:pt idx="290">
                  <c:v>5.3499999999999943</c:v>
                </c:pt>
                <c:pt idx="291">
                  <c:v>6.1599999999999966</c:v>
                </c:pt>
                <c:pt idx="292">
                  <c:v>6.1600000000000108</c:v>
                </c:pt>
                <c:pt idx="293">
                  <c:v>5.9500000000000028</c:v>
                </c:pt>
                <c:pt idx="294">
                  <c:v>5.9500000000000028</c:v>
                </c:pt>
                <c:pt idx="295">
                  <c:v>5.9500000000000028</c:v>
                </c:pt>
                <c:pt idx="296">
                  <c:v>5.480000000000004</c:v>
                </c:pt>
                <c:pt idx="297">
                  <c:v>6.3900000000000006</c:v>
                </c:pt>
                <c:pt idx="298">
                  <c:v>5.5300000000000011</c:v>
                </c:pt>
                <c:pt idx="299">
                  <c:v>5.4299999999999926</c:v>
                </c:pt>
                <c:pt idx="300">
                  <c:v>5.2900000000000063</c:v>
                </c:pt>
                <c:pt idx="301">
                  <c:v>5.2900000000000063</c:v>
                </c:pt>
                <c:pt idx="302">
                  <c:v>5.2900000000000063</c:v>
                </c:pt>
                <c:pt idx="303">
                  <c:v>5.1400000000000006</c:v>
                </c:pt>
                <c:pt idx="304">
                  <c:v>6.9699999999999989</c:v>
                </c:pt>
                <c:pt idx="305">
                  <c:v>7.0499999999999972</c:v>
                </c:pt>
                <c:pt idx="306">
                  <c:v>6.3299999999999983</c:v>
                </c:pt>
                <c:pt idx="307">
                  <c:v>6.8299999999999983</c:v>
                </c:pt>
                <c:pt idx="308">
                  <c:v>6.8299999999999983</c:v>
                </c:pt>
                <c:pt idx="309">
                  <c:v>6.8299999999999983</c:v>
                </c:pt>
                <c:pt idx="310">
                  <c:v>6.5700000000000074</c:v>
                </c:pt>
                <c:pt idx="311">
                  <c:v>6.1400000000000006</c:v>
                </c:pt>
                <c:pt idx="312">
                  <c:v>5.9500000000000028</c:v>
                </c:pt>
                <c:pt idx="313">
                  <c:v>6.289999999999992</c:v>
                </c:pt>
                <c:pt idx="314">
                  <c:v>6.1699999999999875</c:v>
                </c:pt>
                <c:pt idx="315">
                  <c:v>6.1699999999999875</c:v>
                </c:pt>
                <c:pt idx="316">
                  <c:v>6.1699999999999875</c:v>
                </c:pt>
                <c:pt idx="317">
                  <c:v>5.7800000000000011</c:v>
                </c:pt>
                <c:pt idx="318">
                  <c:v>6.730000000000004</c:v>
                </c:pt>
                <c:pt idx="319">
                  <c:v>6.2999999999999972</c:v>
                </c:pt>
                <c:pt idx="320">
                  <c:v>5.730000000000004</c:v>
                </c:pt>
                <c:pt idx="321">
                  <c:v>6.1099999999999994</c:v>
                </c:pt>
                <c:pt idx="322">
                  <c:v>6.1099999999999994</c:v>
                </c:pt>
                <c:pt idx="323">
                  <c:v>6.1099999999999994</c:v>
                </c:pt>
                <c:pt idx="324">
                  <c:v>5.7600000000000051</c:v>
                </c:pt>
                <c:pt idx="325">
                  <c:v>6.6500000000000057</c:v>
                </c:pt>
                <c:pt idx="326">
                  <c:v>6.1500000000000057</c:v>
                </c:pt>
                <c:pt idx="327">
                  <c:v>6.1500000000000057</c:v>
                </c:pt>
                <c:pt idx="328">
                  <c:v>6.1500000000000057</c:v>
                </c:pt>
                <c:pt idx="329">
                  <c:v>6.1500000000000057</c:v>
                </c:pt>
                <c:pt idx="330">
                  <c:v>6.1500000000000057</c:v>
                </c:pt>
                <c:pt idx="331">
                  <c:v>7.3399999999999892</c:v>
                </c:pt>
                <c:pt idx="332">
                  <c:v>7.3599999999999994</c:v>
                </c:pt>
                <c:pt idx="333">
                  <c:v>7.7800000000000011</c:v>
                </c:pt>
                <c:pt idx="334">
                  <c:v>10.14</c:v>
                </c:pt>
                <c:pt idx="335">
                  <c:v>10.100000000000009</c:v>
                </c:pt>
                <c:pt idx="336">
                  <c:v>10.100000000000009</c:v>
                </c:pt>
                <c:pt idx="337">
                  <c:v>10.100000000000009</c:v>
                </c:pt>
                <c:pt idx="338">
                  <c:v>9.7999999999999972</c:v>
                </c:pt>
                <c:pt idx="339">
                  <c:v>10.099999999999994</c:v>
                </c:pt>
                <c:pt idx="340">
                  <c:v>10.150000000000006</c:v>
                </c:pt>
                <c:pt idx="341">
                  <c:v>10.599999999999994</c:v>
                </c:pt>
                <c:pt idx="342">
                  <c:v>10.599999999999994</c:v>
                </c:pt>
                <c:pt idx="343">
                  <c:v>10.599999999999994</c:v>
                </c:pt>
                <c:pt idx="344">
                  <c:v>10.599999999999994</c:v>
                </c:pt>
                <c:pt idx="345">
                  <c:v>11.200000000000003</c:v>
                </c:pt>
                <c:pt idx="346">
                  <c:v>10.719999999999999</c:v>
                </c:pt>
                <c:pt idx="347">
                  <c:v>10.549999999999997</c:v>
                </c:pt>
                <c:pt idx="348">
                  <c:v>10.379999999999995</c:v>
                </c:pt>
                <c:pt idx="349">
                  <c:v>10.430000000000007</c:v>
                </c:pt>
                <c:pt idx="350">
                  <c:v>10.430000000000007</c:v>
                </c:pt>
                <c:pt idx="351">
                  <c:v>10.430000000000007</c:v>
                </c:pt>
                <c:pt idx="352">
                  <c:v>10.599999999999994</c:v>
                </c:pt>
                <c:pt idx="353">
                  <c:v>10.870000000000005</c:v>
                </c:pt>
                <c:pt idx="354">
                  <c:v>10.930000000000007</c:v>
                </c:pt>
                <c:pt idx="355">
                  <c:v>10.719999999999999</c:v>
                </c:pt>
                <c:pt idx="356">
                  <c:v>10.649999999999991</c:v>
                </c:pt>
                <c:pt idx="357">
                  <c:v>10.649999999999991</c:v>
                </c:pt>
                <c:pt idx="358">
                  <c:v>10.649999999999991</c:v>
                </c:pt>
                <c:pt idx="359">
                  <c:v>10.649999999999991</c:v>
                </c:pt>
                <c:pt idx="360">
                  <c:v>10.420000000000002</c:v>
                </c:pt>
                <c:pt idx="361">
                  <c:v>10.679999999999993</c:v>
                </c:pt>
                <c:pt idx="362">
                  <c:v>11.090000000000003</c:v>
                </c:pt>
                <c:pt idx="363">
                  <c:v>10.550000000000011</c:v>
                </c:pt>
                <c:pt idx="364">
                  <c:v>10.550000000000011</c:v>
                </c:pt>
                <c:pt idx="365">
                  <c:v>10.550000000000011</c:v>
                </c:pt>
                <c:pt idx="366">
                  <c:v>10.550000000000011</c:v>
                </c:pt>
                <c:pt idx="367">
                  <c:v>11.090000000000003</c:v>
                </c:pt>
                <c:pt idx="368">
                  <c:v>11.180000000000007</c:v>
                </c:pt>
                <c:pt idx="369">
                  <c:v>11.200000000000003</c:v>
                </c:pt>
                <c:pt idx="370">
                  <c:v>11.259999999999998</c:v>
                </c:pt>
                <c:pt idx="371">
                  <c:v>11.259999999999998</c:v>
                </c:pt>
                <c:pt idx="372">
                  <c:v>11.259999999999998</c:v>
                </c:pt>
                <c:pt idx="373">
                  <c:v>11.129999999999995</c:v>
                </c:pt>
                <c:pt idx="374">
                  <c:v>11.230000000000004</c:v>
                </c:pt>
                <c:pt idx="375">
                  <c:v>11.170000000000002</c:v>
                </c:pt>
                <c:pt idx="376">
                  <c:v>10.849999999999994</c:v>
                </c:pt>
                <c:pt idx="377">
                  <c:v>10.920000000000002</c:v>
                </c:pt>
                <c:pt idx="378">
                  <c:v>10.920000000000002</c:v>
                </c:pt>
                <c:pt idx="379">
                  <c:v>10.920000000000002</c:v>
                </c:pt>
                <c:pt idx="380">
                  <c:v>10.920000000000002</c:v>
                </c:pt>
                <c:pt idx="381">
                  <c:v>10.470000000000013</c:v>
                </c:pt>
                <c:pt idx="382">
                  <c:v>10.320000000000007</c:v>
                </c:pt>
                <c:pt idx="383">
                  <c:v>10.450000000000003</c:v>
                </c:pt>
                <c:pt idx="384">
                  <c:v>11.210000000000008</c:v>
                </c:pt>
                <c:pt idx="385" formatCode="0.0">
                  <c:v>11.210000000000008</c:v>
                </c:pt>
                <c:pt idx="386" formatCode="0.0">
                  <c:v>11.210000000000008</c:v>
                </c:pt>
                <c:pt idx="387" formatCode="0.0">
                  <c:v>11.219999999999999</c:v>
                </c:pt>
                <c:pt idx="388" formatCode="0.0">
                  <c:v>9.6800000000000068</c:v>
                </c:pt>
                <c:pt idx="389" formatCode="0.0">
                  <c:v>9.980000000000004</c:v>
                </c:pt>
                <c:pt idx="390" formatCode="0.0">
                  <c:v>9.9400000000000119</c:v>
                </c:pt>
                <c:pt idx="391" formatCode="0.0">
                  <c:v>9.5100000000000051</c:v>
                </c:pt>
                <c:pt idx="392" formatCode="0.0">
                  <c:v>9.5100000000000051</c:v>
                </c:pt>
                <c:pt idx="393" formatCode="0.0">
                  <c:v>9.5100000000000051</c:v>
                </c:pt>
                <c:pt idx="394" formatCode="0.0">
                  <c:v>9.4400000000000119</c:v>
                </c:pt>
                <c:pt idx="395" formatCode="0.0">
                  <c:v>10.210000000000008</c:v>
                </c:pt>
                <c:pt idx="396" formatCode="0.0">
                  <c:v>9.7999999999999972</c:v>
                </c:pt>
                <c:pt idx="397" formatCode="0.0">
                  <c:v>10.049999999999997</c:v>
                </c:pt>
                <c:pt idx="398" formatCode="0.0">
                  <c:v>9.759999999999998</c:v>
                </c:pt>
                <c:pt idx="399" formatCode="0.0">
                  <c:v>9.759999999999998</c:v>
                </c:pt>
                <c:pt idx="400" formatCode="0.0">
                  <c:v>9.759999999999998</c:v>
                </c:pt>
                <c:pt idx="401" formatCode="0.0">
                  <c:v>10.479999999999997</c:v>
                </c:pt>
                <c:pt idx="402" formatCode="0.0">
                  <c:v>9.8700000000000045</c:v>
                </c:pt>
                <c:pt idx="403" formatCode="0.0">
                  <c:v>9.8700000000000045</c:v>
                </c:pt>
                <c:pt idx="404" formatCode="0.0">
                  <c:v>9.8500000000000085</c:v>
                </c:pt>
                <c:pt idx="405" formatCode="0.0">
                  <c:v>9.7999999999999972</c:v>
                </c:pt>
                <c:pt idx="406" formatCode="0.0">
                  <c:v>9.7999999999999972</c:v>
                </c:pt>
                <c:pt idx="407" formatCode="0.0">
                  <c:v>9.7999999999999972</c:v>
                </c:pt>
                <c:pt idx="408" formatCode="0.0">
                  <c:v>9.8100000000000023</c:v>
                </c:pt>
                <c:pt idx="409" formatCode="0.0">
                  <c:v>9.5900000000000034</c:v>
                </c:pt>
                <c:pt idx="410" formatCode="0.0">
                  <c:v>9.5300000000000011</c:v>
                </c:pt>
                <c:pt idx="411" formatCode="0.0">
                  <c:v>9.6700000000000017</c:v>
                </c:pt>
                <c:pt idx="412" formatCode="0.0">
                  <c:v>9.6599999999999966</c:v>
                </c:pt>
                <c:pt idx="413" formatCode="0.0">
                  <c:v>9.6599999999999966</c:v>
                </c:pt>
                <c:pt idx="414" formatCode="0.0">
                  <c:v>9.6599999999999966</c:v>
                </c:pt>
                <c:pt idx="415" formatCode="0.0">
                  <c:v>9.6599999999999966</c:v>
                </c:pt>
                <c:pt idx="416" formatCode="0.0">
                  <c:v>9.5300000000000011</c:v>
                </c:pt>
                <c:pt idx="417" formatCode="0.0">
                  <c:v>9.5799999999999983</c:v>
                </c:pt>
                <c:pt idx="418" formatCode="0.0">
                  <c:v>9.6000000000000085</c:v>
                </c:pt>
                <c:pt idx="419" formatCode="0.0">
                  <c:v>9.6799999999999926</c:v>
                </c:pt>
                <c:pt idx="420" formatCode="0.0">
                  <c:v>9.6799999999999926</c:v>
                </c:pt>
                <c:pt idx="421" formatCode="0.0">
                  <c:v>9.6799999999999926</c:v>
                </c:pt>
                <c:pt idx="422" formatCode="0.0">
                  <c:v>9.6300000000000097</c:v>
                </c:pt>
                <c:pt idx="423" formatCode="0.0">
                  <c:v>9.7800000000000011</c:v>
                </c:pt>
                <c:pt idx="424" formatCode="0.0">
                  <c:v>9.4299999999999926</c:v>
                </c:pt>
                <c:pt idx="425" formatCode="0.0">
                  <c:v>9.4799999999999898</c:v>
                </c:pt>
                <c:pt idx="426" formatCode="0.0">
                  <c:v>9.8000000000000114</c:v>
                </c:pt>
                <c:pt idx="427" formatCode="0.0">
                  <c:v>9.8000000000000114</c:v>
                </c:pt>
                <c:pt idx="428" formatCode="0.0">
                  <c:v>9.8000000000000114</c:v>
                </c:pt>
                <c:pt idx="429" formatCode="0.0">
                  <c:v>10.089999999999989</c:v>
                </c:pt>
                <c:pt idx="430" formatCode="0.0">
                  <c:v>9.9699999999999989</c:v>
                </c:pt>
                <c:pt idx="431" formatCode="0.0">
                  <c:v>9.8400000000000034</c:v>
                </c:pt>
                <c:pt idx="432" formatCode="0.0">
                  <c:v>9.769999999999996</c:v>
                </c:pt>
                <c:pt idx="433" formatCode="0.0">
                  <c:v>9.8400000000000034</c:v>
                </c:pt>
                <c:pt idx="434" formatCode="0.0">
                  <c:v>9.8400000000000034</c:v>
                </c:pt>
                <c:pt idx="435" formatCode="0.0">
                  <c:v>9.8400000000000034</c:v>
                </c:pt>
                <c:pt idx="436" formatCode="0.0">
                  <c:v>9.730000000000004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5-4A8A-B88E-0A9D52C0D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372984"/>
        <c:axId val="568365768"/>
      </c:lineChart>
      <c:dateAx>
        <c:axId val="5683729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s-MX"/>
          </a:p>
        </c:txPr>
        <c:crossAx val="568365768"/>
        <c:crosses val="autoZero"/>
        <c:auto val="1"/>
        <c:lblOffset val="100"/>
        <c:baseTimeUnit val="days"/>
        <c:majorUnit val="1"/>
        <c:majorTimeUnit val="months"/>
      </c:dateAx>
      <c:valAx>
        <c:axId val="5683657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r>
                  <a:rPr lang="es-MX" sz="800"/>
                  <a:t>Dólares por barril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Montserrat" panose="00000500000000000000" pitchFamily="2" charset="0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s-MX"/>
          </a:p>
        </c:txPr>
        <c:crossAx val="56837298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Montserrat" panose="00000500000000000000" pitchFamily="2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38100</xdr:rowOff>
        </xdr:from>
        <xdr:to>
          <xdr:col>5</xdr:col>
          <xdr:colOff>657225</xdr:colOff>
          <xdr:row>3</xdr:row>
          <xdr:rowOff>295275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</xdr:row>
          <xdr:rowOff>38100</xdr:rowOff>
        </xdr:from>
        <xdr:to>
          <xdr:col>6</xdr:col>
          <xdr:colOff>657225</xdr:colOff>
          <xdr:row>3</xdr:row>
          <xdr:rowOff>295275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38100</xdr:rowOff>
        </xdr:from>
        <xdr:to>
          <xdr:col>7</xdr:col>
          <xdr:colOff>666750</xdr:colOff>
          <xdr:row>3</xdr:row>
          <xdr:rowOff>295275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38100</xdr:rowOff>
        </xdr:from>
        <xdr:to>
          <xdr:col>8</xdr:col>
          <xdr:colOff>666750</xdr:colOff>
          <xdr:row>3</xdr:row>
          <xdr:rowOff>295275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38100</xdr:rowOff>
        </xdr:from>
        <xdr:to>
          <xdr:col>9</xdr:col>
          <xdr:colOff>666750</xdr:colOff>
          <xdr:row>3</xdr:row>
          <xdr:rowOff>295275</xdr:rowOff>
        </xdr:to>
        <xdr:sp macro="" textlink="">
          <xdr:nvSpPr>
            <xdr:cNvPr id="2056" name="CommandButton5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</xdr:row>
          <xdr:rowOff>38100</xdr:rowOff>
        </xdr:from>
        <xdr:to>
          <xdr:col>10</xdr:col>
          <xdr:colOff>676275</xdr:colOff>
          <xdr:row>3</xdr:row>
          <xdr:rowOff>295275</xdr:rowOff>
        </xdr:to>
        <xdr:sp macro="" textlink="">
          <xdr:nvSpPr>
            <xdr:cNvPr id="2057" name="CommandButton6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3</xdr:row>
          <xdr:rowOff>38100</xdr:rowOff>
        </xdr:from>
        <xdr:to>
          <xdr:col>11</xdr:col>
          <xdr:colOff>676275</xdr:colOff>
          <xdr:row>3</xdr:row>
          <xdr:rowOff>295275</xdr:rowOff>
        </xdr:to>
        <xdr:sp macro="" textlink="">
          <xdr:nvSpPr>
            <xdr:cNvPr id="2058" name="CommandButton7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137160</xdr:colOff>
      <xdr:row>3</xdr:row>
      <xdr:rowOff>175260</xdr:rowOff>
    </xdr:from>
    <xdr:to>
      <xdr:col>14</xdr:col>
      <xdr:colOff>83820</xdr:colOff>
      <xdr:row>16</xdr:row>
      <xdr:rowOff>60960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83820</xdr:colOff>
      <xdr:row>3</xdr:row>
      <xdr:rowOff>175260</xdr:rowOff>
    </xdr:from>
    <xdr:to>
      <xdr:col>19</xdr:col>
      <xdr:colOff>31020</xdr:colOff>
      <xdr:row>16</xdr:row>
      <xdr:rowOff>60240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Institucional">
      <a:dk1>
        <a:sysClr val="windowText" lastClr="000000"/>
      </a:dk1>
      <a:lt1>
        <a:srgbClr val="F8F8F8"/>
      </a:lt1>
      <a:dk2>
        <a:srgbClr val="621132"/>
      </a:dk2>
      <a:lt2>
        <a:srgbClr val="B38E5D"/>
      </a:lt2>
      <a:accent1>
        <a:srgbClr val="621132"/>
      </a:accent1>
      <a:accent2>
        <a:srgbClr val="9D2449"/>
      </a:accent2>
      <a:accent3>
        <a:srgbClr val="D4C19C"/>
      </a:accent3>
      <a:accent4>
        <a:srgbClr val="B38E5D"/>
      </a:accent4>
      <a:accent5>
        <a:srgbClr val="BABABA"/>
      </a:accent5>
      <a:accent6>
        <a:srgbClr val="13322B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U1885"/>
  <sheetViews>
    <sheetView showGridLines="0" tabSelected="1" zoomScale="115" zoomScaleNormal="115" workbookViewId="0">
      <pane xSplit="5" ySplit="5" topLeftCell="F1874" activePane="bottomRight" state="frozen"/>
      <selection pane="topRight" activeCell="F1" sqref="F1"/>
      <selection pane="bottomLeft" activeCell="A4" sqref="A4"/>
      <selection pane="bottomRight" activeCell="M1880" sqref="M1880"/>
    </sheetView>
  </sheetViews>
  <sheetFormatPr baseColWidth="10" defaultColWidth="11.5703125" defaultRowHeight="12.75" x14ac:dyDescent="0.25"/>
  <cols>
    <col min="1" max="1" width="2" style="1" customWidth="1"/>
    <col min="2" max="4" width="5" style="1" customWidth="1"/>
    <col min="5" max="5" width="13.85546875" style="1" bestFit="1" customWidth="1"/>
    <col min="6" max="16384" width="11.5703125" style="1"/>
  </cols>
  <sheetData>
    <row r="1" spans="1:16" s="2" customFormat="1" ht="15.75" x14ac:dyDescent="0.25">
      <c r="A1" s="7" t="s">
        <v>9</v>
      </c>
      <c r="B1" s="7"/>
      <c r="C1" s="7"/>
      <c r="D1" s="7"/>
    </row>
    <row r="2" spans="1:16" ht="25.5" customHeight="1" x14ac:dyDescent="0.25"/>
    <row r="3" spans="1:16" ht="25.5" customHeight="1" x14ac:dyDescent="0.25">
      <c r="F3" s="51" t="s">
        <v>47</v>
      </c>
      <c r="G3" s="52" t="s">
        <v>46</v>
      </c>
      <c r="H3" s="52"/>
      <c r="I3" s="52"/>
      <c r="J3" s="52"/>
      <c r="K3" s="52"/>
      <c r="L3" s="52"/>
    </row>
    <row r="4" spans="1:16" ht="25.5" customHeight="1" x14ac:dyDescent="0.25">
      <c r="O4" s="41"/>
      <c r="P4" s="1" t="s">
        <v>42</v>
      </c>
    </row>
    <row r="5" spans="1:16" x14ac:dyDescent="0.25">
      <c r="B5" s="50" t="s">
        <v>10</v>
      </c>
      <c r="C5" s="50" t="s">
        <v>11</v>
      </c>
      <c r="D5" s="50" t="s">
        <v>12</v>
      </c>
      <c r="E5" s="50" t="s">
        <v>0</v>
      </c>
      <c r="F5" s="50" t="s">
        <v>1</v>
      </c>
      <c r="G5" s="50" t="s">
        <v>2</v>
      </c>
      <c r="H5" s="50" t="s">
        <v>3</v>
      </c>
      <c r="I5" s="50" t="s">
        <v>4</v>
      </c>
      <c r="J5" s="50" t="s">
        <v>5</v>
      </c>
      <c r="K5" s="50" t="s">
        <v>6</v>
      </c>
      <c r="L5" s="50" t="s">
        <v>7</v>
      </c>
      <c r="M5" s="50" t="s">
        <v>8</v>
      </c>
      <c r="O5" s="40"/>
      <c r="P5" s="1" t="s">
        <v>43</v>
      </c>
    </row>
    <row r="6" spans="1:16" x14ac:dyDescent="0.25">
      <c r="B6" s="42">
        <f>DAY(E6)</f>
        <v>1</v>
      </c>
      <c r="C6" s="42">
        <f>MONTH(E6)</f>
        <v>1</v>
      </c>
      <c r="D6" s="42">
        <f>YEAR(E6)</f>
        <v>2016</v>
      </c>
      <c r="E6" s="43">
        <v>42370</v>
      </c>
      <c r="F6" s="42">
        <v>27.04</v>
      </c>
      <c r="G6" s="42">
        <v>37.020000000000003</v>
      </c>
      <c r="H6" s="42">
        <v>27.86</v>
      </c>
      <c r="I6" s="42">
        <v>39.270000000000003</v>
      </c>
      <c r="J6" s="42">
        <v>37.26</v>
      </c>
      <c r="K6" s="42">
        <v>36.770000000000003</v>
      </c>
      <c r="L6" s="42">
        <v>38.369999999999997</v>
      </c>
      <c r="M6" s="42">
        <f>K6-F6</f>
        <v>9.730000000000004</v>
      </c>
    </row>
    <row r="7" spans="1:16" x14ac:dyDescent="0.25">
      <c r="B7" s="42">
        <f t="shared" ref="B7:B70" si="0">DAY(E7)</f>
        <v>4</v>
      </c>
      <c r="C7" s="42">
        <f t="shared" ref="C7:C70" si="1">MONTH(E7)</f>
        <v>1</v>
      </c>
      <c r="D7" s="42">
        <f t="shared" ref="D7:D70" si="2">YEAR(E7)</f>
        <v>2016</v>
      </c>
      <c r="E7" s="43">
        <v>42373</v>
      </c>
      <c r="F7" s="42">
        <v>27.04</v>
      </c>
      <c r="G7" s="42">
        <v>35.43</v>
      </c>
      <c r="H7" s="42">
        <v>27.9</v>
      </c>
      <c r="I7" s="42">
        <v>37.64</v>
      </c>
      <c r="J7" s="42">
        <v>37.26</v>
      </c>
      <c r="K7" s="42">
        <v>36.770000000000003</v>
      </c>
      <c r="L7" s="42">
        <v>38.369999999999997</v>
      </c>
      <c r="M7" s="42">
        <f t="shared" ref="M7:M70" si="3">K7-F7</f>
        <v>9.730000000000004</v>
      </c>
    </row>
    <row r="8" spans="1:16" x14ac:dyDescent="0.25">
      <c r="B8" s="42">
        <f t="shared" si="0"/>
        <v>5</v>
      </c>
      <c r="C8" s="42">
        <f t="shared" si="1"/>
        <v>1</v>
      </c>
      <c r="D8" s="42">
        <f t="shared" si="2"/>
        <v>2016</v>
      </c>
      <c r="E8" s="43">
        <v>42374</v>
      </c>
      <c r="F8" s="42">
        <v>26.26</v>
      </c>
      <c r="G8" s="42">
        <v>34.630000000000003</v>
      </c>
      <c r="H8" s="42">
        <v>27.34</v>
      </c>
      <c r="I8" s="42">
        <v>36.83</v>
      </c>
      <c r="J8" s="42">
        <v>36.93</v>
      </c>
      <c r="K8" s="42">
        <v>35.85</v>
      </c>
      <c r="L8" s="42">
        <v>37.4</v>
      </c>
      <c r="M8" s="42">
        <f t="shared" si="3"/>
        <v>9.59</v>
      </c>
    </row>
    <row r="9" spans="1:16" x14ac:dyDescent="0.25">
      <c r="B9" s="42">
        <f t="shared" si="0"/>
        <v>6</v>
      </c>
      <c r="C9" s="42">
        <f t="shared" si="1"/>
        <v>1</v>
      </c>
      <c r="D9" s="42">
        <f t="shared" si="2"/>
        <v>2016</v>
      </c>
      <c r="E9" s="43">
        <v>42375</v>
      </c>
      <c r="F9" s="42">
        <v>24.75</v>
      </c>
      <c r="G9" s="42">
        <v>32.44</v>
      </c>
      <c r="H9" s="42">
        <v>25.55</v>
      </c>
      <c r="I9" s="42">
        <v>34.590000000000003</v>
      </c>
      <c r="J9" s="42">
        <v>35.15</v>
      </c>
      <c r="K9" s="42">
        <v>33.86</v>
      </c>
      <c r="L9" s="42">
        <v>35.31</v>
      </c>
      <c r="M9" s="42">
        <f t="shared" si="3"/>
        <v>9.11</v>
      </c>
    </row>
    <row r="10" spans="1:16" x14ac:dyDescent="0.25">
      <c r="B10" s="42">
        <f t="shared" si="0"/>
        <v>7</v>
      </c>
      <c r="C10" s="42">
        <f t="shared" si="1"/>
        <v>1</v>
      </c>
      <c r="D10" s="42">
        <f t="shared" si="2"/>
        <v>2016</v>
      </c>
      <c r="E10" s="43">
        <v>42376</v>
      </c>
      <c r="F10" s="42">
        <v>24.11</v>
      </c>
      <c r="G10" s="42">
        <v>31.85</v>
      </c>
      <c r="H10" s="42">
        <v>25.07</v>
      </c>
      <c r="I10" s="42">
        <v>34.020000000000003</v>
      </c>
      <c r="J10" s="42">
        <v>35.1</v>
      </c>
      <c r="K10" s="42">
        <v>33.19</v>
      </c>
      <c r="L10" s="42">
        <v>34.79</v>
      </c>
      <c r="M10" s="42">
        <f t="shared" si="3"/>
        <v>9.0799999999999983</v>
      </c>
    </row>
    <row r="11" spans="1:16" x14ac:dyDescent="0.25">
      <c r="B11" s="42">
        <f t="shared" si="0"/>
        <v>8</v>
      </c>
      <c r="C11" s="42">
        <f t="shared" si="1"/>
        <v>1</v>
      </c>
      <c r="D11" s="42">
        <f t="shared" si="2"/>
        <v>2016</v>
      </c>
      <c r="E11" s="43">
        <v>42377</v>
      </c>
      <c r="F11" s="42">
        <v>23.65</v>
      </c>
      <c r="G11" s="42">
        <v>31.77</v>
      </c>
      <c r="H11" s="42">
        <v>24.91</v>
      </c>
      <c r="I11" s="42">
        <v>33.92</v>
      </c>
      <c r="J11" s="42">
        <v>33.26</v>
      </c>
      <c r="K11" s="42">
        <v>33.07</v>
      </c>
      <c r="L11" s="42">
        <v>34.72</v>
      </c>
      <c r="M11" s="42">
        <f t="shared" si="3"/>
        <v>9.4200000000000017</v>
      </c>
    </row>
    <row r="12" spans="1:16" x14ac:dyDescent="0.25">
      <c r="B12" s="42">
        <f t="shared" si="0"/>
        <v>11</v>
      </c>
      <c r="C12" s="42">
        <f t="shared" si="1"/>
        <v>1</v>
      </c>
      <c r="D12" s="42">
        <f t="shared" si="2"/>
        <v>2016</v>
      </c>
      <c r="E12" s="43">
        <v>42380</v>
      </c>
      <c r="F12" s="42">
        <v>22.07</v>
      </c>
      <c r="G12" s="42">
        <v>29.81</v>
      </c>
      <c r="H12" s="42">
        <v>23.18</v>
      </c>
      <c r="I12" s="42">
        <v>31.86</v>
      </c>
      <c r="J12" s="42">
        <v>32.06</v>
      </c>
      <c r="K12" s="42">
        <v>31.16</v>
      </c>
      <c r="L12" s="42">
        <v>32.659999999999997</v>
      </c>
      <c r="M12" s="42">
        <f t="shared" si="3"/>
        <v>9.09</v>
      </c>
    </row>
    <row r="13" spans="1:16" x14ac:dyDescent="0.25">
      <c r="B13" s="42">
        <f t="shared" si="0"/>
        <v>12</v>
      </c>
      <c r="C13" s="42">
        <f t="shared" si="1"/>
        <v>1</v>
      </c>
      <c r="D13" s="42">
        <f t="shared" si="2"/>
        <v>2016</v>
      </c>
      <c r="E13" s="43">
        <v>42381</v>
      </c>
      <c r="F13" s="42">
        <v>21.5</v>
      </c>
      <c r="G13" s="42">
        <v>28.95</v>
      </c>
      <c r="H13" s="42">
        <v>22.66</v>
      </c>
      <c r="I13" s="42">
        <v>31.05</v>
      </c>
      <c r="J13" s="42">
        <v>30.92</v>
      </c>
      <c r="K13" s="42">
        <v>30.49</v>
      </c>
      <c r="L13" s="42">
        <v>31.94</v>
      </c>
      <c r="M13" s="42">
        <f t="shared" si="3"/>
        <v>8.9899999999999984</v>
      </c>
    </row>
    <row r="14" spans="1:16" x14ac:dyDescent="0.25">
      <c r="B14" s="42">
        <f t="shared" si="0"/>
        <v>13</v>
      </c>
      <c r="C14" s="42">
        <f t="shared" si="1"/>
        <v>1</v>
      </c>
      <c r="D14" s="42">
        <f t="shared" si="2"/>
        <v>2016</v>
      </c>
      <c r="E14" s="43">
        <v>42382</v>
      </c>
      <c r="F14" s="42">
        <v>21.38</v>
      </c>
      <c r="G14" s="42">
        <v>29.12</v>
      </c>
      <c r="H14" s="42">
        <v>22.85</v>
      </c>
      <c r="I14" s="42">
        <v>31.1</v>
      </c>
      <c r="J14" s="42">
        <v>30.5</v>
      </c>
      <c r="K14" s="42">
        <v>30.44</v>
      </c>
      <c r="L14" s="42">
        <v>32.04</v>
      </c>
      <c r="M14" s="42">
        <f t="shared" si="3"/>
        <v>9.0600000000000023</v>
      </c>
    </row>
    <row r="15" spans="1:16" x14ac:dyDescent="0.25">
      <c r="B15" s="42">
        <f t="shared" si="0"/>
        <v>14</v>
      </c>
      <c r="C15" s="42">
        <f t="shared" si="1"/>
        <v>1</v>
      </c>
      <c r="D15" s="42">
        <f t="shared" si="2"/>
        <v>2016</v>
      </c>
      <c r="E15" s="43">
        <v>42383</v>
      </c>
      <c r="F15" s="42">
        <v>21.7</v>
      </c>
      <c r="G15" s="42">
        <v>29.83</v>
      </c>
      <c r="H15" s="42">
        <v>23.49</v>
      </c>
      <c r="I15" s="42">
        <v>31.9</v>
      </c>
      <c r="J15" s="42">
        <v>30.31</v>
      </c>
      <c r="K15" s="42">
        <v>31.25</v>
      </c>
      <c r="L15" s="42">
        <v>32.549999999999997</v>
      </c>
      <c r="M15" s="42">
        <f t="shared" si="3"/>
        <v>9.5500000000000007</v>
      </c>
    </row>
    <row r="16" spans="1:16" x14ac:dyDescent="0.25">
      <c r="B16" s="42">
        <f t="shared" si="0"/>
        <v>15</v>
      </c>
      <c r="C16" s="42">
        <f t="shared" si="1"/>
        <v>1</v>
      </c>
      <c r="D16" s="42">
        <f t="shared" si="2"/>
        <v>2016</v>
      </c>
      <c r="E16" s="43">
        <v>42384</v>
      </c>
      <c r="F16" s="42">
        <v>20.7</v>
      </c>
      <c r="G16" s="42">
        <v>27.89</v>
      </c>
      <c r="H16" s="42">
        <v>21.68</v>
      </c>
      <c r="I16" s="42">
        <v>30</v>
      </c>
      <c r="J16" s="42">
        <v>29.41</v>
      </c>
      <c r="K16" s="42">
        <v>29.74</v>
      </c>
      <c r="L16" s="42">
        <v>30.99</v>
      </c>
      <c r="M16" s="42">
        <f t="shared" si="3"/>
        <v>9.0399999999999991</v>
      </c>
    </row>
    <row r="17" spans="2:13" x14ac:dyDescent="0.25">
      <c r="B17" s="42">
        <f t="shared" si="0"/>
        <v>18</v>
      </c>
      <c r="C17" s="42">
        <f t="shared" si="1"/>
        <v>1</v>
      </c>
      <c r="D17" s="42">
        <f t="shared" si="2"/>
        <v>2016</v>
      </c>
      <c r="E17" s="43">
        <v>42387</v>
      </c>
      <c r="F17" s="42">
        <v>20.71</v>
      </c>
      <c r="G17" s="42">
        <v>27.89</v>
      </c>
      <c r="H17" s="42">
        <v>21.68</v>
      </c>
      <c r="I17" s="42">
        <v>30</v>
      </c>
      <c r="J17" s="42">
        <v>28.6</v>
      </c>
      <c r="K17" s="42">
        <v>29.74</v>
      </c>
      <c r="L17" s="42">
        <v>30.99</v>
      </c>
      <c r="M17" s="42">
        <f t="shared" si="3"/>
        <v>9.0299999999999976</v>
      </c>
    </row>
    <row r="18" spans="2:13" x14ac:dyDescent="0.25">
      <c r="B18" s="42">
        <f t="shared" si="0"/>
        <v>19</v>
      </c>
      <c r="C18" s="42">
        <f t="shared" si="1"/>
        <v>1</v>
      </c>
      <c r="D18" s="42">
        <f t="shared" si="2"/>
        <v>2016</v>
      </c>
      <c r="E18" s="43">
        <v>42388</v>
      </c>
      <c r="F18" s="42">
        <v>20.02</v>
      </c>
      <c r="G18" s="42">
        <v>26.96</v>
      </c>
      <c r="H18" s="42">
        <v>20.91</v>
      </c>
      <c r="I18" s="42">
        <v>29.12</v>
      </c>
      <c r="J18" s="42">
        <v>29.43</v>
      </c>
      <c r="K18" s="42">
        <v>28.35</v>
      </c>
      <c r="L18" s="42">
        <v>29.25</v>
      </c>
      <c r="M18" s="42">
        <f t="shared" si="3"/>
        <v>8.3300000000000018</v>
      </c>
    </row>
    <row r="19" spans="2:13" x14ac:dyDescent="0.25">
      <c r="B19" s="42">
        <f t="shared" si="0"/>
        <v>20</v>
      </c>
      <c r="C19" s="42">
        <f t="shared" si="1"/>
        <v>1</v>
      </c>
      <c r="D19" s="42">
        <f t="shared" si="2"/>
        <v>2016</v>
      </c>
      <c r="E19" s="43">
        <v>42389</v>
      </c>
      <c r="F19" s="42">
        <v>18.899999999999999</v>
      </c>
      <c r="G19" s="42">
        <v>25.36</v>
      </c>
      <c r="H19" s="42">
        <v>20.03</v>
      </c>
      <c r="I19" s="42">
        <v>27.68</v>
      </c>
      <c r="J19" s="42">
        <v>27.54</v>
      </c>
      <c r="K19" s="42">
        <v>26.54</v>
      </c>
      <c r="L19" s="42">
        <v>27.49</v>
      </c>
      <c r="M19" s="42">
        <f t="shared" si="3"/>
        <v>7.6400000000000006</v>
      </c>
    </row>
    <row r="20" spans="2:13" x14ac:dyDescent="0.25">
      <c r="B20" s="42">
        <f t="shared" si="0"/>
        <v>21</v>
      </c>
      <c r="C20" s="42">
        <f t="shared" si="1"/>
        <v>1</v>
      </c>
      <c r="D20" s="42">
        <f t="shared" si="2"/>
        <v>2016</v>
      </c>
      <c r="E20" s="43">
        <v>42390</v>
      </c>
      <c r="F20" s="42">
        <v>20.32</v>
      </c>
      <c r="G20" s="42">
        <v>26.97</v>
      </c>
      <c r="H20" s="42">
        <v>21.49</v>
      </c>
      <c r="I20" s="42">
        <v>29.24</v>
      </c>
      <c r="J20" s="42">
        <v>28.68</v>
      </c>
      <c r="K20" s="42">
        <v>28.47</v>
      </c>
      <c r="L20" s="42">
        <v>29.42</v>
      </c>
      <c r="M20" s="42">
        <f t="shared" si="3"/>
        <v>8.1499999999999986</v>
      </c>
    </row>
    <row r="21" spans="2:13" x14ac:dyDescent="0.25">
      <c r="B21" s="42">
        <f t="shared" si="0"/>
        <v>22</v>
      </c>
      <c r="C21" s="42">
        <f t="shared" si="1"/>
        <v>1</v>
      </c>
      <c r="D21" s="42">
        <f t="shared" si="2"/>
        <v>2016</v>
      </c>
      <c r="E21" s="43">
        <v>42391</v>
      </c>
      <c r="F21" s="42">
        <v>22.77</v>
      </c>
      <c r="G21" s="42">
        <v>29.74</v>
      </c>
      <c r="H21" s="42">
        <v>24.2</v>
      </c>
      <c r="I21" s="42">
        <v>32.03</v>
      </c>
      <c r="J21" s="42">
        <v>31.38</v>
      </c>
      <c r="K21" s="42">
        <v>30.88</v>
      </c>
      <c r="L21" s="42">
        <v>31.68</v>
      </c>
      <c r="M21" s="42">
        <f t="shared" si="3"/>
        <v>8.11</v>
      </c>
    </row>
    <row r="22" spans="2:13" x14ac:dyDescent="0.25">
      <c r="B22" s="42">
        <f t="shared" si="0"/>
        <v>25</v>
      </c>
      <c r="C22" s="42">
        <f t="shared" si="1"/>
        <v>1</v>
      </c>
      <c r="D22" s="42">
        <f t="shared" si="2"/>
        <v>2016</v>
      </c>
      <c r="E22" s="43">
        <v>42394</v>
      </c>
      <c r="F22" s="42">
        <v>21.87</v>
      </c>
      <c r="G22" s="42">
        <v>27.36</v>
      </c>
      <c r="H22" s="42">
        <v>22.08</v>
      </c>
      <c r="I22" s="42">
        <v>29.66</v>
      </c>
      <c r="J22" s="42">
        <v>31.03</v>
      </c>
      <c r="K22" s="42">
        <v>28.7</v>
      </c>
      <c r="L22" s="42">
        <v>30.05</v>
      </c>
      <c r="M22" s="42">
        <f t="shared" si="3"/>
        <v>6.8299999999999983</v>
      </c>
    </row>
    <row r="23" spans="2:13" x14ac:dyDescent="0.25">
      <c r="B23" s="42">
        <f t="shared" si="0"/>
        <v>26</v>
      </c>
      <c r="C23" s="42">
        <f t="shared" si="1"/>
        <v>1</v>
      </c>
      <c r="D23" s="42">
        <f t="shared" si="2"/>
        <v>2016</v>
      </c>
      <c r="E23" s="43">
        <v>42395</v>
      </c>
      <c r="F23" s="42">
        <v>22.55</v>
      </c>
      <c r="G23" s="42">
        <v>29.69</v>
      </c>
      <c r="H23" s="42">
        <v>23.6</v>
      </c>
      <c r="I23" s="42">
        <v>31.89</v>
      </c>
      <c r="J23" s="42">
        <v>31.81</v>
      </c>
      <c r="K23" s="42">
        <v>31.27</v>
      </c>
      <c r="L23" s="42">
        <v>32.32</v>
      </c>
      <c r="M23" s="42">
        <f t="shared" si="3"/>
        <v>8.7199999999999989</v>
      </c>
    </row>
    <row r="24" spans="2:13" x14ac:dyDescent="0.25">
      <c r="B24" s="42">
        <f t="shared" si="0"/>
        <v>27</v>
      </c>
      <c r="C24" s="42">
        <f t="shared" si="1"/>
        <v>1</v>
      </c>
      <c r="D24" s="42">
        <f t="shared" si="2"/>
        <v>2016</v>
      </c>
      <c r="E24" s="43">
        <v>42396</v>
      </c>
      <c r="F24" s="42">
        <v>23.38</v>
      </c>
      <c r="G24" s="42">
        <v>30.55</v>
      </c>
      <c r="H24" s="42">
        <v>24.58</v>
      </c>
      <c r="I24" s="42">
        <v>32.81</v>
      </c>
      <c r="J24" s="42">
        <v>32.450000000000003</v>
      </c>
      <c r="K24" s="42">
        <v>31.82</v>
      </c>
      <c r="L24" s="42">
        <v>32.869999999999997</v>
      </c>
      <c r="M24" s="42">
        <f t="shared" si="3"/>
        <v>8.4400000000000013</v>
      </c>
    </row>
    <row r="25" spans="2:13" x14ac:dyDescent="0.25">
      <c r="B25" s="42">
        <f t="shared" si="0"/>
        <v>28</v>
      </c>
      <c r="C25" s="42">
        <f t="shared" si="1"/>
        <v>1</v>
      </c>
      <c r="D25" s="42">
        <f t="shared" si="2"/>
        <v>2016</v>
      </c>
      <c r="E25" s="43">
        <v>42397</v>
      </c>
      <c r="F25" s="42">
        <v>25.04</v>
      </c>
      <c r="G25" s="42">
        <v>31.65</v>
      </c>
      <c r="H25" s="42">
        <v>25.74</v>
      </c>
      <c r="I25" s="42">
        <v>33.950000000000003</v>
      </c>
      <c r="J25" s="42">
        <v>34.17</v>
      </c>
      <c r="K25" s="42">
        <v>33.6</v>
      </c>
      <c r="L25" s="42">
        <v>34.799999999999997</v>
      </c>
      <c r="M25" s="42">
        <f t="shared" si="3"/>
        <v>8.5600000000000023</v>
      </c>
    </row>
    <row r="26" spans="2:13" x14ac:dyDescent="0.25">
      <c r="B26" s="42">
        <f t="shared" si="0"/>
        <v>29</v>
      </c>
      <c r="C26" s="42">
        <f t="shared" si="1"/>
        <v>1</v>
      </c>
      <c r="D26" s="42">
        <f t="shared" si="2"/>
        <v>2016</v>
      </c>
      <c r="E26" s="43">
        <v>42398</v>
      </c>
      <c r="F26" s="42">
        <v>25.53</v>
      </c>
      <c r="G26" s="42">
        <v>31.94</v>
      </c>
      <c r="H26" s="42">
        <v>26.42</v>
      </c>
      <c r="I26" s="42">
        <v>34.22</v>
      </c>
      <c r="J26" s="42">
        <v>34.14</v>
      </c>
      <c r="K26" s="42">
        <v>33.729999999999997</v>
      </c>
      <c r="L26" s="42">
        <v>34.880000000000003</v>
      </c>
      <c r="M26" s="42">
        <f t="shared" si="3"/>
        <v>8.1999999999999957</v>
      </c>
    </row>
    <row r="27" spans="2:13" x14ac:dyDescent="0.25">
      <c r="B27" s="42">
        <f t="shared" si="0"/>
        <v>1</v>
      </c>
      <c r="C27" s="42">
        <f t="shared" si="1"/>
        <v>2</v>
      </c>
      <c r="D27" s="42">
        <f t="shared" si="2"/>
        <v>2016</v>
      </c>
      <c r="E27" s="43">
        <v>42401</v>
      </c>
      <c r="F27" s="42">
        <v>25.82</v>
      </c>
      <c r="G27" s="42">
        <v>29.51</v>
      </c>
      <c r="H27" s="42">
        <v>25.62</v>
      </c>
      <c r="I27" s="42">
        <v>32.44</v>
      </c>
      <c r="J27" s="42">
        <v>34.869999999999997</v>
      </c>
      <c r="K27" s="42">
        <v>31.42</v>
      </c>
      <c r="L27" s="42">
        <v>32.82</v>
      </c>
      <c r="M27" s="42">
        <f t="shared" si="3"/>
        <v>5.6000000000000014</v>
      </c>
    </row>
    <row r="28" spans="2:13" x14ac:dyDescent="0.25">
      <c r="B28" s="42">
        <f t="shared" si="0"/>
        <v>2</v>
      </c>
      <c r="C28" s="42">
        <f t="shared" si="1"/>
        <v>2</v>
      </c>
      <c r="D28" s="42">
        <f t="shared" si="2"/>
        <v>2016</v>
      </c>
      <c r="E28" s="43">
        <v>42402</v>
      </c>
      <c r="F28" s="42">
        <v>24.47</v>
      </c>
      <c r="G28" s="42">
        <v>28.01</v>
      </c>
      <c r="H28" s="42">
        <v>24.19</v>
      </c>
      <c r="I28" s="42">
        <v>30.98</v>
      </c>
      <c r="J28" s="42">
        <v>33.299999999999997</v>
      </c>
      <c r="K28" s="42">
        <v>29.97</v>
      </c>
      <c r="L28" s="42">
        <v>31.42</v>
      </c>
      <c r="M28" s="42">
        <f t="shared" si="3"/>
        <v>5.5</v>
      </c>
    </row>
    <row r="29" spans="2:13" x14ac:dyDescent="0.25">
      <c r="B29" s="42">
        <f t="shared" si="0"/>
        <v>3</v>
      </c>
      <c r="C29" s="42">
        <f t="shared" si="1"/>
        <v>2</v>
      </c>
      <c r="D29" s="42">
        <f t="shared" si="2"/>
        <v>2016</v>
      </c>
      <c r="E29" s="43">
        <v>42403</v>
      </c>
      <c r="F29" s="42">
        <v>26.15</v>
      </c>
      <c r="G29" s="42">
        <v>30.65</v>
      </c>
      <c r="H29" s="42">
        <v>26.93</v>
      </c>
      <c r="I29" s="42">
        <v>33.659999999999997</v>
      </c>
      <c r="J29" s="42">
        <v>34.450000000000003</v>
      </c>
      <c r="K29" s="42">
        <v>32.409999999999997</v>
      </c>
      <c r="L29" s="42">
        <v>33.909999999999997</v>
      </c>
      <c r="M29" s="42">
        <f t="shared" si="3"/>
        <v>6.259999999999998</v>
      </c>
    </row>
    <row r="30" spans="2:13" x14ac:dyDescent="0.25">
      <c r="B30" s="42">
        <f t="shared" si="0"/>
        <v>4</v>
      </c>
      <c r="C30" s="42">
        <f t="shared" si="1"/>
        <v>2</v>
      </c>
      <c r="D30" s="42">
        <f t="shared" si="2"/>
        <v>2016</v>
      </c>
      <c r="E30" s="43">
        <v>42404</v>
      </c>
      <c r="F30" s="42">
        <v>26.34</v>
      </c>
      <c r="G30" s="42">
        <v>29.92</v>
      </c>
      <c r="H30" s="42">
        <v>26.31</v>
      </c>
      <c r="I30" s="42">
        <v>32.89</v>
      </c>
      <c r="J30" s="42">
        <v>34.909999999999997</v>
      </c>
      <c r="K30" s="42">
        <v>31.7</v>
      </c>
      <c r="L30" s="42">
        <v>33.049999999999997</v>
      </c>
      <c r="M30" s="42">
        <f t="shared" si="3"/>
        <v>5.3599999999999994</v>
      </c>
    </row>
    <row r="31" spans="2:13" x14ac:dyDescent="0.25">
      <c r="B31" s="42">
        <f t="shared" si="0"/>
        <v>5</v>
      </c>
      <c r="C31" s="42">
        <f t="shared" si="1"/>
        <v>2</v>
      </c>
      <c r="D31" s="42">
        <f t="shared" si="2"/>
        <v>2016</v>
      </c>
      <c r="E31" s="43">
        <v>42405</v>
      </c>
      <c r="F31" s="42">
        <v>25.73</v>
      </c>
      <c r="G31" s="42">
        <v>29.2</v>
      </c>
      <c r="H31" s="42">
        <v>25.73</v>
      </c>
      <c r="I31" s="42">
        <v>32.229999999999997</v>
      </c>
      <c r="J31" s="42">
        <v>34.58</v>
      </c>
      <c r="K31" s="42">
        <v>30.85</v>
      </c>
      <c r="L31" s="42">
        <v>32.299999999999997</v>
      </c>
      <c r="M31" s="42">
        <f t="shared" si="3"/>
        <v>5.120000000000001</v>
      </c>
    </row>
    <row r="32" spans="2:13" x14ac:dyDescent="0.25">
      <c r="B32" s="42">
        <f t="shared" si="0"/>
        <v>8</v>
      </c>
      <c r="C32" s="42">
        <f t="shared" si="1"/>
        <v>2</v>
      </c>
      <c r="D32" s="42">
        <f t="shared" si="2"/>
        <v>2016</v>
      </c>
      <c r="E32" s="43">
        <v>42408</v>
      </c>
      <c r="F32" s="42">
        <v>25.73</v>
      </c>
      <c r="G32" s="42">
        <v>28.19</v>
      </c>
      <c r="H32" s="42">
        <v>24.65</v>
      </c>
      <c r="I32" s="42">
        <v>31.22</v>
      </c>
      <c r="J32" s="42">
        <v>33.869999999999997</v>
      </c>
      <c r="K32" s="42">
        <v>29.97</v>
      </c>
      <c r="L32" s="42">
        <v>31.52</v>
      </c>
      <c r="M32" s="42">
        <f t="shared" si="3"/>
        <v>4.2399999999999984</v>
      </c>
    </row>
    <row r="33" spans="2:13" x14ac:dyDescent="0.25">
      <c r="B33" s="42">
        <f t="shared" si="0"/>
        <v>9</v>
      </c>
      <c r="C33" s="42">
        <f t="shared" si="1"/>
        <v>2</v>
      </c>
      <c r="D33" s="42">
        <f t="shared" si="2"/>
        <v>2016</v>
      </c>
      <c r="E33" s="43">
        <v>42409</v>
      </c>
      <c r="F33" s="42">
        <v>25.73</v>
      </c>
      <c r="G33" s="42">
        <v>26.25</v>
      </c>
      <c r="H33" s="42">
        <v>22.78</v>
      </c>
      <c r="I33" s="42">
        <v>29.22</v>
      </c>
      <c r="J33" s="42">
        <v>32.22</v>
      </c>
      <c r="K33" s="42">
        <v>28.43</v>
      </c>
      <c r="L33" s="42">
        <v>29.88</v>
      </c>
      <c r="M33" s="42">
        <f t="shared" si="3"/>
        <v>2.6999999999999993</v>
      </c>
    </row>
    <row r="34" spans="2:13" x14ac:dyDescent="0.25">
      <c r="B34" s="42">
        <f t="shared" si="0"/>
        <v>10</v>
      </c>
      <c r="C34" s="42">
        <f t="shared" si="1"/>
        <v>2</v>
      </c>
      <c r="D34" s="42">
        <f t="shared" si="2"/>
        <v>2016</v>
      </c>
      <c r="E34" s="43">
        <v>42410</v>
      </c>
      <c r="F34" s="42">
        <v>22.84</v>
      </c>
      <c r="G34" s="42">
        <v>25.74</v>
      </c>
      <c r="H34" s="42">
        <v>22.86</v>
      </c>
      <c r="I34" s="42">
        <v>28.87</v>
      </c>
      <c r="J34" s="42">
        <v>31.01</v>
      </c>
      <c r="K34" s="42">
        <v>27.69</v>
      </c>
      <c r="L34" s="42">
        <v>28.89</v>
      </c>
      <c r="M34" s="42">
        <f t="shared" si="3"/>
        <v>4.8500000000000014</v>
      </c>
    </row>
    <row r="35" spans="2:13" x14ac:dyDescent="0.25">
      <c r="B35" s="42">
        <f t="shared" si="0"/>
        <v>11</v>
      </c>
      <c r="C35" s="42">
        <f t="shared" si="1"/>
        <v>2</v>
      </c>
      <c r="D35" s="42">
        <f t="shared" si="2"/>
        <v>2016</v>
      </c>
      <c r="E35" s="43">
        <v>42411</v>
      </c>
      <c r="F35" s="42">
        <v>22.08</v>
      </c>
      <c r="G35" s="42">
        <v>24.82</v>
      </c>
      <c r="H35" s="42">
        <v>22.06</v>
      </c>
      <c r="I35" s="42">
        <v>28.08</v>
      </c>
      <c r="J35" s="42">
        <v>30.1</v>
      </c>
      <c r="K35" s="42">
        <v>26.82</v>
      </c>
      <c r="L35" s="42">
        <v>28.32</v>
      </c>
      <c r="M35" s="42">
        <f t="shared" si="3"/>
        <v>4.740000000000002</v>
      </c>
    </row>
    <row r="36" spans="2:13" x14ac:dyDescent="0.25">
      <c r="B36" s="42">
        <f t="shared" si="0"/>
        <v>12</v>
      </c>
      <c r="C36" s="42">
        <f t="shared" si="1"/>
        <v>2</v>
      </c>
      <c r="D36" s="42">
        <f t="shared" si="2"/>
        <v>2016</v>
      </c>
      <c r="E36" s="43">
        <v>42412</v>
      </c>
      <c r="F36" s="42">
        <v>24.11</v>
      </c>
      <c r="G36" s="42">
        <v>27.88</v>
      </c>
      <c r="H36" s="42">
        <v>24.49</v>
      </c>
      <c r="I36" s="42">
        <v>30.91</v>
      </c>
      <c r="J36" s="42">
        <v>32.86</v>
      </c>
      <c r="K36" s="42">
        <v>29.18</v>
      </c>
      <c r="L36" s="42">
        <v>30.88</v>
      </c>
      <c r="M36" s="42">
        <f t="shared" si="3"/>
        <v>5.07</v>
      </c>
    </row>
    <row r="37" spans="2:13" x14ac:dyDescent="0.25">
      <c r="B37" s="42">
        <f t="shared" si="0"/>
        <v>15</v>
      </c>
      <c r="C37" s="42">
        <f t="shared" si="1"/>
        <v>2</v>
      </c>
      <c r="D37" s="42">
        <f t="shared" si="2"/>
        <v>2016</v>
      </c>
      <c r="E37" s="43">
        <v>42415</v>
      </c>
      <c r="F37" s="42">
        <v>24.11</v>
      </c>
      <c r="G37" s="42">
        <v>27.88</v>
      </c>
      <c r="H37" s="42">
        <v>24.49</v>
      </c>
      <c r="I37" s="42">
        <v>30.91</v>
      </c>
      <c r="J37" s="42">
        <v>33.72</v>
      </c>
      <c r="K37" s="42">
        <v>29.18</v>
      </c>
      <c r="L37" s="42">
        <v>30.88</v>
      </c>
      <c r="M37" s="42">
        <f t="shared" si="3"/>
        <v>5.07</v>
      </c>
    </row>
    <row r="38" spans="2:13" x14ac:dyDescent="0.25">
      <c r="B38" s="42">
        <f t="shared" si="0"/>
        <v>16</v>
      </c>
      <c r="C38" s="42">
        <f t="shared" si="1"/>
        <v>2</v>
      </c>
      <c r="D38" s="42">
        <f t="shared" si="2"/>
        <v>2016</v>
      </c>
      <c r="E38" s="43">
        <v>42416</v>
      </c>
      <c r="F38" s="42">
        <v>24.56</v>
      </c>
      <c r="G38" s="42">
        <v>27.49</v>
      </c>
      <c r="H38" s="42">
        <v>24.15</v>
      </c>
      <c r="I38" s="42">
        <v>30.47</v>
      </c>
      <c r="J38" s="42">
        <v>32.409999999999997</v>
      </c>
      <c r="K38" s="42">
        <v>29.16</v>
      </c>
      <c r="L38" s="42">
        <v>30.91</v>
      </c>
      <c r="M38" s="42">
        <f t="shared" si="3"/>
        <v>4.6000000000000014</v>
      </c>
    </row>
    <row r="39" spans="2:13" x14ac:dyDescent="0.25">
      <c r="B39" s="42">
        <f t="shared" si="0"/>
        <v>17</v>
      </c>
      <c r="C39" s="42">
        <f t="shared" si="1"/>
        <v>2</v>
      </c>
      <c r="D39" s="42">
        <f t="shared" si="2"/>
        <v>2016</v>
      </c>
      <c r="E39" s="43">
        <v>42417</v>
      </c>
      <c r="F39" s="42">
        <v>25.61</v>
      </c>
      <c r="G39" s="42">
        <v>29.38</v>
      </c>
      <c r="H39" s="42">
        <v>25.6</v>
      </c>
      <c r="I39" s="42">
        <v>32.4</v>
      </c>
      <c r="J39" s="42">
        <v>34.619999999999997</v>
      </c>
      <c r="K39" s="42">
        <v>30.58</v>
      </c>
      <c r="L39" s="42">
        <v>32.93</v>
      </c>
      <c r="M39" s="42">
        <f t="shared" si="3"/>
        <v>4.9699999999999989</v>
      </c>
    </row>
    <row r="40" spans="2:13" x14ac:dyDescent="0.25">
      <c r="B40" s="42">
        <f t="shared" si="0"/>
        <v>18</v>
      </c>
      <c r="C40" s="42">
        <f t="shared" si="1"/>
        <v>2</v>
      </c>
      <c r="D40" s="42">
        <f t="shared" si="2"/>
        <v>2016</v>
      </c>
      <c r="E40" s="43">
        <v>42418</v>
      </c>
      <c r="F40" s="42">
        <v>25.92</v>
      </c>
      <c r="G40" s="42">
        <v>29.57</v>
      </c>
      <c r="H40" s="42">
        <v>25.5</v>
      </c>
      <c r="I40" s="42">
        <v>32.46</v>
      </c>
      <c r="J40" s="42">
        <v>34.65</v>
      </c>
      <c r="K40" s="42">
        <v>30.57</v>
      </c>
      <c r="L40" s="42">
        <v>33.32</v>
      </c>
      <c r="M40" s="42">
        <f t="shared" si="3"/>
        <v>4.6499999999999986</v>
      </c>
    </row>
    <row r="41" spans="2:13" x14ac:dyDescent="0.25">
      <c r="B41" s="42">
        <f t="shared" si="0"/>
        <v>19</v>
      </c>
      <c r="C41" s="42">
        <f t="shared" si="1"/>
        <v>2</v>
      </c>
      <c r="D41" s="42">
        <f t="shared" si="2"/>
        <v>2016</v>
      </c>
      <c r="E41" s="43">
        <v>42419</v>
      </c>
      <c r="F41" s="42">
        <v>24.94</v>
      </c>
      <c r="G41" s="42">
        <v>28.48</v>
      </c>
      <c r="H41" s="42">
        <v>24.42</v>
      </c>
      <c r="I41" s="42">
        <v>31.45</v>
      </c>
      <c r="J41" s="42">
        <v>33.159999999999997</v>
      </c>
      <c r="K41" s="42">
        <v>29.84</v>
      </c>
      <c r="L41" s="42">
        <v>32.54</v>
      </c>
      <c r="M41" s="42">
        <f t="shared" si="3"/>
        <v>4.8999999999999986</v>
      </c>
    </row>
    <row r="42" spans="2:13" x14ac:dyDescent="0.25">
      <c r="B42" s="42">
        <f t="shared" si="0"/>
        <v>22</v>
      </c>
      <c r="C42" s="42">
        <f t="shared" si="1"/>
        <v>2</v>
      </c>
      <c r="D42" s="42">
        <f t="shared" si="2"/>
        <v>2016</v>
      </c>
      <c r="E42" s="43">
        <v>42422</v>
      </c>
      <c r="F42" s="42">
        <v>26.34</v>
      </c>
      <c r="G42" s="42">
        <v>30.26</v>
      </c>
      <c r="H42" s="42">
        <v>26.08</v>
      </c>
      <c r="I42" s="42">
        <v>33.18</v>
      </c>
      <c r="J42" s="42">
        <v>34.950000000000003</v>
      </c>
      <c r="K42" s="42">
        <v>31.27</v>
      </c>
      <c r="L42" s="42">
        <v>33.82</v>
      </c>
      <c r="M42" s="42">
        <f t="shared" si="3"/>
        <v>4.93</v>
      </c>
    </row>
    <row r="43" spans="2:13" x14ac:dyDescent="0.25">
      <c r="B43" s="42">
        <f t="shared" si="0"/>
        <v>23</v>
      </c>
      <c r="C43" s="42">
        <f t="shared" si="1"/>
        <v>2</v>
      </c>
      <c r="D43" s="42">
        <f t="shared" si="2"/>
        <v>2016</v>
      </c>
      <c r="E43" s="43">
        <v>42423</v>
      </c>
      <c r="F43" s="42">
        <v>24.96</v>
      </c>
      <c r="G43" s="42">
        <v>28.97</v>
      </c>
      <c r="H43" s="42">
        <v>24.54</v>
      </c>
      <c r="I43" s="42">
        <v>31.89</v>
      </c>
      <c r="J43" s="42">
        <v>33.32</v>
      </c>
      <c r="K43" s="42">
        <v>30.06</v>
      </c>
      <c r="L43" s="42">
        <v>33.159999999999997</v>
      </c>
      <c r="M43" s="42">
        <f t="shared" si="3"/>
        <v>5.0999999999999979</v>
      </c>
    </row>
    <row r="44" spans="2:13" x14ac:dyDescent="0.25">
      <c r="B44" s="42">
        <f t="shared" si="0"/>
        <v>24</v>
      </c>
      <c r="C44" s="42">
        <f t="shared" si="1"/>
        <v>2</v>
      </c>
      <c r="D44" s="42">
        <f t="shared" si="2"/>
        <v>2016</v>
      </c>
      <c r="E44" s="43">
        <v>42424</v>
      </c>
      <c r="F44" s="42">
        <v>24.95</v>
      </c>
      <c r="G44" s="42">
        <v>29.37</v>
      </c>
      <c r="H44" s="42">
        <v>24.91</v>
      </c>
      <c r="I44" s="42">
        <v>32.44</v>
      </c>
      <c r="J44" s="42">
        <v>33.159999999999997</v>
      </c>
      <c r="K44" s="42">
        <v>30.52</v>
      </c>
      <c r="L44" s="42">
        <v>33.619999999999997</v>
      </c>
      <c r="M44" s="42">
        <f t="shared" si="3"/>
        <v>5.57</v>
      </c>
    </row>
    <row r="45" spans="2:13" x14ac:dyDescent="0.25">
      <c r="B45" s="42">
        <f t="shared" si="0"/>
        <v>25</v>
      </c>
      <c r="C45" s="42">
        <f t="shared" si="1"/>
        <v>2</v>
      </c>
      <c r="D45" s="42">
        <f t="shared" si="2"/>
        <v>2016</v>
      </c>
      <c r="E45" s="43">
        <v>42425</v>
      </c>
      <c r="F45" s="42">
        <v>26.01</v>
      </c>
      <c r="G45" s="42">
        <v>30.9</v>
      </c>
      <c r="H45" s="42">
        <v>26.17</v>
      </c>
      <c r="I45" s="42">
        <v>33.76</v>
      </c>
      <c r="J45" s="42">
        <v>33.86</v>
      </c>
      <c r="K45" s="42">
        <v>32</v>
      </c>
      <c r="L45" s="42">
        <v>35.049999999999997</v>
      </c>
      <c r="M45" s="42">
        <f t="shared" si="3"/>
        <v>5.9899999999999984</v>
      </c>
    </row>
    <row r="46" spans="2:13" x14ac:dyDescent="0.25">
      <c r="B46" s="42">
        <f t="shared" si="0"/>
        <v>26</v>
      </c>
      <c r="C46" s="42">
        <f t="shared" si="1"/>
        <v>2</v>
      </c>
      <c r="D46" s="42">
        <f t="shared" si="2"/>
        <v>2016</v>
      </c>
      <c r="E46" s="43">
        <v>42426</v>
      </c>
      <c r="F46" s="42">
        <v>27.01</v>
      </c>
      <c r="G46" s="42">
        <v>31.24</v>
      </c>
      <c r="H46" s="42">
        <v>26.17</v>
      </c>
      <c r="I46" s="42">
        <v>34.130000000000003</v>
      </c>
      <c r="J46" s="42">
        <v>36.479999999999997</v>
      </c>
      <c r="K46" s="42">
        <v>33.04</v>
      </c>
      <c r="L46" s="42">
        <v>35.19</v>
      </c>
      <c r="M46" s="42">
        <f t="shared" si="3"/>
        <v>6.0299999999999976</v>
      </c>
    </row>
    <row r="47" spans="2:13" x14ac:dyDescent="0.25">
      <c r="B47" s="42">
        <f t="shared" si="0"/>
        <v>29</v>
      </c>
      <c r="C47" s="42">
        <f t="shared" si="1"/>
        <v>2</v>
      </c>
      <c r="D47" s="42">
        <f t="shared" si="2"/>
        <v>2016</v>
      </c>
      <c r="E47" s="43">
        <v>42429</v>
      </c>
      <c r="F47" s="42">
        <v>27.14</v>
      </c>
      <c r="G47" s="42">
        <v>32.36</v>
      </c>
      <c r="H47" s="42">
        <v>27.03</v>
      </c>
      <c r="I47" s="42">
        <v>35.22</v>
      </c>
      <c r="J47" s="42">
        <v>36.369999999999997</v>
      </c>
      <c r="K47" s="42">
        <v>33.79</v>
      </c>
      <c r="L47" s="42">
        <v>36.14</v>
      </c>
      <c r="M47" s="42">
        <f t="shared" si="3"/>
        <v>6.6499999999999986</v>
      </c>
    </row>
    <row r="48" spans="2:13" x14ac:dyDescent="0.25">
      <c r="B48" s="42">
        <f t="shared" si="0"/>
        <v>1</v>
      </c>
      <c r="C48" s="42">
        <f t="shared" si="1"/>
        <v>3</v>
      </c>
      <c r="D48" s="42">
        <f t="shared" si="2"/>
        <v>2016</v>
      </c>
      <c r="E48" s="43">
        <v>42430</v>
      </c>
      <c r="F48" s="42">
        <v>27.67</v>
      </c>
      <c r="G48" s="42">
        <v>32.67</v>
      </c>
      <c r="H48" s="42">
        <v>26.73</v>
      </c>
      <c r="I48" s="42">
        <v>35.270000000000003</v>
      </c>
      <c r="J48" s="42">
        <v>36.69</v>
      </c>
      <c r="K48" s="42">
        <v>34.42</v>
      </c>
      <c r="L48" s="42">
        <v>36.869999999999997</v>
      </c>
      <c r="M48" s="42">
        <f t="shared" si="3"/>
        <v>6.75</v>
      </c>
    </row>
    <row r="49" spans="2:13" x14ac:dyDescent="0.25">
      <c r="B49" s="42">
        <f t="shared" si="0"/>
        <v>2</v>
      </c>
      <c r="C49" s="42">
        <f t="shared" si="1"/>
        <v>3</v>
      </c>
      <c r="D49" s="42">
        <f t="shared" si="2"/>
        <v>2016</v>
      </c>
      <c r="E49" s="43">
        <v>42431</v>
      </c>
      <c r="F49" s="42">
        <v>28.02</v>
      </c>
      <c r="G49" s="42">
        <v>32.909999999999997</v>
      </c>
      <c r="H49" s="42">
        <v>26.56</v>
      </c>
      <c r="I49" s="42">
        <v>35.51</v>
      </c>
      <c r="J49" s="42">
        <v>37.4</v>
      </c>
      <c r="K49" s="42">
        <v>34.68</v>
      </c>
      <c r="L49" s="42">
        <v>37.18</v>
      </c>
      <c r="M49" s="42">
        <f t="shared" si="3"/>
        <v>6.66</v>
      </c>
    </row>
    <row r="50" spans="2:13" x14ac:dyDescent="0.25">
      <c r="B50" s="42">
        <f t="shared" si="0"/>
        <v>3</v>
      </c>
      <c r="C50" s="42">
        <f t="shared" si="1"/>
        <v>3</v>
      </c>
      <c r="D50" s="42">
        <f t="shared" si="2"/>
        <v>2016</v>
      </c>
      <c r="E50" s="43">
        <v>42432</v>
      </c>
      <c r="F50" s="42">
        <v>27.86</v>
      </c>
      <c r="G50" s="42">
        <v>32.72</v>
      </c>
      <c r="H50" s="42">
        <v>27.08</v>
      </c>
      <c r="I50" s="42">
        <v>35.369999999999997</v>
      </c>
      <c r="J50" s="42">
        <v>37.08</v>
      </c>
      <c r="K50" s="42">
        <v>34.65</v>
      </c>
      <c r="L50" s="42">
        <v>36.9</v>
      </c>
      <c r="M50" s="42">
        <f t="shared" si="3"/>
        <v>6.7899999999999991</v>
      </c>
    </row>
    <row r="51" spans="2:13" x14ac:dyDescent="0.25">
      <c r="B51" s="42">
        <f t="shared" si="0"/>
        <v>4</v>
      </c>
      <c r="C51" s="42">
        <f t="shared" si="1"/>
        <v>3</v>
      </c>
      <c r="D51" s="42">
        <f t="shared" si="2"/>
        <v>2016</v>
      </c>
      <c r="E51" s="43">
        <v>42433</v>
      </c>
      <c r="F51" s="42">
        <v>29.05</v>
      </c>
      <c r="G51" s="42">
        <v>34.19</v>
      </c>
      <c r="H51" s="42">
        <v>28.31</v>
      </c>
      <c r="I51" s="42">
        <v>36.880000000000003</v>
      </c>
      <c r="J51" s="42">
        <v>38.42</v>
      </c>
      <c r="K51" s="42">
        <v>35.94</v>
      </c>
      <c r="L51" s="42">
        <v>38.340000000000003</v>
      </c>
      <c r="M51" s="42">
        <f t="shared" si="3"/>
        <v>6.889999999999997</v>
      </c>
    </row>
    <row r="52" spans="2:13" x14ac:dyDescent="0.25">
      <c r="B52" s="42">
        <f t="shared" si="0"/>
        <v>7</v>
      </c>
      <c r="C52" s="42">
        <f t="shared" si="1"/>
        <v>3</v>
      </c>
      <c r="D52" s="42">
        <f t="shared" si="2"/>
        <v>2016</v>
      </c>
      <c r="E52" s="43">
        <v>42436</v>
      </c>
      <c r="F52" s="42">
        <v>30.93</v>
      </c>
      <c r="G52" s="42">
        <v>36.11</v>
      </c>
      <c r="H52" s="42">
        <v>29.85</v>
      </c>
      <c r="I52" s="42">
        <v>38.770000000000003</v>
      </c>
      <c r="J52" s="42">
        <v>40.19</v>
      </c>
      <c r="K52" s="42">
        <v>37.950000000000003</v>
      </c>
      <c r="L52" s="42">
        <v>40.450000000000003</v>
      </c>
      <c r="M52" s="42">
        <f t="shared" si="3"/>
        <v>7.0200000000000031</v>
      </c>
    </row>
    <row r="53" spans="2:13" x14ac:dyDescent="0.25">
      <c r="B53" s="42">
        <f t="shared" si="0"/>
        <v>8</v>
      </c>
      <c r="C53" s="42">
        <f t="shared" si="1"/>
        <v>3</v>
      </c>
      <c r="D53" s="42">
        <f t="shared" si="2"/>
        <v>2016</v>
      </c>
      <c r="E53" s="43">
        <v>42437</v>
      </c>
      <c r="F53" s="42">
        <v>30.4</v>
      </c>
      <c r="G53" s="42">
        <v>34.72</v>
      </c>
      <c r="H53" s="42">
        <v>29.2</v>
      </c>
      <c r="I53" s="42">
        <v>37.380000000000003</v>
      </c>
      <c r="J53" s="42">
        <v>40.18</v>
      </c>
      <c r="K53" s="42">
        <v>36.33</v>
      </c>
      <c r="L53" s="42">
        <v>38.729999999999997</v>
      </c>
      <c r="M53" s="42">
        <f t="shared" si="3"/>
        <v>5.93</v>
      </c>
    </row>
    <row r="54" spans="2:13" x14ac:dyDescent="0.25">
      <c r="B54" s="42">
        <f t="shared" si="0"/>
        <v>9</v>
      </c>
      <c r="C54" s="42">
        <f t="shared" si="1"/>
        <v>3</v>
      </c>
      <c r="D54" s="42">
        <f t="shared" si="2"/>
        <v>2016</v>
      </c>
      <c r="E54" s="43">
        <v>42438</v>
      </c>
      <c r="F54" s="42">
        <v>31.43</v>
      </c>
      <c r="G54" s="42">
        <v>36.5</v>
      </c>
      <c r="H54" s="42">
        <v>30.47</v>
      </c>
      <c r="I54" s="42">
        <v>39.049999999999997</v>
      </c>
      <c r="J54" s="42">
        <v>41.06</v>
      </c>
      <c r="K54" s="42">
        <v>38.14</v>
      </c>
      <c r="L54" s="42">
        <v>40.79</v>
      </c>
      <c r="M54" s="42">
        <f t="shared" si="3"/>
        <v>6.7100000000000009</v>
      </c>
    </row>
    <row r="55" spans="2:13" x14ac:dyDescent="0.25">
      <c r="B55" s="42">
        <f t="shared" si="0"/>
        <v>10</v>
      </c>
      <c r="C55" s="42">
        <f t="shared" si="1"/>
        <v>3</v>
      </c>
      <c r="D55" s="42">
        <f t="shared" si="2"/>
        <v>2016</v>
      </c>
      <c r="E55" s="43">
        <v>42439</v>
      </c>
      <c r="F55" s="42">
        <v>30.84</v>
      </c>
      <c r="G55" s="42">
        <v>35.96</v>
      </c>
      <c r="H55" s="42">
        <v>29.91</v>
      </c>
      <c r="I55" s="42">
        <v>38.5</v>
      </c>
      <c r="J55" s="42">
        <v>39.799999999999997</v>
      </c>
      <c r="K55" s="42">
        <v>37.83</v>
      </c>
      <c r="L55" s="42">
        <v>40.479999999999997</v>
      </c>
      <c r="M55" s="42">
        <f t="shared" si="3"/>
        <v>6.9899999999999984</v>
      </c>
    </row>
    <row r="56" spans="2:13" x14ac:dyDescent="0.25">
      <c r="B56" s="42">
        <f t="shared" si="0"/>
        <v>11</v>
      </c>
      <c r="C56" s="42">
        <f t="shared" si="1"/>
        <v>3</v>
      </c>
      <c r="D56" s="42">
        <f t="shared" si="2"/>
        <v>2016</v>
      </c>
      <c r="E56" s="43">
        <v>42440</v>
      </c>
      <c r="F56" s="42">
        <v>31.32</v>
      </c>
      <c r="G56" s="42">
        <v>36.53</v>
      </c>
      <c r="H56" s="42">
        <v>30.47</v>
      </c>
      <c r="I56" s="42">
        <v>39</v>
      </c>
      <c r="J56" s="42">
        <v>40.58</v>
      </c>
      <c r="K56" s="42">
        <v>38.479999999999997</v>
      </c>
      <c r="L56" s="42">
        <v>41.03</v>
      </c>
      <c r="M56" s="42">
        <f t="shared" si="3"/>
        <v>7.1599999999999966</v>
      </c>
    </row>
    <row r="57" spans="2:13" x14ac:dyDescent="0.25">
      <c r="B57" s="42">
        <f t="shared" si="0"/>
        <v>14</v>
      </c>
      <c r="C57" s="42">
        <f t="shared" si="1"/>
        <v>3</v>
      </c>
      <c r="D57" s="42">
        <f t="shared" si="2"/>
        <v>2016</v>
      </c>
      <c r="E57" s="43">
        <v>42443</v>
      </c>
      <c r="F57" s="42">
        <v>30.28</v>
      </c>
      <c r="G57" s="42">
        <v>35.159999999999997</v>
      </c>
      <c r="H57" s="42">
        <v>29.64</v>
      </c>
      <c r="I57" s="42">
        <v>37.69</v>
      </c>
      <c r="J57" s="42">
        <v>39.19</v>
      </c>
      <c r="K57" s="42">
        <v>37.299999999999997</v>
      </c>
      <c r="L57" s="42">
        <v>39.950000000000003</v>
      </c>
      <c r="M57" s="42">
        <f t="shared" si="3"/>
        <v>7.019999999999996</v>
      </c>
    </row>
    <row r="58" spans="2:13" x14ac:dyDescent="0.25">
      <c r="B58" s="42">
        <f t="shared" si="0"/>
        <v>15</v>
      </c>
      <c r="C58" s="42">
        <f t="shared" si="1"/>
        <v>3</v>
      </c>
      <c r="D58" s="42">
        <f t="shared" si="2"/>
        <v>2016</v>
      </c>
      <c r="E58" s="43">
        <v>42444</v>
      </c>
      <c r="F58" s="42">
        <v>29.38</v>
      </c>
      <c r="G58" s="42">
        <v>34.43</v>
      </c>
      <c r="H58" s="42">
        <v>28.8</v>
      </c>
      <c r="I58" s="42">
        <v>36.96</v>
      </c>
      <c r="J58" s="42">
        <v>38.79</v>
      </c>
      <c r="K58" s="42">
        <v>36.49</v>
      </c>
      <c r="L58" s="42">
        <v>39.19</v>
      </c>
      <c r="M58" s="42">
        <f t="shared" si="3"/>
        <v>7.110000000000003</v>
      </c>
    </row>
    <row r="59" spans="2:13" x14ac:dyDescent="0.25">
      <c r="B59" s="42">
        <f t="shared" si="0"/>
        <v>16</v>
      </c>
      <c r="C59" s="42">
        <f t="shared" si="1"/>
        <v>3</v>
      </c>
      <c r="D59" s="42">
        <f t="shared" si="2"/>
        <v>2016</v>
      </c>
      <c r="E59" s="43">
        <v>42445</v>
      </c>
      <c r="F59" s="42">
        <v>30.74</v>
      </c>
      <c r="G59" s="42">
        <v>36.479999999999997</v>
      </c>
      <c r="H59" s="42">
        <v>30.03</v>
      </c>
      <c r="I59" s="42">
        <v>38.96</v>
      </c>
      <c r="J59" s="42">
        <v>40.07</v>
      </c>
      <c r="K59" s="42">
        <v>38.450000000000003</v>
      </c>
      <c r="L59" s="42">
        <v>41</v>
      </c>
      <c r="M59" s="42">
        <f t="shared" si="3"/>
        <v>7.7100000000000044</v>
      </c>
    </row>
    <row r="60" spans="2:13" x14ac:dyDescent="0.25">
      <c r="B60" s="42">
        <f t="shared" si="0"/>
        <v>17</v>
      </c>
      <c r="C60" s="42">
        <f t="shared" si="1"/>
        <v>3</v>
      </c>
      <c r="D60" s="42">
        <f t="shared" si="2"/>
        <v>2016</v>
      </c>
      <c r="E60" s="43">
        <v>42446</v>
      </c>
      <c r="F60" s="42">
        <v>32.04</v>
      </c>
      <c r="G60" s="42">
        <v>37.950000000000003</v>
      </c>
      <c r="H60" s="42">
        <v>31.23</v>
      </c>
      <c r="I60" s="42">
        <v>40.36</v>
      </c>
      <c r="J60" s="42">
        <v>41.51</v>
      </c>
      <c r="K60" s="42">
        <v>40.229999999999997</v>
      </c>
      <c r="L60" s="42">
        <v>42.73</v>
      </c>
      <c r="M60" s="42">
        <f t="shared" si="3"/>
        <v>8.1899999999999977</v>
      </c>
    </row>
    <row r="61" spans="2:13" x14ac:dyDescent="0.25">
      <c r="B61" s="42">
        <f t="shared" si="0"/>
        <v>18</v>
      </c>
      <c r="C61" s="42">
        <f t="shared" si="1"/>
        <v>3</v>
      </c>
      <c r="D61" s="42">
        <f t="shared" si="2"/>
        <v>2016</v>
      </c>
      <c r="E61" s="43">
        <v>42447</v>
      </c>
      <c r="F61" s="42">
        <v>32.04</v>
      </c>
      <c r="G61" s="42">
        <v>36.99</v>
      </c>
      <c r="H61" s="42">
        <v>30.49</v>
      </c>
      <c r="I61" s="42">
        <v>39.549999999999997</v>
      </c>
      <c r="J61" s="42">
        <v>41.58</v>
      </c>
      <c r="K61" s="42">
        <v>39.43</v>
      </c>
      <c r="L61" s="42">
        <v>41.68</v>
      </c>
      <c r="M61" s="42">
        <f t="shared" si="3"/>
        <v>7.3900000000000006</v>
      </c>
    </row>
    <row r="62" spans="2:13" x14ac:dyDescent="0.25">
      <c r="B62" s="42">
        <f t="shared" si="0"/>
        <v>21</v>
      </c>
      <c r="C62" s="42">
        <f t="shared" si="1"/>
        <v>3</v>
      </c>
      <c r="D62" s="42">
        <f t="shared" si="2"/>
        <v>2016</v>
      </c>
      <c r="E62" s="43">
        <v>42450</v>
      </c>
      <c r="F62" s="42">
        <v>32.090000000000003</v>
      </c>
      <c r="G62" s="42">
        <v>37.49</v>
      </c>
      <c r="H62" s="42">
        <v>30.77</v>
      </c>
      <c r="I62" s="42">
        <v>40</v>
      </c>
      <c r="J62" s="42">
        <v>41.41</v>
      </c>
      <c r="K62" s="42">
        <v>40.119999999999997</v>
      </c>
      <c r="L62" s="42">
        <v>42.52</v>
      </c>
      <c r="M62" s="42">
        <f t="shared" si="3"/>
        <v>8.029999999999994</v>
      </c>
    </row>
    <row r="63" spans="2:13" x14ac:dyDescent="0.25">
      <c r="B63" s="42">
        <f t="shared" si="0"/>
        <v>22</v>
      </c>
      <c r="C63" s="42">
        <f t="shared" si="1"/>
        <v>3</v>
      </c>
      <c r="D63" s="42">
        <f t="shared" si="2"/>
        <v>2016</v>
      </c>
      <c r="E63" s="43">
        <v>42451</v>
      </c>
      <c r="F63" s="42">
        <v>32.159999999999997</v>
      </c>
      <c r="G63" s="42">
        <v>37.57</v>
      </c>
      <c r="H63" s="42">
        <v>31</v>
      </c>
      <c r="I63" s="42">
        <v>40.14</v>
      </c>
      <c r="J63" s="42">
        <v>41.73</v>
      </c>
      <c r="K63" s="42">
        <v>40.090000000000003</v>
      </c>
      <c r="L63" s="42">
        <v>42.49</v>
      </c>
      <c r="M63" s="42">
        <f t="shared" si="3"/>
        <v>7.9300000000000068</v>
      </c>
    </row>
    <row r="64" spans="2:13" x14ac:dyDescent="0.25">
      <c r="B64" s="42">
        <f t="shared" si="0"/>
        <v>23</v>
      </c>
      <c r="C64" s="42">
        <f t="shared" si="1"/>
        <v>3</v>
      </c>
      <c r="D64" s="42">
        <f t="shared" si="2"/>
        <v>2016</v>
      </c>
      <c r="E64" s="43">
        <v>42452</v>
      </c>
      <c r="F64" s="42">
        <v>31.1</v>
      </c>
      <c r="G64" s="42">
        <v>36.119999999999997</v>
      </c>
      <c r="H64" s="42">
        <v>30.32</v>
      </c>
      <c r="I64" s="42">
        <v>38.700000000000003</v>
      </c>
      <c r="J64" s="42">
        <v>40.89</v>
      </c>
      <c r="K64" s="42">
        <v>38.450000000000003</v>
      </c>
      <c r="L64" s="42">
        <v>40.549999999999997</v>
      </c>
      <c r="M64" s="42">
        <f t="shared" si="3"/>
        <v>7.3500000000000014</v>
      </c>
    </row>
    <row r="65" spans="2:13" x14ac:dyDescent="0.25">
      <c r="B65" s="42">
        <f t="shared" si="0"/>
        <v>24</v>
      </c>
      <c r="C65" s="42">
        <f t="shared" si="1"/>
        <v>3</v>
      </c>
      <c r="D65" s="42">
        <f t="shared" si="2"/>
        <v>2016</v>
      </c>
      <c r="E65" s="43">
        <v>42453</v>
      </c>
      <c r="F65" s="42">
        <v>30.8</v>
      </c>
      <c r="G65" s="42">
        <v>34.880000000000003</v>
      </c>
      <c r="H65" s="42">
        <v>29.49</v>
      </c>
      <c r="I65" s="42">
        <v>37.630000000000003</v>
      </c>
      <c r="J65" s="42">
        <v>39.89</v>
      </c>
      <c r="K65" s="42">
        <v>38.51</v>
      </c>
      <c r="L65" s="42">
        <v>39.76</v>
      </c>
      <c r="M65" s="42">
        <f t="shared" si="3"/>
        <v>7.7099999999999973</v>
      </c>
    </row>
    <row r="66" spans="2:13" x14ac:dyDescent="0.25">
      <c r="B66" s="42">
        <f t="shared" si="0"/>
        <v>25</v>
      </c>
      <c r="C66" s="42">
        <f t="shared" si="1"/>
        <v>3</v>
      </c>
      <c r="D66" s="42">
        <f t="shared" si="2"/>
        <v>2016</v>
      </c>
      <c r="E66" s="43">
        <v>42454</v>
      </c>
      <c r="F66" s="42">
        <v>30.8</v>
      </c>
      <c r="G66" s="42">
        <v>34.880000000000003</v>
      </c>
      <c r="H66" s="42">
        <v>29.49</v>
      </c>
      <c r="I66" s="42">
        <v>37.630000000000003</v>
      </c>
      <c r="J66" s="42">
        <v>39.89</v>
      </c>
      <c r="K66" s="42">
        <v>38.51</v>
      </c>
      <c r="L66" s="42">
        <v>39.76</v>
      </c>
      <c r="M66" s="42">
        <f t="shared" si="3"/>
        <v>7.7099999999999973</v>
      </c>
    </row>
    <row r="67" spans="2:13" x14ac:dyDescent="0.25">
      <c r="B67" s="42">
        <f t="shared" si="0"/>
        <v>28</v>
      </c>
      <c r="C67" s="42">
        <f t="shared" si="1"/>
        <v>3</v>
      </c>
      <c r="D67" s="42">
        <f t="shared" si="2"/>
        <v>2016</v>
      </c>
      <c r="E67" s="43">
        <v>42457</v>
      </c>
      <c r="F67" s="42">
        <v>30.8</v>
      </c>
      <c r="G67" s="42">
        <v>36.619999999999997</v>
      </c>
      <c r="H67" s="42">
        <v>30.61</v>
      </c>
      <c r="I67" s="42">
        <v>39.049999999999997</v>
      </c>
      <c r="J67" s="42">
        <v>39.89</v>
      </c>
      <c r="K67" s="42">
        <v>39.39</v>
      </c>
      <c r="L67" s="42">
        <v>41.34</v>
      </c>
      <c r="M67" s="42">
        <f t="shared" si="3"/>
        <v>8.59</v>
      </c>
    </row>
    <row r="68" spans="2:13" x14ac:dyDescent="0.25">
      <c r="B68" s="42">
        <f t="shared" si="0"/>
        <v>29</v>
      </c>
      <c r="C68" s="42">
        <f t="shared" si="1"/>
        <v>3</v>
      </c>
      <c r="D68" s="42">
        <f t="shared" si="2"/>
        <v>2016</v>
      </c>
      <c r="E68" s="43">
        <v>42458</v>
      </c>
      <c r="F68" s="42">
        <v>30.27</v>
      </c>
      <c r="G68" s="42">
        <v>35.700000000000003</v>
      </c>
      <c r="H68" s="42">
        <v>29.9</v>
      </c>
      <c r="I68" s="42">
        <v>38.15</v>
      </c>
      <c r="J68" s="42">
        <v>38.83</v>
      </c>
      <c r="K68" s="42">
        <v>38.36</v>
      </c>
      <c r="L68" s="42">
        <v>40.11</v>
      </c>
      <c r="M68" s="42">
        <f t="shared" si="3"/>
        <v>8.09</v>
      </c>
    </row>
    <row r="69" spans="2:13" x14ac:dyDescent="0.25">
      <c r="B69" s="42">
        <f t="shared" si="0"/>
        <v>30</v>
      </c>
      <c r="C69" s="42">
        <f t="shared" si="1"/>
        <v>3</v>
      </c>
      <c r="D69" s="42">
        <f t="shared" si="2"/>
        <v>2016</v>
      </c>
      <c r="E69" s="43">
        <v>42459</v>
      </c>
      <c r="F69" s="42">
        <v>30.74</v>
      </c>
      <c r="G69" s="42">
        <v>35.590000000000003</v>
      </c>
      <c r="H69" s="42">
        <v>29.54</v>
      </c>
      <c r="I69" s="42">
        <v>38.1</v>
      </c>
      <c r="J69" s="42">
        <v>39.869999999999997</v>
      </c>
      <c r="K69" s="42">
        <v>38.380000000000003</v>
      </c>
      <c r="L69" s="42">
        <v>40.08</v>
      </c>
      <c r="M69" s="42">
        <f t="shared" si="3"/>
        <v>7.6400000000000041</v>
      </c>
    </row>
    <row r="70" spans="2:13" x14ac:dyDescent="0.25">
      <c r="B70" s="42">
        <f t="shared" si="0"/>
        <v>31</v>
      </c>
      <c r="C70" s="42">
        <f t="shared" si="1"/>
        <v>3</v>
      </c>
      <c r="D70" s="42">
        <f t="shared" si="2"/>
        <v>2016</v>
      </c>
      <c r="E70" s="43">
        <v>42460</v>
      </c>
      <c r="F70" s="42">
        <v>30.75</v>
      </c>
      <c r="G70" s="42">
        <v>35.659999999999997</v>
      </c>
      <c r="H70" s="42">
        <v>29.69</v>
      </c>
      <c r="I70" s="42">
        <v>38.159999999999997</v>
      </c>
      <c r="J70" s="42">
        <v>39.92</v>
      </c>
      <c r="K70" s="42">
        <v>38.31</v>
      </c>
      <c r="L70" s="42">
        <v>40.18</v>
      </c>
      <c r="M70" s="42">
        <f t="shared" si="3"/>
        <v>7.5600000000000023</v>
      </c>
    </row>
    <row r="71" spans="2:13" x14ac:dyDescent="0.25">
      <c r="B71" s="42">
        <f t="shared" ref="B71:B134" si="4">DAY(E71)</f>
        <v>1</v>
      </c>
      <c r="C71" s="42">
        <f t="shared" ref="C71:C134" si="5">MONTH(E71)</f>
        <v>4</v>
      </c>
      <c r="D71" s="42">
        <f t="shared" ref="D71:D134" si="6">YEAR(E71)</f>
        <v>2016</v>
      </c>
      <c r="E71" s="43">
        <v>42461</v>
      </c>
      <c r="F71" s="42">
        <v>28.96</v>
      </c>
      <c r="G71" s="42">
        <v>34.01</v>
      </c>
      <c r="H71" s="42">
        <v>28.87</v>
      </c>
      <c r="I71" s="42">
        <v>36.74</v>
      </c>
      <c r="J71" s="42">
        <v>38.64</v>
      </c>
      <c r="K71" s="42">
        <v>36.880000000000003</v>
      </c>
      <c r="L71" s="42">
        <v>38.68</v>
      </c>
      <c r="M71" s="42">
        <f t="shared" ref="M71:M134" si="7">K71-F71</f>
        <v>7.9200000000000017</v>
      </c>
    </row>
    <row r="72" spans="2:13" x14ac:dyDescent="0.25">
      <c r="B72" s="42">
        <f t="shared" si="4"/>
        <v>4</v>
      </c>
      <c r="C72" s="42">
        <f t="shared" si="5"/>
        <v>4</v>
      </c>
      <c r="D72" s="42">
        <f t="shared" si="6"/>
        <v>2016</v>
      </c>
      <c r="E72" s="43">
        <v>42464</v>
      </c>
      <c r="F72" s="42">
        <v>27.92</v>
      </c>
      <c r="G72" s="42">
        <v>33.04</v>
      </c>
      <c r="H72" s="42">
        <v>28.01</v>
      </c>
      <c r="I72" s="42">
        <v>35.770000000000003</v>
      </c>
      <c r="J72" s="42">
        <v>38.15</v>
      </c>
      <c r="K72" s="42">
        <v>35.83</v>
      </c>
      <c r="L72" s="42">
        <v>37.630000000000003</v>
      </c>
      <c r="M72" s="42">
        <f t="shared" si="7"/>
        <v>7.9099999999999966</v>
      </c>
    </row>
    <row r="73" spans="2:13" x14ac:dyDescent="0.25">
      <c r="B73" s="42">
        <f t="shared" si="4"/>
        <v>5</v>
      </c>
      <c r="C73" s="42">
        <f t="shared" si="5"/>
        <v>4</v>
      </c>
      <c r="D73" s="42">
        <f t="shared" si="6"/>
        <v>2016</v>
      </c>
      <c r="E73" s="43">
        <v>42465</v>
      </c>
      <c r="F73" s="42">
        <v>27.62</v>
      </c>
      <c r="G73" s="42">
        <v>33</v>
      </c>
      <c r="H73" s="42">
        <v>27.28</v>
      </c>
      <c r="I73" s="42">
        <v>35.78</v>
      </c>
      <c r="J73" s="42">
        <v>37.880000000000003</v>
      </c>
      <c r="K73" s="42">
        <v>36.03</v>
      </c>
      <c r="L73" s="42">
        <v>37.93</v>
      </c>
      <c r="M73" s="42">
        <f t="shared" si="7"/>
        <v>8.41</v>
      </c>
    </row>
    <row r="74" spans="2:13" x14ac:dyDescent="0.25">
      <c r="B74" s="42">
        <f t="shared" si="4"/>
        <v>6</v>
      </c>
      <c r="C74" s="42">
        <f t="shared" si="5"/>
        <v>4</v>
      </c>
      <c r="D74" s="42">
        <f t="shared" si="6"/>
        <v>2016</v>
      </c>
      <c r="E74" s="43">
        <v>42466</v>
      </c>
      <c r="F74" s="42">
        <v>28.99</v>
      </c>
      <c r="G74" s="42">
        <v>34.880000000000003</v>
      </c>
      <c r="H74" s="42">
        <v>28.9</v>
      </c>
      <c r="I74" s="42">
        <v>37.65</v>
      </c>
      <c r="J74" s="42">
        <v>39.450000000000003</v>
      </c>
      <c r="K74" s="42">
        <v>37.65</v>
      </c>
      <c r="L74" s="42">
        <v>39.549999999999997</v>
      </c>
      <c r="M74" s="42">
        <f t="shared" si="7"/>
        <v>8.66</v>
      </c>
    </row>
    <row r="75" spans="2:13" x14ac:dyDescent="0.25">
      <c r="B75" s="42">
        <f t="shared" si="4"/>
        <v>7</v>
      </c>
      <c r="C75" s="42">
        <f t="shared" si="5"/>
        <v>4</v>
      </c>
      <c r="D75" s="42">
        <f t="shared" si="6"/>
        <v>2016</v>
      </c>
      <c r="E75" s="43">
        <v>42467</v>
      </c>
      <c r="F75" s="42">
        <v>29.04</v>
      </c>
      <c r="G75" s="42">
        <v>34.450000000000003</v>
      </c>
      <c r="H75" s="42">
        <v>28.46</v>
      </c>
      <c r="I75" s="42">
        <v>37.25</v>
      </c>
      <c r="J75" s="42">
        <v>38.880000000000003</v>
      </c>
      <c r="K75" s="42">
        <v>37.47</v>
      </c>
      <c r="L75" s="42">
        <v>39.32</v>
      </c>
      <c r="M75" s="42">
        <f t="shared" si="7"/>
        <v>8.43</v>
      </c>
    </row>
    <row r="76" spans="2:13" x14ac:dyDescent="0.25">
      <c r="B76" s="42">
        <f t="shared" si="4"/>
        <v>8</v>
      </c>
      <c r="C76" s="42">
        <f t="shared" si="5"/>
        <v>4</v>
      </c>
      <c r="D76" s="42">
        <f t="shared" si="6"/>
        <v>2016</v>
      </c>
      <c r="E76" s="43">
        <v>42468</v>
      </c>
      <c r="F76" s="42">
        <v>31.13</v>
      </c>
      <c r="G76" s="42">
        <v>36.76</v>
      </c>
      <c r="H76" s="42">
        <v>30.76</v>
      </c>
      <c r="I76" s="42">
        <v>39.56</v>
      </c>
      <c r="J76" s="42">
        <v>42.08</v>
      </c>
      <c r="K76" s="42">
        <v>39.57</v>
      </c>
      <c r="L76" s="42">
        <v>41.27</v>
      </c>
      <c r="M76" s="42">
        <f t="shared" si="7"/>
        <v>8.4400000000000013</v>
      </c>
    </row>
    <row r="77" spans="2:13" x14ac:dyDescent="0.25">
      <c r="B77" s="42">
        <f t="shared" si="4"/>
        <v>11</v>
      </c>
      <c r="C77" s="42">
        <f t="shared" si="5"/>
        <v>4</v>
      </c>
      <c r="D77" s="42">
        <f t="shared" si="6"/>
        <v>2016</v>
      </c>
      <c r="E77" s="43">
        <v>42471</v>
      </c>
      <c r="F77" s="42">
        <v>32.090000000000003</v>
      </c>
      <c r="G77" s="42">
        <v>37.57</v>
      </c>
      <c r="H77" s="42">
        <v>31.52</v>
      </c>
      <c r="I77" s="42">
        <v>40.4</v>
      </c>
      <c r="J77" s="42">
        <v>43.03</v>
      </c>
      <c r="K77" s="42">
        <v>40.53</v>
      </c>
      <c r="L77" s="42">
        <v>42.33</v>
      </c>
      <c r="M77" s="42">
        <f t="shared" si="7"/>
        <v>8.4399999999999977</v>
      </c>
    </row>
    <row r="78" spans="2:13" x14ac:dyDescent="0.25">
      <c r="B78" s="42">
        <f t="shared" si="4"/>
        <v>12</v>
      </c>
      <c r="C78" s="42">
        <f t="shared" si="5"/>
        <v>4</v>
      </c>
      <c r="D78" s="42">
        <f t="shared" si="6"/>
        <v>2016</v>
      </c>
      <c r="E78" s="43">
        <v>42472</v>
      </c>
      <c r="F78" s="42">
        <v>33.5</v>
      </c>
      <c r="G78" s="42">
        <v>39.29</v>
      </c>
      <c r="H78" s="42">
        <v>33.03</v>
      </c>
      <c r="I78" s="42">
        <v>42.1</v>
      </c>
      <c r="J78" s="42">
        <v>44.5</v>
      </c>
      <c r="K78" s="42">
        <v>42.16</v>
      </c>
      <c r="L78" s="42">
        <v>44.01</v>
      </c>
      <c r="M78" s="42">
        <f t="shared" si="7"/>
        <v>8.6599999999999966</v>
      </c>
    </row>
    <row r="79" spans="2:13" x14ac:dyDescent="0.25">
      <c r="B79" s="42">
        <f t="shared" si="4"/>
        <v>13</v>
      </c>
      <c r="C79" s="42">
        <f t="shared" si="5"/>
        <v>4</v>
      </c>
      <c r="D79" s="42">
        <f t="shared" si="6"/>
        <v>2016</v>
      </c>
      <c r="E79" s="43">
        <v>42473</v>
      </c>
      <c r="F79" s="42">
        <v>33.380000000000003</v>
      </c>
      <c r="G79" s="42">
        <v>38.82</v>
      </c>
      <c r="H79" s="42">
        <v>32.590000000000003</v>
      </c>
      <c r="I79" s="42">
        <v>41.61</v>
      </c>
      <c r="J79" s="42">
        <v>44.52</v>
      </c>
      <c r="K79" s="42">
        <v>41.68</v>
      </c>
      <c r="L79" s="42">
        <v>43.38</v>
      </c>
      <c r="M79" s="42">
        <f t="shared" si="7"/>
        <v>8.2999999999999972</v>
      </c>
    </row>
    <row r="80" spans="2:13" x14ac:dyDescent="0.25">
      <c r="B80" s="42">
        <f t="shared" si="4"/>
        <v>14</v>
      </c>
      <c r="C80" s="42">
        <f t="shared" si="5"/>
        <v>4</v>
      </c>
      <c r="D80" s="42">
        <f t="shared" si="6"/>
        <v>2016</v>
      </c>
      <c r="E80" s="43">
        <v>42474</v>
      </c>
      <c r="F80" s="42">
        <v>33.14</v>
      </c>
      <c r="G80" s="42">
        <v>38.630000000000003</v>
      </c>
      <c r="H80" s="42">
        <v>32.21</v>
      </c>
      <c r="I80" s="42">
        <v>41.4</v>
      </c>
      <c r="J80" s="42">
        <v>44.41</v>
      </c>
      <c r="K80" s="42">
        <v>41.32</v>
      </c>
      <c r="L80" s="42">
        <v>43.02</v>
      </c>
      <c r="M80" s="42">
        <f t="shared" si="7"/>
        <v>8.18</v>
      </c>
    </row>
    <row r="81" spans="2:13" x14ac:dyDescent="0.25">
      <c r="B81" s="42">
        <f t="shared" si="4"/>
        <v>15</v>
      </c>
      <c r="C81" s="42">
        <f t="shared" si="5"/>
        <v>4</v>
      </c>
      <c r="D81" s="42">
        <f t="shared" si="6"/>
        <v>2016</v>
      </c>
      <c r="E81" s="43">
        <v>42475</v>
      </c>
      <c r="F81" s="42">
        <v>32.24</v>
      </c>
      <c r="G81" s="42">
        <v>37.409999999999997</v>
      </c>
      <c r="H81" s="42">
        <v>31.23</v>
      </c>
      <c r="I81" s="42">
        <v>40.26</v>
      </c>
      <c r="J81" s="42">
        <v>43.07</v>
      </c>
      <c r="K81" s="42">
        <v>40.33</v>
      </c>
      <c r="L81" s="42">
        <v>41.93</v>
      </c>
      <c r="M81" s="42">
        <f t="shared" si="7"/>
        <v>8.0899999999999963</v>
      </c>
    </row>
    <row r="82" spans="2:13" x14ac:dyDescent="0.25">
      <c r="B82" s="42">
        <f t="shared" si="4"/>
        <v>18</v>
      </c>
      <c r="C82" s="42">
        <f t="shared" si="5"/>
        <v>4</v>
      </c>
      <c r="D82" s="42">
        <f t="shared" si="6"/>
        <v>2016</v>
      </c>
      <c r="E82" s="43">
        <v>42478</v>
      </c>
      <c r="F82" s="42">
        <v>31.63</v>
      </c>
      <c r="G82" s="42">
        <v>36.92</v>
      </c>
      <c r="H82" s="42">
        <v>30.74</v>
      </c>
      <c r="I82" s="42">
        <v>39.85</v>
      </c>
      <c r="J82" s="42">
        <v>43</v>
      </c>
      <c r="K82" s="42">
        <v>39.81</v>
      </c>
      <c r="L82" s="42">
        <v>41.36</v>
      </c>
      <c r="M82" s="42">
        <f t="shared" si="7"/>
        <v>8.1800000000000033</v>
      </c>
    </row>
    <row r="83" spans="2:13" x14ac:dyDescent="0.25">
      <c r="B83" s="42">
        <f t="shared" si="4"/>
        <v>19</v>
      </c>
      <c r="C83" s="42">
        <f t="shared" si="5"/>
        <v>4</v>
      </c>
      <c r="D83" s="42">
        <f t="shared" si="6"/>
        <v>2016</v>
      </c>
      <c r="E83" s="43">
        <v>42479</v>
      </c>
      <c r="F83" s="42">
        <v>32.92</v>
      </c>
      <c r="G83" s="42">
        <v>38.25</v>
      </c>
      <c r="H83" s="42">
        <v>32.04</v>
      </c>
      <c r="I83" s="42">
        <v>41.14</v>
      </c>
      <c r="J83" s="42">
        <v>44.27</v>
      </c>
      <c r="K83" s="42">
        <v>41.02</v>
      </c>
      <c r="L83" s="42">
        <v>42.77</v>
      </c>
      <c r="M83" s="42">
        <f t="shared" si="7"/>
        <v>8.1000000000000014</v>
      </c>
    </row>
    <row r="84" spans="2:13" x14ac:dyDescent="0.25">
      <c r="B84" s="42">
        <f t="shared" si="4"/>
        <v>20</v>
      </c>
      <c r="C84" s="42">
        <f t="shared" si="5"/>
        <v>4</v>
      </c>
      <c r="D84" s="42">
        <f t="shared" si="6"/>
        <v>2016</v>
      </c>
      <c r="E84" s="43">
        <v>42480</v>
      </c>
      <c r="F84" s="42">
        <v>33.909999999999997</v>
      </c>
      <c r="G84" s="42">
        <v>39.86</v>
      </c>
      <c r="H84" s="42">
        <v>33.619999999999997</v>
      </c>
      <c r="I84" s="42">
        <v>42.69</v>
      </c>
      <c r="J84" s="42">
        <v>44.74</v>
      </c>
      <c r="K84" s="42">
        <v>42.6</v>
      </c>
      <c r="L84" s="42">
        <v>44.35</v>
      </c>
      <c r="M84" s="42">
        <f t="shared" si="7"/>
        <v>8.6900000000000048</v>
      </c>
    </row>
    <row r="85" spans="2:13" x14ac:dyDescent="0.25">
      <c r="B85" s="42">
        <f t="shared" si="4"/>
        <v>21</v>
      </c>
      <c r="C85" s="42">
        <f t="shared" si="5"/>
        <v>4</v>
      </c>
      <c r="D85" s="42">
        <f t="shared" si="6"/>
        <v>2016</v>
      </c>
      <c r="E85" s="43">
        <v>42481</v>
      </c>
      <c r="F85" s="42">
        <v>34.26</v>
      </c>
      <c r="G85" s="42">
        <v>39.43</v>
      </c>
      <c r="H85" s="42">
        <v>33.03</v>
      </c>
      <c r="I85" s="42">
        <v>42.22</v>
      </c>
      <c r="J85" s="42">
        <v>45.37</v>
      </c>
      <c r="K85" s="42">
        <v>42.44</v>
      </c>
      <c r="L85" s="42">
        <v>44.04</v>
      </c>
      <c r="M85" s="42">
        <f t="shared" si="7"/>
        <v>8.18</v>
      </c>
    </row>
    <row r="86" spans="2:13" x14ac:dyDescent="0.25">
      <c r="B86" s="42">
        <f t="shared" si="4"/>
        <v>22</v>
      </c>
      <c r="C86" s="42">
        <f t="shared" si="5"/>
        <v>4</v>
      </c>
      <c r="D86" s="42">
        <f t="shared" si="6"/>
        <v>2016</v>
      </c>
      <c r="E86" s="43">
        <v>42482</v>
      </c>
      <c r="F86" s="42">
        <v>34.49</v>
      </c>
      <c r="G86" s="42">
        <v>40.08</v>
      </c>
      <c r="H86" s="42">
        <v>33.450000000000003</v>
      </c>
      <c r="I86" s="42">
        <v>42.83</v>
      </c>
      <c r="J86" s="42">
        <v>45.66</v>
      </c>
      <c r="K86" s="42">
        <v>42.66</v>
      </c>
      <c r="L86" s="42">
        <v>43.66</v>
      </c>
      <c r="M86" s="42">
        <f t="shared" si="7"/>
        <v>8.1699999999999946</v>
      </c>
    </row>
    <row r="87" spans="2:13" x14ac:dyDescent="0.25">
      <c r="B87" s="42">
        <f t="shared" si="4"/>
        <v>25</v>
      </c>
      <c r="C87" s="42">
        <f t="shared" si="5"/>
        <v>4</v>
      </c>
      <c r="D87" s="42">
        <f t="shared" si="6"/>
        <v>2016</v>
      </c>
      <c r="E87" s="43">
        <v>42485</v>
      </c>
      <c r="F87" s="42">
        <v>33.869999999999997</v>
      </c>
      <c r="G87" s="42">
        <v>38.729999999999997</v>
      </c>
      <c r="H87" s="42">
        <v>32.99</v>
      </c>
      <c r="I87" s="42">
        <v>41.58</v>
      </c>
      <c r="J87" s="42">
        <v>45.3</v>
      </c>
      <c r="K87" s="42">
        <v>41.39</v>
      </c>
      <c r="L87" s="42">
        <v>42.64</v>
      </c>
      <c r="M87" s="42">
        <f t="shared" si="7"/>
        <v>7.5200000000000031</v>
      </c>
    </row>
    <row r="88" spans="2:13" x14ac:dyDescent="0.25">
      <c r="B88" s="42">
        <f t="shared" si="4"/>
        <v>26</v>
      </c>
      <c r="C88" s="42">
        <f t="shared" si="5"/>
        <v>4</v>
      </c>
      <c r="D88" s="42">
        <f t="shared" si="6"/>
        <v>2016</v>
      </c>
      <c r="E88" s="43">
        <v>42486</v>
      </c>
      <c r="F88" s="42">
        <v>35.15</v>
      </c>
      <c r="G88" s="42">
        <v>41.27</v>
      </c>
      <c r="H88" s="42">
        <v>34.97</v>
      </c>
      <c r="I88" s="42">
        <v>43.89</v>
      </c>
      <c r="J88" s="42">
        <v>45.81</v>
      </c>
      <c r="K88" s="42">
        <v>44.04</v>
      </c>
      <c r="L88" s="42">
        <v>45.89</v>
      </c>
      <c r="M88" s="42">
        <f t="shared" si="7"/>
        <v>8.89</v>
      </c>
    </row>
    <row r="89" spans="2:13" x14ac:dyDescent="0.25">
      <c r="B89" s="42">
        <f t="shared" si="4"/>
        <v>27</v>
      </c>
      <c r="C89" s="42">
        <f t="shared" si="5"/>
        <v>4</v>
      </c>
      <c r="D89" s="42">
        <f t="shared" si="6"/>
        <v>2016</v>
      </c>
      <c r="E89" s="43">
        <v>42487</v>
      </c>
      <c r="F89" s="42">
        <v>36.33</v>
      </c>
      <c r="G89" s="42">
        <v>42.58</v>
      </c>
      <c r="H89" s="42">
        <v>36.33</v>
      </c>
      <c r="I89" s="42">
        <v>45.25</v>
      </c>
      <c r="J89" s="42">
        <v>46.27</v>
      </c>
      <c r="K89" s="42">
        <v>45.37</v>
      </c>
      <c r="L89" s="42">
        <v>47.27</v>
      </c>
      <c r="M89" s="42">
        <f t="shared" si="7"/>
        <v>9.0399999999999991</v>
      </c>
    </row>
    <row r="90" spans="2:13" x14ac:dyDescent="0.25">
      <c r="B90" s="42">
        <f t="shared" si="4"/>
        <v>28</v>
      </c>
      <c r="C90" s="42">
        <f t="shared" si="5"/>
        <v>4</v>
      </c>
      <c r="D90" s="42">
        <f t="shared" si="6"/>
        <v>2016</v>
      </c>
      <c r="E90" s="43">
        <v>42488</v>
      </c>
      <c r="F90" s="42">
        <v>37.200000000000003</v>
      </c>
      <c r="G90" s="42">
        <v>43.34</v>
      </c>
      <c r="H90" s="42">
        <v>37.06</v>
      </c>
      <c r="I90" s="42">
        <v>45.98</v>
      </c>
      <c r="J90" s="42">
        <v>47.69</v>
      </c>
      <c r="K90" s="42">
        <v>45.92</v>
      </c>
      <c r="L90" s="42">
        <v>48.02</v>
      </c>
      <c r="M90" s="42">
        <f t="shared" si="7"/>
        <v>8.7199999999999989</v>
      </c>
    </row>
    <row r="91" spans="2:13" x14ac:dyDescent="0.25">
      <c r="B91" s="42">
        <f t="shared" si="4"/>
        <v>29</v>
      </c>
      <c r="C91" s="42">
        <f t="shared" si="5"/>
        <v>4</v>
      </c>
      <c r="D91" s="42">
        <f t="shared" si="6"/>
        <v>2016</v>
      </c>
      <c r="E91" s="43">
        <v>42489</v>
      </c>
      <c r="F91" s="42">
        <v>37.58</v>
      </c>
      <c r="G91" s="42">
        <v>43.3</v>
      </c>
      <c r="H91" s="42">
        <v>37.21</v>
      </c>
      <c r="I91" s="42">
        <v>45.92</v>
      </c>
      <c r="J91" s="42">
        <v>47.51</v>
      </c>
      <c r="K91" s="42">
        <v>46.07</v>
      </c>
      <c r="L91" s="42">
        <v>48.22</v>
      </c>
      <c r="M91" s="42">
        <f t="shared" si="7"/>
        <v>8.490000000000002</v>
      </c>
    </row>
    <row r="92" spans="2:13" x14ac:dyDescent="0.25">
      <c r="B92" s="42">
        <f t="shared" si="4"/>
        <v>2</v>
      </c>
      <c r="C92" s="42">
        <f t="shared" si="5"/>
        <v>5</v>
      </c>
      <c r="D92" s="42">
        <f t="shared" si="6"/>
        <v>2016</v>
      </c>
      <c r="E92" s="43">
        <v>42492</v>
      </c>
      <c r="F92" s="42">
        <v>37.58</v>
      </c>
      <c r="G92" s="42">
        <v>42.78</v>
      </c>
      <c r="H92" s="42">
        <v>36.93</v>
      </c>
      <c r="I92" s="42">
        <v>45.23</v>
      </c>
      <c r="J92" s="42">
        <v>47.51</v>
      </c>
      <c r="K92" s="42">
        <v>44.82</v>
      </c>
      <c r="L92" s="42">
        <v>46.87</v>
      </c>
      <c r="M92" s="42">
        <f t="shared" si="7"/>
        <v>7.240000000000002</v>
      </c>
    </row>
    <row r="93" spans="2:13" x14ac:dyDescent="0.25">
      <c r="B93" s="42">
        <f t="shared" si="4"/>
        <v>3</v>
      </c>
      <c r="C93" s="42">
        <f t="shared" si="5"/>
        <v>5</v>
      </c>
      <c r="D93" s="42">
        <f t="shared" si="6"/>
        <v>2016</v>
      </c>
      <c r="E93" s="43">
        <v>42493</v>
      </c>
      <c r="F93" s="42">
        <v>35.6</v>
      </c>
      <c r="G93" s="42">
        <v>41.57</v>
      </c>
      <c r="H93" s="42">
        <v>35.979999999999997</v>
      </c>
      <c r="I93" s="42">
        <v>44.06</v>
      </c>
      <c r="J93" s="42">
        <v>45.07</v>
      </c>
      <c r="K93" s="42">
        <v>43.76</v>
      </c>
      <c r="L93" s="42">
        <v>45.76</v>
      </c>
      <c r="M93" s="42">
        <f t="shared" si="7"/>
        <v>8.1599999999999966</v>
      </c>
    </row>
    <row r="94" spans="2:13" x14ac:dyDescent="0.25">
      <c r="B94" s="42">
        <f t="shared" si="4"/>
        <v>4</v>
      </c>
      <c r="C94" s="42">
        <f t="shared" si="5"/>
        <v>5</v>
      </c>
      <c r="D94" s="42">
        <f t="shared" si="6"/>
        <v>2016</v>
      </c>
      <c r="E94" s="43">
        <v>42494</v>
      </c>
      <c r="F94" s="42">
        <v>35.22</v>
      </c>
      <c r="G94" s="42">
        <v>41.55</v>
      </c>
      <c r="H94" s="42">
        <v>35.85</v>
      </c>
      <c r="I94" s="42">
        <v>44</v>
      </c>
      <c r="J94" s="42">
        <v>44.9</v>
      </c>
      <c r="K94" s="42">
        <v>43.81</v>
      </c>
      <c r="L94" s="42">
        <v>45.81</v>
      </c>
      <c r="M94" s="42">
        <f t="shared" si="7"/>
        <v>8.5900000000000034</v>
      </c>
    </row>
    <row r="95" spans="2:13" x14ac:dyDescent="0.25">
      <c r="B95" s="42">
        <f t="shared" si="4"/>
        <v>5</v>
      </c>
      <c r="C95" s="42">
        <f t="shared" si="5"/>
        <v>5</v>
      </c>
      <c r="D95" s="42">
        <f t="shared" si="6"/>
        <v>2016</v>
      </c>
      <c r="E95" s="43">
        <v>42495</v>
      </c>
      <c r="F95" s="42">
        <v>35.83</v>
      </c>
      <c r="G95" s="42">
        <v>42.01</v>
      </c>
      <c r="H95" s="42">
        <v>36.24</v>
      </c>
      <c r="I95" s="42">
        <v>44.46</v>
      </c>
      <c r="J95" s="42">
        <v>45.82</v>
      </c>
      <c r="K95" s="42">
        <v>44.31</v>
      </c>
      <c r="L95" s="42">
        <v>46.16</v>
      </c>
      <c r="M95" s="42">
        <f t="shared" si="7"/>
        <v>8.480000000000004</v>
      </c>
    </row>
    <row r="96" spans="2:13" x14ac:dyDescent="0.25">
      <c r="B96" s="42">
        <f t="shared" si="4"/>
        <v>6</v>
      </c>
      <c r="C96" s="42">
        <f t="shared" si="5"/>
        <v>5</v>
      </c>
      <c r="D96" s="42">
        <f t="shared" si="6"/>
        <v>2016</v>
      </c>
      <c r="E96" s="43">
        <v>42496</v>
      </c>
      <c r="F96" s="42">
        <v>36.06</v>
      </c>
      <c r="G96" s="42">
        <v>42.35</v>
      </c>
      <c r="H96" s="42">
        <v>36.64</v>
      </c>
      <c r="I96" s="42">
        <v>44.78</v>
      </c>
      <c r="J96" s="42">
        <v>45.99</v>
      </c>
      <c r="K96" s="42">
        <v>44.68</v>
      </c>
      <c r="L96" s="42">
        <v>46.58</v>
      </c>
      <c r="M96" s="42">
        <f t="shared" si="7"/>
        <v>8.6199999999999974</v>
      </c>
    </row>
    <row r="97" spans="2:13" x14ac:dyDescent="0.25">
      <c r="B97" s="42">
        <f t="shared" si="4"/>
        <v>9</v>
      </c>
      <c r="C97" s="42">
        <f t="shared" si="5"/>
        <v>5</v>
      </c>
      <c r="D97" s="42">
        <f t="shared" si="6"/>
        <v>2016</v>
      </c>
      <c r="E97" s="43">
        <v>42499</v>
      </c>
      <c r="F97" s="42">
        <v>34.89</v>
      </c>
      <c r="G97" s="42">
        <v>41.15</v>
      </c>
      <c r="H97" s="42">
        <v>35.32</v>
      </c>
      <c r="I97" s="42">
        <v>43.49</v>
      </c>
      <c r="J97" s="42">
        <v>43.8</v>
      </c>
      <c r="K97" s="42">
        <v>43.43</v>
      </c>
      <c r="L97" s="42">
        <v>45.56</v>
      </c>
      <c r="M97" s="42">
        <f t="shared" si="7"/>
        <v>8.5399999999999991</v>
      </c>
    </row>
    <row r="98" spans="2:13" x14ac:dyDescent="0.25">
      <c r="B98" s="42">
        <f t="shared" si="4"/>
        <v>10</v>
      </c>
      <c r="C98" s="42">
        <f t="shared" si="5"/>
        <v>5</v>
      </c>
      <c r="D98" s="42">
        <f t="shared" si="6"/>
        <v>2016</v>
      </c>
      <c r="E98" s="43">
        <v>42500</v>
      </c>
      <c r="F98" s="42">
        <v>35.92</v>
      </c>
      <c r="G98" s="42">
        <v>42.45</v>
      </c>
      <c r="H98" s="42">
        <v>36.770000000000003</v>
      </c>
      <c r="I98" s="42">
        <v>44.94</v>
      </c>
      <c r="J98" s="42">
        <v>45.32</v>
      </c>
      <c r="K98" s="42">
        <v>44.67</v>
      </c>
      <c r="L98" s="42">
        <v>46.67</v>
      </c>
      <c r="M98" s="42">
        <f t="shared" si="7"/>
        <v>8.75</v>
      </c>
    </row>
    <row r="99" spans="2:13" x14ac:dyDescent="0.25">
      <c r="B99" s="42">
        <f t="shared" si="4"/>
        <v>11</v>
      </c>
      <c r="C99" s="42">
        <f t="shared" si="5"/>
        <v>5</v>
      </c>
      <c r="D99" s="42">
        <f t="shared" si="6"/>
        <v>2016</v>
      </c>
      <c r="E99" s="43">
        <v>42501</v>
      </c>
      <c r="F99" s="42">
        <v>37.619999999999997</v>
      </c>
      <c r="G99" s="42">
        <v>44.16</v>
      </c>
      <c r="H99" s="42">
        <v>38.68</v>
      </c>
      <c r="I99" s="42">
        <v>46.6</v>
      </c>
      <c r="J99" s="42">
        <v>47.26</v>
      </c>
      <c r="K99" s="42">
        <v>46.1</v>
      </c>
      <c r="L99" s="42">
        <v>48.05</v>
      </c>
      <c r="M99" s="42">
        <f t="shared" si="7"/>
        <v>8.480000000000004</v>
      </c>
    </row>
    <row r="100" spans="2:13" x14ac:dyDescent="0.25">
      <c r="B100" s="42">
        <f t="shared" si="4"/>
        <v>12</v>
      </c>
      <c r="C100" s="42">
        <f t="shared" si="5"/>
        <v>5</v>
      </c>
      <c r="D100" s="42">
        <f t="shared" si="6"/>
        <v>2016</v>
      </c>
      <c r="E100" s="43">
        <v>42502</v>
      </c>
      <c r="F100" s="42">
        <v>38.520000000000003</v>
      </c>
      <c r="G100" s="42">
        <v>44.63</v>
      </c>
      <c r="H100" s="42">
        <v>39.36</v>
      </c>
      <c r="I100" s="42">
        <v>47.06</v>
      </c>
      <c r="J100" s="42">
        <v>47.23</v>
      </c>
      <c r="K100" s="42">
        <v>46.51</v>
      </c>
      <c r="L100" s="42">
        <v>48.56</v>
      </c>
      <c r="M100" s="42">
        <f t="shared" si="7"/>
        <v>7.9899999999999949</v>
      </c>
    </row>
    <row r="101" spans="2:13" x14ac:dyDescent="0.25">
      <c r="B101" s="42">
        <f t="shared" si="4"/>
        <v>13</v>
      </c>
      <c r="C101" s="42">
        <f t="shared" si="5"/>
        <v>5</v>
      </c>
      <c r="D101" s="42">
        <f t="shared" si="6"/>
        <v>2016</v>
      </c>
      <c r="E101" s="43">
        <v>42503</v>
      </c>
      <c r="F101" s="42">
        <v>38.65</v>
      </c>
      <c r="G101" s="42">
        <v>44.49</v>
      </c>
      <c r="H101" s="42">
        <v>39.130000000000003</v>
      </c>
      <c r="I101" s="42">
        <v>46.95</v>
      </c>
      <c r="J101" s="42">
        <v>47.99</v>
      </c>
      <c r="K101" s="42">
        <v>46.21</v>
      </c>
      <c r="L101" s="42">
        <v>48.31</v>
      </c>
      <c r="M101" s="42">
        <f t="shared" si="7"/>
        <v>7.5600000000000023</v>
      </c>
    </row>
    <row r="102" spans="2:13" x14ac:dyDescent="0.25">
      <c r="B102" s="42">
        <f t="shared" si="4"/>
        <v>16</v>
      </c>
      <c r="C102" s="42">
        <f t="shared" si="5"/>
        <v>5</v>
      </c>
      <c r="D102" s="42">
        <f t="shared" si="6"/>
        <v>2016</v>
      </c>
      <c r="E102" s="43">
        <v>42506</v>
      </c>
      <c r="F102" s="42">
        <v>39.869999999999997</v>
      </c>
      <c r="G102" s="42">
        <v>46.13</v>
      </c>
      <c r="H102" s="42">
        <v>40.57</v>
      </c>
      <c r="I102" s="42">
        <v>48.53</v>
      </c>
      <c r="J102" s="42">
        <v>49.21</v>
      </c>
      <c r="K102" s="42">
        <v>47.8</v>
      </c>
      <c r="L102" s="42">
        <v>49.95</v>
      </c>
      <c r="M102" s="42">
        <f t="shared" si="7"/>
        <v>7.93</v>
      </c>
    </row>
    <row r="103" spans="2:13" x14ac:dyDescent="0.25">
      <c r="B103" s="42">
        <f t="shared" si="4"/>
        <v>17</v>
      </c>
      <c r="C103" s="42">
        <f t="shared" si="5"/>
        <v>5</v>
      </c>
      <c r="D103" s="42">
        <f t="shared" si="6"/>
        <v>2016</v>
      </c>
      <c r="E103" s="43">
        <v>42507</v>
      </c>
      <c r="F103" s="42">
        <v>40.200000000000003</v>
      </c>
      <c r="G103" s="42">
        <v>46.55</v>
      </c>
      <c r="H103" s="42">
        <v>40.799999999999997</v>
      </c>
      <c r="I103" s="42">
        <v>48.94</v>
      </c>
      <c r="J103" s="42">
        <v>49.45</v>
      </c>
      <c r="K103" s="42">
        <v>48.53</v>
      </c>
      <c r="L103" s="42">
        <v>50.58</v>
      </c>
      <c r="M103" s="42">
        <f t="shared" si="7"/>
        <v>8.3299999999999983</v>
      </c>
    </row>
    <row r="104" spans="2:13" x14ac:dyDescent="0.25">
      <c r="B104" s="42">
        <f t="shared" si="4"/>
        <v>18</v>
      </c>
      <c r="C104" s="42">
        <f t="shared" si="5"/>
        <v>5</v>
      </c>
      <c r="D104" s="42">
        <f t="shared" si="6"/>
        <v>2016</v>
      </c>
      <c r="E104" s="43">
        <v>42508</v>
      </c>
      <c r="F104" s="42">
        <v>40.03</v>
      </c>
      <c r="G104" s="42">
        <v>46.24</v>
      </c>
      <c r="H104" s="42">
        <v>40.42</v>
      </c>
      <c r="I104" s="42">
        <v>48.52</v>
      </c>
      <c r="J104" s="42">
        <v>49.78</v>
      </c>
      <c r="K104" s="42">
        <v>48.07</v>
      </c>
      <c r="L104" s="42">
        <v>50.17</v>
      </c>
      <c r="M104" s="42">
        <f t="shared" si="7"/>
        <v>8.0399999999999991</v>
      </c>
    </row>
    <row r="105" spans="2:13" x14ac:dyDescent="0.25">
      <c r="B105" s="42">
        <f t="shared" si="4"/>
        <v>19</v>
      </c>
      <c r="C105" s="42">
        <f t="shared" si="5"/>
        <v>5</v>
      </c>
      <c r="D105" s="42">
        <f t="shared" si="6"/>
        <v>2016</v>
      </c>
      <c r="E105" s="43">
        <v>42509</v>
      </c>
      <c r="F105" s="42">
        <v>39.11</v>
      </c>
      <c r="G105" s="42">
        <v>46.29</v>
      </c>
      <c r="H105" s="42">
        <v>40.25</v>
      </c>
      <c r="I105" s="42">
        <v>48.65</v>
      </c>
      <c r="J105" s="42">
        <v>47.89</v>
      </c>
      <c r="K105" s="42">
        <v>48.15</v>
      </c>
      <c r="L105" s="42">
        <v>50.2</v>
      </c>
      <c r="M105" s="42">
        <f t="shared" si="7"/>
        <v>9.0399999999999991</v>
      </c>
    </row>
    <row r="106" spans="2:13" x14ac:dyDescent="0.25">
      <c r="B106" s="42">
        <f t="shared" si="4"/>
        <v>20</v>
      </c>
      <c r="C106" s="42">
        <f t="shared" si="5"/>
        <v>5</v>
      </c>
      <c r="D106" s="42">
        <f t="shared" si="6"/>
        <v>2016</v>
      </c>
      <c r="E106" s="43">
        <v>42510</v>
      </c>
      <c r="F106" s="42">
        <v>39.590000000000003</v>
      </c>
      <c r="G106" s="42">
        <v>46.01</v>
      </c>
      <c r="H106" s="42">
        <v>39.96</v>
      </c>
      <c r="I106" s="42">
        <v>48.42</v>
      </c>
      <c r="J106" s="42">
        <v>49.03</v>
      </c>
      <c r="K106" s="42">
        <v>47.81</v>
      </c>
      <c r="L106" s="42">
        <v>49.91</v>
      </c>
      <c r="M106" s="42">
        <f t="shared" si="7"/>
        <v>8.2199999999999989</v>
      </c>
    </row>
    <row r="107" spans="2:13" x14ac:dyDescent="0.25">
      <c r="B107" s="42">
        <f t="shared" si="4"/>
        <v>23</v>
      </c>
      <c r="C107" s="42">
        <f t="shared" si="5"/>
        <v>5</v>
      </c>
      <c r="D107" s="42">
        <f t="shared" si="6"/>
        <v>2016</v>
      </c>
      <c r="E107" s="43">
        <v>42513</v>
      </c>
      <c r="F107" s="42">
        <v>39.19</v>
      </c>
      <c r="G107" s="42">
        <v>45.61</v>
      </c>
      <c r="H107" s="42">
        <v>39.67</v>
      </c>
      <c r="I107" s="42">
        <v>47.99</v>
      </c>
      <c r="J107" s="42">
        <v>48.58</v>
      </c>
      <c r="K107" s="42">
        <v>47.48</v>
      </c>
      <c r="L107" s="42">
        <v>49.68</v>
      </c>
      <c r="M107" s="42">
        <f t="shared" si="7"/>
        <v>8.2899999999999991</v>
      </c>
    </row>
    <row r="108" spans="2:13" x14ac:dyDescent="0.25">
      <c r="B108" s="42">
        <f t="shared" si="4"/>
        <v>24</v>
      </c>
      <c r="C108" s="42">
        <f t="shared" si="5"/>
        <v>5</v>
      </c>
      <c r="D108" s="42">
        <f t="shared" si="6"/>
        <v>2016</v>
      </c>
      <c r="E108" s="43">
        <v>42514</v>
      </c>
      <c r="F108" s="42">
        <v>39.619999999999997</v>
      </c>
      <c r="G108" s="42">
        <v>46.23</v>
      </c>
      <c r="H108" s="42">
        <v>40.479999999999997</v>
      </c>
      <c r="I108" s="42">
        <v>48.59</v>
      </c>
      <c r="J108" s="42">
        <v>49</v>
      </c>
      <c r="K108" s="42">
        <v>48.28</v>
      </c>
      <c r="L108" s="42">
        <v>50.23</v>
      </c>
      <c r="M108" s="42">
        <f t="shared" si="7"/>
        <v>8.6600000000000037</v>
      </c>
    </row>
    <row r="109" spans="2:13" x14ac:dyDescent="0.25">
      <c r="B109" s="42">
        <f t="shared" si="4"/>
        <v>25</v>
      </c>
      <c r="C109" s="42">
        <f t="shared" si="5"/>
        <v>5</v>
      </c>
      <c r="D109" s="42">
        <f t="shared" si="6"/>
        <v>2016</v>
      </c>
      <c r="E109" s="43">
        <v>42515</v>
      </c>
      <c r="F109" s="42">
        <v>40.42</v>
      </c>
      <c r="G109" s="42">
        <v>47.32</v>
      </c>
      <c r="H109" s="42">
        <v>41.51</v>
      </c>
      <c r="I109" s="42">
        <v>49.67</v>
      </c>
      <c r="J109" s="42">
        <v>49.25</v>
      </c>
      <c r="K109" s="42">
        <v>49.23</v>
      </c>
      <c r="L109" s="42">
        <v>50.93</v>
      </c>
      <c r="M109" s="42">
        <f t="shared" si="7"/>
        <v>8.8099999999999952</v>
      </c>
    </row>
    <row r="110" spans="2:13" x14ac:dyDescent="0.25">
      <c r="B110" s="42">
        <f t="shared" si="4"/>
        <v>26</v>
      </c>
      <c r="C110" s="42">
        <f t="shared" si="5"/>
        <v>5</v>
      </c>
      <c r="D110" s="42">
        <f t="shared" si="6"/>
        <v>2016</v>
      </c>
      <c r="E110" s="43">
        <v>42516</v>
      </c>
      <c r="F110" s="42">
        <v>40.47</v>
      </c>
      <c r="G110" s="42">
        <v>47.38</v>
      </c>
      <c r="H110" s="42">
        <v>41.29</v>
      </c>
      <c r="I110" s="42">
        <v>49.8</v>
      </c>
      <c r="J110" s="42">
        <v>49.9</v>
      </c>
      <c r="K110" s="42">
        <v>49.3</v>
      </c>
      <c r="L110" s="42">
        <v>50.95</v>
      </c>
      <c r="M110" s="42">
        <f t="shared" si="7"/>
        <v>8.8299999999999983</v>
      </c>
    </row>
    <row r="111" spans="2:13" x14ac:dyDescent="0.25">
      <c r="B111" s="42">
        <f t="shared" si="4"/>
        <v>27</v>
      </c>
      <c r="C111" s="42">
        <f t="shared" si="5"/>
        <v>5</v>
      </c>
      <c r="D111" s="42">
        <f t="shared" si="6"/>
        <v>2016</v>
      </c>
      <c r="E111" s="43">
        <v>42517</v>
      </c>
      <c r="F111" s="42">
        <v>40.200000000000003</v>
      </c>
      <c r="G111" s="42">
        <v>47.03</v>
      </c>
      <c r="H111" s="42">
        <v>40.99</v>
      </c>
      <c r="I111" s="42">
        <v>49.35</v>
      </c>
      <c r="J111" s="42">
        <v>49.44</v>
      </c>
      <c r="K111" s="42">
        <v>49.4</v>
      </c>
      <c r="L111" s="42">
        <v>51.1</v>
      </c>
      <c r="M111" s="42">
        <f t="shared" si="7"/>
        <v>9.1999999999999957</v>
      </c>
    </row>
    <row r="112" spans="2:13" x14ac:dyDescent="0.25">
      <c r="B112" s="42">
        <f t="shared" si="4"/>
        <v>30</v>
      </c>
      <c r="C112" s="42">
        <f t="shared" si="5"/>
        <v>5</v>
      </c>
      <c r="D112" s="42">
        <f t="shared" si="6"/>
        <v>2016</v>
      </c>
      <c r="E112" s="43">
        <v>42520</v>
      </c>
      <c r="F112" s="42">
        <v>40.200000000000003</v>
      </c>
      <c r="G112" s="42">
        <v>47.03</v>
      </c>
      <c r="H112" s="42">
        <v>40.99</v>
      </c>
      <c r="I112" s="42">
        <v>49.35</v>
      </c>
      <c r="J112" s="42">
        <v>49.44</v>
      </c>
      <c r="K112" s="42">
        <v>49.4</v>
      </c>
      <c r="L112" s="42">
        <v>51.1</v>
      </c>
      <c r="M112" s="42">
        <f t="shared" si="7"/>
        <v>9.1999999999999957</v>
      </c>
    </row>
    <row r="113" spans="2:13" x14ac:dyDescent="0.25">
      <c r="B113" s="42">
        <f t="shared" si="4"/>
        <v>31</v>
      </c>
      <c r="C113" s="42">
        <f t="shared" si="5"/>
        <v>5</v>
      </c>
      <c r="D113" s="42">
        <f t="shared" si="6"/>
        <v>2016</v>
      </c>
      <c r="E113" s="43">
        <v>42521</v>
      </c>
      <c r="F113" s="42">
        <v>40.26</v>
      </c>
      <c r="G113" s="42">
        <v>46.73</v>
      </c>
      <c r="H113" s="42">
        <v>40.81</v>
      </c>
      <c r="I113" s="42">
        <v>49.04</v>
      </c>
      <c r="J113" s="42">
        <v>50.05</v>
      </c>
      <c r="K113" s="42">
        <v>48.89</v>
      </c>
      <c r="L113" s="42">
        <v>50.59</v>
      </c>
      <c r="M113" s="42">
        <f t="shared" si="7"/>
        <v>8.6300000000000026</v>
      </c>
    </row>
    <row r="114" spans="2:13" x14ac:dyDescent="0.25">
      <c r="B114" s="42">
        <f t="shared" si="4"/>
        <v>1</v>
      </c>
      <c r="C114" s="42">
        <f t="shared" si="5"/>
        <v>6</v>
      </c>
      <c r="D114" s="42">
        <f t="shared" si="6"/>
        <v>2016</v>
      </c>
      <c r="E114" s="43">
        <v>42522</v>
      </c>
      <c r="F114" s="42">
        <v>40.090000000000003</v>
      </c>
      <c r="G114" s="42">
        <v>47.86</v>
      </c>
      <c r="H114" s="42">
        <v>42.12</v>
      </c>
      <c r="I114" s="42">
        <v>49.75</v>
      </c>
      <c r="J114" s="42">
        <v>49.66</v>
      </c>
      <c r="K114" s="42">
        <v>49.24</v>
      </c>
      <c r="L114" s="42">
        <v>51.01</v>
      </c>
      <c r="M114" s="42">
        <f t="shared" si="7"/>
        <v>9.1499999999999986</v>
      </c>
    </row>
    <row r="115" spans="2:13" x14ac:dyDescent="0.25">
      <c r="B115" s="42">
        <f t="shared" si="4"/>
        <v>2</v>
      </c>
      <c r="C115" s="42">
        <f t="shared" si="5"/>
        <v>6</v>
      </c>
      <c r="D115" s="42">
        <f t="shared" si="6"/>
        <v>2016</v>
      </c>
      <c r="E115" s="43">
        <v>42523</v>
      </c>
      <c r="F115" s="42">
        <v>40.24</v>
      </c>
      <c r="G115" s="42">
        <v>47.99</v>
      </c>
      <c r="H115" s="42">
        <v>42.06</v>
      </c>
      <c r="I115" s="42">
        <v>49.85</v>
      </c>
      <c r="J115" s="42">
        <v>49.82</v>
      </c>
      <c r="K115" s="42">
        <v>49.04</v>
      </c>
      <c r="L115" s="42">
        <v>50.89</v>
      </c>
      <c r="M115" s="42">
        <f t="shared" si="7"/>
        <v>8.7999999999999972</v>
      </c>
    </row>
    <row r="116" spans="2:13" x14ac:dyDescent="0.25">
      <c r="B116" s="42">
        <f t="shared" si="4"/>
        <v>3</v>
      </c>
      <c r="C116" s="42">
        <f t="shared" si="5"/>
        <v>6</v>
      </c>
      <c r="D116" s="42">
        <f t="shared" si="6"/>
        <v>2016</v>
      </c>
      <c r="E116" s="43">
        <v>42524</v>
      </c>
      <c r="F116" s="42">
        <v>40.14</v>
      </c>
      <c r="G116" s="42">
        <v>47.5</v>
      </c>
      <c r="H116" s="42">
        <v>41.85</v>
      </c>
      <c r="I116" s="42">
        <v>49.42</v>
      </c>
      <c r="J116" s="42">
        <v>49.64</v>
      </c>
      <c r="K116" s="42">
        <v>48.73</v>
      </c>
      <c r="L116" s="42">
        <v>50.58</v>
      </c>
      <c r="M116" s="42">
        <f t="shared" si="7"/>
        <v>8.5899999999999963</v>
      </c>
    </row>
    <row r="117" spans="2:13" x14ac:dyDescent="0.25">
      <c r="B117" s="42">
        <f t="shared" si="4"/>
        <v>6</v>
      </c>
      <c r="C117" s="42">
        <f t="shared" si="5"/>
        <v>6</v>
      </c>
      <c r="D117" s="42">
        <f t="shared" si="6"/>
        <v>2016</v>
      </c>
      <c r="E117" s="43">
        <v>42527</v>
      </c>
      <c r="F117" s="42">
        <v>40.81</v>
      </c>
      <c r="G117" s="42">
        <v>48.43</v>
      </c>
      <c r="H117" s="42">
        <v>42.75</v>
      </c>
      <c r="I117" s="42">
        <v>50.22</v>
      </c>
      <c r="J117" s="42">
        <v>50.52</v>
      </c>
      <c r="K117" s="42">
        <v>49.76</v>
      </c>
      <c r="L117" s="42">
        <v>51.68</v>
      </c>
      <c r="M117" s="42">
        <f t="shared" si="7"/>
        <v>8.9499999999999957</v>
      </c>
    </row>
    <row r="118" spans="2:13" x14ac:dyDescent="0.25">
      <c r="B118" s="42">
        <f t="shared" si="4"/>
        <v>7</v>
      </c>
      <c r="C118" s="42">
        <f t="shared" si="5"/>
        <v>6</v>
      </c>
      <c r="D118" s="42">
        <f t="shared" si="6"/>
        <v>2016</v>
      </c>
      <c r="E118" s="43">
        <v>42528</v>
      </c>
      <c r="F118" s="42">
        <v>41.52</v>
      </c>
      <c r="G118" s="42">
        <v>49.11</v>
      </c>
      <c r="H118" s="42">
        <v>43.53</v>
      </c>
      <c r="I118" s="42">
        <v>50.94</v>
      </c>
      <c r="J118" s="42">
        <v>51.32</v>
      </c>
      <c r="K118" s="42">
        <v>50.44</v>
      </c>
      <c r="L118" s="42">
        <v>52.36</v>
      </c>
      <c r="M118" s="42">
        <f t="shared" si="7"/>
        <v>8.9199999999999946</v>
      </c>
    </row>
    <row r="119" spans="2:13" x14ac:dyDescent="0.25">
      <c r="B119" s="42">
        <f t="shared" si="4"/>
        <v>8</v>
      </c>
      <c r="C119" s="42">
        <f t="shared" si="5"/>
        <v>6</v>
      </c>
      <c r="D119" s="42">
        <f t="shared" si="6"/>
        <v>2016</v>
      </c>
      <c r="E119" s="43">
        <v>42529</v>
      </c>
      <c r="F119" s="42">
        <v>42.37</v>
      </c>
      <c r="G119" s="42">
        <v>49.87</v>
      </c>
      <c r="H119" s="42">
        <v>44.43</v>
      </c>
      <c r="I119" s="42">
        <v>51.74</v>
      </c>
      <c r="J119" s="42">
        <v>52.18</v>
      </c>
      <c r="K119" s="42">
        <v>51.19</v>
      </c>
      <c r="L119" s="42">
        <v>53.11</v>
      </c>
      <c r="M119" s="42">
        <f t="shared" si="7"/>
        <v>8.82</v>
      </c>
    </row>
    <row r="120" spans="2:13" x14ac:dyDescent="0.25">
      <c r="B120" s="42">
        <f t="shared" si="4"/>
        <v>9</v>
      </c>
      <c r="C120" s="42">
        <f t="shared" si="5"/>
        <v>6</v>
      </c>
      <c r="D120" s="42">
        <f t="shared" si="6"/>
        <v>2016</v>
      </c>
      <c r="E120" s="43">
        <v>42530</v>
      </c>
      <c r="F120" s="42">
        <v>42.22</v>
      </c>
      <c r="G120" s="42">
        <v>49.26</v>
      </c>
      <c r="H120" s="42">
        <v>43.85</v>
      </c>
      <c r="I120" s="42">
        <v>51.16</v>
      </c>
      <c r="J120" s="42">
        <v>52.08</v>
      </c>
      <c r="K120" s="42">
        <v>50.52</v>
      </c>
      <c r="L120" s="42">
        <v>52.47</v>
      </c>
      <c r="M120" s="42">
        <f t="shared" si="7"/>
        <v>8.3000000000000043</v>
      </c>
    </row>
    <row r="121" spans="2:13" x14ac:dyDescent="0.25">
      <c r="B121" s="42">
        <f t="shared" si="4"/>
        <v>10</v>
      </c>
      <c r="C121" s="42">
        <f t="shared" si="5"/>
        <v>6</v>
      </c>
      <c r="D121" s="42">
        <f t="shared" si="6"/>
        <v>2016</v>
      </c>
      <c r="E121" s="43">
        <v>42531</v>
      </c>
      <c r="F121" s="42">
        <v>41.13</v>
      </c>
      <c r="G121" s="42">
        <v>47.72</v>
      </c>
      <c r="H121" s="42">
        <v>42.41</v>
      </c>
      <c r="I121" s="42">
        <v>49.61</v>
      </c>
      <c r="J121" s="42">
        <v>51.05</v>
      </c>
      <c r="K121" s="42">
        <v>48.99</v>
      </c>
      <c r="L121" s="42">
        <v>50.97</v>
      </c>
      <c r="M121" s="42">
        <f t="shared" si="7"/>
        <v>7.8599999999999994</v>
      </c>
    </row>
    <row r="122" spans="2:13" x14ac:dyDescent="0.25">
      <c r="B122" s="42">
        <f t="shared" si="4"/>
        <v>13</v>
      </c>
      <c r="C122" s="42">
        <f t="shared" si="5"/>
        <v>6</v>
      </c>
      <c r="D122" s="42">
        <f t="shared" si="6"/>
        <v>2016</v>
      </c>
      <c r="E122" s="43">
        <v>42534</v>
      </c>
      <c r="F122" s="42">
        <v>40.770000000000003</v>
      </c>
      <c r="G122" s="42">
        <v>47.56</v>
      </c>
      <c r="H122" s="42">
        <v>42.47</v>
      </c>
      <c r="I122" s="42">
        <v>49.37</v>
      </c>
      <c r="J122" s="42">
        <v>50.77</v>
      </c>
      <c r="K122" s="42">
        <v>48.79</v>
      </c>
      <c r="L122" s="42">
        <v>50.74</v>
      </c>
      <c r="M122" s="42">
        <f t="shared" si="7"/>
        <v>8.019999999999996</v>
      </c>
    </row>
    <row r="123" spans="2:13" x14ac:dyDescent="0.25">
      <c r="B123" s="42">
        <f t="shared" si="4"/>
        <v>14</v>
      </c>
      <c r="C123" s="42">
        <f t="shared" si="5"/>
        <v>6</v>
      </c>
      <c r="D123" s="42">
        <f t="shared" si="6"/>
        <v>2016</v>
      </c>
      <c r="E123" s="43">
        <v>42535</v>
      </c>
      <c r="F123" s="42">
        <v>40.06</v>
      </c>
      <c r="G123" s="42">
        <v>47.23</v>
      </c>
      <c r="H123" s="42">
        <v>41.96</v>
      </c>
      <c r="I123" s="42">
        <v>49.05</v>
      </c>
      <c r="J123" s="42">
        <v>49.78</v>
      </c>
      <c r="K123" s="42">
        <v>48.51</v>
      </c>
      <c r="L123" s="42">
        <v>50.56</v>
      </c>
      <c r="M123" s="42">
        <f t="shared" si="7"/>
        <v>8.4499999999999957</v>
      </c>
    </row>
    <row r="124" spans="2:13" x14ac:dyDescent="0.25">
      <c r="B124" s="42">
        <f t="shared" si="4"/>
        <v>15</v>
      </c>
      <c r="C124" s="42">
        <f t="shared" si="5"/>
        <v>6</v>
      </c>
      <c r="D124" s="42">
        <f t="shared" si="6"/>
        <v>2016</v>
      </c>
      <c r="E124" s="43">
        <v>42536</v>
      </c>
      <c r="F124" s="42">
        <v>39.659999999999997</v>
      </c>
      <c r="G124" s="42">
        <v>46.77</v>
      </c>
      <c r="H124" s="42">
        <v>41.52</v>
      </c>
      <c r="I124" s="42">
        <v>48.53</v>
      </c>
      <c r="J124" s="42">
        <v>49.37</v>
      </c>
      <c r="K124" s="42">
        <v>47.88</v>
      </c>
      <c r="L124" s="42">
        <v>49.91</v>
      </c>
      <c r="M124" s="42">
        <f t="shared" si="7"/>
        <v>8.220000000000006</v>
      </c>
    </row>
    <row r="125" spans="2:13" x14ac:dyDescent="0.25">
      <c r="B125" s="42">
        <f t="shared" si="4"/>
        <v>16</v>
      </c>
      <c r="C125" s="42">
        <f t="shared" si="5"/>
        <v>6</v>
      </c>
      <c r="D125" s="42">
        <f t="shared" si="6"/>
        <v>2016</v>
      </c>
      <c r="E125" s="43">
        <v>42537</v>
      </c>
      <c r="F125" s="42">
        <v>38.03</v>
      </c>
      <c r="G125" s="42">
        <v>45</v>
      </c>
      <c r="H125" s="42">
        <v>39.78</v>
      </c>
      <c r="I125" s="42">
        <v>46.77</v>
      </c>
      <c r="J125" s="42">
        <v>47.63</v>
      </c>
      <c r="K125" s="42">
        <v>45.99</v>
      </c>
      <c r="L125" s="42">
        <v>47.94</v>
      </c>
      <c r="M125" s="42">
        <f t="shared" si="7"/>
        <v>7.9600000000000009</v>
      </c>
    </row>
    <row r="126" spans="2:13" x14ac:dyDescent="0.25">
      <c r="B126" s="42">
        <f t="shared" si="4"/>
        <v>17</v>
      </c>
      <c r="C126" s="42">
        <f t="shared" si="5"/>
        <v>6</v>
      </c>
      <c r="D126" s="42">
        <f t="shared" si="6"/>
        <v>2016</v>
      </c>
      <c r="E126" s="43">
        <v>42538</v>
      </c>
      <c r="F126" s="42">
        <v>39.28</v>
      </c>
      <c r="G126" s="42">
        <v>46.9</v>
      </c>
      <c r="H126" s="42">
        <v>41.73</v>
      </c>
      <c r="I126" s="42">
        <v>48.73</v>
      </c>
      <c r="J126" s="42">
        <v>48.37</v>
      </c>
      <c r="K126" s="42">
        <v>48.09</v>
      </c>
      <c r="L126" s="42">
        <v>50.04</v>
      </c>
      <c r="M126" s="42">
        <f t="shared" si="7"/>
        <v>8.8100000000000023</v>
      </c>
    </row>
    <row r="127" spans="2:13" x14ac:dyDescent="0.25">
      <c r="B127" s="42">
        <f t="shared" si="4"/>
        <v>20</v>
      </c>
      <c r="C127" s="42">
        <f t="shared" si="5"/>
        <v>6</v>
      </c>
      <c r="D127" s="42">
        <f t="shared" si="6"/>
        <v>2016</v>
      </c>
      <c r="E127" s="43">
        <v>42541</v>
      </c>
      <c r="F127" s="42">
        <v>40.9</v>
      </c>
      <c r="G127" s="42">
        <v>48.22</v>
      </c>
      <c r="H127" s="42">
        <v>43.05</v>
      </c>
      <c r="I127" s="42">
        <v>50.03</v>
      </c>
      <c r="J127" s="42">
        <v>50.5</v>
      </c>
      <c r="K127" s="42">
        <v>49.25</v>
      </c>
      <c r="L127" s="42">
        <v>51.1</v>
      </c>
      <c r="M127" s="42">
        <f t="shared" si="7"/>
        <v>8.3500000000000014</v>
      </c>
    </row>
    <row r="128" spans="2:13" x14ac:dyDescent="0.25">
      <c r="B128" s="42">
        <f t="shared" si="4"/>
        <v>21</v>
      </c>
      <c r="C128" s="42">
        <f t="shared" si="5"/>
        <v>6</v>
      </c>
      <c r="D128" s="42">
        <f t="shared" si="6"/>
        <v>2016</v>
      </c>
      <c r="E128" s="43">
        <v>42542</v>
      </c>
      <c r="F128" s="42">
        <v>40.76</v>
      </c>
      <c r="G128" s="42">
        <v>47.79</v>
      </c>
      <c r="H128" s="42">
        <v>42.84</v>
      </c>
      <c r="I128" s="42">
        <v>49.69</v>
      </c>
      <c r="J128" s="42">
        <v>50.09</v>
      </c>
      <c r="K128" s="42">
        <v>48.86</v>
      </c>
      <c r="L128" s="42">
        <v>50.56</v>
      </c>
      <c r="M128" s="42">
        <f t="shared" si="7"/>
        <v>8.1000000000000014</v>
      </c>
    </row>
    <row r="129" spans="2:13" x14ac:dyDescent="0.25">
      <c r="B129" s="42">
        <f t="shared" si="4"/>
        <v>22</v>
      </c>
      <c r="C129" s="42">
        <f t="shared" si="5"/>
        <v>6</v>
      </c>
      <c r="D129" s="42">
        <f t="shared" si="6"/>
        <v>2016</v>
      </c>
      <c r="E129" s="43">
        <v>42543</v>
      </c>
      <c r="F129" s="42">
        <v>40.83</v>
      </c>
      <c r="G129" s="42">
        <v>47.37</v>
      </c>
      <c r="H129" s="42">
        <v>42.6</v>
      </c>
      <c r="I129" s="42">
        <v>49.22</v>
      </c>
      <c r="J129" s="42">
        <v>50.23</v>
      </c>
      <c r="K129" s="42">
        <v>48.33</v>
      </c>
      <c r="L129" s="42">
        <v>50.03</v>
      </c>
      <c r="M129" s="42">
        <f t="shared" si="7"/>
        <v>7.5</v>
      </c>
    </row>
    <row r="130" spans="2:13" x14ac:dyDescent="0.25">
      <c r="B130" s="42">
        <f t="shared" si="4"/>
        <v>23</v>
      </c>
      <c r="C130" s="42">
        <f t="shared" si="5"/>
        <v>6</v>
      </c>
      <c r="D130" s="42">
        <f t="shared" si="6"/>
        <v>2016</v>
      </c>
      <c r="E130" s="43">
        <v>42544</v>
      </c>
      <c r="F130" s="42">
        <v>41.27</v>
      </c>
      <c r="G130" s="42">
        <v>48.29</v>
      </c>
      <c r="H130" s="42">
        <v>43.54</v>
      </c>
      <c r="I130" s="42">
        <v>50.15</v>
      </c>
      <c r="J130" s="42">
        <v>50.57</v>
      </c>
      <c r="K130" s="42">
        <v>49.14</v>
      </c>
      <c r="L130" s="42">
        <v>50.69</v>
      </c>
      <c r="M130" s="42">
        <f t="shared" si="7"/>
        <v>7.8699999999999974</v>
      </c>
    </row>
    <row r="131" spans="2:13" x14ac:dyDescent="0.25">
      <c r="B131" s="42">
        <f t="shared" si="4"/>
        <v>24</v>
      </c>
      <c r="C131" s="42">
        <f t="shared" si="5"/>
        <v>6</v>
      </c>
      <c r="D131" s="42">
        <f t="shared" si="6"/>
        <v>2016</v>
      </c>
      <c r="E131" s="43">
        <v>42545</v>
      </c>
      <c r="F131" s="42">
        <v>39.479999999999997</v>
      </c>
      <c r="G131" s="42">
        <v>45.73</v>
      </c>
      <c r="H131" s="42">
        <v>41.11</v>
      </c>
      <c r="I131" s="42">
        <v>47.61</v>
      </c>
      <c r="J131" s="42">
        <v>48.81</v>
      </c>
      <c r="K131" s="42">
        <v>46.92</v>
      </c>
      <c r="L131" s="42">
        <v>48.42</v>
      </c>
      <c r="M131" s="42">
        <f t="shared" si="7"/>
        <v>7.4400000000000048</v>
      </c>
    </row>
    <row r="132" spans="2:13" x14ac:dyDescent="0.25">
      <c r="B132" s="42">
        <f t="shared" si="4"/>
        <v>27</v>
      </c>
      <c r="C132" s="42">
        <f t="shared" si="5"/>
        <v>6</v>
      </c>
      <c r="D132" s="42">
        <f t="shared" si="6"/>
        <v>2016</v>
      </c>
      <c r="E132" s="43">
        <v>42548</v>
      </c>
      <c r="F132" s="42">
        <v>38.619999999999997</v>
      </c>
      <c r="G132" s="42">
        <v>45.08</v>
      </c>
      <c r="H132" s="42">
        <v>40.340000000000003</v>
      </c>
      <c r="I132" s="42">
        <v>46.95</v>
      </c>
      <c r="J132" s="42">
        <v>47.22</v>
      </c>
      <c r="K132" s="42">
        <v>46.46</v>
      </c>
      <c r="L132" s="42">
        <v>48.21</v>
      </c>
      <c r="M132" s="42">
        <f t="shared" si="7"/>
        <v>7.8400000000000034</v>
      </c>
    </row>
    <row r="133" spans="2:13" x14ac:dyDescent="0.25">
      <c r="B133" s="42">
        <f t="shared" si="4"/>
        <v>28</v>
      </c>
      <c r="C133" s="42">
        <f t="shared" si="5"/>
        <v>6</v>
      </c>
      <c r="D133" s="42">
        <f t="shared" si="6"/>
        <v>2016</v>
      </c>
      <c r="E133" s="43">
        <v>42549</v>
      </c>
      <c r="F133" s="42">
        <v>39.67</v>
      </c>
      <c r="G133" s="42">
        <v>46.53</v>
      </c>
      <c r="H133" s="42">
        <v>42.02</v>
      </c>
      <c r="I133" s="42">
        <v>48.31</v>
      </c>
      <c r="J133" s="42">
        <v>47.8</v>
      </c>
      <c r="K133" s="42">
        <v>47.86</v>
      </c>
      <c r="L133" s="42">
        <v>49.66</v>
      </c>
      <c r="M133" s="42">
        <f t="shared" si="7"/>
        <v>8.1899999999999977</v>
      </c>
    </row>
    <row r="134" spans="2:13" x14ac:dyDescent="0.25">
      <c r="B134" s="42">
        <f t="shared" si="4"/>
        <v>29</v>
      </c>
      <c r="C134" s="42">
        <f t="shared" si="5"/>
        <v>6</v>
      </c>
      <c r="D134" s="42">
        <f t="shared" si="6"/>
        <v>2016</v>
      </c>
      <c r="E134" s="43">
        <v>42550</v>
      </c>
      <c r="F134" s="42">
        <v>41.51</v>
      </c>
      <c r="G134" s="42">
        <v>48.41</v>
      </c>
      <c r="H134" s="42">
        <v>43.57</v>
      </c>
      <c r="I134" s="42">
        <v>50.12</v>
      </c>
      <c r="J134" s="42">
        <v>50.01</v>
      </c>
      <c r="K134" s="42">
        <v>49.51</v>
      </c>
      <c r="L134" s="42">
        <v>51.36</v>
      </c>
      <c r="M134" s="42">
        <f t="shared" si="7"/>
        <v>8</v>
      </c>
    </row>
    <row r="135" spans="2:13" x14ac:dyDescent="0.25">
      <c r="B135" s="42">
        <f t="shared" ref="B135:B198" si="8">DAY(E135)</f>
        <v>30</v>
      </c>
      <c r="C135" s="42">
        <f t="shared" ref="C135:C198" si="9">MONTH(E135)</f>
        <v>6</v>
      </c>
      <c r="D135" s="42">
        <f t="shared" ref="D135:D198" si="10">YEAR(E135)</f>
        <v>2016</v>
      </c>
      <c r="E135" s="43">
        <v>42551</v>
      </c>
      <c r="F135" s="42">
        <v>41</v>
      </c>
      <c r="G135" s="42">
        <v>47.25</v>
      </c>
      <c r="H135" s="42">
        <v>42.52</v>
      </c>
      <c r="I135" s="42">
        <v>49.13</v>
      </c>
      <c r="J135" s="42">
        <v>49.59</v>
      </c>
      <c r="K135" s="42">
        <v>48.53</v>
      </c>
      <c r="L135" s="42">
        <v>50.48</v>
      </c>
      <c r="M135" s="42">
        <f t="shared" ref="M135:M198" si="11">K135-F135</f>
        <v>7.5300000000000011</v>
      </c>
    </row>
    <row r="136" spans="2:13" x14ac:dyDescent="0.25">
      <c r="B136" s="42">
        <f t="shared" si="8"/>
        <v>1</v>
      </c>
      <c r="C136" s="42">
        <f t="shared" si="9"/>
        <v>7</v>
      </c>
      <c r="D136" s="42">
        <f t="shared" si="10"/>
        <v>2016</v>
      </c>
      <c r="E136" s="43">
        <v>42552</v>
      </c>
      <c r="F136" s="42">
        <v>42.03</v>
      </c>
      <c r="G136" s="42">
        <v>49.36</v>
      </c>
      <c r="H136" s="42">
        <v>43.38</v>
      </c>
      <c r="I136" s="42">
        <v>49.89</v>
      </c>
      <c r="J136" s="42">
        <v>49.86</v>
      </c>
      <c r="K136" s="42">
        <v>48.99</v>
      </c>
      <c r="L136" s="42">
        <v>51.06</v>
      </c>
      <c r="M136" s="42">
        <f t="shared" si="11"/>
        <v>6.9600000000000009</v>
      </c>
    </row>
    <row r="137" spans="2:13" x14ac:dyDescent="0.25">
      <c r="B137" s="42">
        <f t="shared" si="8"/>
        <v>4</v>
      </c>
      <c r="C137" s="42">
        <f t="shared" si="9"/>
        <v>7</v>
      </c>
      <c r="D137" s="42">
        <f t="shared" si="10"/>
        <v>2016</v>
      </c>
      <c r="E137" s="43">
        <v>42555</v>
      </c>
      <c r="F137" s="42">
        <v>42.03</v>
      </c>
      <c r="G137" s="42">
        <v>49.36</v>
      </c>
      <c r="H137" s="42">
        <v>43.38</v>
      </c>
      <c r="I137" s="42">
        <v>49.89</v>
      </c>
      <c r="J137" s="42">
        <v>50.19</v>
      </c>
      <c r="K137" s="42">
        <v>48.99</v>
      </c>
      <c r="L137" s="42">
        <v>51.06</v>
      </c>
      <c r="M137" s="42">
        <f t="shared" si="11"/>
        <v>6.9600000000000009</v>
      </c>
    </row>
    <row r="138" spans="2:13" x14ac:dyDescent="0.25">
      <c r="B138" s="42">
        <f t="shared" si="8"/>
        <v>5</v>
      </c>
      <c r="C138" s="42">
        <f t="shared" si="9"/>
        <v>7</v>
      </c>
      <c r="D138" s="42">
        <f t="shared" si="10"/>
        <v>2016</v>
      </c>
      <c r="E138" s="43">
        <v>42556</v>
      </c>
      <c r="F138" s="42">
        <v>39.97</v>
      </c>
      <c r="G138" s="42">
        <v>46.85</v>
      </c>
      <c r="H138" s="42">
        <v>41.21</v>
      </c>
      <c r="I138" s="42">
        <v>47.33</v>
      </c>
      <c r="J138" s="42">
        <v>48</v>
      </c>
      <c r="K138" s="42">
        <v>46.6</v>
      </c>
      <c r="L138" s="42">
        <v>48.65</v>
      </c>
      <c r="M138" s="42">
        <f t="shared" si="11"/>
        <v>6.6300000000000026</v>
      </c>
    </row>
    <row r="139" spans="2:13" x14ac:dyDescent="0.25">
      <c r="B139" s="42">
        <f t="shared" si="8"/>
        <v>6</v>
      </c>
      <c r="C139" s="42">
        <f t="shared" si="9"/>
        <v>7</v>
      </c>
      <c r="D139" s="42">
        <f t="shared" si="10"/>
        <v>2016</v>
      </c>
      <c r="E139" s="43">
        <v>42557</v>
      </c>
      <c r="F139" s="42">
        <v>39.97</v>
      </c>
      <c r="G139" s="42">
        <v>47.64</v>
      </c>
      <c r="H139" s="42">
        <v>42.1</v>
      </c>
      <c r="I139" s="42">
        <v>48.06</v>
      </c>
      <c r="J139" s="42">
        <v>47.62</v>
      </c>
      <c r="K139" s="42">
        <v>47.43</v>
      </c>
      <c r="L139" s="42">
        <v>49.28</v>
      </c>
      <c r="M139" s="42">
        <f t="shared" si="11"/>
        <v>7.4600000000000009</v>
      </c>
    </row>
    <row r="140" spans="2:13" x14ac:dyDescent="0.25">
      <c r="B140" s="42">
        <f t="shared" si="8"/>
        <v>7</v>
      </c>
      <c r="C140" s="42">
        <f t="shared" si="9"/>
        <v>7</v>
      </c>
      <c r="D140" s="42">
        <f t="shared" si="10"/>
        <v>2016</v>
      </c>
      <c r="E140" s="43">
        <v>42558</v>
      </c>
      <c r="F140" s="42">
        <v>39.57</v>
      </c>
      <c r="G140" s="42">
        <v>45.34</v>
      </c>
      <c r="H140" s="42">
        <v>40.130000000000003</v>
      </c>
      <c r="I140" s="42">
        <v>45.81</v>
      </c>
      <c r="J140" s="42">
        <v>47.91</v>
      </c>
      <c r="K140" s="42">
        <v>45.14</v>
      </c>
      <c r="L140" s="42">
        <v>46.92</v>
      </c>
      <c r="M140" s="42">
        <f t="shared" si="11"/>
        <v>5.57</v>
      </c>
    </row>
    <row r="141" spans="2:13" x14ac:dyDescent="0.25">
      <c r="B141" s="42">
        <f t="shared" si="8"/>
        <v>8</v>
      </c>
      <c r="C141" s="42">
        <f t="shared" si="9"/>
        <v>7</v>
      </c>
      <c r="D141" s="42">
        <f t="shared" si="10"/>
        <v>2016</v>
      </c>
      <c r="E141" s="43">
        <v>42559</v>
      </c>
      <c r="F141" s="42">
        <v>39.049999999999997</v>
      </c>
      <c r="G141" s="42">
        <v>45.58</v>
      </c>
      <c r="H141" s="42">
        <v>40.29</v>
      </c>
      <c r="I141" s="42">
        <v>46.01</v>
      </c>
      <c r="J141" s="42">
        <v>46.63</v>
      </c>
      <c r="K141" s="42">
        <v>45.41</v>
      </c>
      <c r="L141" s="42">
        <v>47.06</v>
      </c>
      <c r="M141" s="42">
        <f t="shared" si="11"/>
        <v>6.3599999999999994</v>
      </c>
    </row>
    <row r="142" spans="2:13" x14ac:dyDescent="0.25">
      <c r="B142" s="42">
        <f t="shared" si="8"/>
        <v>11</v>
      </c>
      <c r="C142" s="42">
        <f t="shared" si="9"/>
        <v>7</v>
      </c>
      <c r="D142" s="42">
        <f t="shared" si="10"/>
        <v>2016</v>
      </c>
      <c r="E142" s="43">
        <v>42562</v>
      </c>
      <c r="F142" s="42">
        <v>38.729999999999997</v>
      </c>
      <c r="G142" s="42">
        <v>44.86</v>
      </c>
      <c r="H142" s="42">
        <v>40.07</v>
      </c>
      <c r="I142" s="42">
        <v>45.33</v>
      </c>
      <c r="J142" s="42">
        <v>46.73</v>
      </c>
      <c r="K142" s="42">
        <v>44.76</v>
      </c>
      <c r="L142" s="42">
        <v>46.44</v>
      </c>
      <c r="M142" s="42">
        <f t="shared" si="11"/>
        <v>6.0300000000000011</v>
      </c>
    </row>
    <row r="143" spans="2:13" x14ac:dyDescent="0.25">
      <c r="B143" s="42">
        <f t="shared" si="8"/>
        <v>12</v>
      </c>
      <c r="C143" s="42">
        <f t="shared" si="9"/>
        <v>7</v>
      </c>
      <c r="D143" s="42">
        <f t="shared" si="10"/>
        <v>2016</v>
      </c>
      <c r="E143" s="43">
        <v>42563</v>
      </c>
      <c r="F143" s="42">
        <v>40.229999999999997</v>
      </c>
      <c r="G143" s="42">
        <v>46.88</v>
      </c>
      <c r="H143" s="42">
        <v>41.02</v>
      </c>
      <c r="I143" s="42">
        <v>47.4</v>
      </c>
      <c r="J143" s="42">
        <v>47.83</v>
      </c>
      <c r="K143" s="42">
        <v>46.8</v>
      </c>
      <c r="L143" s="42">
        <v>48.45</v>
      </c>
      <c r="M143" s="42">
        <f t="shared" si="11"/>
        <v>6.57</v>
      </c>
    </row>
    <row r="144" spans="2:13" x14ac:dyDescent="0.25">
      <c r="B144" s="42">
        <f t="shared" si="8"/>
        <v>13</v>
      </c>
      <c r="C144" s="42">
        <f t="shared" si="9"/>
        <v>7</v>
      </c>
      <c r="D144" s="42">
        <f t="shared" si="10"/>
        <v>2016</v>
      </c>
      <c r="E144" s="43">
        <v>42564</v>
      </c>
      <c r="F144" s="42">
        <v>38.96</v>
      </c>
      <c r="G144" s="42">
        <v>44.88</v>
      </c>
      <c r="H144" s="42">
        <v>40.42</v>
      </c>
      <c r="I144" s="42">
        <v>45.45</v>
      </c>
      <c r="J144" s="42">
        <v>46.37</v>
      </c>
      <c r="K144" s="42">
        <v>44.75</v>
      </c>
      <c r="L144" s="42">
        <v>46.35</v>
      </c>
      <c r="M144" s="42">
        <f t="shared" si="11"/>
        <v>5.7899999999999991</v>
      </c>
    </row>
    <row r="145" spans="2:13" x14ac:dyDescent="0.25">
      <c r="B145" s="42">
        <f t="shared" si="8"/>
        <v>14</v>
      </c>
      <c r="C145" s="42">
        <f t="shared" si="9"/>
        <v>7</v>
      </c>
      <c r="D145" s="42">
        <f t="shared" si="10"/>
        <v>2016</v>
      </c>
      <c r="E145" s="43">
        <v>42565</v>
      </c>
      <c r="F145" s="42">
        <v>39.92</v>
      </c>
      <c r="G145" s="42">
        <v>45.79</v>
      </c>
      <c r="H145" s="42">
        <v>40.96</v>
      </c>
      <c r="I145" s="42">
        <v>46.33</v>
      </c>
      <c r="J145" s="42">
        <v>47.45</v>
      </c>
      <c r="K145" s="42">
        <v>45.68</v>
      </c>
      <c r="L145" s="42">
        <v>47.38</v>
      </c>
      <c r="M145" s="42">
        <f t="shared" si="11"/>
        <v>5.759999999999998</v>
      </c>
    </row>
    <row r="146" spans="2:13" x14ac:dyDescent="0.25">
      <c r="B146" s="42">
        <f t="shared" si="8"/>
        <v>15</v>
      </c>
      <c r="C146" s="42">
        <f t="shared" si="9"/>
        <v>7</v>
      </c>
      <c r="D146" s="42">
        <f t="shared" si="10"/>
        <v>2016</v>
      </c>
      <c r="E146" s="43">
        <v>42566</v>
      </c>
      <c r="F146" s="42">
        <v>40.17</v>
      </c>
      <c r="G146" s="42">
        <v>46.17</v>
      </c>
      <c r="H146" s="42">
        <v>41.28</v>
      </c>
      <c r="I146" s="42">
        <v>46.73</v>
      </c>
      <c r="J146" s="42">
        <v>47.7</v>
      </c>
      <c r="K146" s="42">
        <v>45.95</v>
      </c>
      <c r="L146" s="42">
        <v>47.75</v>
      </c>
      <c r="M146" s="42">
        <f t="shared" si="11"/>
        <v>5.7800000000000011</v>
      </c>
    </row>
    <row r="147" spans="2:13" x14ac:dyDescent="0.25">
      <c r="B147" s="42">
        <f t="shared" si="8"/>
        <v>18</v>
      </c>
      <c r="C147" s="42">
        <f t="shared" si="9"/>
        <v>7</v>
      </c>
      <c r="D147" s="42">
        <f t="shared" si="10"/>
        <v>2016</v>
      </c>
      <c r="E147" s="43">
        <v>42569</v>
      </c>
      <c r="F147" s="42">
        <v>39.56</v>
      </c>
      <c r="G147" s="42">
        <v>45.47</v>
      </c>
      <c r="H147" s="42">
        <v>40.549999999999997</v>
      </c>
      <c r="I147" s="42">
        <v>46.07</v>
      </c>
      <c r="J147" s="42">
        <v>46.82</v>
      </c>
      <c r="K147" s="42">
        <v>45.24</v>
      </c>
      <c r="L147" s="42">
        <v>46.99</v>
      </c>
      <c r="M147" s="42">
        <f t="shared" si="11"/>
        <v>5.68</v>
      </c>
    </row>
    <row r="148" spans="2:13" x14ac:dyDescent="0.25">
      <c r="B148" s="42">
        <f t="shared" si="8"/>
        <v>19</v>
      </c>
      <c r="C148" s="42">
        <f t="shared" si="9"/>
        <v>7</v>
      </c>
      <c r="D148" s="42">
        <f t="shared" si="10"/>
        <v>2016</v>
      </c>
      <c r="E148" s="43">
        <v>42570</v>
      </c>
      <c r="F148" s="42">
        <v>39.15</v>
      </c>
      <c r="G148" s="42">
        <v>44.94</v>
      </c>
      <c r="H148" s="42">
        <v>40.049999999999997</v>
      </c>
      <c r="I148" s="42">
        <v>45.55</v>
      </c>
      <c r="J148" s="42">
        <v>47</v>
      </c>
      <c r="K148" s="42">
        <v>44.65</v>
      </c>
      <c r="L148" s="42">
        <v>46.4</v>
      </c>
      <c r="M148" s="42">
        <f t="shared" si="11"/>
        <v>5.5</v>
      </c>
    </row>
    <row r="149" spans="2:13" x14ac:dyDescent="0.25">
      <c r="B149" s="42">
        <f t="shared" si="8"/>
        <v>20</v>
      </c>
      <c r="C149" s="42">
        <f t="shared" si="9"/>
        <v>7</v>
      </c>
      <c r="D149" s="42">
        <f t="shared" si="10"/>
        <v>2016</v>
      </c>
      <c r="E149" s="43">
        <v>42571</v>
      </c>
      <c r="F149" s="42">
        <v>39.43</v>
      </c>
      <c r="G149" s="42">
        <v>45.36</v>
      </c>
      <c r="H149" s="42">
        <v>40.54</v>
      </c>
      <c r="I149" s="42">
        <v>45.97</v>
      </c>
      <c r="J149" s="42">
        <v>47.17</v>
      </c>
      <c r="K149" s="42">
        <v>44.94</v>
      </c>
      <c r="L149" s="42">
        <v>46.71</v>
      </c>
      <c r="M149" s="42">
        <f t="shared" si="11"/>
        <v>5.509999999999998</v>
      </c>
    </row>
    <row r="150" spans="2:13" x14ac:dyDescent="0.25">
      <c r="B150" s="42">
        <f t="shared" si="8"/>
        <v>21</v>
      </c>
      <c r="C150" s="42">
        <f t="shared" si="9"/>
        <v>7</v>
      </c>
      <c r="D150" s="42">
        <f t="shared" si="10"/>
        <v>2016</v>
      </c>
      <c r="E150" s="43">
        <v>42572</v>
      </c>
      <c r="F150" s="42">
        <v>38.86</v>
      </c>
      <c r="G150" s="42">
        <v>44.4</v>
      </c>
      <c r="H150" s="42">
        <v>39.56</v>
      </c>
      <c r="I150" s="42">
        <v>44.99</v>
      </c>
      <c r="J150" s="42">
        <v>46.77</v>
      </c>
      <c r="K150" s="42">
        <v>43.95</v>
      </c>
      <c r="L150" s="42">
        <v>45.7</v>
      </c>
      <c r="M150" s="42">
        <f t="shared" si="11"/>
        <v>5.0900000000000034</v>
      </c>
    </row>
    <row r="151" spans="2:13" x14ac:dyDescent="0.25">
      <c r="B151" s="42">
        <f t="shared" si="8"/>
        <v>22</v>
      </c>
      <c r="C151" s="42">
        <f t="shared" si="9"/>
        <v>7</v>
      </c>
      <c r="D151" s="42">
        <f t="shared" si="10"/>
        <v>2016</v>
      </c>
      <c r="E151" s="43">
        <v>42573</v>
      </c>
      <c r="F151" s="42">
        <v>37.97</v>
      </c>
      <c r="G151" s="42">
        <v>43.74</v>
      </c>
      <c r="H151" s="42">
        <v>38.94</v>
      </c>
      <c r="I151" s="42">
        <v>44.39</v>
      </c>
      <c r="J151" s="42">
        <v>45.42</v>
      </c>
      <c r="K151" s="42">
        <v>43.47</v>
      </c>
      <c r="L151" s="42">
        <v>45.02</v>
      </c>
      <c r="M151" s="42">
        <f t="shared" si="11"/>
        <v>5.5</v>
      </c>
    </row>
    <row r="152" spans="2:13" x14ac:dyDescent="0.25">
      <c r="B152" s="42">
        <f t="shared" si="8"/>
        <v>25</v>
      </c>
      <c r="C152" s="42">
        <f t="shared" si="9"/>
        <v>7</v>
      </c>
      <c r="D152" s="42">
        <f t="shared" si="10"/>
        <v>2016</v>
      </c>
      <c r="E152" s="43">
        <v>42576</v>
      </c>
      <c r="F152" s="42">
        <v>37.200000000000003</v>
      </c>
      <c r="G152" s="42">
        <v>42.58</v>
      </c>
      <c r="H152" s="42">
        <v>37.89</v>
      </c>
      <c r="I152" s="42">
        <v>43.28</v>
      </c>
      <c r="J152" s="42">
        <v>44.88</v>
      </c>
      <c r="K152" s="42">
        <v>42.43</v>
      </c>
      <c r="L152" s="42">
        <v>43.83</v>
      </c>
      <c r="M152" s="42">
        <f t="shared" si="11"/>
        <v>5.2299999999999969</v>
      </c>
    </row>
    <row r="153" spans="2:13" x14ac:dyDescent="0.25">
      <c r="B153" s="42">
        <f t="shared" si="8"/>
        <v>26</v>
      </c>
      <c r="C153" s="42">
        <f t="shared" si="9"/>
        <v>7</v>
      </c>
      <c r="D153" s="42">
        <f t="shared" si="10"/>
        <v>2016</v>
      </c>
      <c r="E153" s="43">
        <v>42577</v>
      </c>
      <c r="F153" s="42">
        <v>37.17</v>
      </c>
      <c r="G153" s="42">
        <v>43.12</v>
      </c>
      <c r="H153" s="42">
        <v>38.130000000000003</v>
      </c>
      <c r="I153" s="42">
        <v>43.74</v>
      </c>
      <c r="J153" s="42">
        <v>44.71</v>
      </c>
      <c r="K153" s="42">
        <v>42.92</v>
      </c>
      <c r="L153" s="42">
        <v>44.6</v>
      </c>
      <c r="M153" s="42">
        <f t="shared" si="11"/>
        <v>5.75</v>
      </c>
    </row>
    <row r="154" spans="2:13" x14ac:dyDescent="0.25">
      <c r="B154" s="42">
        <f t="shared" si="8"/>
        <v>27</v>
      </c>
      <c r="C154" s="42">
        <f t="shared" si="9"/>
        <v>7</v>
      </c>
      <c r="D154" s="42">
        <f t="shared" si="10"/>
        <v>2016</v>
      </c>
      <c r="E154" s="43">
        <v>42578</v>
      </c>
      <c r="F154" s="42">
        <v>36.51</v>
      </c>
      <c r="G154" s="42">
        <v>42.02</v>
      </c>
      <c r="H154" s="42">
        <v>37.06</v>
      </c>
      <c r="I154" s="42">
        <v>42.62</v>
      </c>
      <c r="J154" s="42">
        <v>44.02</v>
      </c>
      <c r="K154" s="42">
        <v>41.92</v>
      </c>
      <c r="L154" s="42">
        <v>43.67</v>
      </c>
      <c r="M154" s="42">
        <f t="shared" si="11"/>
        <v>5.4100000000000037</v>
      </c>
    </row>
    <row r="155" spans="2:13" x14ac:dyDescent="0.25">
      <c r="B155" s="42">
        <f t="shared" si="8"/>
        <v>28</v>
      </c>
      <c r="C155" s="42">
        <f t="shared" si="9"/>
        <v>7</v>
      </c>
      <c r="D155" s="42">
        <f t="shared" si="10"/>
        <v>2016</v>
      </c>
      <c r="E155" s="43">
        <v>42579</v>
      </c>
      <c r="F155" s="42">
        <v>35.96</v>
      </c>
      <c r="G155" s="42">
        <v>41.19</v>
      </c>
      <c r="H155" s="42">
        <v>36.479999999999997</v>
      </c>
      <c r="I155" s="42">
        <v>41.75</v>
      </c>
      <c r="J155" s="42">
        <v>42.95</v>
      </c>
      <c r="K155" s="42">
        <v>41.14</v>
      </c>
      <c r="L155" s="42">
        <v>42.79</v>
      </c>
      <c r="M155" s="42">
        <f t="shared" si="11"/>
        <v>5.18</v>
      </c>
    </row>
    <row r="156" spans="2:13" x14ac:dyDescent="0.25">
      <c r="B156" s="42">
        <f t="shared" si="8"/>
        <v>29</v>
      </c>
      <c r="C156" s="42">
        <f t="shared" si="9"/>
        <v>7</v>
      </c>
      <c r="D156" s="42">
        <f t="shared" si="10"/>
        <v>2016</v>
      </c>
      <c r="E156" s="43">
        <v>42580</v>
      </c>
      <c r="F156" s="42">
        <v>35.92</v>
      </c>
      <c r="G156" s="42">
        <v>41.43</v>
      </c>
      <c r="H156" s="42">
        <v>36.71</v>
      </c>
      <c r="I156" s="42">
        <v>41.92</v>
      </c>
      <c r="J156" s="42">
        <v>42.44</v>
      </c>
      <c r="K156" s="42">
        <v>41.6</v>
      </c>
      <c r="L156" s="42">
        <v>43.2</v>
      </c>
      <c r="M156" s="42">
        <f t="shared" si="11"/>
        <v>5.68</v>
      </c>
    </row>
    <row r="157" spans="2:13" x14ac:dyDescent="0.25">
      <c r="B157" s="42">
        <f t="shared" si="8"/>
        <v>1</v>
      </c>
      <c r="C157" s="42">
        <f t="shared" si="9"/>
        <v>8</v>
      </c>
      <c r="D157" s="42">
        <f t="shared" si="10"/>
        <v>2016</v>
      </c>
      <c r="E157" s="43">
        <v>42583</v>
      </c>
      <c r="F157" s="42">
        <v>34.17</v>
      </c>
      <c r="G157" s="42">
        <v>39.54</v>
      </c>
      <c r="H157" s="42">
        <v>34.94</v>
      </c>
      <c r="I157" s="42">
        <v>40.270000000000003</v>
      </c>
      <c r="J157" s="42">
        <v>42.14</v>
      </c>
      <c r="K157" s="42">
        <v>40.06</v>
      </c>
      <c r="L157" s="42">
        <v>41.61</v>
      </c>
      <c r="M157" s="42">
        <f t="shared" si="11"/>
        <v>5.8900000000000006</v>
      </c>
    </row>
    <row r="158" spans="2:13" x14ac:dyDescent="0.25">
      <c r="B158" s="42">
        <f t="shared" si="8"/>
        <v>2</v>
      </c>
      <c r="C158" s="42">
        <f t="shared" si="9"/>
        <v>8</v>
      </c>
      <c r="D158" s="42">
        <f t="shared" si="10"/>
        <v>2016</v>
      </c>
      <c r="E158" s="43">
        <v>42584</v>
      </c>
      <c r="F158" s="42">
        <v>33.619999999999997</v>
      </c>
      <c r="G158" s="42">
        <v>39.11</v>
      </c>
      <c r="H158" s="42">
        <v>33.840000000000003</v>
      </c>
      <c r="I158" s="42">
        <v>39.869999999999997</v>
      </c>
      <c r="J158" s="42">
        <v>42.1</v>
      </c>
      <c r="K158" s="42">
        <v>39.51</v>
      </c>
      <c r="L158" s="42">
        <v>41.21</v>
      </c>
      <c r="M158" s="42">
        <f t="shared" si="11"/>
        <v>5.8900000000000006</v>
      </c>
    </row>
    <row r="159" spans="2:13" x14ac:dyDescent="0.25">
      <c r="B159" s="42">
        <f t="shared" si="8"/>
        <v>3</v>
      </c>
      <c r="C159" s="42">
        <f t="shared" si="9"/>
        <v>8</v>
      </c>
      <c r="D159" s="42">
        <f t="shared" si="10"/>
        <v>2016</v>
      </c>
      <c r="E159" s="43">
        <v>42585</v>
      </c>
      <c r="F159" s="42">
        <v>34.19</v>
      </c>
      <c r="G159" s="42">
        <v>40.520000000000003</v>
      </c>
      <c r="H159" s="42">
        <v>35.01</v>
      </c>
      <c r="I159" s="42">
        <v>41.35</v>
      </c>
      <c r="J159" s="42">
        <v>42.51</v>
      </c>
      <c r="K159" s="42">
        <v>40.83</v>
      </c>
      <c r="L159" s="42">
        <v>42.43</v>
      </c>
      <c r="M159" s="42">
        <f t="shared" si="11"/>
        <v>6.6400000000000006</v>
      </c>
    </row>
    <row r="160" spans="2:13" x14ac:dyDescent="0.25">
      <c r="B160" s="42">
        <f t="shared" si="8"/>
        <v>4</v>
      </c>
      <c r="C160" s="42">
        <f t="shared" si="9"/>
        <v>8</v>
      </c>
      <c r="D160" s="42">
        <f t="shared" si="10"/>
        <v>2016</v>
      </c>
      <c r="E160" s="43">
        <v>42586</v>
      </c>
      <c r="F160" s="42">
        <v>35.31</v>
      </c>
      <c r="G160" s="42">
        <v>41.59</v>
      </c>
      <c r="H160" s="42">
        <v>36.090000000000003</v>
      </c>
      <c r="I160" s="42">
        <v>42.35</v>
      </c>
      <c r="J160" s="42">
        <v>43.37</v>
      </c>
      <c r="K160" s="42">
        <v>41.93</v>
      </c>
      <c r="L160" s="42">
        <v>43.53</v>
      </c>
      <c r="M160" s="42">
        <f t="shared" si="11"/>
        <v>6.6199999999999974</v>
      </c>
    </row>
    <row r="161" spans="2:13" x14ac:dyDescent="0.25">
      <c r="B161" s="42">
        <f t="shared" si="8"/>
        <v>5</v>
      </c>
      <c r="C161" s="42">
        <f t="shared" si="9"/>
        <v>8</v>
      </c>
      <c r="D161" s="42">
        <f t="shared" si="10"/>
        <v>2016</v>
      </c>
      <c r="E161" s="43">
        <v>42587</v>
      </c>
      <c r="F161" s="42">
        <v>35.44</v>
      </c>
      <c r="G161" s="42">
        <v>41.55</v>
      </c>
      <c r="H161" s="42">
        <v>35.950000000000003</v>
      </c>
      <c r="I161" s="42">
        <v>42.36</v>
      </c>
      <c r="J161" s="42">
        <v>43.65</v>
      </c>
      <c r="K161" s="42">
        <v>41.8</v>
      </c>
      <c r="L161" s="42">
        <v>43.45</v>
      </c>
      <c r="M161" s="42">
        <f t="shared" si="11"/>
        <v>6.3599999999999994</v>
      </c>
    </row>
    <row r="162" spans="2:13" x14ac:dyDescent="0.25">
      <c r="B162" s="42">
        <f t="shared" si="8"/>
        <v>8</v>
      </c>
      <c r="C162" s="42">
        <f t="shared" si="9"/>
        <v>8</v>
      </c>
      <c r="D162" s="42">
        <f t="shared" si="10"/>
        <v>2016</v>
      </c>
      <c r="E162" s="43">
        <v>42590</v>
      </c>
      <c r="F162" s="42">
        <v>36.65</v>
      </c>
      <c r="G162" s="42">
        <v>42.71</v>
      </c>
      <c r="H162" s="42">
        <v>37.15</v>
      </c>
      <c r="I162" s="42">
        <v>43.46</v>
      </c>
      <c r="J162" s="42">
        <v>45.25</v>
      </c>
      <c r="K162" s="42">
        <v>43.02</v>
      </c>
      <c r="L162" s="42">
        <v>44.62</v>
      </c>
      <c r="M162" s="42">
        <f t="shared" si="11"/>
        <v>6.3700000000000045</v>
      </c>
    </row>
    <row r="163" spans="2:13" x14ac:dyDescent="0.25">
      <c r="B163" s="42">
        <f t="shared" si="8"/>
        <v>9</v>
      </c>
      <c r="C163" s="42">
        <f t="shared" si="9"/>
        <v>8</v>
      </c>
      <c r="D163" s="42">
        <f t="shared" si="10"/>
        <v>2016</v>
      </c>
      <c r="E163" s="43">
        <v>42591</v>
      </c>
      <c r="F163" s="42">
        <v>36.65</v>
      </c>
      <c r="G163" s="42">
        <v>42.41</v>
      </c>
      <c r="H163" s="42">
        <v>36.76</v>
      </c>
      <c r="I163" s="42">
        <v>43.15</v>
      </c>
      <c r="J163" s="42">
        <v>45.31</v>
      </c>
      <c r="K163" s="42">
        <v>42.77</v>
      </c>
      <c r="L163" s="42">
        <v>44.42</v>
      </c>
      <c r="M163" s="42">
        <f t="shared" si="11"/>
        <v>6.1200000000000045</v>
      </c>
    </row>
    <row r="164" spans="2:13" x14ac:dyDescent="0.25">
      <c r="B164" s="42">
        <f t="shared" si="8"/>
        <v>10</v>
      </c>
      <c r="C164" s="42">
        <f t="shared" si="9"/>
        <v>8</v>
      </c>
      <c r="D164" s="42">
        <f t="shared" si="10"/>
        <v>2016</v>
      </c>
      <c r="E164" s="43">
        <v>42592</v>
      </c>
      <c r="F164" s="42">
        <v>35.89</v>
      </c>
      <c r="G164" s="42">
        <v>41.31</v>
      </c>
      <c r="H164" s="42">
        <v>35.869999999999997</v>
      </c>
      <c r="I164" s="42">
        <v>42.05</v>
      </c>
      <c r="J164" s="42">
        <v>44.25</v>
      </c>
      <c r="K164" s="42">
        <v>41.71</v>
      </c>
      <c r="L164" s="42">
        <v>43.36</v>
      </c>
      <c r="M164" s="42">
        <f t="shared" si="11"/>
        <v>5.82</v>
      </c>
    </row>
    <row r="165" spans="2:13" x14ac:dyDescent="0.25">
      <c r="B165" s="42">
        <f t="shared" si="8"/>
        <v>11</v>
      </c>
      <c r="C165" s="42">
        <f t="shared" si="9"/>
        <v>8</v>
      </c>
      <c r="D165" s="42">
        <f t="shared" si="10"/>
        <v>2016</v>
      </c>
      <c r="E165" s="43">
        <v>42593</v>
      </c>
      <c r="F165" s="42">
        <v>36.97</v>
      </c>
      <c r="G165" s="42">
        <v>43.11</v>
      </c>
      <c r="H165" s="42">
        <v>37.57</v>
      </c>
      <c r="I165" s="42">
        <v>43.88</v>
      </c>
      <c r="J165" s="42">
        <v>45.84</v>
      </c>
      <c r="K165" s="42">
        <v>43.49</v>
      </c>
      <c r="L165" s="42">
        <v>45.16</v>
      </c>
      <c r="M165" s="42">
        <f t="shared" si="11"/>
        <v>6.5200000000000031</v>
      </c>
    </row>
    <row r="166" spans="2:13" x14ac:dyDescent="0.25">
      <c r="B166" s="42">
        <f t="shared" si="8"/>
        <v>12</v>
      </c>
      <c r="C166" s="42">
        <f t="shared" si="9"/>
        <v>8</v>
      </c>
      <c r="D166" s="42">
        <f t="shared" si="10"/>
        <v>2016</v>
      </c>
      <c r="E166" s="43">
        <v>42594</v>
      </c>
      <c r="F166" s="42">
        <v>38.22</v>
      </c>
      <c r="G166" s="42">
        <v>44.2</v>
      </c>
      <c r="H166" s="42">
        <v>38.51</v>
      </c>
      <c r="I166" s="42">
        <v>45.03</v>
      </c>
      <c r="J166" s="42">
        <v>46.8</v>
      </c>
      <c r="K166" s="42">
        <v>44.49</v>
      </c>
      <c r="L166" s="42">
        <v>46.16</v>
      </c>
      <c r="M166" s="42">
        <f t="shared" si="11"/>
        <v>6.2700000000000031</v>
      </c>
    </row>
    <row r="167" spans="2:13" x14ac:dyDescent="0.25">
      <c r="B167" s="42">
        <f t="shared" si="8"/>
        <v>15</v>
      </c>
      <c r="C167" s="42">
        <f t="shared" si="9"/>
        <v>8</v>
      </c>
      <c r="D167" s="42">
        <f t="shared" si="10"/>
        <v>2016</v>
      </c>
      <c r="E167" s="43">
        <v>42597</v>
      </c>
      <c r="F167" s="42">
        <v>39.54</v>
      </c>
      <c r="G167" s="42">
        <v>45.38</v>
      </c>
      <c r="H167" s="42">
        <v>39.64</v>
      </c>
      <c r="I167" s="42">
        <v>46.27</v>
      </c>
      <c r="J167" s="42">
        <v>48.15</v>
      </c>
      <c r="K167" s="42">
        <v>45.74</v>
      </c>
      <c r="L167" s="42">
        <v>47.41</v>
      </c>
      <c r="M167" s="42">
        <f t="shared" si="11"/>
        <v>6.2000000000000028</v>
      </c>
    </row>
    <row r="168" spans="2:13" x14ac:dyDescent="0.25">
      <c r="B168" s="42">
        <f t="shared" si="8"/>
        <v>16</v>
      </c>
      <c r="C168" s="42">
        <f t="shared" si="9"/>
        <v>8</v>
      </c>
      <c r="D168" s="42">
        <f t="shared" si="10"/>
        <v>2016</v>
      </c>
      <c r="E168" s="43">
        <v>42598</v>
      </c>
      <c r="F168" s="42">
        <v>40.44</v>
      </c>
      <c r="G168" s="42">
        <v>46.14</v>
      </c>
      <c r="H168" s="42">
        <v>40.56</v>
      </c>
      <c r="I168" s="42">
        <v>47.04</v>
      </c>
      <c r="J168" s="42">
        <v>49.02</v>
      </c>
      <c r="K168" s="42">
        <v>46.58</v>
      </c>
      <c r="L168" s="42">
        <v>48.28</v>
      </c>
      <c r="M168" s="42">
        <f t="shared" si="11"/>
        <v>6.1400000000000006</v>
      </c>
    </row>
    <row r="169" spans="2:13" x14ac:dyDescent="0.25">
      <c r="B169" s="42">
        <f t="shared" si="8"/>
        <v>17</v>
      </c>
      <c r="C169" s="42">
        <f t="shared" si="9"/>
        <v>8</v>
      </c>
      <c r="D169" s="42">
        <f t="shared" si="10"/>
        <v>2016</v>
      </c>
      <c r="E169" s="43">
        <v>42599</v>
      </c>
      <c r="F169" s="42">
        <v>40.94</v>
      </c>
      <c r="G169" s="42">
        <v>46.5</v>
      </c>
      <c r="H169" s="42">
        <v>40.82</v>
      </c>
      <c r="I169" s="42">
        <v>47.44</v>
      </c>
      <c r="J169" s="42">
        <v>49.29</v>
      </c>
      <c r="K169" s="42">
        <v>46.79</v>
      </c>
      <c r="L169" s="42">
        <v>48.44</v>
      </c>
      <c r="M169" s="42">
        <f t="shared" si="11"/>
        <v>5.8500000000000014</v>
      </c>
    </row>
    <row r="170" spans="2:13" x14ac:dyDescent="0.25">
      <c r="B170" s="42">
        <f t="shared" si="8"/>
        <v>18</v>
      </c>
      <c r="C170" s="42">
        <f t="shared" si="9"/>
        <v>8</v>
      </c>
      <c r="D170" s="42">
        <f t="shared" si="10"/>
        <v>2016</v>
      </c>
      <c r="E170" s="43">
        <v>42600</v>
      </c>
      <c r="F170" s="42">
        <v>42.13</v>
      </c>
      <c r="G170" s="42">
        <v>47.83</v>
      </c>
      <c r="H170" s="42">
        <v>42.42</v>
      </c>
      <c r="I170" s="42">
        <v>48.72</v>
      </c>
      <c r="J170" s="42">
        <v>50.65</v>
      </c>
      <c r="K170" s="42">
        <v>48.22</v>
      </c>
      <c r="L170" s="42">
        <v>49.87</v>
      </c>
      <c r="M170" s="42">
        <f t="shared" si="11"/>
        <v>6.0899999999999963</v>
      </c>
    </row>
    <row r="171" spans="2:13" x14ac:dyDescent="0.25">
      <c r="B171" s="42">
        <f t="shared" si="8"/>
        <v>19</v>
      </c>
      <c r="C171" s="42">
        <f t="shared" si="9"/>
        <v>8</v>
      </c>
      <c r="D171" s="42">
        <f t="shared" si="10"/>
        <v>2016</v>
      </c>
      <c r="E171" s="43">
        <v>42601</v>
      </c>
      <c r="F171" s="42">
        <v>42.32</v>
      </c>
      <c r="G171" s="42">
        <v>48.12</v>
      </c>
      <c r="H171" s="42">
        <v>42.65</v>
      </c>
      <c r="I171" s="42">
        <v>48.94</v>
      </c>
      <c r="J171" s="42">
        <v>50.65</v>
      </c>
      <c r="K171" s="42">
        <v>48.52</v>
      </c>
      <c r="L171" s="42">
        <v>50.07</v>
      </c>
      <c r="M171" s="42">
        <f t="shared" si="11"/>
        <v>6.2000000000000028</v>
      </c>
    </row>
    <row r="172" spans="2:13" x14ac:dyDescent="0.25">
      <c r="B172" s="42">
        <f t="shared" si="8"/>
        <v>22</v>
      </c>
      <c r="C172" s="42">
        <f t="shared" si="9"/>
        <v>8</v>
      </c>
      <c r="D172" s="42">
        <f t="shared" si="10"/>
        <v>2016</v>
      </c>
      <c r="E172" s="43">
        <v>42604</v>
      </c>
      <c r="F172" s="42">
        <v>41.22</v>
      </c>
      <c r="G172" s="42">
        <v>46.6</v>
      </c>
      <c r="H172" s="42">
        <v>41.35</v>
      </c>
      <c r="I172" s="42">
        <v>47.39</v>
      </c>
      <c r="J172" s="42">
        <v>49.49</v>
      </c>
      <c r="K172" s="42">
        <v>47.05</v>
      </c>
      <c r="L172" s="42">
        <v>48.6</v>
      </c>
      <c r="M172" s="42">
        <f t="shared" si="11"/>
        <v>5.8299999999999983</v>
      </c>
    </row>
    <row r="173" spans="2:13" x14ac:dyDescent="0.25">
      <c r="B173" s="42">
        <f t="shared" si="8"/>
        <v>23</v>
      </c>
      <c r="C173" s="42">
        <f t="shared" si="9"/>
        <v>8</v>
      </c>
      <c r="D173" s="42">
        <f t="shared" si="10"/>
        <v>2016</v>
      </c>
      <c r="E173" s="43">
        <v>42605</v>
      </c>
      <c r="F173" s="42">
        <v>41.27</v>
      </c>
      <c r="G173" s="42">
        <v>46.95</v>
      </c>
      <c r="H173" s="42">
        <v>41.62</v>
      </c>
      <c r="I173" s="42">
        <v>47.82</v>
      </c>
      <c r="J173" s="42">
        <v>50</v>
      </c>
      <c r="K173" s="42">
        <v>47.65</v>
      </c>
      <c r="L173" s="42">
        <v>48.9</v>
      </c>
      <c r="M173" s="42">
        <f t="shared" si="11"/>
        <v>6.3799999999999955</v>
      </c>
    </row>
    <row r="174" spans="2:13" x14ac:dyDescent="0.25">
      <c r="B174" s="42">
        <f t="shared" si="8"/>
        <v>24</v>
      </c>
      <c r="C174" s="42">
        <f t="shared" si="9"/>
        <v>8</v>
      </c>
      <c r="D174" s="42">
        <f t="shared" si="10"/>
        <v>2016</v>
      </c>
      <c r="E174" s="43">
        <v>42606</v>
      </c>
      <c r="F174" s="42">
        <v>40.46</v>
      </c>
      <c r="G174" s="42">
        <v>45.69</v>
      </c>
      <c r="H174" s="42">
        <v>40.58</v>
      </c>
      <c r="I174" s="42">
        <v>46.63</v>
      </c>
      <c r="J174" s="42">
        <v>48.89</v>
      </c>
      <c r="K174" s="42">
        <v>46.42</v>
      </c>
      <c r="L174" s="42">
        <v>47.42</v>
      </c>
      <c r="M174" s="42">
        <f t="shared" si="11"/>
        <v>5.9600000000000009</v>
      </c>
    </row>
    <row r="175" spans="2:13" x14ac:dyDescent="0.25">
      <c r="B175" s="42">
        <f t="shared" si="8"/>
        <v>25</v>
      </c>
      <c r="C175" s="42">
        <f t="shared" si="9"/>
        <v>8</v>
      </c>
      <c r="D175" s="42">
        <f t="shared" si="10"/>
        <v>2016</v>
      </c>
      <c r="E175" s="43">
        <v>42607</v>
      </c>
      <c r="F175" s="42">
        <v>40.9</v>
      </c>
      <c r="G175" s="42">
        <v>46.05</v>
      </c>
      <c r="H175" s="42">
        <v>40.89</v>
      </c>
      <c r="I175" s="42">
        <v>47.06</v>
      </c>
      <c r="J175" s="42">
        <v>49.57</v>
      </c>
      <c r="K175" s="42">
        <v>46.98</v>
      </c>
      <c r="L175" s="42">
        <v>48.43</v>
      </c>
      <c r="M175" s="42">
        <f t="shared" si="11"/>
        <v>6.0799999999999983</v>
      </c>
    </row>
    <row r="176" spans="2:13" x14ac:dyDescent="0.25">
      <c r="B176" s="42">
        <f t="shared" si="8"/>
        <v>26</v>
      </c>
      <c r="C176" s="42">
        <f t="shared" si="9"/>
        <v>8</v>
      </c>
      <c r="D176" s="42">
        <f t="shared" si="10"/>
        <v>2016</v>
      </c>
      <c r="E176" s="43">
        <v>42608</v>
      </c>
      <c r="F176" s="42">
        <v>41.45</v>
      </c>
      <c r="G176" s="42">
        <v>47.03</v>
      </c>
      <c r="H176" s="42">
        <v>41.62</v>
      </c>
      <c r="I176" s="42">
        <v>47.89</v>
      </c>
      <c r="J176" s="42">
        <v>50.29</v>
      </c>
      <c r="K176" s="42">
        <v>47.64</v>
      </c>
      <c r="L176" s="42">
        <v>49.24</v>
      </c>
      <c r="M176" s="42">
        <f t="shared" si="11"/>
        <v>6.1899999999999977</v>
      </c>
    </row>
    <row r="177" spans="2:13" x14ac:dyDescent="0.25">
      <c r="B177" s="42">
        <f t="shared" si="8"/>
        <v>29</v>
      </c>
      <c r="C177" s="42">
        <f t="shared" si="9"/>
        <v>8</v>
      </c>
      <c r="D177" s="42">
        <f t="shared" si="10"/>
        <v>2016</v>
      </c>
      <c r="E177" s="43">
        <v>42611</v>
      </c>
      <c r="F177" s="42">
        <v>41.45</v>
      </c>
      <c r="G177" s="42">
        <v>46.37</v>
      </c>
      <c r="H177" s="42">
        <v>40.98</v>
      </c>
      <c r="I177" s="42">
        <v>47.28</v>
      </c>
      <c r="J177" s="42">
        <v>50.29</v>
      </c>
      <c r="K177" s="42">
        <v>46.98</v>
      </c>
      <c r="L177" s="42">
        <v>48.58</v>
      </c>
      <c r="M177" s="42">
        <f t="shared" si="11"/>
        <v>5.529999999999994</v>
      </c>
    </row>
    <row r="178" spans="2:13" x14ac:dyDescent="0.25">
      <c r="B178" s="42">
        <f t="shared" si="8"/>
        <v>30</v>
      </c>
      <c r="C178" s="42">
        <f t="shared" si="9"/>
        <v>8</v>
      </c>
      <c r="D178" s="42">
        <f t="shared" si="10"/>
        <v>2016</v>
      </c>
      <c r="E178" s="43">
        <v>42612</v>
      </c>
      <c r="F178" s="42">
        <v>40.35</v>
      </c>
      <c r="G178" s="42">
        <v>45.65</v>
      </c>
      <c r="H178" s="42">
        <v>40.549999999999997</v>
      </c>
      <c r="I178" s="42">
        <v>46.49</v>
      </c>
      <c r="J178" s="42">
        <v>48.47</v>
      </c>
      <c r="K178" s="42">
        <v>46.35</v>
      </c>
      <c r="L178" s="42">
        <v>48</v>
      </c>
      <c r="M178" s="42">
        <f t="shared" si="11"/>
        <v>6</v>
      </c>
    </row>
    <row r="179" spans="2:13" x14ac:dyDescent="0.25">
      <c r="B179" s="42">
        <f t="shared" si="8"/>
        <v>31</v>
      </c>
      <c r="C179" s="42">
        <f t="shared" si="9"/>
        <v>8</v>
      </c>
      <c r="D179" s="42">
        <f t="shared" si="10"/>
        <v>2016</v>
      </c>
      <c r="E179" s="43">
        <v>42613</v>
      </c>
      <c r="F179" s="42">
        <v>38.96</v>
      </c>
      <c r="G179" s="42">
        <v>44.11</v>
      </c>
      <c r="H179" s="42">
        <v>38.94</v>
      </c>
      <c r="I179" s="42">
        <v>44.98</v>
      </c>
      <c r="J179" s="42">
        <v>46.87</v>
      </c>
      <c r="K179" s="42">
        <v>44.7</v>
      </c>
      <c r="L179" s="42">
        <v>46.37</v>
      </c>
      <c r="M179" s="42">
        <f t="shared" si="11"/>
        <v>5.740000000000002</v>
      </c>
    </row>
    <row r="180" spans="2:13" x14ac:dyDescent="0.25">
      <c r="B180" s="42">
        <f t="shared" si="8"/>
        <v>1</v>
      </c>
      <c r="C180" s="42">
        <f t="shared" si="9"/>
        <v>9</v>
      </c>
      <c r="D180" s="42">
        <f t="shared" si="10"/>
        <v>2016</v>
      </c>
      <c r="E180" s="43">
        <v>42614</v>
      </c>
      <c r="F180" s="42">
        <v>36.21</v>
      </c>
      <c r="G180" s="42">
        <v>42.65</v>
      </c>
      <c r="H180" s="42">
        <v>36.4</v>
      </c>
      <c r="I180" s="42">
        <v>43.57</v>
      </c>
      <c r="J180" s="42">
        <v>46.01</v>
      </c>
      <c r="K180" s="42">
        <v>43.16</v>
      </c>
      <c r="L180" s="42">
        <v>44.96</v>
      </c>
      <c r="M180" s="42">
        <f t="shared" si="11"/>
        <v>6.9499999999999957</v>
      </c>
    </row>
    <row r="181" spans="2:13" x14ac:dyDescent="0.25">
      <c r="B181" s="42">
        <f t="shared" si="8"/>
        <v>2</v>
      </c>
      <c r="C181" s="42">
        <f t="shared" si="9"/>
        <v>9</v>
      </c>
      <c r="D181" s="42">
        <f t="shared" si="10"/>
        <v>2016</v>
      </c>
      <c r="E181" s="43">
        <v>42615</v>
      </c>
      <c r="F181" s="42">
        <v>36.82</v>
      </c>
      <c r="G181" s="42">
        <v>43.81</v>
      </c>
      <c r="H181" s="42">
        <v>37.619999999999997</v>
      </c>
      <c r="I181" s="42">
        <v>44.68</v>
      </c>
      <c r="J181" s="42">
        <v>46.82</v>
      </c>
      <c r="K181" s="42">
        <v>44.44</v>
      </c>
      <c r="L181" s="42">
        <v>46.04</v>
      </c>
      <c r="M181" s="42">
        <f t="shared" si="11"/>
        <v>7.6199999999999974</v>
      </c>
    </row>
    <row r="182" spans="2:13" x14ac:dyDescent="0.25">
      <c r="B182" s="42">
        <f t="shared" si="8"/>
        <v>5</v>
      </c>
      <c r="C182" s="42">
        <f t="shared" si="9"/>
        <v>9</v>
      </c>
      <c r="D182" s="42">
        <f t="shared" si="10"/>
        <v>2016</v>
      </c>
      <c r="E182" s="43">
        <v>42618</v>
      </c>
      <c r="F182" s="42">
        <v>36.82</v>
      </c>
      <c r="G182" s="42">
        <v>43.81</v>
      </c>
      <c r="H182" s="42">
        <v>37.619999999999997</v>
      </c>
      <c r="I182" s="42">
        <v>44.68</v>
      </c>
      <c r="J182" s="42">
        <v>47.54</v>
      </c>
      <c r="K182" s="42">
        <v>44.44</v>
      </c>
      <c r="L182" s="42">
        <v>46.04</v>
      </c>
      <c r="M182" s="42">
        <f t="shared" si="11"/>
        <v>7.6199999999999974</v>
      </c>
    </row>
    <row r="183" spans="2:13" x14ac:dyDescent="0.25">
      <c r="B183" s="42">
        <f t="shared" si="8"/>
        <v>6</v>
      </c>
      <c r="C183" s="42">
        <f t="shared" si="9"/>
        <v>9</v>
      </c>
      <c r="D183" s="42">
        <f t="shared" si="10"/>
        <v>2016</v>
      </c>
      <c r="E183" s="43">
        <v>42619</v>
      </c>
      <c r="F183" s="42">
        <v>37.24</v>
      </c>
      <c r="G183" s="42">
        <v>44.29</v>
      </c>
      <c r="H183" s="42">
        <v>37.89</v>
      </c>
      <c r="I183" s="42">
        <v>45.21</v>
      </c>
      <c r="J183" s="42">
        <v>46.94</v>
      </c>
      <c r="K183" s="42">
        <v>44.83</v>
      </c>
      <c r="L183" s="42">
        <v>46.43</v>
      </c>
      <c r="M183" s="42">
        <f t="shared" si="11"/>
        <v>7.5899999999999963</v>
      </c>
    </row>
    <row r="184" spans="2:13" x14ac:dyDescent="0.25">
      <c r="B184" s="42">
        <f t="shared" si="8"/>
        <v>7</v>
      </c>
      <c r="C184" s="42">
        <f t="shared" si="9"/>
        <v>9</v>
      </c>
      <c r="D184" s="42">
        <f t="shared" si="10"/>
        <v>2016</v>
      </c>
      <c r="E184" s="43">
        <v>42620</v>
      </c>
      <c r="F184" s="42">
        <v>37.81</v>
      </c>
      <c r="G184" s="42">
        <v>44.76</v>
      </c>
      <c r="H184" s="42">
        <v>38.25</v>
      </c>
      <c r="I184" s="42">
        <v>45.63</v>
      </c>
      <c r="J184" s="42">
        <v>47.58</v>
      </c>
      <c r="K184" s="42">
        <v>45.5</v>
      </c>
      <c r="L184" s="42">
        <v>47.08</v>
      </c>
      <c r="M184" s="42">
        <f t="shared" si="11"/>
        <v>7.6899999999999977</v>
      </c>
    </row>
    <row r="185" spans="2:13" x14ac:dyDescent="0.25">
      <c r="B185" s="42">
        <f t="shared" si="8"/>
        <v>8</v>
      </c>
      <c r="C185" s="42">
        <f t="shared" si="9"/>
        <v>9</v>
      </c>
      <c r="D185" s="42">
        <f t="shared" si="10"/>
        <v>2016</v>
      </c>
      <c r="E185" s="43">
        <v>42621</v>
      </c>
      <c r="F185" s="42">
        <v>39.79</v>
      </c>
      <c r="G185" s="42">
        <v>46.81</v>
      </c>
      <c r="H185" s="42">
        <v>40.61</v>
      </c>
      <c r="I185" s="42">
        <v>47.7</v>
      </c>
      <c r="J185" s="42">
        <v>49.89</v>
      </c>
      <c r="K185" s="42">
        <v>47.62</v>
      </c>
      <c r="L185" s="42">
        <v>49.3</v>
      </c>
      <c r="M185" s="42">
        <f t="shared" si="11"/>
        <v>7.8299999999999983</v>
      </c>
    </row>
    <row r="186" spans="2:13" x14ac:dyDescent="0.25">
      <c r="B186" s="42">
        <f t="shared" si="8"/>
        <v>9</v>
      </c>
      <c r="C186" s="42">
        <f t="shared" si="9"/>
        <v>9</v>
      </c>
      <c r="D186" s="42">
        <f t="shared" si="10"/>
        <v>2016</v>
      </c>
      <c r="E186" s="43">
        <v>42622</v>
      </c>
      <c r="F186" s="42">
        <v>39.020000000000003</v>
      </c>
      <c r="G186" s="42">
        <v>45.17</v>
      </c>
      <c r="H186" s="42">
        <v>39.08</v>
      </c>
      <c r="I186" s="42">
        <v>46.03</v>
      </c>
      <c r="J186" s="42">
        <v>48.98</v>
      </c>
      <c r="K186" s="42">
        <v>45.88</v>
      </c>
      <c r="L186" s="42">
        <v>47.56</v>
      </c>
      <c r="M186" s="42">
        <f t="shared" si="11"/>
        <v>6.8599999999999994</v>
      </c>
    </row>
    <row r="187" spans="2:13" x14ac:dyDescent="0.25">
      <c r="B187" s="42">
        <f t="shared" si="8"/>
        <v>12</v>
      </c>
      <c r="C187" s="42">
        <f t="shared" si="9"/>
        <v>9</v>
      </c>
      <c r="D187" s="42">
        <f t="shared" si="10"/>
        <v>2016</v>
      </c>
      <c r="E187" s="43">
        <v>42625</v>
      </c>
      <c r="F187" s="42">
        <v>39.020000000000003</v>
      </c>
      <c r="G187" s="42">
        <v>45.39</v>
      </c>
      <c r="H187" s="42">
        <v>39.28</v>
      </c>
      <c r="I187" s="42">
        <v>46.19</v>
      </c>
      <c r="J187" s="42">
        <v>48.64</v>
      </c>
      <c r="K187" s="42">
        <v>46.29</v>
      </c>
      <c r="L187" s="42">
        <v>48.07</v>
      </c>
      <c r="M187" s="42">
        <f t="shared" si="11"/>
        <v>7.269999999999996</v>
      </c>
    </row>
    <row r="188" spans="2:13" x14ac:dyDescent="0.25">
      <c r="B188" s="42">
        <f t="shared" si="8"/>
        <v>13</v>
      </c>
      <c r="C188" s="42">
        <f t="shared" si="9"/>
        <v>9</v>
      </c>
      <c r="D188" s="42">
        <f t="shared" si="10"/>
        <v>2016</v>
      </c>
      <c r="E188" s="43">
        <v>42626</v>
      </c>
      <c r="F188" s="42">
        <v>37.700000000000003</v>
      </c>
      <c r="G188" s="42">
        <v>44.08</v>
      </c>
      <c r="H188" s="42">
        <v>38.200000000000003</v>
      </c>
      <c r="I188" s="42">
        <v>44.9</v>
      </c>
      <c r="J188" s="42">
        <v>47.23</v>
      </c>
      <c r="K188" s="42">
        <v>44.9</v>
      </c>
      <c r="L188" s="42">
        <v>46.6</v>
      </c>
      <c r="M188" s="42">
        <f t="shared" si="11"/>
        <v>7.1999999999999957</v>
      </c>
    </row>
    <row r="189" spans="2:13" x14ac:dyDescent="0.25">
      <c r="B189" s="42">
        <f t="shared" si="8"/>
        <v>14</v>
      </c>
      <c r="C189" s="42">
        <f t="shared" si="9"/>
        <v>9</v>
      </c>
      <c r="D189" s="42">
        <f t="shared" si="10"/>
        <v>2016</v>
      </c>
      <c r="E189" s="43">
        <v>42627</v>
      </c>
      <c r="F189" s="42">
        <v>37.07</v>
      </c>
      <c r="G189" s="42">
        <v>42.7</v>
      </c>
      <c r="H189" s="42">
        <v>37.07</v>
      </c>
      <c r="I189" s="42">
        <v>43.54</v>
      </c>
      <c r="J189" s="42">
        <v>46.47</v>
      </c>
      <c r="K189" s="42">
        <v>43.58</v>
      </c>
      <c r="L189" s="42">
        <v>45.23</v>
      </c>
      <c r="M189" s="42">
        <f t="shared" si="11"/>
        <v>6.509999999999998</v>
      </c>
    </row>
    <row r="190" spans="2:13" x14ac:dyDescent="0.25">
      <c r="B190" s="42">
        <f t="shared" si="8"/>
        <v>15</v>
      </c>
      <c r="C190" s="42">
        <f t="shared" si="9"/>
        <v>9</v>
      </c>
      <c r="D190" s="42">
        <f t="shared" si="10"/>
        <v>2016</v>
      </c>
      <c r="E190" s="43">
        <v>42628</v>
      </c>
      <c r="F190" s="42">
        <v>37.1</v>
      </c>
      <c r="G190" s="42">
        <v>43.2</v>
      </c>
      <c r="H190" s="42">
        <v>37.409999999999997</v>
      </c>
      <c r="I190" s="42">
        <v>44.1</v>
      </c>
      <c r="J190" s="42">
        <v>46.75</v>
      </c>
      <c r="K190" s="42">
        <v>43.91</v>
      </c>
      <c r="L190" s="42">
        <v>45.56</v>
      </c>
      <c r="M190" s="42">
        <f t="shared" si="11"/>
        <v>6.8099999999999952</v>
      </c>
    </row>
    <row r="191" spans="2:13" x14ac:dyDescent="0.25">
      <c r="B191" s="42">
        <f t="shared" si="8"/>
        <v>16</v>
      </c>
      <c r="C191" s="42">
        <f t="shared" si="9"/>
        <v>9</v>
      </c>
      <c r="D191" s="42">
        <f t="shared" si="10"/>
        <v>2016</v>
      </c>
      <c r="E191" s="43">
        <v>42629</v>
      </c>
      <c r="F191" s="42">
        <v>36.659999999999997</v>
      </c>
      <c r="G191" s="42">
        <v>42.34</v>
      </c>
      <c r="H191" s="42">
        <v>36.85</v>
      </c>
      <c r="I191" s="42">
        <v>43.3</v>
      </c>
      <c r="J191" s="42">
        <v>46.24</v>
      </c>
      <c r="K191" s="42">
        <v>43.03</v>
      </c>
      <c r="L191" s="42">
        <v>44.68</v>
      </c>
      <c r="M191" s="42">
        <f t="shared" si="11"/>
        <v>6.3700000000000045</v>
      </c>
    </row>
    <row r="192" spans="2:13" x14ac:dyDescent="0.25">
      <c r="B192" s="42">
        <f t="shared" si="8"/>
        <v>19</v>
      </c>
      <c r="C192" s="42">
        <f t="shared" si="9"/>
        <v>9</v>
      </c>
      <c r="D192" s="42">
        <f t="shared" si="10"/>
        <v>2016</v>
      </c>
      <c r="E192" s="43">
        <v>42632</v>
      </c>
      <c r="F192" s="42">
        <v>37.07</v>
      </c>
      <c r="G192" s="42">
        <v>42.44</v>
      </c>
      <c r="H192" s="42">
        <v>37</v>
      </c>
      <c r="I192" s="42">
        <v>43.35</v>
      </c>
      <c r="J192" s="42">
        <v>46.94</v>
      </c>
      <c r="K192" s="42">
        <v>43.3</v>
      </c>
      <c r="L192" s="42">
        <v>44.9</v>
      </c>
      <c r="M192" s="42">
        <f t="shared" si="11"/>
        <v>6.2299999999999969</v>
      </c>
    </row>
    <row r="193" spans="2:13" x14ac:dyDescent="0.25">
      <c r="B193" s="42">
        <f t="shared" si="8"/>
        <v>20</v>
      </c>
      <c r="C193" s="42">
        <f t="shared" si="9"/>
        <v>9</v>
      </c>
      <c r="D193" s="42">
        <f t="shared" si="10"/>
        <v>2016</v>
      </c>
      <c r="E193" s="43">
        <v>42633</v>
      </c>
      <c r="F193" s="42">
        <v>36.75</v>
      </c>
      <c r="G193" s="42">
        <v>42.54</v>
      </c>
      <c r="H193" s="42">
        <v>37.049999999999997</v>
      </c>
      <c r="I193" s="42">
        <v>43.44</v>
      </c>
      <c r="J193" s="42">
        <v>46.15</v>
      </c>
      <c r="K193" s="42">
        <v>43.44</v>
      </c>
      <c r="L193" s="42">
        <v>45.14</v>
      </c>
      <c r="M193" s="42">
        <f t="shared" si="11"/>
        <v>6.6899999999999977</v>
      </c>
    </row>
    <row r="194" spans="2:13" x14ac:dyDescent="0.25">
      <c r="B194" s="42">
        <f t="shared" si="8"/>
        <v>21</v>
      </c>
      <c r="C194" s="42">
        <f t="shared" si="9"/>
        <v>9</v>
      </c>
      <c r="D194" s="42">
        <f t="shared" si="10"/>
        <v>2016</v>
      </c>
      <c r="E194" s="43">
        <v>42634</v>
      </c>
      <c r="F194" s="42">
        <v>37.869999999999997</v>
      </c>
      <c r="G194" s="42">
        <v>44.42</v>
      </c>
      <c r="H194" s="42">
        <v>38.68</v>
      </c>
      <c r="I194" s="42">
        <v>45.18</v>
      </c>
      <c r="J194" s="42">
        <v>46.88</v>
      </c>
      <c r="K194" s="42">
        <v>45.09</v>
      </c>
      <c r="L194" s="42">
        <v>46.77</v>
      </c>
      <c r="M194" s="42">
        <f t="shared" si="11"/>
        <v>7.220000000000006</v>
      </c>
    </row>
    <row r="195" spans="2:13" x14ac:dyDescent="0.25">
      <c r="B195" s="42">
        <f t="shared" si="8"/>
        <v>22</v>
      </c>
      <c r="C195" s="42">
        <f t="shared" si="9"/>
        <v>9</v>
      </c>
      <c r="D195" s="42">
        <f t="shared" si="10"/>
        <v>2016</v>
      </c>
      <c r="E195" s="43">
        <v>42635</v>
      </c>
      <c r="F195" s="42">
        <v>38.67</v>
      </c>
      <c r="G195" s="42">
        <v>45.42</v>
      </c>
      <c r="H195" s="42">
        <v>39.56</v>
      </c>
      <c r="I195" s="42">
        <v>46.11</v>
      </c>
      <c r="J195" s="42">
        <v>47.8</v>
      </c>
      <c r="K195" s="42">
        <v>46.17</v>
      </c>
      <c r="L195" s="42">
        <v>47.77</v>
      </c>
      <c r="M195" s="42">
        <f t="shared" si="11"/>
        <v>7.5</v>
      </c>
    </row>
    <row r="196" spans="2:13" x14ac:dyDescent="0.25">
      <c r="B196" s="42">
        <f t="shared" si="8"/>
        <v>23</v>
      </c>
      <c r="C196" s="42">
        <f t="shared" si="9"/>
        <v>9</v>
      </c>
      <c r="D196" s="42">
        <f t="shared" si="10"/>
        <v>2016</v>
      </c>
      <c r="E196" s="43">
        <v>42636</v>
      </c>
      <c r="F196" s="42">
        <v>37.9</v>
      </c>
      <c r="G196" s="42">
        <v>43.59</v>
      </c>
      <c r="H196" s="42">
        <v>38.42</v>
      </c>
      <c r="I196" s="42">
        <v>44.33</v>
      </c>
      <c r="J196" s="42">
        <v>47.46</v>
      </c>
      <c r="K196" s="42">
        <v>44.28</v>
      </c>
      <c r="L196" s="42">
        <v>46.08</v>
      </c>
      <c r="M196" s="42">
        <f t="shared" si="11"/>
        <v>6.3800000000000026</v>
      </c>
    </row>
    <row r="197" spans="2:13" x14ac:dyDescent="0.25">
      <c r="B197" s="42">
        <f t="shared" si="8"/>
        <v>26</v>
      </c>
      <c r="C197" s="42">
        <f t="shared" si="9"/>
        <v>9</v>
      </c>
      <c r="D197" s="42">
        <f t="shared" si="10"/>
        <v>2016</v>
      </c>
      <c r="E197" s="43">
        <v>42639</v>
      </c>
      <c r="F197" s="42">
        <v>38.15</v>
      </c>
      <c r="G197" s="42">
        <v>45.1</v>
      </c>
      <c r="H197" s="42">
        <v>39.26</v>
      </c>
      <c r="I197" s="42">
        <v>45.74</v>
      </c>
      <c r="J197" s="42">
        <v>47.35</v>
      </c>
      <c r="K197" s="42">
        <v>45.93</v>
      </c>
      <c r="L197" s="42">
        <v>47.56</v>
      </c>
      <c r="M197" s="42">
        <f t="shared" si="11"/>
        <v>7.7800000000000011</v>
      </c>
    </row>
    <row r="198" spans="2:13" x14ac:dyDescent="0.25">
      <c r="B198" s="42">
        <f t="shared" si="8"/>
        <v>27</v>
      </c>
      <c r="C198" s="42">
        <f t="shared" si="9"/>
        <v>9</v>
      </c>
      <c r="D198" s="42">
        <f t="shared" si="10"/>
        <v>2016</v>
      </c>
      <c r="E198" s="43">
        <v>42640</v>
      </c>
      <c r="F198" s="42">
        <v>37.04</v>
      </c>
      <c r="G198" s="42">
        <v>43.86</v>
      </c>
      <c r="H198" s="42">
        <v>37.909999999999997</v>
      </c>
      <c r="I198" s="42">
        <v>44.51</v>
      </c>
      <c r="J198" s="42">
        <v>45.75</v>
      </c>
      <c r="K198" s="42">
        <v>44.67</v>
      </c>
      <c r="L198" s="42">
        <v>46.27</v>
      </c>
      <c r="M198" s="42">
        <f t="shared" si="11"/>
        <v>7.6300000000000026</v>
      </c>
    </row>
    <row r="199" spans="2:13" x14ac:dyDescent="0.25">
      <c r="B199" s="42">
        <f t="shared" ref="B199:B262" si="12">DAY(E199)</f>
        <v>28</v>
      </c>
      <c r="C199" s="42">
        <f t="shared" ref="C199:C262" si="13">MONTH(E199)</f>
        <v>9</v>
      </c>
      <c r="D199" s="42">
        <f t="shared" ref="D199:D262" si="14">YEAR(E199)</f>
        <v>2016</v>
      </c>
      <c r="E199" s="43">
        <v>42641</v>
      </c>
      <c r="F199" s="42">
        <v>37.770000000000003</v>
      </c>
      <c r="G199" s="42">
        <v>46.24</v>
      </c>
      <c r="H199" s="42">
        <v>39.950000000000003</v>
      </c>
      <c r="I199" s="42">
        <v>46.94</v>
      </c>
      <c r="J199" s="42">
        <v>46.16</v>
      </c>
      <c r="K199" s="42">
        <v>47.05</v>
      </c>
      <c r="L199" s="42">
        <v>48.55</v>
      </c>
      <c r="M199" s="42">
        <f t="shared" ref="M199:M262" si="15">K199-F199</f>
        <v>9.279999999999994</v>
      </c>
    </row>
    <row r="200" spans="2:13" x14ac:dyDescent="0.25">
      <c r="B200" s="42">
        <f t="shared" si="12"/>
        <v>29</v>
      </c>
      <c r="C200" s="42">
        <f t="shared" si="13"/>
        <v>9</v>
      </c>
      <c r="D200" s="42">
        <f t="shared" si="14"/>
        <v>2016</v>
      </c>
      <c r="E200" s="43">
        <v>42642</v>
      </c>
      <c r="F200" s="42">
        <v>39.69</v>
      </c>
      <c r="G200" s="42">
        <v>46.99</v>
      </c>
      <c r="H200" s="42">
        <v>40.71</v>
      </c>
      <c r="I200" s="42">
        <v>47.64</v>
      </c>
      <c r="J200" s="42">
        <v>49.24</v>
      </c>
      <c r="K200" s="42">
        <v>47.83</v>
      </c>
      <c r="L200" s="42">
        <v>49.33</v>
      </c>
      <c r="M200" s="42">
        <f t="shared" si="15"/>
        <v>8.14</v>
      </c>
    </row>
    <row r="201" spans="2:13" x14ac:dyDescent="0.25">
      <c r="B201" s="42">
        <f t="shared" si="12"/>
        <v>30</v>
      </c>
      <c r="C201" s="42">
        <f t="shared" si="13"/>
        <v>9</v>
      </c>
      <c r="D201" s="42">
        <f t="shared" si="14"/>
        <v>2016</v>
      </c>
      <c r="E201" s="43">
        <v>42643</v>
      </c>
      <c r="F201" s="42">
        <v>39.83</v>
      </c>
      <c r="G201" s="42">
        <v>47.36</v>
      </c>
      <c r="H201" s="42">
        <v>41.17</v>
      </c>
      <c r="I201" s="42">
        <v>47.94</v>
      </c>
      <c r="J201" s="42">
        <v>48.92</v>
      </c>
      <c r="K201" s="42">
        <v>48.24</v>
      </c>
      <c r="L201" s="42">
        <v>49.74</v>
      </c>
      <c r="M201" s="42">
        <f t="shared" si="15"/>
        <v>8.4100000000000037</v>
      </c>
    </row>
    <row r="202" spans="2:13" x14ac:dyDescent="0.25">
      <c r="B202" s="42">
        <f t="shared" si="12"/>
        <v>3</v>
      </c>
      <c r="C202" s="42">
        <f t="shared" si="13"/>
        <v>10</v>
      </c>
      <c r="D202" s="42">
        <f t="shared" si="14"/>
        <v>2016</v>
      </c>
      <c r="E202" s="43">
        <v>42646</v>
      </c>
      <c r="F202" s="42">
        <v>39.71</v>
      </c>
      <c r="G202" s="42">
        <v>48.57</v>
      </c>
      <c r="H202" s="42">
        <v>41.78</v>
      </c>
      <c r="I202" s="42">
        <v>48.98</v>
      </c>
      <c r="J202" s="42">
        <v>50.28</v>
      </c>
      <c r="K202" s="42">
        <v>48.81</v>
      </c>
      <c r="L202" s="42">
        <v>50.31</v>
      </c>
      <c r="M202" s="42">
        <f t="shared" si="15"/>
        <v>9.1000000000000014</v>
      </c>
    </row>
    <row r="203" spans="2:13" x14ac:dyDescent="0.25">
      <c r="B203" s="42">
        <f t="shared" si="12"/>
        <v>4</v>
      </c>
      <c r="C203" s="42">
        <f t="shared" si="13"/>
        <v>10</v>
      </c>
      <c r="D203" s="42">
        <f t="shared" si="14"/>
        <v>2016</v>
      </c>
      <c r="E203" s="43">
        <v>42647</v>
      </c>
      <c r="F203" s="42">
        <v>40.15</v>
      </c>
      <c r="G203" s="42">
        <v>48.6</v>
      </c>
      <c r="H203" s="42">
        <v>41.91</v>
      </c>
      <c r="I203" s="42">
        <v>49.04</v>
      </c>
      <c r="J203" s="42">
        <v>51.19</v>
      </c>
      <c r="K203" s="42">
        <v>48.69</v>
      </c>
      <c r="L203" s="42">
        <v>50.19</v>
      </c>
      <c r="M203" s="42">
        <f t="shared" si="15"/>
        <v>8.5399999999999991</v>
      </c>
    </row>
    <row r="204" spans="2:13" x14ac:dyDescent="0.25">
      <c r="B204" s="42">
        <f t="shared" si="12"/>
        <v>5</v>
      </c>
      <c r="C204" s="42">
        <f t="shared" si="13"/>
        <v>10</v>
      </c>
      <c r="D204" s="42">
        <f t="shared" si="14"/>
        <v>2016</v>
      </c>
      <c r="E204" s="43">
        <v>42648</v>
      </c>
      <c r="F204" s="42">
        <v>41.12</v>
      </c>
      <c r="G204" s="42">
        <v>49.76</v>
      </c>
      <c r="H204" s="42">
        <v>43.04</v>
      </c>
      <c r="I204" s="42">
        <v>50.16</v>
      </c>
      <c r="J204" s="42">
        <v>51.89</v>
      </c>
      <c r="K204" s="42">
        <v>49.83</v>
      </c>
      <c r="L204" s="42">
        <v>51.28</v>
      </c>
      <c r="M204" s="42">
        <f t="shared" si="15"/>
        <v>8.7100000000000009</v>
      </c>
    </row>
    <row r="205" spans="2:13" x14ac:dyDescent="0.25">
      <c r="B205" s="42">
        <f t="shared" si="12"/>
        <v>6</v>
      </c>
      <c r="C205" s="42">
        <f t="shared" si="13"/>
        <v>10</v>
      </c>
      <c r="D205" s="42">
        <f t="shared" si="14"/>
        <v>2016</v>
      </c>
      <c r="E205" s="43">
        <v>42649</v>
      </c>
      <c r="F205" s="42">
        <v>41.65</v>
      </c>
      <c r="G205" s="42">
        <v>50.6</v>
      </c>
      <c r="H205" s="42">
        <v>43.91</v>
      </c>
      <c r="I205" s="42">
        <v>50.99</v>
      </c>
      <c r="J205" s="42">
        <v>52.38</v>
      </c>
      <c r="K205" s="42">
        <v>50.44</v>
      </c>
      <c r="L205" s="42">
        <v>51.94</v>
      </c>
      <c r="M205" s="42">
        <f t="shared" si="15"/>
        <v>8.7899999999999991</v>
      </c>
    </row>
    <row r="206" spans="2:13" x14ac:dyDescent="0.25">
      <c r="B206" s="42">
        <f t="shared" si="12"/>
        <v>7</v>
      </c>
      <c r="C206" s="42">
        <f t="shared" si="13"/>
        <v>10</v>
      </c>
      <c r="D206" s="42">
        <f t="shared" si="14"/>
        <v>2016</v>
      </c>
      <c r="E206" s="43">
        <v>42650</v>
      </c>
      <c r="F206" s="42">
        <v>41.86</v>
      </c>
      <c r="G206" s="42">
        <v>49.97</v>
      </c>
      <c r="H206" s="42">
        <v>43.42</v>
      </c>
      <c r="I206" s="42">
        <v>50.37</v>
      </c>
      <c r="J206" s="42">
        <v>52.29</v>
      </c>
      <c r="K206" s="42">
        <v>49.81</v>
      </c>
      <c r="L206" s="42">
        <v>51.31</v>
      </c>
      <c r="M206" s="42">
        <f t="shared" si="15"/>
        <v>7.9500000000000028</v>
      </c>
    </row>
    <row r="207" spans="2:13" x14ac:dyDescent="0.25">
      <c r="B207" s="42">
        <f t="shared" si="12"/>
        <v>10</v>
      </c>
      <c r="C207" s="42">
        <f t="shared" si="13"/>
        <v>10</v>
      </c>
      <c r="D207" s="42">
        <f t="shared" si="14"/>
        <v>2016</v>
      </c>
      <c r="E207" s="43">
        <v>42653</v>
      </c>
      <c r="F207" s="42">
        <v>42.5</v>
      </c>
      <c r="G207" s="42">
        <v>51.47</v>
      </c>
      <c r="H207" s="42">
        <v>44.74</v>
      </c>
      <c r="I207" s="42">
        <v>51.8</v>
      </c>
      <c r="J207" s="42">
        <v>53.39</v>
      </c>
      <c r="K207" s="42">
        <v>51.35</v>
      </c>
      <c r="L207" s="42">
        <v>52.9</v>
      </c>
      <c r="M207" s="42">
        <f t="shared" si="15"/>
        <v>8.8500000000000014</v>
      </c>
    </row>
    <row r="208" spans="2:13" x14ac:dyDescent="0.25">
      <c r="B208" s="42">
        <f t="shared" si="12"/>
        <v>11</v>
      </c>
      <c r="C208" s="42">
        <f t="shared" si="13"/>
        <v>10</v>
      </c>
      <c r="D208" s="42">
        <f t="shared" si="14"/>
        <v>2016</v>
      </c>
      <c r="E208" s="43">
        <v>42654</v>
      </c>
      <c r="F208" s="42">
        <v>42.02</v>
      </c>
      <c r="G208" s="42">
        <v>50.9</v>
      </c>
      <c r="H208" s="42">
        <v>43.9</v>
      </c>
      <c r="I208" s="42">
        <v>51.23</v>
      </c>
      <c r="J208" s="42">
        <v>52.46</v>
      </c>
      <c r="K208" s="42">
        <v>50.79</v>
      </c>
      <c r="L208" s="42">
        <v>52.34</v>
      </c>
      <c r="M208" s="42">
        <f t="shared" si="15"/>
        <v>8.769999999999996</v>
      </c>
    </row>
    <row r="209" spans="2:13" x14ac:dyDescent="0.25">
      <c r="B209" s="42">
        <f t="shared" si="12"/>
        <v>12</v>
      </c>
      <c r="C209" s="42">
        <f t="shared" si="13"/>
        <v>10</v>
      </c>
      <c r="D209" s="42">
        <f t="shared" si="14"/>
        <v>2016</v>
      </c>
      <c r="E209" s="43">
        <v>42655</v>
      </c>
      <c r="F209" s="42">
        <v>41.5</v>
      </c>
      <c r="G209" s="42">
        <v>50.34</v>
      </c>
      <c r="H209" s="42">
        <v>43.6</v>
      </c>
      <c r="I209" s="42">
        <v>50.63</v>
      </c>
      <c r="J209" s="42">
        <v>51.8</v>
      </c>
      <c r="K209" s="42">
        <v>50.18</v>
      </c>
      <c r="L209" s="42">
        <v>51.73</v>
      </c>
      <c r="M209" s="42">
        <f t="shared" si="15"/>
        <v>8.68</v>
      </c>
    </row>
    <row r="210" spans="2:13" x14ac:dyDescent="0.25">
      <c r="B210" s="42">
        <f t="shared" si="12"/>
        <v>13</v>
      </c>
      <c r="C210" s="42">
        <f t="shared" si="13"/>
        <v>10</v>
      </c>
      <c r="D210" s="42">
        <f t="shared" si="14"/>
        <v>2016</v>
      </c>
      <c r="E210" s="43">
        <v>42656</v>
      </c>
      <c r="F210" s="42">
        <v>41.47</v>
      </c>
      <c r="G210" s="42">
        <v>50.63</v>
      </c>
      <c r="H210" s="42">
        <v>43.79</v>
      </c>
      <c r="I210" s="42">
        <v>50.91</v>
      </c>
      <c r="J210" s="42">
        <v>51.73</v>
      </c>
      <c r="K210" s="42">
        <v>50.44</v>
      </c>
      <c r="L210" s="42">
        <v>51.94</v>
      </c>
      <c r="M210" s="42">
        <f t="shared" si="15"/>
        <v>8.9699999999999989</v>
      </c>
    </row>
    <row r="211" spans="2:13" x14ac:dyDescent="0.25">
      <c r="B211" s="42">
        <f t="shared" si="12"/>
        <v>14</v>
      </c>
      <c r="C211" s="42">
        <f t="shared" si="13"/>
        <v>10</v>
      </c>
      <c r="D211" s="42">
        <f t="shared" si="14"/>
        <v>2016</v>
      </c>
      <c r="E211" s="43">
        <v>42657</v>
      </c>
      <c r="F211" s="42">
        <v>41.57</v>
      </c>
      <c r="G211" s="42">
        <v>50.34</v>
      </c>
      <c r="H211" s="42">
        <v>43.55</v>
      </c>
      <c r="I211" s="42">
        <v>50.65</v>
      </c>
      <c r="J211" s="42">
        <v>51.59</v>
      </c>
      <c r="K211" s="42">
        <v>50.35</v>
      </c>
      <c r="L211" s="42">
        <v>51.85</v>
      </c>
      <c r="M211" s="42">
        <f t="shared" si="15"/>
        <v>8.7800000000000011</v>
      </c>
    </row>
    <row r="212" spans="2:13" x14ac:dyDescent="0.25">
      <c r="B212" s="42">
        <f t="shared" si="12"/>
        <v>17</v>
      </c>
      <c r="C212" s="42">
        <f t="shared" si="13"/>
        <v>10</v>
      </c>
      <c r="D212" s="42">
        <f t="shared" si="14"/>
        <v>2016</v>
      </c>
      <c r="E212" s="43">
        <v>42660</v>
      </c>
      <c r="F212" s="42">
        <v>41.39</v>
      </c>
      <c r="G212" s="42">
        <v>50.08</v>
      </c>
      <c r="H212" s="42">
        <v>43.15</v>
      </c>
      <c r="I212" s="42">
        <v>50.33</v>
      </c>
      <c r="J212" s="42">
        <v>51.29</v>
      </c>
      <c r="K212" s="42">
        <v>49.94</v>
      </c>
      <c r="L212" s="42">
        <v>51.44</v>
      </c>
      <c r="M212" s="42">
        <f t="shared" si="15"/>
        <v>8.5499999999999972</v>
      </c>
    </row>
    <row r="213" spans="2:13" x14ac:dyDescent="0.25">
      <c r="B213" s="42">
        <f t="shared" si="12"/>
        <v>18</v>
      </c>
      <c r="C213" s="42">
        <f t="shared" si="13"/>
        <v>10</v>
      </c>
      <c r="D213" s="42">
        <f t="shared" si="14"/>
        <v>2016</v>
      </c>
      <c r="E213" s="43">
        <v>42661</v>
      </c>
      <c r="F213" s="42">
        <v>41.58</v>
      </c>
      <c r="G213" s="42">
        <v>50.4</v>
      </c>
      <c r="H213" s="42">
        <v>43.66</v>
      </c>
      <c r="I213" s="42">
        <v>50.63</v>
      </c>
      <c r="J213" s="42">
        <v>51.41</v>
      </c>
      <c r="K213" s="42">
        <v>50.29</v>
      </c>
      <c r="L213" s="42">
        <v>51.84</v>
      </c>
      <c r="M213" s="42">
        <f t="shared" si="15"/>
        <v>8.7100000000000009</v>
      </c>
    </row>
    <row r="214" spans="2:13" x14ac:dyDescent="0.25">
      <c r="B214" s="42">
        <f t="shared" si="12"/>
        <v>19</v>
      </c>
      <c r="C214" s="42">
        <f t="shared" si="13"/>
        <v>10</v>
      </c>
      <c r="D214" s="42">
        <f t="shared" si="14"/>
        <v>2016</v>
      </c>
      <c r="E214" s="43">
        <v>42662</v>
      </c>
      <c r="F214" s="42">
        <v>42.86</v>
      </c>
      <c r="G214" s="42">
        <v>51.6</v>
      </c>
      <c r="H214" s="42">
        <v>44.78</v>
      </c>
      <c r="I214" s="42">
        <v>51.77</v>
      </c>
      <c r="J214" s="42">
        <v>52.91</v>
      </c>
      <c r="K214" s="42">
        <v>51.6</v>
      </c>
      <c r="L214" s="42">
        <v>53.15</v>
      </c>
      <c r="M214" s="42">
        <f t="shared" si="15"/>
        <v>8.740000000000002</v>
      </c>
    </row>
    <row r="215" spans="2:13" x14ac:dyDescent="0.25">
      <c r="B215" s="42">
        <f t="shared" si="12"/>
        <v>20</v>
      </c>
      <c r="C215" s="42">
        <f t="shared" si="13"/>
        <v>10</v>
      </c>
      <c r="D215" s="42">
        <f t="shared" si="14"/>
        <v>2016</v>
      </c>
      <c r="E215" s="43">
        <v>42663</v>
      </c>
      <c r="F215" s="42">
        <v>41.81</v>
      </c>
      <c r="G215" s="42">
        <v>50.34</v>
      </c>
      <c r="H215" s="42">
        <v>44.04</v>
      </c>
      <c r="I215" s="42">
        <v>50.52</v>
      </c>
      <c r="J215" s="42">
        <v>51.37</v>
      </c>
      <c r="K215" s="42">
        <v>50.43</v>
      </c>
      <c r="L215" s="42">
        <v>51.88</v>
      </c>
      <c r="M215" s="42">
        <f t="shared" si="15"/>
        <v>8.6199999999999974</v>
      </c>
    </row>
    <row r="216" spans="2:13" x14ac:dyDescent="0.25">
      <c r="B216" s="42">
        <f t="shared" si="12"/>
        <v>21</v>
      </c>
      <c r="C216" s="42">
        <f t="shared" si="13"/>
        <v>10</v>
      </c>
      <c r="D216" s="42">
        <f t="shared" si="14"/>
        <v>2016</v>
      </c>
      <c r="E216" s="43">
        <v>42664</v>
      </c>
      <c r="F216" s="42">
        <v>41.89</v>
      </c>
      <c r="G216" s="42">
        <v>50.48</v>
      </c>
      <c r="H216" s="42">
        <v>43.6</v>
      </c>
      <c r="I216" s="42">
        <v>50.69</v>
      </c>
      <c r="J216" s="42">
        <v>51.65</v>
      </c>
      <c r="K216" s="42">
        <v>50.55</v>
      </c>
      <c r="L216" s="42">
        <v>52</v>
      </c>
      <c r="M216" s="42">
        <f t="shared" si="15"/>
        <v>8.6599999999999966</v>
      </c>
    </row>
    <row r="217" spans="2:13" x14ac:dyDescent="0.25">
      <c r="B217" s="42">
        <f t="shared" si="12"/>
        <v>24</v>
      </c>
      <c r="C217" s="42">
        <f t="shared" si="13"/>
        <v>10</v>
      </c>
      <c r="D217" s="42">
        <f t="shared" si="14"/>
        <v>2016</v>
      </c>
      <c r="E217" s="43">
        <v>42667</v>
      </c>
      <c r="F217" s="42">
        <v>41.62</v>
      </c>
      <c r="G217" s="42">
        <v>50.04</v>
      </c>
      <c r="H217" s="42">
        <v>43.56</v>
      </c>
      <c r="I217" s="42">
        <v>50.28</v>
      </c>
      <c r="J217" s="42">
        <v>51.16</v>
      </c>
      <c r="K217" s="42">
        <v>50.12</v>
      </c>
      <c r="L217" s="42">
        <v>51.37</v>
      </c>
      <c r="M217" s="42">
        <f t="shared" si="15"/>
        <v>8.5</v>
      </c>
    </row>
    <row r="218" spans="2:13" x14ac:dyDescent="0.25">
      <c r="B218" s="42">
        <f t="shared" si="12"/>
        <v>25</v>
      </c>
      <c r="C218" s="42">
        <f t="shared" si="13"/>
        <v>10</v>
      </c>
      <c r="D218" s="42">
        <f t="shared" si="14"/>
        <v>2016</v>
      </c>
      <c r="E218" s="43">
        <v>42668</v>
      </c>
      <c r="F218" s="42">
        <v>41.22</v>
      </c>
      <c r="G218" s="42">
        <v>49.51</v>
      </c>
      <c r="H218" s="42">
        <v>43.1</v>
      </c>
      <c r="I218" s="42">
        <v>49.67</v>
      </c>
      <c r="J218" s="42">
        <v>50.92</v>
      </c>
      <c r="K218" s="42">
        <v>49.51</v>
      </c>
      <c r="L218" s="42">
        <v>51.16</v>
      </c>
      <c r="M218" s="42">
        <f t="shared" si="15"/>
        <v>8.2899999999999991</v>
      </c>
    </row>
    <row r="219" spans="2:13" x14ac:dyDescent="0.25">
      <c r="B219" s="42">
        <f t="shared" si="12"/>
        <v>26</v>
      </c>
      <c r="C219" s="42">
        <f t="shared" si="13"/>
        <v>10</v>
      </c>
      <c r="D219" s="42">
        <f t="shared" si="14"/>
        <v>2016</v>
      </c>
      <c r="E219" s="43">
        <v>42669</v>
      </c>
      <c r="F219" s="42">
        <v>40.58</v>
      </c>
      <c r="G219" s="42">
        <v>48.99</v>
      </c>
      <c r="H219" s="42">
        <v>42.4</v>
      </c>
      <c r="I219" s="42">
        <v>49.16</v>
      </c>
      <c r="J219" s="42">
        <v>50.46</v>
      </c>
      <c r="K219" s="42">
        <v>49.18</v>
      </c>
      <c r="L219" s="42">
        <v>50.58</v>
      </c>
      <c r="M219" s="42">
        <f t="shared" si="15"/>
        <v>8.6000000000000014</v>
      </c>
    </row>
    <row r="220" spans="2:13" x14ac:dyDescent="0.25">
      <c r="B220" s="42">
        <f t="shared" si="12"/>
        <v>27</v>
      </c>
      <c r="C220" s="42">
        <f t="shared" si="13"/>
        <v>10</v>
      </c>
      <c r="D220" s="42">
        <f t="shared" si="14"/>
        <v>2016</v>
      </c>
      <c r="E220" s="43">
        <v>42670</v>
      </c>
      <c r="F220" s="42">
        <v>40.9</v>
      </c>
      <c r="G220" s="42">
        <v>49.56</v>
      </c>
      <c r="H220" s="42">
        <v>42.97</v>
      </c>
      <c r="I220" s="42">
        <v>49.7</v>
      </c>
      <c r="J220" s="42">
        <v>50.59</v>
      </c>
      <c r="K220" s="42">
        <v>49.72</v>
      </c>
      <c r="L220" s="42">
        <v>51.12</v>
      </c>
      <c r="M220" s="42">
        <f t="shared" si="15"/>
        <v>8.82</v>
      </c>
    </row>
    <row r="221" spans="2:13" x14ac:dyDescent="0.25">
      <c r="B221" s="42">
        <f t="shared" si="12"/>
        <v>28</v>
      </c>
      <c r="C221" s="42">
        <f t="shared" si="13"/>
        <v>10</v>
      </c>
      <c r="D221" s="42">
        <f t="shared" si="14"/>
        <v>2016</v>
      </c>
      <c r="E221" s="43">
        <v>42671</v>
      </c>
      <c r="F221" s="42">
        <v>40.51</v>
      </c>
      <c r="G221" s="42">
        <v>48.62</v>
      </c>
      <c r="H221" s="42">
        <v>42.2</v>
      </c>
      <c r="I221" s="42">
        <v>48.83</v>
      </c>
      <c r="J221" s="42">
        <v>50.16</v>
      </c>
      <c r="K221" s="42">
        <v>48.7</v>
      </c>
      <c r="L221" s="42">
        <v>50.05</v>
      </c>
      <c r="M221" s="42">
        <f t="shared" si="15"/>
        <v>8.1900000000000048</v>
      </c>
    </row>
    <row r="222" spans="2:13" x14ac:dyDescent="0.25">
      <c r="B222" s="42">
        <f t="shared" si="12"/>
        <v>31</v>
      </c>
      <c r="C222" s="42">
        <f t="shared" si="13"/>
        <v>10</v>
      </c>
      <c r="D222" s="42">
        <f t="shared" si="14"/>
        <v>2016</v>
      </c>
      <c r="E222" s="43">
        <v>42674</v>
      </c>
      <c r="F222" s="42">
        <v>38.81</v>
      </c>
      <c r="G222" s="42">
        <v>46.98</v>
      </c>
      <c r="H222" s="42">
        <v>40.83</v>
      </c>
      <c r="I222" s="42">
        <v>47.24</v>
      </c>
      <c r="J222" s="42">
        <v>47.59</v>
      </c>
      <c r="K222" s="42">
        <v>46.86</v>
      </c>
      <c r="L222" s="42">
        <v>48.21</v>
      </c>
      <c r="M222" s="42">
        <f t="shared" si="15"/>
        <v>8.0499999999999972</v>
      </c>
    </row>
    <row r="223" spans="2:13" x14ac:dyDescent="0.25">
      <c r="B223" s="42">
        <f t="shared" si="12"/>
        <v>1</v>
      </c>
      <c r="C223" s="42">
        <f t="shared" si="13"/>
        <v>11</v>
      </c>
      <c r="D223" s="42">
        <f t="shared" si="14"/>
        <v>2016</v>
      </c>
      <c r="E223" s="43">
        <v>42675</v>
      </c>
      <c r="F223" s="42">
        <v>38.549999999999997</v>
      </c>
      <c r="G223" s="42">
        <v>47.2</v>
      </c>
      <c r="H223" s="42">
        <v>40.130000000000003</v>
      </c>
      <c r="I223" s="42">
        <v>47.73</v>
      </c>
      <c r="J223" s="42">
        <v>48.24</v>
      </c>
      <c r="K223" s="42">
        <v>46.67</v>
      </c>
      <c r="L223" s="42">
        <v>47.87</v>
      </c>
      <c r="M223" s="42">
        <f t="shared" si="15"/>
        <v>8.1200000000000045</v>
      </c>
    </row>
    <row r="224" spans="2:13" x14ac:dyDescent="0.25">
      <c r="B224" s="42">
        <f t="shared" si="12"/>
        <v>2</v>
      </c>
      <c r="C224" s="42">
        <f t="shared" si="13"/>
        <v>11</v>
      </c>
      <c r="D224" s="42">
        <f t="shared" si="14"/>
        <v>2016</v>
      </c>
      <c r="E224" s="43">
        <v>42676</v>
      </c>
      <c r="F224" s="42">
        <v>37.32</v>
      </c>
      <c r="G224" s="42">
        <v>45.93</v>
      </c>
      <c r="H224" s="42">
        <v>39.19</v>
      </c>
      <c r="I224" s="42">
        <v>46.45</v>
      </c>
      <c r="J224" s="42">
        <v>46.6</v>
      </c>
      <c r="K224" s="42">
        <v>45.34</v>
      </c>
      <c r="L224" s="42">
        <v>46.54</v>
      </c>
      <c r="M224" s="42">
        <f t="shared" si="15"/>
        <v>8.0200000000000031</v>
      </c>
    </row>
    <row r="225" spans="2:13" x14ac:dyDescent="0.25">
      <c r="B225" s="42">
        <f t="shared" si="12"/>
        <v>3</v>
      </c>
      <c r="C225" s="42">
        <f t="shared" si="13"/>
        <v>11</v>
      </c>
      <c r="D225" s="42">
        <f t="shared" si="14"/>
        <v>2016</v>
      </c>
      <c r="E225" s="43">
        <v>42677</v>
      </c>
      <c r="F225" s="42">
        <v>37</v>
      </c>
      <c r="G225" s="42">
        <v>45.28</v>
      </c>
      <c r="H225" s="42">
        <v>38.78</v>
      </c>
      <c r="I225" s="42">
        <v>45.82</v>
      </c>
      <c r="J225" s="42">
        <v>46.4</v>
      </c>
      <c r="K225" s="42">
        <v>44.66</v>
      </c>
      <c r="L225" s="42">
        <v>45.81</v>
      </c>
      <c r="M225" s="42">
        <f t="shared" si="15"/>
        <v>7.6599999999999966</v>
      </c>
    </row>
    <row r="226" spans="2:13" x14ac:dyDescent="0.25">
      <c r="B226" s="42">
        <f t="shared" si="12"/>
        <v>4</v>
      </c>
      <c r="C226" s="42">
        <f t="shared" si="13"/>
        <v>11</v>
      </c>
      <c r="D226" s="42">
        <f t="shared" si="14"/>
        <v>2016</v>
      </c>
      <c r="E226" s="43">
        <v>42678</v>
      </c>
      <c r="F226" s="42">
        <v>36.57</v>
      </c>
      <c r="G226" s="42">
        <v>44.65</v>
      </c>
      <c r="H226" s="42">
        <v>38.53</v>
      </c>
      <c r="I226" s="42">
        <v>45.15</v>
      </c>
      <c r="J226" s="42">
        <v>45.58</v>
      </c>
      <c r="K226" s="42">
        <v>44.07</v>
      </c>
      <c r="L226" s="42">
        <v>45.22</v>
      </c>
      <c r="M226" s="42">
        <f t="shared" si="15"/>
        <v>7.5</v>
      </c>
    </row>
    <row r="227" spans="2:13" x14ac:dyDescent="0.25">
      <c r="B227" s="42">
        <f t="shared" si="12"/>
        <v>7</v>
      </c>
      <c r="C227" s="42">
        <f t="shared" si="13"/>
        <v>11</v>
      </c>
      <c r="D227" s="42">
        <f t="shared" si="14"/>
        <v>2016</v>
      </c>
      <c r="E227" s="43">
        <v>42681</v>
      </c>
      <c r="F227" s="42">
        <v>37.06</v>
      </c>
      <c r="G227" s="42">
        <v>45.34</v>
      </c>
      <c r="H227" s="42">
        <v>39.35</v>
      </c>
      <c r="I227" s="42">
        <v>45.81</v>
      </c>
      <c r="J227" s="42">
        <v>45.57</v>
      </c>
      <c r="K227" s="42">
        <v>44.89</v>
      </c>
      <c r="L227" s="42">
        <v>45.94</v>
      </c>
      <c r="M227" s="42">
        <f t="shared" si="15"/>
        <v>7.8299999999999983</v>
      </c>
    </row>
    <row r="228" spans="2:13" x14ac:dyDescent="0.25">
      <c r="B228" s="42">
        <f t="shared" si="12"/>
        <v>8</v>
      </c>
      <c r="C228" s="42">
        <f t="shared" si="13"/>
        <v>11</v>
      </c>
      <c r="D228" s="42">
        <f t="shared" si="14"/>
        <v>2016</v>
      </c>
      <c r="E228" s="43">
        <v>42682</v>
      </c>
      <c r="F228" s="42">
        <v>37.24</v>
      </c>
      <c r="G228" s="42">
        <v>45.21</v>
      </c>
      <c r="H228" s="42">
        <v>39.22</v>
      </c>
      <c r="I228" s="42">
        <v>45.53</v>
      </c>
      <c r="J228" s="42">
        <v>46.12</v>
      </c>
      <c r="K228" s="42">
        <v>44.98</v>
      </c>
      <c r="L228" s="42">
        <v>45.98</v>
      </c>
      <c r="M228" s="42">
        <f t="shared" si="15"/>
        <v>7.7399999999999949</v>
      </c>
    </row>
    <row r="229" spans="2:13" x14ac:dyDescent="0.25">
      <c r="B229" s="42">
        <f t="shared" si="12"/>
        <v>9</v>
      </c>
      <c r="C229" s="42">
        <f t="shared" si="13"/>
        <v>11</v>
      </c>
      <c r="D229" s="42">
        <f t="shared" si="14"/>
        <v>2016</v>
      </c>
      <c r="E229" s="43">
        <v>42683</v>
      </c>
      <c r="F229" s="42">
        <v>37.25</v>
      </c>
      <c r="G229" s="42">
        <v>45.33</v>
      </c>
      <c r="H229" s="42">
        <v>39.36</v>
      </c>
      <c r="I229" s="42">
        <v>45.66</v>
      </c>
      <c r="J229" s="42">
        <v>45.97</v>
      </c>
      <c r="K229" s="42">
        <v>45.27</v>
      </c>
      <c r="L229" s="42">
        <v>46.17</v>
      </c>
      <c r="M229" s="42">
        <f t="shared" si="15"/>
        <v>8.0200000000000031</v>
      </c>
    </row>
    <row r="230" spans="2:13" x14ac:dyDescent="0.25">
      <c r="B230" s="42">
        <f t="shared" si="12"/>
        <v>10</v>
      </c>
      <c r="C230" s="42">
        <f t="shared" si="13"/>
        <v>11</v>
      </c>
      <c r="D230" s="42">
        <f t="shared" si="14"/>
        <v>2016</v>
      </c>
      <c r="E230" s="43">
        <v>42684</v>
      </c>
      <c r="F230" s="42">
        <v>37.19</v>
      </c>
      <c r="G230" s="42">
        <v>44.81</v>
      </c>
      <c r="H230" s="42">
        <v>38.72</v>
      </c>
      <c r="I230" s="42">
        <v>45.21</v>
      </c>
      <c r="J230" s="42">
        <v>45.89</v>
      </c>
      <c r="K230" s="42">
        <v>44.66</v>
      </c>
      <c r="L230" s="42">
        <v>45.61</v>
      </c>
      <c r="M230" s="42">
        <f t="shared" si="15"/>
        <v>7.4699999999999989</v>
      </c>
    </row>
    <row r="231" spans="2:13" x14ac:dyDescent="0.25">
      <c r="B231" s="42">
        <f t="shared" si="12"/>
        <v>11</v>
      </c>
      <c r="C231" s="42">
        <f t="shared" si="13"/>
        <v>11</v>
      </c>
      <c r="D231" s="42">
        <f t="shared" si="14"/>
        <v>2016</v>
      </c>
      <c r="E231" s="43">
        <v>42685</v>
      </c>
      <c r="F231" s="42">
        <v>35.92</v>
      </c>
      <c r="G231" s="42">
        <v>43.57</v>
      </c>
      <c r="H231" s="42">
        <v>37.549999999999997</v>
      </c>
      <c r="I231" s="42">
        <v>43.98</v>
      </c>
      <c r="J231" s="42">
        <v>44.4</v>
      </c>
      <c r="K231" s="42">
        <v>43.41</v>
      </c>
      <c r="L231" s="42">
        <v>44.51</v>
      </c>
      <c r="M231" s="42">
        <f t="shared" si="15"/>
        <v>7.4899999999999949</v>
      </c>
    </row>
    <row r="232" spans="2:13" x14ac:dyDescent="0.25">
      <c r="B232" s="42">
        <f t="shared" si="12"/>
        <v>14</v>
      </c>
      <c r="C232" s="42">
        <f t="shared" si="13"/>
        <v>11</v>
      </c>
      <c r="D232" s="42">
        <f t="shared" si="14"/>
        <v>2016</v>
      </c>
      <c r="E232" s="43">
        <v>42688</v>
      </c>
      <c r="F232" s="42">
        <v>35.49</v>
      </c>
      <c r="G232" s="42">
        <v>43.54</v>
      </c>
      <c r="H232" s="42">
        <v>37.43</v>
      </c>
      <c r="I232" s="42">
        <v>43.9</v>
      </c>
      <c r="J232" s="42">
        <v>43.76</v>
      </c>
      <c r="K232" s="42">
        <v>43.32</v>
      </c>
      <c r="L232" s="42">
        <v>44.52</v>
      </c>
      <c r="M232" s="42">
        <f t="shared" si="15"/>
        <v>7.8299999999999983</v>
      </c>
    </row>
    <row r="233" spans="2:13" x14ac:dyDescent="0.25">
      <c r="B233" s="42">
        <f t="shared" si="12"/>
        <v>15</v>
      </c>
      <c r="C233" s="42">
        <f t="shared" si="13"/>
        <v>11</v>
      </c>
      <c r="D233" s="42">
        <f t="shared" si="14"/>
        <v>2016</v>
      </c>
      <c r="E233" s="43">
        <v>42689</v>
      </c>
      <c r="F233" s="42">
        <v>37.22</v>
      </c>
      <c r="G233" s="42">
        <v>45.98</v>
      </c>
      <c r="H233" s="42">
        <v>39.58</v>
      </c>
      <c r="I233" s="42">
        <v>46.36</v>
      </c>
      <c r="J233" s="42">
        <v>46.19</v>
      </c>
      <c r="K233" s="42">
        <v>45.81</v>
      </c>
      <c r="L233" s="42">
        <v>46.96</v>
      </c>
      <c r="M233" s="42">
        <f t="shared" si="15"/>
        <v>8.5900000000000034</v>
      </c>
    </row>
    <row r="234" spans="2:13" x14ac:dyDescent="0.25">
      <c r="B234" s="42">
        <f t="shared" si="12"/>
        <v>16</v>
      </c>
      <c r="C234" s="42">
        <f t="shared" si="13"/>
        <v>11</v>
      </c>
      <c r="D234" s="42">
        <f t="shared" si="14"/>
        <v>2016</v>
      </c>
      <c r="E234" s="43">
        <v>42690</v>
      </c>
      <c r="F234" s="42">
        <v>37.659999999999997</v>
      </c>
      <c r="G234" s="42">
        <v>45.74</v>
      </c>
      <c r="H234" s="42">
        <v>39.380000000000003</v>
      </c>
      <c r="I234" s="42">
        <v>46.11</v>
      </c>
      <c r="J234" s="42">
        <v>46.94</v>
      </c>
      <c r="K234" s="42">
        <v>45.57</v>
      </c>
      <c r="L234" s="42">
        <v>46.62</v>
      </c>
      <c r="M234" s="42">
        <f t="shared" si="15"/>
        <v>7.9100000000000037</v>
      </c>
    </row>
    <row r="235" spans="2:13" x14ac:dyDescent="0.25">
      <c r="B235" s="42">
        <f t="shared" si="12"/>
        <v>17</v>
      </c>
      <c r="C235" s="42">
        <f t="shared" si="13"/>
        <v>11</v>
      </c>
      <c r="D235" s="42">
        <f t="shared" si="14"/>
        <v>2016</v>
      </c>
      <c r="E235" s="43">
        <v>42691</v>
      </c>
      <c r="F235" s="42">
        <v>37.520000000000003</v>
      </c>
      <c r="G235" s="42">
        <v>45.52</v>
      </c>
      <c r="H235" s="42">
        <v>39.28</v>
      </c>
      <c r="I235" s="42">
        <v>45.84</v>
      </c>
      <c r="J235" s="42">
        <v>46.55</v>
      </c>
      <c r="K235" s="42">
        <v>45.42</v>
      </c>
      <c r="L235" s="42">
        <v>46.32</v>
      </c>
      <c r="M235" s="42">
        <f t="shared" si="15"/>
        <v>7.8999999999999986</v>
      </c>
    </row>
    <row r="236" spans="2:13" x14ac:dyDescent="0.25">
      <c r="B236" s="42">
        <f t="shared" si="12"/>
        <v>18</v>
      </c>
      <c r="C236" s="42">
        <f t="shared" si="13"/>
        <v>11</v>
      </c>
      <c r="D236" s="42">
        <f t="shared" si="14"/>
        <v>2016</v>
      </c>
      <c r="E236" s="43">
        <v>42692</v>
      </c>
      <c r="F236" s="42">
        <v>37.4</v>
      </c>
      <c r="G236" s="42">
        <v>45.77</v>
      </c>
      <c r="H236" s="42">
        <v>39.450000000000003</v>
      </c>
      <c r="I236" s="42">
        <v>46.13</v>
      </c>
      <c r="J236" s="42">
        <v>46.42</v>
      </c>
      <c r="K236" s="42">
        <v>45.69</v>
      </c>
      <c r="L236" s="42">
        <v>46.54</v>
      </c>
      <c r="M236" s="42">
        <f t="shared" si="15"/>
        <v>8.2899999999999991</v>
      </c>
    </row>
    <row r="237" spans="2:13" x14ac:dyDescent="0.25">
      <c r="B237" s="42">
        <f t="shared" si="12"/>
        <v>21</v>
      </c>
      <c r="C237" s="42">
        <f t="shared" si="13"/>
        <v>11</v>
      </c>
      <c r="D237" s="42">
        <f t="shared" si="14"/>
        <v>2016</v>
      </c>
      <c r="E237" s="43">
        <v>42695</v>
      </c>
      <c r="F237" s="42">
        <v>39.44</v>
      </c>
      <c r="G237" s="42">
        <v>47.46</v>
      </c>
      <c r="H237" s="42">
        <v>41.3</v>
      </c>
      <c r="I237" s="42">
        <v>47.94</v>
      </c>
      <c r="J237" s="42">
        <v>48.72</v>
      </c>
      <c r="K237" s="42">
        <v>47.49</v>
      </c>
      <c r="L237" s="42">
        <v>48.14</v>
      </c>
      <c r="M237" s="42">
        <f t="shared" si="15"/>
        <v>8.0500000000000043</v>
      </c>
    </row>
    <row r="238" spans="2:13" x14ac:dyDescent="0.25">
      <c r="B238" s="42">
        <f t="shared" si="12"/>
        <v>22</v>
      </c>
      <c r="C238" s="42">
        <f t="shared" si="13"/>
        <v>11</v>
      </c>
      <c r="D238" s="42">
        <f t="shared" si="14"/>
        <v>2016</v>
      </c>
      <c r="E238" s="43">
        <v>42696</v>
      </c>
      <c r="F238" s="42">
        <v>39.57</v>
      </c>
      <c r="G238" s="42">
        <v>46.83</v>
      </c>
      <c r="H238" s="42">
        <v>40.67</v>
      </c>
      <c r="I238" s="42">
        <v>47.47</v>
      </c>
      <c r="J238" s="42">
        <v>48.59</v>
      </c>
      <c r="K238" s="42">
        <v>46.58</v>
      </c>
      <c r="L238" s="42">
        <v>47.78</v>
      </c>
      <c r="M238" s="42">
        <f t="shared" si="15"/>
        <v>7.009999999999998</v>
      </c>
    </row>
    <row r="239" spans="2:13" x14ac:dyDescent="0.25">
      <c r="B239" s="42">
        <f t="shared" si="12"/>
        <v>23</v>
      </c>
      <c r="C239" s="42">
        <f t="shared" si="13"/>
        <v>11</v>
      </c>
      <c r="D239" s="42">
        <f t="shared" si="14"/>
        <v>2016</v>
      </c>
      <c r="E239" s="43">
        <v>42697</v>
      </c>
      <c r="F239" s="42">
        <v>39.869999999999997</v>
      </c>
      <c r="G239" s="42">
        <v>47.06</v>
      </c>
      <c r="H239" s="42">
        <v>41.08</v>
      </c>
      <c r="I239" s="42">
        <v>47.68</v>
      </c>
      <c r="J239" s="42">
        <v>48.91</v>
      </c>
      <c r="K239" s="42">
        <v>46.66</v>
      </c>
      <c r="L239" s="42">
        <v>48.11</v>
      </c>
      <c r="M239" s="42">
        <f t="shared" si="15"/>
        <v>6.7899999999999991</v>
      </c>
    </row>
    <row r="240" spans="2:13" x14ac:dyDescent="0.25">
      <c r="B240" s="42">
        <f t="shared" si="12"/>
        <v>24</v>
      </c>
      <c r="C240" s="42">
        <f t="shared" si="13"/>
        <v>11</v>
      </c>
      <c r="D240" s="42">
        <f t="shared" si="14"/>
        <v>2016</v>
      </c>
      <c r="E240" s="43">
        <v>42698</v>
      </c>
      <c r="F240" s="42">
        <v>39.869999999999997</v>
      </c>
      <c r="G240" s="42">
        <v>47.06</v>
      </c>
      <c r="H240" s="42">
        <v>41.08</v>
      </c>
      <c r="I240" s="42">
        <v>47.68</v>
      </c>
      <c r="J240" s="42">
        <v>49.02</v>
      </c>
      <c r="K240" s="42">
        <v>46.66</v>
      </c>
      <c r="L240" s="42">
        <v>48.11</v>
      </c>
      <c r="M240" s="42">
        <f t="shared" si="15"/>
        <v>6.7899999999999991</v>
      </c>
    </row>
    <row r="241" spans="2:13" x14ac:dyDescent="0.25">
      <c r="B241" s="42">
        <f t="shared" si="12"/>
        <v>25</v>
      </c>
      <c r="C241" s="42">
        <f t="shared" si="13"/>
        <v>11</v>
      </c>
      <c r="D241" s="42">
        <f t="shared" si="14"/>
        <v>2016</v>
      </c>
      <c r="E241" s="43">
        <v>42699</v>
      </c>
      <c r="F241" s="42">
        <v>39.869999999999997</v>
      </c>
      <c r="G241" s="42">
        <v>45</v>
      </c>
      <c r="H241" s="42">
        <v>39.82</v>
      </c>
      <c r="I241" s="42">
        <v>45.61</v>
      </c>
      <c r="J241" s="42">
        <v>47.5</v>
      </c>
      <c r="K241" s="42">
        <v>46.66</v>
      </c>
      <c r="L241" s="42">
        <v>48.11</v>
      </c>
      <c r="M241" s="42">
        <f t="shared" si="15"/>
        <v>6.7899999999999991</v>
      </c>
    </row>
    <row r="242" spans="2:13" x14ac:dyDescent="0.25">
      <c r="B242" s="42">
        <f t="shared" si="12"/>
        <v>28</v>
      </c>
      <c r="C242" s="42">
        <f t="shared" si="13"/>
        <v>11</v>
      </c>
      <c r="D242" s="42">
        <f t="shared" si="14"/>
        <v>2016</v>
      </c>
      <c r="E242" s="43">
        <v>42702</v>
      </c>
      <c r="F242" s="42">
        <v>39.51</v>
      </c>
      <c r="G242" s="42">
        <v>47.14</v>
      </c>
      <c r="H242" s="42">
        <v>41.08</v>
      </c>
      <c r="I242" s="42">
        <v>47.58</v>
      </c>
      <c r="J242" s="42">
        <v>48.44</v>
      </c>
      <c r="K242" s="42">
        <v>47.08</v>
      </c>
      <c r="L242" s="42">
        <v>48.28</v>
      </c>
      <c r="M242" s="42">
        <f t="shared" si="15"/>
        <v>7.57</v>
      </c>
    </row>
    <row r="243" spans="2:13" x14ac:dyDescent="0.25">
      <c r="B243" s="42">
        <f t="shared" si="12"/>
        <v>29</v>
      </c>
      <c r="C243" s="42">
        <f t="shared" si="13"/>
        <v>11</v>
      </c>
      <c r="D243" s="42">
        <f t="shared" si="14"/>
        <v>2016</v>
      </c>
      <c r="E243" s="43">
        <v>42703</v>
      </c>
      <c r="F243" s="42">
        <v>38.17</v>
      </c>
      <c r="G243" s="42">
        <v>45.32</v>
      </c>
      <c r="H243" s="42">
        <v>39.14</v>
      </c>
      <c r="I243" s="42">
        <v>45.79</v>
      </c>
      <c r="J243" s="42">
        <v>46.7</v>
      </c>
      <c r="K243" s="42">
        <v>45.23</v>
      </c>
      <c r="L243" s="42">
        <v>46.58</v>
      </c>
      <c r="M243" s="42">
        <f t="shared" si="15"/>
        <v>7.0599999999999952</v>
      </c>
    </row>
    <row r="244" spans="2:13" x14ac:dyDescent="0.25">
      <c r="B244" s="42">
        <f t="shared" si="12"/>
        <v>30</v>
      </c>
      <c r="C244" s="42">
        <f t="shared" si="13"/>
        <v>11</v>
      </c>
      <c r="D244" s="42">
        <f t="shared" si="14"/>
        <v>2016</v>
      </c>
      <c r="E244" s="43">
        <v>42704</v>
      </c>
      <c r="F244" s="42">
        <v>40.94</v>
      </c>
      <c r="G244" s="42">
        <v>49.48</v>
      </c>
      <c r="H244" s="42">
        <v>43.14</v>
      </c>
      <c r="I244" s="42">
        <v>49.9</v>
      </c>
      <c r="J244" s="42">
        <v>50.04</v>
      </c>
      <c r="K244" s="42">
        <v>49.44</v>
      </c>
      <c r="L244" s="42">
        <v>50.84</v>
      </c>
      <c r="M244" s="42">
        <f t="shared" si="15"/>
        <v>8.5</v>
      </c>
    </row>
    <row r="245" spans="2:13" x14ac:dyDescent="0.25">
      <c r="B245" s="42">
        <f t="shared" si="12"/>
        <v>1</v>
      </c>
      <c r="C245" s="42">
        <f t="shared" si="13"/>
        <v>12</v>
      </c>
      <c r="D245" s="42">
        <f t="shared" si="14"/>
        <v>2016</v>
      </c>
      <c r="E245" s="43">
        <v>42705</v>
      </c>
      <c r="F245" s="42">
        <v>43.12</v>
      </c>
      <c r="G245" s="42">
        <v>52.94</v>
      </c>
      <c r="H245" s="42">
        <v>44.28</v>
      </c>
      <c r="I245" s="42">
        <v>53.53</v>
      </c>
      <c r="J245" s="42">
        <v>54.24</v>
      </c>
      <c r="K245" s="42">
        <v>51.06</v>
      </c>
      <c r="L245" s="42">
        <v>52.51</v>
      </c>
      <c r="M245" s="42">
        <f t="shared" si="15"/>
        <v>7.9400000000000048</v>
      </c>
    </row>
    <row r="246" spans="2:13" x14ac:dyDescent="0.25">
      <c r="B246" s="42">
        <f t="shared" si="12"/>
        <v>2</v>
      </c>
      <c r="C246" s="42">
        <f t="shared" si="13"/>
        <v>12</v>
      </c>
      <c r="D246" s="42">
        <f t="shared" si="14"/>
        <v>2016</v>
      </c>
      <c r="E246" s="43">
        <v>42706</v>
      </c>
      <c r="F246" s="42">
        <v>43.68</v>
      </c>
      <c r="G246" s="42">
        <v>53.55</v>
      </c>
      <c r="H246" s="42">
        <v>44.94</v>
      </c>
      <c r="I246" s="42">
        <v>54.15</v>
      </c>
      <c r="J246" s="42">
        <v>54.26</v>
      </c>
      <c r="K246" s="42">
        <v>51.68</v>
      </c>
      <c r="L246" s="42">
        <v>53.13</v>
      </c>
      <c r="M246" s="42">
        <f t="shared" si="15"/>
        <v>8</v>
      </c>
    </row>
    <row r="247" spans="2:13" x14ac:dyDescent="0.25">
      <c r="B247" s="42">
        <f t="shared" si="12"/>
        <v>5</v>
      </c>
      <c r="C247" s="42">
        <f t="shared" si="13"/>
        <v>12</v>
      </c>
      <c r="D247" s="42">
        <f t="shared" si="14"/>
        <v>2016</v>
      </c>
      <c r="E247" s="43">
        <v>42709</v>
      </c>
      <c r="F247" s="42">
        <v>44.57</v>
      </c>
      <c r="G247" s="42">
        <v>53.59</v>
      </c>
      <c r="H247" s="42">
        <v>45.48</v>
      </c>
      <c r="I247" s="42">
        <v>54.13</v>
      </c>
      <c r="J247" s="42">
        <v>55.06</v>
      </c>
      <c r="K247" s="42">
        <v>51.79</v>
      </c>
      <c r="L247" s="42">
        <v>53.29</v>
      </c>
      <c r="M247" s="42">
        <f t="shared" si="15"/>
        <v>7.2199999999999989</v>
      </c>
    </row>
    <row r="248" spans="2:13" x14ac:dyDescent="0.25">
      <c r="B248" s="42">
        <f t="shared" si="12"/>
        <v>6</v>
      </c>
      <c r="C248" s="42">
        <f t="shared" si="13"/>
        <v>12</v>
      </c>
      <c r="D248" s="42">
        <f t="shared" si="14"/>
        <v>2016</v>
      </c>
      <c r="E248" s="43">
        <v>42710</v>
      </c>
      <c r="F248" s="42">
        <v>44.08</v>
      </c>
      <c r="G248" s="42">
        <v>52.92</v>
      </c>
      <c r="H248" s="42">
        <v>45.11</v>
      </c>
      <c r="I248" s="42">
        <v>53.44</v>
      </c>
      <c r="J248" s="42">
        <v>54.11</v>
      </c>
      <c r="K248" s="42">
        <v>50.93</v>
      </c>
      <c r="L248" s="42">
        <v>52.53</v>
      </c>
      <c r="M248" s="42">
        <f t="shared" si="15"/>
        <v>6.8500000000000014</v>
      </c>
    </row>
    <row r="249" spans="2:13" x14ac:dyDescent="0.25">
      <c r="B249" s="42">
        <f t="shared" si="12"/>
        <v>7</v>
      </c>
      <c r="C249" s="42">
        <f t="shared" si="13"/>
        <v>12</v>
      </c>
      <c r="D249" s="42">
        <f t="shared" si="14"/>
        <v>2016</v>
      </c>
      <c r="E249" s="43">
        <v>42711</v>
      </c>
      <c r="F249" s="42">
        <v>43.32</v>
      </c>
      <c r="G249" s="42">
        <v>51.91</v>
      </c>
      <c r="H249" s="42">
        <v>44.09</v>
      </c>
      <c r="I249" s="42">
        <v>52.49</v>
      </c>
      <c r="J249" s="42">
        <v>53.69</v>
      </c>
      <c r="K249" s="42">
        <v>49.77</v>
      </c>
      <c r="L249" s="42">
        <v>51.42</v>
      </c>
      <c r="M249" s="42">
        <f t="shared" si="15"/>
        <v>6.4500000000000028</v>
      </c>
    </row>
    <row r="250" spans="2:13" x14ac:dyDescent="0.25">
      <c r="B250" s="42">
        <f t="shared" si="12"/>
        <v>8</v>
      </c>
      <c r="C250" s="42">
        <f t="shared" si="13"/>
        <v>12</v>
      </c>
      <c r="D250" s="42">
        <f t="shared" si="14"/>
        <v>2016</v>
      </c>
      <c r="E250" s="43">
        <v>42712</v>
      </c>
      <c r="F250" s="42">
        <v>43.81</v>
      </c>
      <c r="G250" s="42">
        <v>53.06</v>
      </c>
      <c r="H250" s="42">
        <v>45.06</v>
      </c>
      <c r="I250" s="42">
        <v>53.61</v>
      </c>
      <c r="J250" s="42">
        <v>53.66</v>
      </c>
      <c r="K250" s="42">
        <v>50.84</v>
      </c>
      <c r="L250" s="42">
        <v>52.59</v>
      </c>
      <c r="M250" s="42">
        <f t="shared" si="15"/>
        <v>7.0300000000000011</v>
      </c>
    </row>
    <row r="251" spans="2:13" x14ac:dyDescent="0.25">
      <c r="B251" s="42">
        <f t="shared" si="12"/>
        <v>9</v>
      </c>
      <c r="C251" s="42">
        <f t="shared" si="13"/>
        <v>12</v>
      </c>
      <c r="D251" s="42">
        <f t="shared" si="14"/>
        <v>2016</v>
      </c>
      <c r="E251" s="43">
        <v>42713</v>
      </c>
      <c r="F251" s="42">
        <v>44.28</v>
      </c>
      <c r="G251" s="42">
        <v>53.56</v>
      </c>
      <c r="H251" s="42">
        <v>45.48</v>
      </c>
      <c r="I251" s="42">
        <v>54.11</v>
      </c>
      <c r="J251" s="42">
        <v>54.15</v>
      </c>
      <c r="K251" s="42">
        <v>51.5</v>
      </c>
      <c r="L251" s="42">
        <v>53.1</v>
      </c>
      <c r="M251" s="42">
        <f t="shared" si="15"/>
        <v>7.2199999999999989</v>
      </c>
    </row>
    <row r="252" spans="2:13" x14ac:dyDescent="0.25">
      <c r="B252" s="42">
        <f t="shared" si="12"/>
        <v>12</v>
      </c>
      <c r="C252" s="42">
        <f t="shared" si="13"/>
        <v>12</v>
      </c>
      <c r="D252" s="42">
        <f t="shared" si="14"/>
        <v>2016</v>
      </c>
      <c r="E252" s="43">
        <v>42716</v>
      </c>
      <c r="F252" s="42">
        <v>45.82</v>
      </c>
      <c r="G252" s="42">
        <v>54.85</v>
      </c>
      <c r="H252" s="42">
        <v>46.78</v>
      </c>
      <c r="I252" s="42">
        <v>55.33</v>
      </c>
      <c r="J252" s="42">
        <v>55.89</v>
      </c>
      <c r="K252" s="42">
        <v>52.83</v>
      </c>
      <c r="L252" s="42">
        <v>54.48</v>
      </c>
      <c r="M252" s="42">
        <f t="shared" si="15"/>
        <v>7.009999999999998</v>
      </c>
    </row>
    <row r="253" spans="2:13" x14ac:dyDescent="0.25">
      <c r="B253" s="42">
        <f t="shared" si="12"/>
        <v>13</v>
      </c>
      <c r="C253" s="42">
        <f t="shared" si="13"/>
        <v>12</v>
      </c>
      <c r="D253" s="42">
        <f t="shared" si="14"/>
        <v>2016</v>
      </c>
      <c r="E253" s="43">
        <v>42717</v>
      </c>
      <c r="F253" s="42">
        <v>45.7</v>
      </c>
      <c r="G253" s="42">
        <v>55.02</v>
      </c>
      <c r="H253" s="42">
        <v>46.88</v>
      </c>
      <c r="I253" s="42">
        <v>55.53</v>
      </c>
      <c r="J253" s="42">
        <v>55.54</v>
      </c>
      <c r="K253" s="42">
        <v>52.98</v>
      </c>
      <c r="L253" s="42">
        <v>54.63</v>
      </c>
      <c r="M253" s="42">
        <f t="shared" si="15"/>
        <v>7.279999999999994</v>
      </c>
    </row>
    <row r="254" spans="2:13" x14ac:dyDescent="0.25">
      <c r="B254" s="42">
        <f t="shared" si="12"/>
        <v>14</v>
      </c>
      <c r="C254" s="42">
        <f t="shared" si="13"/>
        <v>12</v>
      </c>
      <c r="D254" s="42">
        <f t="shared" si="14"/>
        <v>2016</v>
      </c>
      <c r="E254" s="43">
        <v>42718</v>
      </c>
      <c r="F254" s="42">
        <v>44.8</v>
      </c>
      <c r="G254" s="42">
        <v>53.09</v>
      </c>
      <c r="H254" s="42">
        <v>45.22</v>
      </c>
      <c r="I254" s="42">
        <v>53.66</v>
      </c>
      <c r="J254" s="42">
        <v>55.08</v>
      </c>
      <c r="K254" s="42">
        <v>51.04</v>
      </c>
      <c r="L254" s="42">
        <v>52.54</v>
      </c>
      <c r="M254" s="42">
        <f t="shared" si="15"/>
        <v>6.240000000000002</v>
      </c>
    </row>
    <row r="255" spans="2:13" x14ac:dyDescent="0.25">
      <c r="B255" s="42">
        <f t="shared" si="12"/>
        <v>15</v>
      </c>
      <c r="C255" s="42">
        <f t="shared" si="13"/>
        <v>12</v>
      </c>
      <c r="D255" s="42">
        <f t="shared" si="14"/>
        <v>2016</v>
      </c>
      <c r="E255" s="43">
        <v>42719</v>
      </c>
      <c r="F255" s="42">
        <v>44</v>
      </c>
      <c r="G255" s="42">
        <v>52.88</v>
      </c>
      <c r="H255" s="42">
        <v>45.03</v>
      </c>
      <c r="I255" s="42">
        <v>53.52</v>
      </c>
      <c r="J255" s="42">
        <v>53.45</v>
      </c>
      <c r="K255" s="42">
        <v>50.9</v>
      </c>
      <c r="L255" s="42">
        <v>52.45</v>
      </c>
      <c r="M255" s="42">
        <f t="shared" si="15"/>
        <v>6.8999999999999986</v>
      </c>
    </row>
    <row r="256" spans="2:13" x14ac:dyDescent="0.25">
      <c r="B256" s="42">
        <f t="shared" si="12"/>
        <v>16</v>
      </c>
      <c r="C256" s="42">
        <f t="shared" si="13"/>
        <v>12</v>
      </c>
      <c r="D256" s="42">
        <f t="shared" si="14"/>
        <v>2016</v>
      </c>
      <c r="E256" s="43">
        <v>42720</v>
      </c>
      <c r="F256" s="42">
        <v>45.08</v>
      </c>
      <c r="G256" s="42">
        <v>53.92</v>
      </c>
      <c r="H256" s="42">
        <v>45.88</v>
      </c>
      <c r="I256" s="42">
        <v>54.58</v>
      </c>
      <c r="J256" s="42">
        <v>55.08</v>
      </c>
      <c r="K256" s="42">
        <v>51.9</v>
      </c>
      <c r="L256" s="42">
        <v>53.3</v>
      </c>
      <c r="M256" s="42">
        <f t="shared" si="15"/>
        <v>6.82</v>
      </c>
    </row>
    <row r="257" spans="2:13" x14ac:dyDescent="0.25">
      <c r="B257" s="42">
        <f t="shared" si="12"/>
        <v>19</v>
      </c>
      <c r="C257" s="42">
        <f t="shared" si="13"/>
        <v>12</v>
      </c>
      <c r="D257" s="42">
        <f t="shared" si="14"/>
        <v>2016</v>
      </c>
      <c r="E257" s="43">
        <v>42723</v>
      </c>
      <c r="F257" s="42">
        <v>44.94</v>
      </c>
      <c r="G257" s="42">
        <v>54.1</v>
      </c>
      <c r="H257" s="42">
        <v>45.6</v>
      </c>
      <c r="I257" s="42">
        <v>54.69</v>
      </c>
      <c r="J257" s="42">
        <v>54.93</v>
      </c>
      <c r="K257" s="42">
        <v>52.12</v>
      </c>
      <c r="L257" s="42">
        <v>53.67</v>
      </c>
      <c r="M257" s="42">
        <f t="shared" si="15"/>
        <v>7.18</v>
      </c>
    </row>
    <row r="258" spans="2:13" x14ac:dyDescent="0.25">
      <c r="B258" s="42">
        <f t="shared" si="12"/>
        <v>20</v>
      </c>
      <c r="C258" s="42">
        <f t="shared" si="13"/>
        <v>12</v>
      </c>
      <c r="D258" s="42">
        <f t="shared" si="14"/>
        <v>2016</v>
      </c>
      <c r="E258" s="43">
        <v>42724</v>
      </c>
      <c r="F258" s="42">
        <v>45.1</v>
      </c>
      <c r="G258" s="42">
        <v>54.21</v>
      </c>
      <c r="H258" s="42">
        <v>45.72</v>
      </c>
      <c r="I258" s="42">
        <v>54.87</v>
      </c>
      <c r="J258" s="42">
        <v>55.93</v>
      </c>
      <c r="K258" s="42">
        <v>52.23</v>
      </c>
      <c r="L258" s="42">
        <v>53.73</v>
      </c>
      <c r="M258" s="42">
        <f t="shared" si="15"/>
        <v>7.1299999999999955</v>
      </c>
    </row>
    <row r="259" spans="2:13" x14ac:dyDescent="0.25">
      <c r="B259" s="42">
        <f t="shared" si="12"/>
        <v>21</v>
      </c>
      <c r="C259" s="42">
        <f t="shared" si="13"/>
        <v>12</v>
      </c>
      <c r="D259" s="42">
        <f t="shared" si="14"/>
        <v>2016</v>
      </c>
      <c r="E259" s="43">
        <v>42725</v>
      </c>
      <c r="F259" s="42">
        <v>44.7</v>
      </c>
      <c r="G259" s="42">
        <v>53.22</v>
      </c>
      <c r="H259" s="42">
        <v>45.31</v>
      </c>
      <c r="I259" s="42">
        <v>53.91</v>
      </c>
      <c r="J259" s="42">
        <v>55.05</v>
      </c>
      <c r="K259" s="42">
        <v>51.59</v>
      </c>
      <c r="L259" s="42">
        <v>52.99</v>
      </c>
      <c r="M259" s="42">
        <f t="shared" si="15"/>
        <v>6.8900000000000006</v>
      </c>
    </row>
    <row r="260" spans="2:13" x14ac:dyDescent="0.25">
      <c r="B260" s="42">
        <f t="shared" si="12"/>
        <v>22</v>
      </c>
      <c r="C260" s="42">
        <f t="shared" si="13"/>
        <v>12</v>
      </c>
      <c r="D260" s="42">
        <f t="shared" si="14"/>
        <v>2016</v>
      </c>
      <c r="E260" s="43">
        <v>42726</v>
      </c>
      <c r="F260" s="42">
        <v>44.92</v>
      </c>
      <c r="G260" s="42">
        <v>53.53</v>
      </c>
      <c r="H260" s="42">
        <v>45.71</v>
      </c>
      <c r="I260" s="42">
        <v>54.2</v>
      </c>
      <c r="J260" s="42">
        <v>55.15</v>
      </c>
      <c r="K260" s="42">
        <v>52.05</v>
      </c>
      <c r="L260" s="42">
        <v>53.45</v>
      </c>
      <c r="M260" s="42">
        <f t="shared" si="15"/>
        <v>7.1299999999999955</v>
      </c>
    </row>
    <row r="261" spans="2:13" x14ac:dyDescent="0.25">
      <c r="B261" s="42">
        <f t="shared" si="12"/>
        <v>23</v>
      </c>
      <c r="C261" s="42">
        <f t="shared" si="13"/>
        <v>12</v>
      </c>
      <c r="D261" s="42">
        <f t="shared" si="14"/>
        <v>2016</v>
      </c>
      <c r="E261" s="43">
        <v>42727</v>
      </c>
      <c r="F261" s="42">
        <v>44.69</v>
      </c>
      <c r="G261" s="42">
        <v>53.73</v>
      </c>
      <c r="H261" s="42">
        <v>45.93</v>
      </c>
      <c r="I261" s="42">
        <v>54.43</v>
      </c>
      <c r="J261" s="42">
        <v>54.51</v>
      </c>
      <c r="K261" s="42">
        <v>51.97</v>
      </c>
      <c r="L261" s="42">
        <v>53.47</v>
      </c>
      <c r="M261" s="42">
        <f t="shared" si="15"/>
        <v>7.2800000000000011</v>
      </c>
    </row>
    <row r="262" spans="2:13" x14ac:dyDescent="0.25">
      <c r="B262" s="42">
        <f t="shared" si="12"/>
        <v>26</v>
      </c>
      <c r="C262" s="42">
        <f t="shared" si="13"/>
        <v>12</v>
      </c>
      <c r="D262" s="42">
        <f t="shared" si="14"/>
        <v>2016</v>
      </c>
      <c r="E262" s="43">
        <v>42730</v>
      </c>
      <c r="F262" s="42">
        <v>44.69</v>
      </c>
      <c r="G262" s="42">
        <v>53.73</v>
      </c>
      <c r="H262" s="42">
        <v>45.93</v>
      </c>
      <c r="I262" s="42">
        <v>54.43</v>
      </c>
      <c r="J262" s="42">
        <v>54.51</v>
      </c>
      <c r="K262" s="42">
        <v>51.97</v>
      </c>
      <c r="L262" s="42">
        <v>53.47</v>
      </c>
      <c r="M262" s="42">
        <f t="shared" si="15"/>
        <v>7.2800000000000011</v>
      </c>
    </row>
    <row r="263" spans="2:13" x14ac:dyDescent="0.25">
      <c r="B263" s="42">
        <f t="shared" ref="B263:B326" si="16">DAY(E263)</f>
        <v>27</v>
      </c>
      <c r="C263" s="42">
        <f t="shared" ref="C263:C326" si="17">MONTH(E263)</f>
        <v>12</v>
      </c>
      <c r="D263" s="42">
        <f t="shared" ref="D263:D326" si="18">YEAR(E263)</f>
        <v>2016</v>
      </c>
      <c r="E263" s="43">
        <v>42731</v>
      </c>
      <c r="F263" s="42">
        <v>44.69</v>
      </c>
      <c r="G263" s="42">
        <v>55.54</v>
      </c>
      <c r="H263" s="42">
        <v>47.08</v>
      </c>
      <c r="I263" s="42">
        <v>56.09</v>
      </c>
      <c r="J263" s="42">
        <v>54.51</v>
      </c>
      <c r="K263" s="42">
        <v>53.9</v>
      </c>
      <c r="L263" s="42">
        <v>55.3</v>
      </c>
      <c r="M263" s="42">
        <f t="shared" ref="M263:M326" si="19">K263-F263</f>
        <v>9.2100000000000009</v>
      </c>
    </row>
    <row r="264" spans="2:13" x14ac:dyDescent="0.25">
      <c r="B264" s="42">
        <f t="shared" si="16"/>
        <v>28</v>
      </c>
      <c r="C264" s="42">
        <f t="shared" si="17"/>
        <v>12</v>
      </c>
      <c r="D264" s="42">
        <f t="shared" si="18"/>
        <v>2016</v>
      </c>
      <c r="E264" s="43">
        <v>42732</v>
      </c>
      <c r="F264" s="42">
        <v>46.53</v>
      </c>
      <c r="G264" s="42">
        <v>55.68</v>
      </c>
      <c r="H264" s="42">
        <v>47.5</v>
      </c>
      <c r="I264" s="42">
        <v>56.21</v>
      </c>
      <c r="J264" s="42">
        <v>56.4</v>
      </c>
      <c r="K264" s="42">
        <v>54.06</v>
      </c>
      <c r="L264" s="42">
        <v>55.41</v>
      </c>
      <c r="M264" s="42">
        <f t="shared" si="19"/>
        <v>7.5300000000000011</v>
      </c>
    </row>
    <row r="265" spans="2:13" x14ac:dyDescent="0.25">
      <c r="B265" s="42">
        <f t="shared" si="16"/>
        <v>29</v>
      </c>
      <c r="C265" s="42">
        <f t="shared" si="17"/>
        <v>12</v>
      </c>
      <c r="D265" s="42">
        <f t="shared" si="18"/>
        <v>2016</v>
      </c>
      <c r="E265" s="43">
        <v>42733</v>
      </c>
      <c r="F265" s="42">
        <v>46.38</v>
      </c>
      <c r="G265" s="42">
        <v>55.58</v>
      </c>
      <c r="H265" s="42">
        <v>47.68</v>
      </c>
      <c r="I265" s="42">
        <v>56.12</v>
      </c>
      <c r="J265" s="42">
        <v>56.09</v>
      </c>
      <c r="K265" s="42">
        <v>53.77</v>
      </c>
      <c r="L265" s="42">
        <v>55.12</v>
      </c>
      <c r="M265" s="42">
        <f t="shared" si="19"/>
        <v>7.3900000000000006</v>
      </c>
    </row>
    <row r="266" spans="2:13" x14ac:dyDescent="0.25">
      <c r="B266" s="42">
        <f t="shared" si="16"/>
        <v>30</v>
      </c>
      <c r="C266" s="42">
        <f t="shared" si="17"/>
        <v>12</v>
      </c>
      <c r="D266" s="42">
        <f t="shared" si="18"/>
        <v>2016</v>
      </c>
      <c r="E266" s="43">
        <v>42734</v>
      </c>
      <c r="F266" s="42">
        <v>46.3</v>
      </c>
      <c r="G266" s="42">
        <v>55.64</v>
      </c>
      <c r="H266" s="42">
        <v>47.75</v>
      </c>
      <c r="I266" s="42">
        <v>56.17</v>
      </c>
      <c r="J266" s="42">
        <v>55.7</v>
      </c>
      <c r="K266" s="42">
        <v>53.72</v>
      </c>
      <c r="L266" s="42">
        <v>55.07</v>
      </c>
      <c r="M266" s="42">
        <f t="shared" si="19"/>
        <v>7.4200000000000017</v>
      </c>
    </row>
    <row r="267" spans="2:13" x14ac:dyDescent="0.25">
      <c r="B267" s="42">
        <f t="shared" si="16"/>
        <v>2</v>
      </c>
      <c r="C267" s="42">
        <f t="shared" si="17"/>
        <v>1</v>
      </c>
      <c r="D267" s="42">
        <f t="shared" si="18"/>
        <v>2017</v>
      </c>
      <c r="E267" s="43">
        <v>42737</v>
      </c>
      <c r="F267" s="42">
        <v>46.3</v>
      </c>
      <c r="G267" s="42">
        <v>55.64</v>
      </c>
      <c r="H267" s="42">
        <v>47.75</v>
      </c>
      <c r="I267" s="42">
        <v>56.17</v>
      </c>
      <c r="J267" s="42">
        <v>55.7</v>
      </c>
      <c r="K267" s="42">
        <v>53.72</v>
      </c>
      <c r="L267" s="42">
        <v>55.07</v>
      </c>
      <c r="M267" s="42">
        <f t="shared" si="19"/>
        <v>7.4200000000000017</v>
      </c>
    </row>
    <row r="268" spans="2:13" x14ac:dyDescent="0.25">
      <c r="B268" s="42">
        <f t="shared" si="16"/>
        <v>3</v>
      </c>
      <c r="C268" s="42">
        <f t="shared" si="17"/>
        <v>1</v>
      </c>
      <c r="D268" s="42">
        <f t="shared" si="18"/>
        <v>2017</v>
      </c>
      <c r="E268" s="43">
        <v>42738</v>
      </c>
      <c r="F268" s="42">
        <v>45.75</v>
      </c>
      <c r="G268" s="42">
        <v>55.17</v>
      </c>
      <c r="H268" s="42">
        <v>45.86</v>
      </c>
      <c r="I268" s="42">
        <v>56.01</v>
      </c>
      <c r="J268" s="42">
        <v>56.39</v>
      </c>
      <c r="K268" s="42">
        <v>52.33</v>
      </c>
      <c r="L268" s="42">
        <v>53.68</v>
      </c>
      <c r="M268" s="42">
        <f t="shared" si="19"/>
        <v>6.5799999999999983</v>
      </c>
    </row>
    <row r="269" spans="2:13" x14ac:dyDescent="0.25">
      <c r="B269" s="42">
        <f t="shared" si="16"/>
        <v>4</v>
      </c>
      <c r="C269" s="42">
        <f t="shared" si="17"/>
        <v>1</v>
      </c>
      <c r="D269" s="42">
        <f t="shared" si="18"/>
        <v>2017</v>
      </c>
      <c r="E269" s="43">
        <v>42739</v>
      </c>
      <c r="F269" s="42">
        <v>46.16</v>
      </c>
      <c r="G269" s="42">
        <v>56.05</v>
      </c>
      <c r="H269" s="42">
        <v>46.86</v>
      </c>
      <c r="I269" s="42">
        <v>56.84</v>
      </c>
      <c r="J269" s="42">
        <v>55.86</v>
      </c>
      <c r="K269" s="42">
        <v>53.26</v>
      </c>
      <c r="L269" s="42">
        <v>54.71</v>
      </c>
      <c r="M269" s="42">
        <f t="shared" si="19"/>
        <v>7.1000000000000014</v>
      </c>
    </row>
    <row r="270" spans="2:13" x14ac:dyDescent="0.25">
      <c r="B270" s="42">
        <f t="shared" si="16"/>
        <v>5</v>
      </c>
      <c r="C270" s="42">
        <f t="shared" si="17"/>
        <v>1</v>
      </c>
      <c r="D270" s="42">
        <f t="shared" si="18"/>
        <v>2017</v>
      </c>
      <c r="E270" s="43">
        <v>42740</v>
      </c>
      <c r="F270" s="42">
        <v>46.69</v>
      </c>
      <c r="G270" s="42">
        <v>56.52</v>
      </c>
      <c r="H270" s="42">
        <v>47.43</v>
      </c>
      <c r="I270" s="42">
        <v>57.35</v>
      </c>
      <c r="J270" s="42">
        <v>56.19</v>
      </c>
      <c r="K270" s="42">
        <v>53.76</v>
      </c>
      <c r="L270" s="42">
        <v>55.26</v>
      </c>
      <c r="M270" s="42">
        <f t="shared" si="19"/>
        <v>7.07</v>
      </c>
    </row>
    <row r="271" spans="2:13" x14ac:dyDescent="0.25">
      <c r="B271" s="42">
        <f t="shared" si="16"/>
        <v>6</v>
      </c>
      <c r="C271" s="42">
        <f t="shared" si="17"/>
        <v>1</v>
      </c>
      <c r="D271" s="42">
        <f t="shared" si="18"/>
        <v>2017</v>
      </c>
      <c r="E271" s="43">
        <v>42741</v>
      </c>
      <c r="F271" s="42">
        <v>46.96</v>
      </c>
      <c r="G271" s="42">
        <v>56.72</v>
      </c>
      <c r="H271" s="42">
        <v>47.43</v>
      </c>
      <c r="I271" s="42">
        <v>57.5</v>
      </c>
      <c r="J271" s="42">
        <v>57.03</v>
      </c>
      <c r="K271" s="42">
        <v>53.99</v>
      </c>
      <c r="L271" s="42">
        <v>55.54</v>
      </c>
      <c r="M271" s="42">
        <f t="shared" si="19"/>
        <v>7.0300000000000011</v>
      </c>
    </row>
    <row r="272" spans="2:13" x14ac:dyDescent="0.25">
      <c r="B272" s="42">
        <f t="shared" si="16"/>
        <v>9</v>
      </c>
      <c r="C272" s="42">
        <f t="shared" si="17"/>
        <v>1</v>
      </c>
      <c r="D272" s="42">
        <f t="shared" si="18"/>
        <v>2017</v>
      </c>
      <c r="E272" s="43">
        <v>42744</v>
      </c>
      <c r="F272" s="42">
        <v>45.2</v>
      </c>
      <c r="G272" s="42">
        <v>54.54</v>
      </c>
      <c r="H272" s="42">
        <v>45.45</v>
      </c>
      <c r="I272" s="42">
        <v>55.33</v>
      </c>
      <c r="J272" s="42">
        <v>55.64</v>
      </c>
      <c r="K272" s="42">
        <v>51.96</v>
      </c>
      <c r="L272" s="42">
        <v>53.56</v>
      </c>
      <c r="M272" s="42">
        <f t="shared" si="19"/>
        <v>6.759999999999998</v>
      </c>
    </row>
    <row r="273" spans="2:13" x14ac:dyDescent="0.25">
      <c r="B273" s="42">
        <f t="shared" si="16"/>
        <v>10</v>
      </c>
      <c r="C273" s="42">
        <f t="shared" si="17"/>
        <v>1</v>
      </c>
      <c r="D273" s="42">
        <f t="shared" si="18"/>
        <v>2017</v>
      </c>
      <c r="E273" s="43">
        <v>42745</v>
      </c>
      <c r="F273" s="42">
        <v>44.05</v>
      </c>
      <c r="G273" s="42">
        <v>53.33</v>
      </c>
      <c r="H273" s="42">
        <v>44.02</v>
      </c>
      <c r="I273" s="42">
        <v>54.12</v>
      </c>
      <c r="J273" s="42">
        <v>54.39</v>
      </c>
      <c r="K273" s="42">
        <v>50.82</v>
      </c>
      <c r="L273" s="42">
        <v>52.42</v>
      </c>
      <c r="M273" s="42">
        <f t="shared" si="19"/>
        <v>6.7700000000000031</v>
      </c>
    </row>
    <row r="274" spans="2:13" x14ac:dyDescent="0.25">
      <c r="B274" s="42">
        <f t="shared" si="16"/>
        <v>11</v>
      </c>
      <c r="C274" s="42">
        <f t="shared" si="17"/>
        <v>1</v>
      </c>
      <c r="D274" s="42">
        <f t="shared" si="18"/>
        <v>2017</v>
      </c>
      <c r="E274" s="43">
        <v>42746</v>
      </c>
      <c r="F274" s="42">
        <v>44.94</v>
      </c>
      <c r="G274" s="42">
        <v>54.79</v>
      </c>
      <c r="H274" s="42">
        <v>45.51</v>
      </c>
      <c r="I274" s="42">
        <v>55.57</v>
      </c>
      <c r="J274" s="42">
        <v>55.09</v>
      </c>
      <c r="K274" s="42">
        <v>52.25</v>
      </c>
      <c r="L274" s="42">
        <v>53.85</v>
      </c>
      <c r="M274" s="42">
        <f t="shared" si="19"/>
        <v>7.3100000000000023</v>
      </c>
    </row>
    <row r="275" spans="2:13" x14ac:dyDescent="0.25">
      <c r="B275" s="42">
        <f t="shared" si="16"/>
        <v>12</v>
      </c>
      <c r="C275" s="42">
        <f t="shared" si="17"/>
        <v>1</v>
      </c>
      <c r="D275" s="42">
        <f t="shared" si="18"/>
        <v>2017</v>
      </c>
      <c r="E275" s="43">
        <v>42747</v>
      </c>
      <c r="F275" s="42">
        <v>45.99</v>
      </c>
      <c r="G275" s="42">
        <v>55.6</v>
      </c>
      <c r="H275" s="42">
        <v>46.29</v>
      </c>
      <c r="I275" s="42">
        <v>56.46</v>
      </c>
      <c r="J275" s="42">
        <v>55.98</v>
      </c>
      <c r="K275" s="42">
        <v>53.01</v>
      </c>
      <c r="L275" s="42">
        <v>54.51</v>
      </c>
      <c r="M275" s="42">
        <f t="shared" si="19"/>
        <v>7.019999999999996</v>
      </c>
    </row>
    <row r="276" spans="2:13" x14ac:dyDescent="0.25">
      <c r="B276" s="42">
        <f t="shared" si="16"/>
        <v>13</v>
      </c>
      <c r="C276" s="42">
        <f t="shared" si="17"/>
        <v>1</v>
      </c>
      <c r="D276" s="42">
        <f t="shared" si="18"/>
        <v>2017</v>
      </c>
      <c r="E276" s="43">
        <v>42748</v>
      </c>
      <c r="F276" s="42">
        <v>45.7</v>
      </c>
      <c r="G276" s="42">
        <v>54.95</v>
      </c>
      <c r="H276" s="42">
        <v>45.81</v>
      </c>
      <c r="I276" s="42">
        <v>55.84</v>
      </c>
      <c r="J276" s="42">
        <v>55.61</v>
      </c>
      <c r="K276" s="42">
        <v>52.37</v>
      </c>
      <c r="L276" s="42">
        <v>53.72</v>
      </c>
      <c r="M276" s="42">
        <f t="shared" si="19"/>
        <v>6.6699999999999946</v>
      </c>
    </row>
    <row r="277" spans="2:13" x14ac:dyDescent="0.25">
      <c r="B277" s="42">
        <f t="shared" si="16"/>
        <v>16</v>
      </c>
      <c r="C277" s="42">
        <f t="shared" si="17"/>
        <v>1</v>
      </c>
      <c r="D277" s="42">
        <f t="shared" si="18"/>
        <v>2017</v>
      </c>
      <c r="E277" s="43">
        <v>42751</v>
      </c>
      <c r="F277" s="42">
        <v>45.7</v>
      </c>
      <c r="G277" s="42">
        <v>54.95</v>
      </c>
      <c r="H277" s="42">
        <v>45.81</v>
      </c>
      <c r="I277" s="42">
        <v>55.84</v>
      </c>
      <c r="J277" s="42">
        <v>55.46</v>
      </c>
      <c r="K277" s="42">
        <v>52.37</v>
      </c>
      <c r="L277" s="42">
        <v>53.72</v>
      </c>
      <c r="M277" s="42">
        <f t="shared" si="19"/>
        <v>6.6699999999999946</v>
      </c>
    </row>
    <row r="278" spans="2:13" x14ac:dyDescent="0.25">
      <c r="B278" s="42">
        <f t="shared" si="16"/>
        <v>17</v>
      </c>
      <c r="C278" s="42">
        <f t="shared" si="17"/>
        <v>1</v>
      </c>
      <c r="D278" s="42">
        <f t="shared" si="18"/>
        <v>2017</v>
      </c>
      <c r="E278" s="43">
        <v>42752</v>
      </c>
      <c r="F278" s="42">
        <v>45.88</v>
      </c>
      <c r="G278" s="42">
        <v>54.93</v>
      </c>
      <c r="H278" s="42">
        <v>45.87</v>
      </c>
      <c r="I278" s="42">
        <v>55.79</v>
      </c>
      <c r="J278" s="42">
        <v>55.94</v>
      </c>
      <c r="K278" s="42">
        <v>52.48</v>
      </c>
      <c r="L278" s="42">
        <v>53.88</v>
      </c>
      <c r="M278" s="42">
        <f t="shared" si="19"/>
        <v>6.5999999999999943</v>
      </c>
    </row>
    <row r="279" spans="2:13" x14ac:dyDescent="0.25">
      <c r="B279" s="42">
        <f t="shared" si="16"/>
        <v>18</v>
      </c>
      <c r="C279" s="42">
        <f t="shared" si="17"/>
        <v>1</v>
      </c>
      <c r="D279" s="42">
        <f t="shared" si="18"/>
        <v>2017</v>
      </c>
      <c r="E279" s="43">
        <v>42753</v>
      </c>
      <c r="F279" s="42">
        <v>44.77</v>
      </c>
      <c r="G279" s="42">
        <v>53.67</v>
      </c>
      <c r="H279" s="42">
        <v>44.26</v>
      </c>
      <c r="I279" s="42">
        <v>54.51</v>
      </c>
      <c r="J279" s="42">
        <v>55.23</v>
      </c>
      <c r="K279" s="42">
        <v>51.08</v>
      </c>
      <c r="L279" s="42">
        <v>52.48</v>
      </c>
      <c r="M279" s="42">
        <f t="shared" si="19"/>
        <v>6.3099999999999952</v>
      </c>
    </row>
    <row r="280" spans="2:13" x14ac:dyDescent="0.25">
      <c r="B280" s="42">
        <f t="shared" si="16"/>
        <v>19</v>
      </c>
      <c r="C280" s="42">
        <f t="shared" si="17"/>
        <v>1</v>
      </c>
      <c r="D280" s="42">
        <f t="shared" si="18"/>
        <v>2017</v>
      </c>
      <c r="E280" s="43">
        <v>42754</v>
      </c>
      <c r="F280" s="42">
        <v>44.33</v>
      </c>
      <c r="G280" s="42">
        <v>54.05</v>
      </c>
      <c r="H280" s="42">
        <v>44.44</v>
      </c>
      <c r="I280" s="42">
        <v>54.83</v>
      </c>
      <c r="J280" s="42">
        <v>54.31</v>
      </c>
      <c r="K280" s="42">
        <v>51.37</v>
      </c>
      <c r="L280" s="42">
        <v>53.22</v>
      </c>
      <c r="M280" s="42">
        <f t="shared" si="19"/>
        <v>7.0399999999999991</v>
      </c>
    </row>
    <row r="281" spans="2:13" x14ac:dyDescent="0.25">
      <c r="B281" s="42">
        <f t="shared" si="16"/>
        <v>20</v>
      </c>
      <c r="C281" s="42">
        <f t="shared" si="17"/>
        <v>1</v>
      </c>
      <c r="D281" s="42">
        <f t="shared" si="18"/>
        <v>2017</v>
      </c>
      <c r="E281" s="43">
        <v>42755</v>
      </c>
      <c r="F281" s="42">
        <v>45.56</v>
      </c>
      <c r="G281" s="42">
        <v>55.26</v>
      </c>
      <c r="H281" s="42">
        <v>45.71</v>
      </c>
      <c r="I281" s="42">
        <v>56.05</v>
      </c>
      <c r="J281" s="42">
        <v>55.58</v>
      </c>
      <c r="K281" s="42">
        <v>52.42</v>
      </c>
      <c r="L281" s="42">
        <v>54.27</v>
      </c>
      <c r="M281" s="42">
        <f t="shared" si="19"/>
        <v>6.8599999999999994</v>
      </c>
    </row>
    <row r="282" spans="2:13" x14ac:dyDescent="0.25">
      <c r="B282" s="42">
        <f t="shared" si="16"/>
        <v>23</v>
      </c>
      <c r="C282" s="42">
        <f t="shared" si="17"/>
        <v>1</v>
      </c>
      <c r="D282" s="42">
        <f t="shared" si="18"/>
        <v>2017</v>
      </c>
      <c r="E282" s="43">
        <v>42758</v>
      </c>
      <c r="F282" s="42">
        <v>45.36</v>
      </c>
      <c r="G282" s="42">
        <v>54.67</v>
      </c>
      <c r="H282" s="42">
        <v>45.25</v>
      </c>
      <c r="I282" s="42">
        <v>55.54</v>
      </c>
      <c r="J282" s="42">
        <v>55.49</v>
      </c>
      <c r="K282" s="42">
        <v>51.95</v>
      </c>
      <c r="L282" s="42">
        <v>53.8</v>
      </c>
      <c r="M282" s="42">
        <f t="shared" si="19"/>
        <v>6.5900000000000034</v>
      </c>
    </row>
    <row r="283" spans="2:13" x14ac:dyDescent="0.25">
      <c r="B283" s="42">
        <f t="shared" si="16"/>
        <v>24</v>
      </c>
      <c r="C283" s="42">
        <f t="shared" si="17"/>
        <v>1</v>
      </c>
      <c r="D283" s="42">
        <f t="shared" si="18"/>
        <v>2017</v>
      </c>
      <c r="E283" s="43">
        <v>42759</v>
      </c>
      <c r="F283" s="42">
        <v>45.4</v>
      </c>
      <c r="G283" s="42">
        <v>55.08</v>
      </c>
      <c r="H283" s="42">
        <v>45.63</v>
      </c>
      <c r="I283" s="42">
        <v>55.89</v>
      </c>
      <c r="J283" s="42">
        <v>55.75</v>
      </c>
      <c r="K283" s="42">
        <v>52.53</v>
      </c>
      <c r="L283" s="42">
        <v>53.88</v>
      </c>
      <c r="M283" s="42">
        <f t="shared" si="19"/>
        <v>7.1300000000000026</v>
      </c>
    </row>
    <row r="284" spans="2:13" x14ac:dyDescent="0.25">
      <c r="B284" s="42">
        <f t="shared" si="16"/>
        <v>25</v>
      </c>
      <c r="C284" s="42">
        <f t="shared" si="17"/>
        <v>1</v>
      </c>
      <c r="D284" s="42">
        <f t="shared" si="18"/>
        <v>2017</v>
      </c>
      <c r="E284" s="43">
        <v>42760</v>
      </c>
      <c r="F284" s="42">
        <v>45.17</v>
      </c>
      <c r="G284" s="42">
        <v>54.67</v>
      </c>
      <c r="H284" s="42">
        <v>45.24</v>
      </c>
      <c r="I284" s="42">
        <v>55.52</v>
      </c>
      <c r="J284" s="42">
        <v>55.63</v>
      </c>
      <c r="K284" s="42">
        <v>52.25</v>
      </c>
      <c r="L284" s="42">
        <v>53.55</v>
      </c>
      <c r="M284" s="42">
        <f t="shared" si="19"/>
        <v>7.0799999999999983</v>
      </c>
    </row>
    <row r="285" spans="2:13" x14ac:dyDescent="0.25">
      <c r="B285" s="42">
        <f t="shared" si="16"/>
        <v>26</v>
      </c>
      <c r="C285" s="42">
        <f t="shared" si="17"/>
        <v>1</v>
      </c>
      <c r="D285" s="42">
        <f t="shared" si="18"/>
        <v>2017</v>
      </c>
      <c r="E285" s="43">
        <v>42761</v>
      </c>
      <c r="F285" s="42">
        <v>46.19</v>
      </c>
      <c r="G285" s="42">
        <v>56.26</v>
      </c>
      <c r="H285" s="42">
        <v>46.5</v>
      </c>
      <c r="I285" s="42">
        <v>57.02</v>
      </c>
      <c r="J285" s="42">
        <v>56.5</v>
      </c>
      <c r="K285" s="42">
        <v>53.78</v>
      </c>
      <c r="L285" s="42">
        <v>55.28</v>
      </c>
      <c r="M285" s="42">
        <f t="shared" si="19"/>
        <v>7.5900000000000034</v>
      </c>
    </row>
    <row r="286" spans="2:13" x14ac:dyDescent="0.25">
      <c r="B286" s="42">
        <f t="shared" si="16"/>
        <v>27</v>
      </c>
      <c r="C286" s="42">
        <f t="shared" si="17"/>
        <v>1</v>
      </c>
      <c r="D286" s="42">
        <f t="shared" si="18"/>
        <v>2017</v>
      </c>
      <c r="E286" s="43">
        <v>42762</v>
      </c>
      <c r="F286" s="42">
        <v>45.41</v>
      </c>
      <c r="G286" s="42">
        <v>55.56</v>
      </c>
      <c r="H286" s="42">
        <v>45.67</v>
      </c>
      <c r="I286" s="42">
        <v>56.3</v>
      </c>
      <c r="J286" s="42">
        <v>55.47</v>
      </c>
      <c r="K286" s="42">
        <v>53.17</v>
      </c>
      <c r="L286" s="42">
        <v>54.67</v>
      </c>
      <c r="M286" s="42">
        <f t="shared" si="19"/>
        <v>7.7600000000000051</v>
      </c>
    </row>
    <row r="287" spans="2:13" x14ac:dyDescent="0.25">
      <c r="B287" s="42">
        <f t="shared" si="16"/>
        <v>30</v>
      </c>
      <c r="C287" s="42">
        <f t="shared" si="17"/>
        <v>1</v>
      </c>
      <c r="D287" s="42">
        <f t="shared" si="18"/>
        <v>2017</v>
      </c>
      <c r="E287" s="43">
        <v>42765</v>
      </c>
      <c r="F287" s="42">
        <v>45.41</v>
      </c>
      <c r="G287" s="42">
        <v>55.16</v>
      </c>
      <c r="H287" s="42">
        <v>45.27</v>
      </c>
      <c r="I287" s="42">
        <v>55.92</v>
      </c>
      <c r="J287" s="42">
        <v>55.44</v>
      </c>
      <c r="K287" s="42">
        <v>52.63</v>
      </c>
      <c r="L287" s="42">
        <v>54.18</v>
      </c>
      <c r="M287" s="42">
        <f t="shared" si="19"/>
        <v>7.220000000000006</v>
      </c>
    </row>
    <row r="288" spans="2:13" x14ac:dyDescent="0.25">
      <c r="B288" s="42">
        <f t="shared" si="16"/>
        <v>31</v>
      </c>
      <c r="C288" s="42">
        <f t="shared" si="17"/>
        <v>1</v>
      </c>
      <c r="D288" s="42">
        <f t="shared" si="18"/>
        <v>2017</v>
      </c>
      <c r="E288" s="43">
        <v>42766</v>
      </c>
      <c r="F288" s="42">
        <v>45.18</v>
      </c>
      <c r="G288" s="42">
        <v>55.4</v>
      </c>
      <c r="H288" s="42">
        <v>45.2</v>
      </c>
      <c r="I288" s="42">
        <v>56.17</v>
      </c>
      <c r="J288" s="42">
        <v>56.26</v>
      </c>
      <c r="K288" s="42">
        <v>52.81</v>
      </c>
      <c r="L288" s="42">
        <v>54.41</v>
      </c>
      <c r="M288" s="42">
        <f t="shared" si="19"/>
        <v>7.6300000000000026</v>
      </c>
    </row>
    <row r="289" spans="2:13" x14ac:dyDescent="0.25">
      <c r="B289" s="42">
        <f t="shared" si="16"/>
        <v>1</v>
      </c>
      <c r="C289" s="42">
        <f t="shared" si="17"/>
        <v>2</v>
      </c>
      <c r="D289" s="42">
        <f t="shared" si="18"/>
        <v>2017</v>
      </c>
      <c r="E289" s="43">
        <v>42767</v>
      </c>
      <c r="F289" s="42">
        <v>45.23</v>
      </c>
      <c r="G289" s="42">
        <v>56.63</v>
      </c>
      <c r="H289" s="42">
        <v>45.92</v>
      </c>
      <c r="I289" s="42">
        <v>57.4</v>
      </c>
      <c r="J289" s="42">
        <v>56.71</v>
      </c>
      <c r="K289" s="42">
        <v>53.88</v>
      </c>
      <c r="L289" s="42">
        <v>55.53</v>
      </c>
      <c r="M289" s="42">
        <f t="shared" si="19"/>
        <v>8.6500000000000057</v>
      </c>
    </row>
    <row r="290" spans="2:13" x14ac:dyDescent="0.25">
      <c r="B290" s="42">
        <f t="shared" si="16"/>
        <v>2</v>
      </c>
      <c r="C290" s="42">
        <f t="shared" si="17"/>
        <v>2</v>
      </c>
      <c r="D290" s="42">
        <f t="shared" si="18"/>
        <v>2017</v>
      </c>
      <c r="E290" s="43">
        <v>42768</v>
      </c>
      <c r="F290" s="42">
        <v>45.6</v>
      </c>
      <c r="G290" s="42">
        <v>56.45</v>
      </c>
      <c r="H290" s="42">
        <v>45.89</v>
      </c>
      <c r="I290" s="42">
        <v>57.28</v>
      </c>
      <c r="J290" s="42">
        <v>57.15</v>
      </c>
      <c r="K290" s="42">
        <v>53.54</v>
      </c>
      <c r="L290" s="42">
        <v>55.29</v>
      </c>
      <c r="M290" s="42">
        <f t="shared" si="19"/>
        <v>7.9399999999999977</v>
      </c>
    </row>
    <row r="291" spans="2:13" x14ac:dyDescent="0.25">
      <c r="B291" s="42">
        <f t="shared" si="16"/>
        <v>3</v>
      </c>
      <c r="C291" s="42">
        <f t="shared" si="17"/>
        <v>2</v>
      </c>
      <c r="D291" s="42">
        <f t="shared" si="18"/>
        <v>2017</v>
      </c>
      <c r="E291" s="43">
        <v>42769</v>
      </c>
      <c r="F291" s="42">
        <v>46.1</v>
      </c>
      <c r="G291" s="42">
        <v>56.71</v>
      </c>
      <c r="H291" s="42">
        <v>46.34</v>
      </c>
      <c r="I291" s="42">
        <v>57.53</v>
      </c>
      <c r="J291" s="42">
        <v>57.13</v>
      </c>
      <c r="K291" s="42">
        <v>53.83</v>
      </c>
      <c r="L291" s="42">
        <v>55.58</v>
      </c>
      <c r="M291" s="42">
        <f t="shared" si="19"/>
        <v>7.7299999999999969</v>
      </c>
    </row>
    <row r="292" spans="2:13" x14ac:dyDescent="0.25">
      <c r="B292" s="42">
        <f t="shared" si="16"/>
        <v>6</v>
      </c>
      <c r="C292" s="42">
        <f t="shared" si="17"/>
        <v>2</v>
      </c>
      <c r="D292" s="42">
        <f t="shared" si="18"/>
        <v>2017</v>
      </c>
      <c r="E292" s="43">
        <v>42772</v>
      </c>
      <c r="F292" s="42">
        <v>45.37</v>
      </c>
      <c r="G292" s="42">
        <v>55.79</v>
      </c>
      <c r="H292" s="42">
        <v>45.77</v>
      </c>
      <c r="I292" s="42">
        <v>56.56</v>
      </c>
      <c r="J292" s="42">
        <v>56.19</v>
      </c>
      <c r="K292" s="42">
        <v>53.01</v>
      </c>
      <c r="L292" s="42">
        <v>54.81</v>
      </c>
      <c r="M292" s="42">
        <f t="shared" si="19"/>
        <v>7.6400000000000006</v>
      </c>
    </row>
    <row r="293" spans="2:13" x14ac:dyDescent="0.25">
      <c r="B293" s="42">
        <f t="shared" si="16"/>
        <v>7</v>
      </c>
      <c r="C293" s="42">
        <f t="shared" si="17"/>
        <v>2</v>
      </c>
      <c r="D293" s="42">
        <f t="shared" si="18"/>
        <v>2017</v>
      </c>
      <c r="E293" s="43">
        <v>42773</v>
      </c>
      <c r="F293" s="42">
        <v>44.5</v>
      </c>
      <c r="G293" s="42">
        <v>55.07</v>
      </c>
      <c r="H293" s="42">
        <v>44.8</v>
      </c>
      <c r="I293" s="42">
        <v>55.82</v>
      </c>
      <c r="J293" s="42">
        <v>55.04</v>
      </c>
      <c r="K293" s="42">
        <v>52.17</v>
      </c>
      <c r="L293" s="42">
        <v>53.92</v>
      </c>
      <c r="M293" s="42">
        <f t="shared" si="19"/>
        <v>7.6700000000000017</v>
      </c>
    </row>
    <row r="294" spans="2:13" x14ac:dyDescent="0.25">
      <c r="B294" s="42">
        <f t="shared" si="16"/>
        <v>8</v>
      </c>
      <c r="C294" s="42">
        <f t="shared" si="17"/>
        <v>2</v>
      </c>
      <c r="D294" s="42">
        <f t="shared" si="18"/>
        <v>2017</v>
      </c>
      <c r="E294" s="43">
        <v>42774</v>
      </c>
      <c r="F294" s="42">
        <v>44.72</v>
      </c>
      <c r="G294" s="42">
        <v>55.34</v>
      </c>
      <c r="H294" s="42">
        <v>45.31</v>
      </c>
      <c r="I294" s="42">
        <v>56.08</v>
      </c>
      <c r="J294" s="42">
        <v>55.44</v>
      </c>
      <c r="K294" s="42">
        <v>52.34</v>
      </c>
      <c r="L294" s="42">
        <v>54.04</v>
      </c>
      <c r="M294" s="42">
        <f t="shared" si="19"/>
        <v>7.6200000000000045</v>
      </c>
    </row>
    <row r="295" spans="2:13" x14ac:dyDescent="0.25">
      <c r="B295" s="42">
        <f t="shared" si="16"/>
        <v>9</v>
      </c>
      <c r="C295" s="42">
        <f t="shared" si="17"/>
        <v>2</v>
      </c>
      <c r="D295" s="42">
        <f t="shared" si="18"/>
        <v>2017</v>
      </c>
      <c r="E295" s="43">
        <v>42775</v>
      </c>
      <c r="F295" s="42">
        <v>45.14</v>
      </c>
      <c r="G295" s="42">
        <v>56.01</v>
      </c>
      <c r="H295" s="42">
        <v>45.93</v>
      </c>
      <c r="I295" s="42">
        <v>56.74</v>
      </c>
      <c r="J295" s="42">
        <v>55.56</v>
      </c>
      <c r="K295" s="42">
        <v>53</v>
      </c>
      <c r="L295" s="42">
        <v>54.7</v>
      </c>
      <c r="M295" s="42">
        <f t="shared" si="19"/>
        <v>7.8599999999999994</v>
      </c>
    </row>
    <row r="296" spans="2:13" x14ac:dyDescent="0.25">
      <c r="B296" s="42">
        <f t="shared" si="16"/>
        <v>10</v>
      </c>
      <c r="C296" s="42">
        <f t="shared" si="17"/>
        <v>2</v>
      </c>
      <c r="D296" s="42">
        <f t="shared" si="18"/>
        <v>2017</v>
      </c>
      <c r="E296" s="43">
        <v>42776</v>
      </c>
      <c r="F296" s="42">
        <v>46.14</v>
      </c>
      <c r="G296" s="42">
        <v>56.89</v>
      </c>
      <c r="H296" s="42">
        <v>46.95</v>
      </c>
      <c r="I296" s="42">
        <v>57.6</v>
      </c>
      <c r="J296" s="42">
        <v>56.89</v>
      </c>
      <c r="K296" s="42">
        <v>53.86</v>
      </c>
      <c r="L296" s="42">
        <v>55.61</v>
      </c>
      <c r="M296" s="42">
        <f t="shared" si="19"/>
        <v>7.7199999999999989</v>
      </c>
    </row>
    <row r="297" spans="2:13" x14ac:dyDescent="0.25">
      <c r="B297" s="42">
        <f t="shared" si="16"/>
        <v>13</v>
      </c>
      <c r="C297" s="42">
        <f t="shared" si="17"/>
        <v>2</v>
      </c>
      <c r="D297" s="42">
        <f t="shared" si="18"/>
        <v>2017</v>
      </c>
      <c r="E297" s="43">
        <v>42779</v>
      </c>
      <c r="F297" s="42">
        <v>45.36</v>
      </c>
      <c r="G297" s="42">
        <v>55.88</v>
      </c>
      <c r="H297" s="42">
        <v>45.84</v>
      </c>
      <c r="I297" s="42">
        <v>56.58</v>
      </c>
      <c r="J297" s="42">
        <v>55.68</v>
      </c>
      <c r="K297" s="42">
        <v>52.93</v>
      </c>
      <c r="L297" s="42">
        <v>54.68</v>
      </c>
      <c r="M297" s="42">
        <f t="shared" si="19"/>
        <v>7.57</v>
      </c>
    </row>
    <row r="298" spans="2:13" x14ac:dyDescent="0.25">
      <c r="B298" s="42">
        <f t="shared" si="16"/>
        <v>14</v>
      </c>
      <c r="C298" s="42">
        <f t="shared" si="17"/>
        <v>2</v>
      </c>
      <c r="D298" s="42">
        <f t="shared" si="18"/>
        <v>2017</v>
      </c>
      <c r="E298" s="43">
        <v>42780</v>
      </c>
      <c r="F298" s="42">
        <v>45.71</v>
      </c>
      <c r="G298" s="42">
        <v>56.09</v>
      </c>
      <c r="H298" s="42">
        <v>46.11</v>
      </c>
      <c r="I298" s="42">
        <v>56.81</v>
      </c>
      <c r="J298" s="42">
        <v>56.2</v>
      </c>
      <c r="K298" s="42">
        <v>53.2</v>
      </c>
      <c r="L298" s="42">
        <v>55</v>
      </c>
      <c r="M298" s="42">
        <f t="shared" si="19"/>
        <v>7.490000000000002</v>
      </c>
    </row>
    <row r="299" spans="2:13" x14ac:dyDescent="0.25">
      <c r="B299" s="42">
        <f t="shared" si="16"/>
        <v>15</v>
      </c>
      <c r="C299" s="42">
        <f t="shared" si="17"/>
        <v>2</v>
      </c>
      <c r="D299" s="42">
        <f t="shared" si="18"/>
        <v>2017</v>
      </c>
      <c r="E299" s="43">
        <v>42781</v>
      </c>
      <c r="F299" s="42">
        <v>45.51</v>
      </c>
      <c r="G299" s="42">
        <v>55.92</v>
      </c>
      <c r="H299" s="42">
        <v>45.96</v>
      </c>
      <c r="I299" s="42">
        <v>56.64</v>
      </c>
      <c r="J299" s="42">
        <v>55.85</v>
      </c>
      <c r="K299" s="42">
        <v>53.11</v>
      </c>
      <c r="L299" s="42">
        <v>55.01</v>
      </c>
      <c r="M299" s="42">
        <f t="shared" si="19"/>
        <v>7.6000000000000014</v>
      </c>
    </row>
    <row r="300" spans="2:13" x14ac:dyDescent="0.25">
      <c r="B300" s="42">
        <f t="shared" si="16"/>
        <v>16</v>
      </c>
      <c r="C300" s="42">
        <f t="shared" si="17"/>
        <v>2</v>
      </c>
      <c r="D300" s="42">
        <f t="shared" si="18"/>
        <v>2017</v>
      </c>
      <c r="E300" s="43">
        <v>42782</v>
      </c>
      <c r="F300" s="42">
        <v>45.34</v>
      </c>
      <c r="G300" s="42">
        <v>56.06</v>
      </c>
      <c r="H300" s="42">
        <v>45.87</v>
      </c>
      <c r="I300" s="42">
        <v>56.75</v>
      </c>
      <c r="J300" s="42">
        <v>55.36</v>
      </c>
      <c r="K300" s="42">
        <v>53.36</v>
      </c>
      <c r="L300" s="42">
        <v>55.21</v>
      </c>
      <c r="M300" s="42">
        <f t="shared" si="19"/>
        <v>8.019999999999996</v>
      </c>
    </row>
    <row r="301" spans="2:13" x14ac:dyDescent="0.25">
      <c r="B301" s="42">
        <f t="shared" si="16"/>
        <v>17</v>
      </c>
      <c r="C301" s="42">
        <f t="shared" si="17"/>
        <v>2</v>
      </c>
      <c r="D301" s="42">
        <f t="shared" si="18"/>
        <v>2017</v>
      </c>
      <c r="E301" s="43">
        <v>42783</v>
      </c>
      <c r="F301" s="42">
        <v>45.3</v>
      </c>
      <c r="G301" s="42">
        <v>55.96</v>
      </c>
      <c r="H301" s="42">
        <v>45.65</v>
      </c>
      <c r="I301" s="42">
        <v>56.67</v>
      </c>
      <c r="J301" s="42">
        <v>55.55</v>
      </c>
      <c r="K301" s="42">
        <v>53.4</v>
      </c>
      <c r="L301" s="42">
        <v>55.2</v>
      </c>
      <c r="M301" s="42">
        <f t="shared" si="19"/>
        <v>8.1000000000000014</v>
      </c>
    </row>
    <row r="302" spans="2:13" x14ac:dyDescent="0.25">
      <c r="B302" s="42">
        <f t="shared" si="16"/>
        <v>20</v>
      </c>
      <c r="C302" s="42">
        <f t="shared" si="17"/>
        <v>2</v>
      </c>
      <c r="D302" s="42">
        <f t="shared" si="18"/>
        <v>2017</v>
      </c>
      <c r="E302" s="43">
        <v>42786</v>
      </c>
      <c r="F302" s="42">
        <v>45.3</v>
      </c>
      <c r="G302" s="42">
        <v>55.96</v>
      </c>
      <c r="H302" s="42">
        <v>45.65</v>
      </c>
      <c r="I302" s="42">
        <v>56.67</v>
      </c>
      <c r="J302" s="42">
        <v>56.3</v>
      </c>
      <c r="K302" s="42">
        <v>53.4</v>
      </c>
      <c r="L302" s="42">
        <v>55.2</v>
      </c>
      <c r="M302" s="42">
        <f t="shared" si="19"/>
        <v>8.1000000000000014</v>
      </c>
    </row>
    <row r="303" spans="2:13" x14ac:dyDescent="0.25">
      <c r="B303" s="42">
        <f t="shared" si="16"/>
        <v>21</v>
      </c>
      <c r="C303" s="42">
        <f t="shared" si="17"/>
        <v>2</v>
      </c>
      <c r="D303" s="42">
        <f t="shared" si="18"/>
        <v>2017</v>
      </c>
      <c r="E303" s="43">
        <v>42787</v>
      </c>
      <c r="F303" s="42">
        <v>46.03</v>
      </c>
      <c r="G303" s="42">
        <v>56.67</v>
      </c>
      <c r="H303" s="42">
        <v>46.14</v>
      </c>
      <c r="I303" s="42">
        <v>57.46</v>
      </c>
      <c r="J303" s="42">
        <v>57.03</v>
      </c>
      <c r="K303" s="42">
        <v>54.06</v>
      </c>
      <c r="L303" s="42">
        <v>55.86</v>
      </c>
      <c r="M303" s="42">
        <f t="shared" si="19"/>
        <v>8.0300000000000011</v>
      </c>
    </row>
    <row r="304" spans="2:13" x14ac:dyDescent="0.25">
      <c r="B304" s="42">
        <f t="shared" si="16"/>
        <v>22</v>
      </c>
      <c r="C304" s="42">
        <f t="shared" si="17"/>
        <v>2</v>
      </c>
      <c r="D304" s="42">
        <f t="shared" si="18"/>
        <v>2017</v>
      </c>
      <c r="E304" s="43">
        <v>42788</v>
      </c>
      <c r="F304" s="42">
        <v>45.17</v>
      </c>
      <c r="G304" s="42">
        <v>55.88</v>
      </c>
      <c r="H304" s="42">
        <v>45.37</v>
      </c>
      <c r="I304" s="42">
        <v>56.67</v>
      </c>
      <c r="J304" s="42">
        <v>55.73</v>
      </c>
      <c r="K304" s="42">
        <v>53.19</v>
      </c>
      <c r="L304" s="42">
        <v>54.94</v>
      </c>
      <c r="M304" s="42">
        <f t="shared" si="19"/>
        <v>8.019999999999996</v>
      </c>
    </row>
    <row r="305" spans="2:13" x14ac:dyDescent="0.25">
      <c r="B305" s="42">
        <f t="shared" si="16"/>
        <v>23</v>
      </c>
      <c r="C305" s="42">
        <f t="shared" si="17"/>
        <v>2</v>
      </c>
      <c r="D305" s="42">
        <f t="shared" si="18"/>
        <v>2017</v>
      </c>
      <c r="E305" s="43">
        <v>42789</v>
      </c>
      <c r="F305" s="42">
        <v>46</v>
      </c>
      <c r="G305" s="42">
        <v>56.66</v>
      </c>
      <c r="H305" s="42">
        <v>46.16</v>
      </c>
      <c r="I305" s="42">
        <v>57.43</v>
      </c>
      <c r="J305" s="42">
        <v>56.76</v>
      </c>
      <c r="K305" s="42">
        <v>54.05</v>
      </c>
      <c r="L305" s="42">
        <v>55.75</v>
      </c>
      <c r="M305" s="42">
        <f t="shared" si="19"/>
        <v>8.0499999999999972</v>
      </c>
    </row>
    <row r="306" spans="2:13" x14ac:dyDescent="0.25">
      <c r="B306" s="42">
        <f t="shared" si="16"/>
        <v>24</v>
      </c>
      <c r="C306" s="42">
        <f t="shared" si="17"/>
        <v>2</v>
      </c>
      <c r="D306" s="42">
        <f t="shared" si="18"/>
        <v>2017</v>
      </c>
      <c r="E306" s="43">
        <v>42790</v>
      </c>
      <c r="F306" s="42">
        <v>45.75</v>
      </c>
      <c r="G306" s="42">
        <v>55.98</v>
      </c>
      <c r="H306" s="42">
        <v>45.98</v>
      </c>
      <c r="I306" s="42">
        <v>56.77</v>
      </c>
      <c r="J306" s="42">
        <v>56.08</v>
      </c>
      <c r="K306" s="42">
        <v>53.59</v>
      </c>
      <c r="L306" s="42">
        <v>55.14</v>
      </c>
      <c r="M306" s="42">
        <f t="shared" si="19"/>
        <v>7.8400000000000034</v>
      </c>
    </row>
    <row r="307" spans="2:13" x14ac:dyDescent="0.25">
      <c r="B307" s="42">
        <f t="shared" si="16"/>
        <v>27</v>
      </c>
      <c r="C307" s="42">
        <f t="shared" si="17"/>
        <v>2</v>
      </c>
      <c r="D307" s="42">
        <f t="shared" si="18"/>
        <v>2017</v>
      </c>
      <c r="E307" s="43">
        <v>42793</v>
      </c>
      <c r="F307" s="42">
        <v>46.22</v>
      </c>
      <c r="G307" s="42">
        <v>56.69</v>
      </c>
      <c r="H307" s="42">
        <v>46.67</v>
      </c>
      <c r="I307" s="42">
        <v>57.37</v>
      </c>
      <c r="J307" s="42">
        <v>56.1</v>
      </c>
      <c r="K307" s="42">
        <v>54.05</v>
      </c>
      <c r="L307" s="42">
        <v>55.7</v>
      </c>
      <c r="M307" s="42">
        <f t="shared" si="19"/>
        <v>7.8299999999999983</v>
      </c>
    </row>
    <row r="308" spans="2:13" x14ac:dyDescent="0.25">
      <c r="B308" s="42">
        <f t="shared" si="16"/>
        <v>28</v>
      </c>
      <c r="C308" s="42">
        <f t="shared" si="17"/>
        <v>2</v>
      </c>
      <c r="D308" s="42">
        <f t="shared" si="18"/>
        <v>2017</v>
      </c>
      <c r="E308" s="43">
        <v>42794</v>
      </c>
      <c r="F308" s="42">
        <v>46.02</v>
      </c>
      <c r="G308" s="42">
        <v>56.66</v>
      </c>
      <c r="H308" s="42">
        <v>46.33</v>
      </c>
      <c r="I308" s="42">
        <v>57.32</v>
      </c>
      <c r="J308" s="42">
        <v>55.15</v>
      </c>
      <c r="K308" s="42">
        <v>54.01</v>
      </c>
      <c r="L308" s="42">
        <v>55.76</v>
      </c>
      <c r="M308" s="42">
        <f t="shared" si="19"/>
        <v>7.9899999999999949</v>
      </c>
    </row>
    <row r="309" spans="2:13" x14ac:dyDescent="0.25">
      <c r="B309" s="42">
        <f t="shared" si="16"/>
        <v>1</v>
      </c>
      <c r="C309" s="42">
        <f t="shared" si="17"/>
        <v>3</v>
      </c>
      <c r="D309" s="42">
        <f t="shared" si="18"/>
        <v>2017</v>
      </c>
      <c r="E309" s="43">
        <v>42795</v>
      </c>
      <c r="F309" s="42">
        <v>46.33</v>
      </c>
      <c r="G309" s="42">
        <v>56.57</v>
      </c>
      <c r="H309" s="42">
        <v>47.02</v>
      </c>
      <c r="I309" s="42">
        <v>57.29</v>
      </c>
      <c r="J309" s="42">
        <v>56.61</v>
      </c>
      <c r="K309" s="42">
        <v>53.83</v>
      </c>
      <c r="L309" s="42">
        <v>55.63</v>
      </c>
      <c r="M309" s="42">
        <f t="shared" si="19"/>
        <v>7.5</v>
      </c>
    </row>
    <row r="310" spans="2:13" x14ac:dyDescent="0.25">
      <c r="B310" s="42">
        <f t="shared" si="16"/>
        <v>2</v>
      </c>
      <c r="C310" s="42">
        <f t="shared" si="17"/>
        <v>3</v>
      </c>
      <c r="D310" s="42">
        <f t="shared" si="18"/>
        <v>2017</v>
      </c>
      <c r="E310" s="43">
        <v>42796</v>
      </c>
      <c r="F310" s="42">
        <v>45.19</v>
      </c>
      <c r="G310" s="42">
        <v>55.34</v>
      </c>
      <c r="H310" s="42">
        <v>45.69</v>
      </c>
      <c r="I310" s="42">
        <v>56.04</v>
      </c>
      <c r="J310" s="42">
        <v>55.46</v>
      </c>
      <c r="K310" s="42">
        <v>52.61</v>
      </c>
      <c r="L310" s="42">
        <v>54.41</v>
      </c>
      <c r="M310" s="42">
        <f t="shared" si="19"/>
        <v>7.4200000000000017</v>
      </c>
    </row>
    <row r="311" spans="2:13" x14ac:dyDescent="0.25">
      <c r="B311" s="42">
        <f t="shared" si="16"/>
        <v>3</v>
      </c>
      <c r="C311" s="42">
        <f t="shared" si="17"/>
        <v>3</v>
      </c>
      <c r="D311" s="42">
        <f t="shared" si="18"/>
        <v>2017</v>
      </c>
      <c r="E311" s="43">
        <v>42797</v>
      </c>
      <c r="F311" s="42">
        <v>45.43</v>
      </c>
      <c r="G311" s="42">
        <v>56</v>
      </c>
      <c r="H311" s="42">
        <v>46.08</v>
      </c>
      <c r="I311" s="42">
        <v>56.7</v>
      </c>
      <c r="J311" s="42">
        <v>55.61</v>
      </c>
      <c r="K311" s="42">
        <v>53.33</v>
      </c>
      <c r="L311" s="42">
        <v>55.08</v>
      </c>
      <c r="M311" s="42">
        <f t="shared" si="19"/>
        <v>7.8999999999999986</v>
      </c>
    </row>
    <row r="312" spans="2:13" x14ac:dyDescent="0.25">
      <c r="B312" s="42">
        <f t="shared" si="16"/>
        <v>6</v>
      </c>
      <c r="C312" s="42">
        <f t="shared" si="17"/>
        <v>3</v>
      </c>
      <c r="D312" s="42">
        <f t="shared" si="18"/>
        <v>2017</v>
      </c>
      <c r="E312" s="43">
        <v>42800</v>
      </c>
      <c r="F312" s="42">
        <v>45.52</v>
      </c>
      <c r="G312" s="42">
        <v>56.01</v>
      </c>
      <c r="H312" s="42">
        <v>46.28</v>
      </c>
      <c r="I312" s="42">
        <v>56.74</v>
      </c>
      <c r="J312" s="42">
        <v>55.98</v>
      </c>
      <c r="K312" s="42">
        <v>53.2</v>
      </c>
      <c r="L312" s="42">
        <v>54.95</v>
      </c>
      <c r="M312" s="42">
        <f t="shared" si="19"/>
        <v>7.68</v>
      </c>
    </row>
    <row r="313" spans="2:13" x14ac:dyDescent="0.25">
      <c r="B313" s="42">
        <f t="shared" si="16"/>
        <v>7</v>
      </c>
      <c r="C313" s="42">
        <f t="shared" si="17"/>
        <v>3</v>
      </c>
      <c r="D313" s="42">
        <f t="shared" si="18"/>
        <v>2017</v>
      </c>
      <c r="E313" s="43">
        <v>42801</v>
      </c>
      <c r="F313" s="42">
        <v>45.56</v>
      </c>
      <c r="G313" s="42">
        <v>55.84</v>
      </c>
      <c r="H313" s="42">
        <v>46.18</v>
      </c>
      <c r="I313" s="42">
        <v>56.57</v>
      </c>
      <c r="J313" s="42">
        <v>56.09</v>
      </c>
      <c r="K313" s="42">
        <v>53.14</v>
      </c>
      <c r="L313" s="42">
        <v>54.84</v>
      </c>
      <c r="M313" s="42">
        <f t="shared" si="19"/>
        <v>7.5799999999999983</v>
      </c>
    </row>
    <row r="314" spans="2:13" x14ac:dyDescent="0.25">
      <c r="B314" s="42">
        <f t="shared" si="16"/>
        <v>8</v>
      </c>
      <c r="C314" s="42">
        <f t="shared" si="17"/>
        <v>3</v>
      </c>
      <c r="D314" s="42">
        <f t="shared" si="18"/>
        <v>2017</v>
      </c>
      <c r="E314" s="43">
        <v>42802</v>
      </c>
      <c r="F314" s="42">
        <v>43.79</v>
      </c>
      <c r="G314" s="42">
        <v>53.03</v>
      </c>
      <c r="H314" s="42">
        <v>43.58</v>
      </c>
      <c r="I314" s="42">
        <v>53.81</v>
      </c>
      <c r="J314" s="42">
        <v>55.03</v>
      </c>
      <c r="K314" s="42">
        <v>50.28</v>
      </c>
      <c r="L314" s="42">
        <v>51.98</v>
      </c>
      <c r="M314" s="42">
        <f t="shared" si="19"/>
        <v>6.490000000000002</v>
      </c>
    </row>
    <row r="315" spans="2:13" x14ac:dyDescent="0.25">
      <c r="B315" s="42">
        <f t="shared" si="16"/>
        <v>9</v>
      </c>
      <c r="C315" s="42">
        <f t="shared" si="17"/>
        <v>3</v>
      </c>
      <c r="D315" s="42">
        <f t="shared" si="18"/>
        <v>2017</v>
      </c>
      <c r="E315" s="43">
        <v>42803</v>
      </c>
      <c r="F315" s="42">
        <v>42.03</v>
      </c>
      <c r="G315" s="42">
        <v>52.02</v>
      </c>
      <c r="H315" s="42">
        <v>42.57</v>
      </c>
      <c r="I315" s="42">
        <v>52.79</v>
      </c>
      <c r="J315" s="42">
        <v>51.99</v>
      </c>
      <c r="K315" s="42">
        <v>49.28</v>
      </c>
      <c r="L315" s="42">
        <v>50.98</v>
      </c>
      <c r="M315" s="42">
        <f t="shared" si="19"/>
        <v>7.25</v>
      </c>
    </row>
    <row r="316" spans="2:13" x14ac:dyDescent="0.25">
      <c r="B316" s="42">
        <f t="shared" si="16"/>
        <v>10</v>
      </c>
      <c r="C316" s="42">
        <f t="shared" si="17"/>
        <v>3</v>
      </c>
      <c r="D316" s="42">
        <f t="shared" si="18"/>
        <v>2017</v>
      </c>
      <c r="E316" s="43">
        <v>42804</v>
      </c>
      <c r="F316" s="42">
        <v>41.47</v>
      </c>
      <c r="G316" s="42">
        <v>51.26</v>
      </c>
      <c r="H316" s="42">
        <v>41.82</v>
      </c>
      <c r="I316" s="42">
        <v>52.03</v>
      </c>
      <c r="J316" s="42">
        <v>51.75</v>
      </c>
      <c r="K316" s="42">
        <v>48.49</v>
      </c>
      <c r="L316" s="42">
        <v>50.19</v>
      </c>
      <c r="M316" s="42">
        <f t="shared" si="19"/>
        <v>7.0200000000000031</v>
      </c>
    </row>
    <row r="317" spans="2:13" x14ac:dyDescent="0.25">
      <c r="B317" s="42">
        <f t="shared" si="16"/>
        <v>13</v>
      </c>
      <c r="C317" s="42">
        <f t="shared" si="17"/>
        <v>3</v>
      </c>
      <c r="D317" s="42">
        <f t="shared" si="18"/>
        <v>2017</v>
      </c>
      <c r="E317" s="43">
        <v>42807</v>
      </c>
      <c r="F317" s="42">
        <v>41.04</v>
      </c>
      <c r="G317" s="42">
        <v>51.18</v>
      </c>
      <c r="H317" s="42">
        <v>41.68</v>
      </c>
      <c r="I317" s="42">
        <v>51.96</v>
      </c>
      <c r="J317" s="42">
        <v>51.52</v>
      </c>
      <c r="K317" s="42">
        <v>48.4</v>
      </c>
      <c r="L317" s="42">
        <v>50.1</v>
      </c>
      <c r="M317" s="42">
        <f t="shared" si="19"/>
        <v>7.3599999999999994</v>
      </c>
    </row>
    <row r="318" spans="2:13" x14ac:dyDescent="0.25">
      <c r="B318" s="42">
        <f t="shared" si="16"/>
        <v>14</v>
      </c>
      <c r="C318" s="42">
        <f t="shared" si="17"/>
        <v>3</v>
      </c>
      <c r="D318" s="42">
        <f t="shared" si="18"/>
        <v>2017</v>
      </c>
      <c r="E318" s="43">
        <v>42808</v>
      </c>
      <c r="F318" s="42">
        <v>40.29</v>
      </c>
      <c r="G318" s="42">
        <v>50.51</v>
      </c>
      <c r="H318" s="42">
        <v>41.03</v>
      </c>
      <c r="I318" s="42">
        <v>51.35</v>
      </c>
      <c r="J318" s="42">
        <v>50.48</v>
      </c>
      <c r="K318" s="42">
        <v>47.72</v>
      </c>
      <c r="L318" s="42">
        <v>49.47</v>
      </c>
      <c r="M318" s="42">
        <f t="shared" si="19"/>
        <v>7.43</v>
      </c>
    </row>
    <row r="319" spans="2:13" x14ac:dyDescent="0.25">
      <c r="B319" s="42">
        <f t="shared" si="16"/>
        <v>15</v>
      </c>
      <c r="C319" s="42">
        <f t="shared" si="17"/>
        <v>3</v>
      </c>
      <c r="D319" s="42">
        <f t="shared" si="18"/>
        <v>2017</v>
      </c>
      <c r="E319" s="43">
        <v>42809</v>
      </c>
      <c r="F319" s="42">
        <v>41.24</v>
      </c>
      <c r="G319" s="42">
        <v>51.59</v>
      </c>
      <c r="H319" s="42">
        <v>41.95</v>
      </c>
      <c r="I319" s="42">
        <v>52.4</v>
      </c>
      <c r="J319" s="42">
        <v>51.66</v>
      </c>
      <c r="K319" s="42">
        <v>48.86</v>
      </c>
      <c r="L319" s="42">
        <v>50.61</v>
      </c>
      <c r="M319" s="42">
        <f t="shared" si="19"/>
        <v>7.6199999999999974</v>
      </c>
    </row>
    <row r="320" spans="2:13" x14ac:dyDescent="0.25">
      <c r="B320" s="42">
        <f t="shared" si="16"/>
        <v>16</v>
      </c>
      <c r="C320" s="42">
        <f t="shared" si="17"/>
        <v>3</v>
      </c>
      <c r="D320" s="42">
        <f t="shared" si="18"/>
        <v>2017</v>
      </c>
      <c r="E320" s="43">
        <v>42810</v>
      </c>
      <c r="F320" s="42">
        <v>41.37</v>
      </c>
      <c r="G320" s="42">
        <v>51.54</v>
      </c>
      <c r="H320" s="42">
        <v>42.05</v>
      </c>
      <c r="I320" s="42">
        <v>52.35</v>
      </c>
      <c r="J320" s="42">
        <v>51.53</v>
      </c>
      <c r="K320" s="42">
        <v>48.75</v>
      </c>
      <c r="L320" s="42">
        <v>50.55</v>
      </c>
      <c r="M320" s="42">
        <f t="shared" si="19"/>
        <v>7.3800000000000026</v>
      </c>
    </row>
    <row r="321" spans="2:13" x14ac:dyDescent="0.25">
      <c r="B321" s="42">
        <f t="shared" si="16"/>
        <v>17</v>
      </c>
      <c r="C321" s="42">
        <f t="shared" si="17"/>
        <v>3</v>
      </c>
      <c r="D321" s="42">
        <f t="shared" si="18"/>
        <v>2017</v>
      </c>
      <c r="E321" s="43">
        <v>42811</v>
      </c>
      <c r="F321" s="42">
        <v>41.35</v>
      </c>
      <c r="G321" s="42">
        <v>51.53</v>
      </c>
      <c r="H321" s="42">
        <v>41.94</v>
      </c>
      <c r="I321" s="42">
        <v>52.33</v>
      </c>
      <c r="J321" s="42">
        <v>51.78</v>
      </c>
      <c r="K321" s="42">
        <v>48.78</v>
      </c>
      <c r="L321" s="42">
        <v>50.58</v>
      </c>
      <c r="M321" s="42">
        <f t="shared" si="19"/>
        <v>7.43</v>
      </c>
    </row>
    <row r="322" spans="2:13" x14ac:dyDescent="0.25">
      <c r="B322" s="42">
        <f t="shared" si="16"/>
        <v>20</v>
      </c>
      <c r="C322" s="42">
        <f t="shared" si="17"/>
        <v>3</v>
      </c>
      <c r="D322" s="42">
        <f t="shared" si="18"/>
        <v>2017</v>
      </c>
      <c r="E322" s="43">
        <v>42814</v>
      </c>
      <c r="F322" s="42">
        <v>41.27</v>
      </c>
      <c r="G322" s="42">
        <v>51.11</v>
      </c>
      <c r="H322" s="42">
        <v>41.68</v>
      </c>
      <c r="I322" s="42">
        <v>51.96</v>
      </c>
      <c r="J322" s="42">
        <v>51.95</v>
      </c>
      <c r="K322" s="42">
        <v>48.22</v>
      </c>
      <c r="L322" s="42">
        <v>50.02</v>
      </c>
      <c r="M322" s="42">
        <f t="shared" si="19"/>
        <v>6.9499999999999957</v>
      </c>
    </row>
    <row r="323" spans="2:13" x14ac:dyDescent="0.25">
      <c r="B323" s="42">
        <f t="shared" si="16"/>
        <v>21</v>
      </c>
      <c r="C323" s="42">
        <f t="shared" si="17"/>
        <v>3</v>
      </c>
      <c r="D323" s="42">
        <f t="shared" si="18"/>
        <v>2017</v>
      </c>
      <c r="E323" s="43">
        <v>42815</v>
      </c>
      <c r="F323" s="42">
        <v>40.47</v>
      </c>
      <c r="G323" s="42">
        <v>50.16</v>
      </c>
      <c r="H323" s="42">
        <v>40.869999999999997</v>
      </c>
      <c r="I323" s="42">
        <v>51.08</v>
      </c>
      <c r="J323" s="42">
        <v>51.11</v>
      </c>
      <c r="K323" s="42">
        <v>47.34</v>
      </c>
      <c r="L323" s="42">
        <v>49.04</v>
      </c>
      <c r="M323" s="42">
        <f t="shared" si="19"/>
        <v>6.8700000000000045</v>
      </c>
    </row>
    <row r="324" spans="2:13" x14ac:dyDescent="0.25">
      <c r="B324" s="42">
        <f t="shared" si="16"/>
        <v>22</v>
      </c>
      <c r="C324" s="42">
        <f t="shared" si="17"/>
        <v>3</v>
      </c>
      <c r="D324" s="42">
        <f t="shared" si="18"/>
        <v>2017</v>
      </c>
      <c r="E324" s="43">
        <v>42816</v>
      </c>
      <c r="F324" s="42">
        <v>40.11</v>
      </c>
      <c r="G324" s="42">
        <v>50.05</v>
      </c>
      <c r="H324" s="42">
        <v>40.53</v>
      </c>
      <c r="I324" s="42">
        <v>50.92</v>
      </c>
      <c r="J324" s="42">
        <v>50.32</v>
      </c>
      <c r="K324" s="42">
        <v>47.34</v>
      </c>
      <c r="L324" s="42">
        <v>49.04</v>
      </c>
      <c r="M324" s="42">
        <f t="shared" si="19"/>
        <v>7.230000000000004</v>
      </c>
    </row>
    <row r="325" spans="2:13" x14ac:dyDescent="0.25">
      <c r="B325" s="42">
        <f t="shared" si="16"/>
        <v>23</v>
      </c>
      <c r="C325" s="42">
        <f t="shared" si="17"/>
        <v>3</v>
      </c>
      <c r="D325" s="42">
        <f t="shared" si="18"/>
        <v>2017</v>
      </c>
      <c r="E325" s="43">
        <v>42817</v>
      </c>
      <c r="F325" s="42">
        <v>40.1</v>
      </c>
      <c r="G325" s="42">
        <v>49.76</v>
      </c>
      <c r="H325" s="42">
        <v>40.24</v>
      </c>
      <c r="I325" s="42">
        <v>50.65</v>
      </c>
      <c r="J325" s="42">
        <v>50.71</v>
      </c>
      <c r="K325" s="42">
        <v>47</v>
      </c>
      <c r="L325" s="42">
        <v>48.75</v>
      </c>
      <c r="M325" s="42">
        <f t="shared" si="19"/>
        <v>6.8999999999999986</v>
      </c>
    </row>
    <row r="326" spans="2:13" x14ac:dyDescent="0.25">
      <c r="B326" s="42">
        <f t="shared" si="16"/>
        <v>24</v>
      </c>
      <c r="C326" s="42">
        <f t="shared" si="17"/>
        <v>3</v>
      </c>
      <c r="D326" s="42">
        <f t="shared" si="18"/>
        <v>2017</v>
      </c>
      <c r="E326" s="43">
        <v>42818</v>
      </c>
      <c r="F326" s="42">
        <v>40.130000000000003</v>
      </c>
      <c r="G326" s="42">
        <v>50.01</v>
      </c>
      <c r="H326" s="42">
        <v>40.380000000000003</v>
      </c>
      <c r="I326" s="42">
        <v>50.94</v>
      </c>
      <c r="J326" s="42">
        <v>50.67</v>
      </c>
      <c r="K326" s="42">
        <v>47.27</v>
      </c>
      <c r="L326" s="42">
        <v>49.02</v>
      </c>
      <c r="M326" s="42">
        <f t="shared" si="19"/>
        <v>7.1400000000000006</v>
      </c>
    </row>
    <row r="327" spans="2:13" x14ac:dyDescent="0.25">
      <c r="B327" s="42">
        <f t="shared" ref="B327:B390" si="20">DAY(E327)</f>
        <v>27</v>
      </c>
      <c r="C327" s="42">
        <f t="shared" ref="C327:C390" si="21">MONTH(E327)</f>
        <v>3</v>
      </c>
      <c r="D327" s="42">
        <f t="shared" ref="D327:D390" si="22">YEAR(E327)</f>
        <v>2017</v>
      </c>
      <c r="E327" s="43">
        <v>42821</v>
      </c>
      <c r="F327" s="42">
        <v>40.22</v>
      </c>
      <c r="G327" s="42">
        <v>50.43</v>
      </c>
      <c r="H327" s="42">
        <v>40.74</v>
      </c>
      <c r="I327" s="42">
        <v>51.25</v>
      </c>
      <c r="J327" s="42">
        <v>50.8</v>
      </c>
      <c r="K327" s="42">
        <v>47.73</v>
      </c>
      <c r="L327" s="42">
        <v>49.58</v>
      </c>
      <c r="M327" s="42">
        <f t="shared" ref="M327:M390" si="23">K327-F327</f>
        <v>7.509999999999998</v>
      </c>
    </row>
    <row r="328" spans="2:13" x14ac:dyDescent="0.25">
      <c r="B328" s="42">
        <f t="shared" si="20"/>
        <v>28</v>
      </c>
      <c r="C328" s="42">
        <f t="shared" si="21"/>
        <v>3</v>
      </c>
      <c r="D328" s="42">
        <f t="shared" si="22"/>
        <v>2017</v>
      </c>
      <c r="E328" s="43">
        <v>42822</v>
      </c>
      <c r="F328" s="42">
        <v>40.94</v>
      </c>
      <c r="G328" s="42">
        <v>51.23</v>
      </c>
      <c r="H328" s="42">
        <v>41.56</v>
      </c>
      <c r="I328" s="42">
        <v>51.99</v>
      </c>
      <c r="J328" s="42">
        <v>51.57</v>
      </c>
      <c r="K328" s="42">
        <v>48.37</v>
      </c>
      <c r="L328" s="42">
        <v>50.27</v>
      </c>
      <c r="M328" s="42">
        <f t="shared" si="23"/>
        <v>7.43</v>
      </c>
    </row>
    <row r="329" spans="2:13" x14ac:dyDescent="0.25">
      <c r="B329" s="42">
        <f t="shared" si="20"/>
        <v>29</v>
      </c>
      <c r="C329" s="42">
        <f t="shared" si="21"/>
        <v>3</v>
      </c>
      <c r="D329" s="42">
        <f t="shared" si="22"/>
        <v>2017</v>
      </c>
      <c r="E329" s="43">
        <v>42823</v>
      </c>
      <c r="F329" s="42">
        <v>41.88</v>
      </c>
      <c r="G329" s="42">
        <v>52.18</v>
      </c>
      <c r="H329" s="42">
        <v>42.09</v>
      </c>
      <c r="I329" s="42">
        <v>52.95</v>
      </c>
      <c r="J329" s="42">
        <v>52.22</v>
      </c>
      <c r="K329" s="42">
        <v>49.51</v>
      </c>
      <c r="L329" s="42">
        <v>51.31</v>
      </c>
      <c r="M329" s="42">
        <f t="shared" si="23"/>
        <v>7.6299999999999955</v>
      </c>
    </row>
    <row r="330" spans="2:13" x14ac:dyDescent="0.25">
      <c r="B330" s="42">
        <f t="shared" si="20"/>
        <v>30</v>
      </c>
      <c r="C330" s="42">
        <f t="shared" si="21"/>
        <v>3</v>
      </c>
      <c r="D330" s="42">
        <f t="shared" si="22"/>
        <v>2017</v>
      </c>
      <c r="E330" s="43">
        <v>42824</v>
      </c>
      <c r="F330" s="42">
        <v>42.63</v>
      </c>
      <c r="G330" s="42">
        <v>53.08</v>
      </c>
      <c r="H330" s="42">
        <v>43.29</v>
      </c>
      <c r="I330" s="42">
        <v>53.78</v>
      </c>
      <c r="J330" s="42">
        <v>53</v>
      </c>
      <c r="K330" s="42">
        <v>50.35</v>
      </c>
      <c r="L330" s="42">
        <v>52.2</v>
      </c>
      <c r="M330" s="42">
        <f t="shared" si="23"/>
        <v>7.7199999999999989</v>
      </c>
    </row>
    <row r="331" spans="2:13" x14ac:dyDescent="0.25">
      <c r="B331" s="42">
        <f t="shared" si="20"/>
        <v>31</v>
      </c>
      <c r="C331" s="42">
        <f t="shared" si="21"/>
        <v>3</v>
      </c>
      <c r="D331" s="42">
        <f t="shared" si="22"/>
        <v>2017</v>
      </c>
      <c r="E331" s="43">
        <v>42825</v>
      </c>
      <c r="F331" s="42">
        <v>42.6</v>
      </c>
      <c r="G331" s="42">
        <v>53.35</v>
      </c>
      <c r="H331" s="42">
        <v>43.53</v>
      </c>
      <c r="I331" s="42">
        <v>54.11</v>
      </c>
      <c r="J331" s="42">
        <v>52.56</v>
      </c>
      <c r="K331" s="42">
        <v>50.6</v>
      </c>
      <c r="L331" s="42">
        <v>52.7</v>
      </c>
      <c r="M331" s="42">
        <f t="shared" si="23"/>
        <v>8</v>
      </c>
    </row>
    <row r="332" spans="2:13" x14ac:dyDescent="0.25">
      <c r="B332" s="42">
        <f t="shared" si="20"/>
        <v>3</v>
      </c>
      <c r="C332" s="42">
        <f t="shared" si="21"/>
        <v>4</v>
      </c>
      <c r="D332" s="42">
        <f t="shared" si="22"/>
        <v>2017</v>
      </c>
      <c r="E332" s="43">
        <v>42828</v>
      </c>
      <c r="F332" s="42">
        <v>43.5</v>
      </c>
      <c r="G332" s="42">
        <v>52.89</v>
      </c>
      <c r="H332" s="42">
        <v>43.86</v>
      </c>
      <c r="I332" s="42">
        <v>53.68</v>
      </c>
      <c r="J332" s="42">
        <v>53.23</v>
      </c>
      <c r="K332" s="42">
        <v>50.24</v>
      </c>
      <c r="L332" s="42">
        <v>52.19</v>
      </c>
      <c r="M332" s="42">
        <f t="shared" si="23"/>
        <v>6.740000000000002</v>
      </c>
    </row>
    <row r="333" spans="2:13" x14ac:dyDescent="0.25">
      <c r="B333" s="42">
        <f t="shared" si="20"/>
        <v>4</v>
      </c>
      <c r="C333" s="42">
        <f t="shared" si="21"/>
        <v>4</v>
      </c>
      <c r="D333" s="42">
        <f t="shared" si="22"/>
        <v>2017</v>
      </c>
      <c r="E333" s="43">
        <v>42829</v>
      </c>
      <c r="F333" s="42">
        <v>44.32</v>
      </c>
      <c r="G333" s="42">
        <v>53.64</v>
      </c>
      <c r="H333" s="42">
        <v>44.54</v>
      </c>
      <c r="I333" s="42">
        <v>54.43</v>
      </c>
      <c r="J333" s="42">
        <v>54.1</v>
      </c>
      <c r="K333" s="42">
        <v>51.03</v>
      </c>
      <c r="L333" s="42">
        <v>52.93</v>
      </c>
      <c r="M333" s="42">
        <f t="shared" si="23"/>
        <v>6.7100000000000009</v>
      </c>
    </row>
    <row r="334" spans="2:13" x14ac:dyDescent="0.25">
      <c r="B334" s="42">
        <f t="shared" si="20"/>
        <v>5</v>
      </c>
      <c r="C334" s="42">
        <f t="shared" si="21"/>
        <v>4</v>
      </c>
      <c r="D334" s="42">
        <f t="shared" si="22"/>
        <v>2017</v>
      </c>
      <c r="E334" s="43">
        <v>42830</v>
      </c>
      <c r="F334" s="42">
        <v>44.6</v>
      </c>
      <c r="G334" s="42">
        <v>53.9</v>
      </c>
      <c r="H334" s="42">
        <v>44.82</v>
      </c>
      <c r="I334" s="42">
        <v>54.65</v>
      </c>
      <c r="J334" s="42">
        <v>54.39</v>
      </c>
      <c r="K334" s="42">
        <v>51.15</v>
      </c>
      <c r="L334" s="42">
        <v>53.35</v>
      </c>
      <c r="M334" s="42">
        <f t="shared" si="23"/>
        <v>6.5499999999999972</v>
      </c>
    </row>
    <row r="335" spans="2:13" x14ac:dyDescent="0.25">
      <c r="B335" s="42">
        <f t="shared" si="20"/>
        <v>6</v>
      </c>
      <c r="C335" s="42">
        <f t="shared" si="21"/>
        <v>4</v>
      </c>
      <c r="D335" s="42">
        <f t="shared" si="22"/>
        <v>2017</v>
      </c>
      <c r="E335" s="43">
        <v>42831</v>
      </c>
      <c r="F335" s="42">
        <v>45.08</v>
      </c>
      <c r="G335" s="42">
        <v>54.58</v>
      </c>
      <c r="H335" s="42">
        <v>45.54</v>
      </c>
      <c r="I335" s="42">
        <v>55.34</v>
      </c>
      <c r="J335" s="42">
        <v>54.75</v>
      </c>
      <c r="K335" s="42">
        <v>51.7</v>
      </c>
      <c r="L335" s="42">
        <v>54.05</v>
      </c>
      <c r="M335" s="42">
        <f t="shared" si="23"/>
        <v>6.6200000000000045</v>
      </c>
    </row>
    <row r="336" spans="2:13" x14ac:dyDescent="0.25">
      <c r="B336" s="42">
        <f t="shared" si="20"/>
        <v>7</v>
      </c>
      <c r="C336" s="42">
        <f t="shared" si="21"/>
        <v>4</v>
      </c>
      <c r="D336" s="42">
        <f t="shared" si="22"/>
        <v>2017</v>
      </c>
      <c r="E336" s="43">
        <v>42832</v>
      </c>
      <c r="F336" s="42">
        <v>45.6</v>
      </c>
      <c r="G336" s="42">
        <v>55.15</v>
      </c>
      <c r="H336" s="42">
        <v>46.12</v>
      </c>
      <c r="I336" s="42">
        <v>55.85</v>
      </c>
      <c r="J336" s="42">
        <v>55.13</v>
      </c>
      <c r="K336" s="42">
        <v>52.24</v>
      </c>
      <c r="L336" s="42">
        <v>54.59</v>
      </c>
      <c r="M336" s="42">
        <f t="shared" si="23"/>
        <v>6.6400000000000006</v>
      </c>
    </row>
    <row r="337" spans="2:13" x14ac:dyDescent="0.25">
      <c r="B337" s="42">
        <f t="shared" si="20"/>
        <v>10</v>
      </c>
      <c r="C337" s="42">
        <f t="shared" si="21"/>
        <v>4</v>
      </c>
      <c r="D337" s="42">
        <f t="shared" si="22"/>
        <v>2017</v>
      </c>
      <c r="E337" s="43">
        <v>42835</v>
      </c>
      <c r="F337" s="42">
        <v>46.24</v>
      </c>
      <c r="G337" s="42">
        <v>55.88</v>
      </c>
      <c r="H337" s="42">
        <v>46.74</v>
      </c>
      <c r="I337" s="42">
        <v>56.59</v>
      </c>
      <c r="J337" s="42">
        <v>55.93</v>
      </c>
      <c r="K337" s="42">
        <v>53.08</v>
      </c>
      <c r="L337" s="42">
        <v>55.28</v>
      </c>
      <c r="M337" s="42">
        <f t="shared" si="23"/>
        <v>6.8399999999999963</v>
      </c>
    </row>
    <row r="338" spans="2:13" x14ac:dyDescent="0.25">
      <c r="B338" s="42">
        <f t="shared" si="20"/>
        <v>11</v>
      </c>
      <c r="C338" s="42">
        <f t="shared" si="21"/>
        <v>4</v>
      </c>
      <c r="D338" s="42">
        <f t="shared" si="22"/>
        <v>2017</v>
      </c>
      <c r="E338" s="43">
        <v>42836</v>
      </c>
      <c r="F338" s="42">
        <v>46.27</v>
      </c>
      <c r="G338" s="42">
        <v>56.09</v>
      </c>
      <c r="H338" s="42">
        <v>46.97</v>
      </c>
      <c r="I338" s="42">
        <v>56.78</v>
      </c>
      <c r="J338" s="42">
        <v>55.59</v>
      </c>
      <c r="K338" s="42">
        <v>53.4</v>
      </c>
      <c r="L338" s="42">
        <v>55.55</v>
      </c>
      <c r="M338" s="42">
        <f t="shared" si="23"/>
        <v>7.1299999999999955</v>
      </c>
    </row>
    <row r="339" spans="2:13" x14ac:dyDescent="0.25">
      <c r="B339" s="42">
        <f t="shared" si="20"/>
        <v>12</v>
      </c>
      <c r="C339" s="42">
        <f t="shared" si="21"/>
        <v>4</v>
      </c>
      <c r="D339" s="42">
        <f t="shared" si="22"/>
        <v>2017</v>
      </c>
      <c r="E339" s="43">
        <v>42837</v>
      </c>
      <c r="F339" s="42">
        <v>46.3</v>
      </c>
      <c r="G339" s="42">
        <v>55.82</v>
      </c>
      <c r="H339" s="42">
        <v>46.6</v>
      </c>
      <c r="I339" s="42">
        <v>56.51</v>
      </c>
      <c r="J339" s="42">
        <v>55.98</v>
      </c>
      <c r="K339" s="42">
        <v>53.11</v>
      </c>
      <c r="L339" s="42">
        <v>55.31</v>
      </c>
      <c r="M339" s="42">
        <f t="shared" si="23"/>
        <v>6.8100000000000023</v>
      </c>
    </row>
    <row r="340" spans="2:13" x14ac:dyDescent="0.25">
      <c r="B340" s="42">
        <f t="shared" si="20"/>
        <v>13</v>
      </c>
      <c r="C340" s="42">
        <f t="shared" si="21"/>
        <v>4</v>
      </c>
      <c r="D340" s="42">
        <f t="shared" si="22"/>
        <v>2017</v>
      </c>
      <c r="E340" s="43">
        <v>42838</v>
      </c>
      <c r="F340" s="42">
        <v>46.37</v>
      </c>
      <c r="G340" s="42">
        <v>55.88</v>
      </c>
      <c r="H340" s="42">
        <v>46.75</v>
      </c>
      <c r="I340" s="42">
        <v>56.56</v>
      </c>
      <c r="J340" s="42">
        <v>55.9</v>
      </c>
      <c r="K340" s="42">
        <v>53.18</v>
      </c>
      <c r="L340" s="42">
        <v>55.33</v>
      </c>
      <c r="M340" s="42">
        <f t="shared" si="23"/>
        <v>6.8100000000000023</v>
      </c>
    </row>
    <row r="341" spans="2:13" x14ac:dyDescent="0.25">
      <c r="B341" s="42">
        <f t="shared" si="20"/>
        <v>14</v>
      </c>
      <c r="C341" s="42">
        <f t="shared" si="21"/>
        <v>4</v>
      </c>
      <c r="D341" s="42">
        <f t="shared" si="22"/>
        <v>2017</v>
      </c>
      <c r="E341" s="43">
        <v>42839</v>
      </c>
      <c r="F341" s="42">
        <v>46.37</v>
      </c>
      <c r="G341" s="42">
        <v>55.88</v>
      </c>
      <c r="H341" s="42">
        <v>46.75</v>
      </c>
      <c r="I341" s="42">
        <v>56.56</v>
      </c>
      <c r="J341" s="42">
        <v>55.9</v>
      </c>
      <c r="K341" s="42">
        <v>53.18</v>
      </c>
      <c r="L341" s="42">
        <v>55.33</v>
      </c>
      <c r="M341" s="42">
        <f t="shared" si="23"/>
        <v>6.8100000000000023</v>
      </c>
    </row>
    <row r="342" spans="2:13" x14ac:dyDescent="0.25">
      <c r="B342" s="42">
        <f t="shared" si="20"/>
        <v>17</v>
      </c>
      <c r="C342" s="42">
        <f t="shared" si="21"/>
        <v>4</v>
      </c>
      <c r="D342" s="42">
        <f t="shared" si="22"/>
        <v>2017</v>
      </c>
      <c r="E342" s="43">
        <v>42842</v>
      </c>
      <c r="F342" s="42">
        <v>46.37</v>
      </c>
      <c r="G342" s="42">
        <v>55.45</v>
      </c>
      <c r="H342" s="42">
        <v>46.52</v>
      </c>
      <c r="I342" s="42">
        <v>56.17</v>
      </c>
      <c r="J342" s="42">
        <v>55.9</v>
      </c>
      <c r="K342" s="42">
        <v>52.65</v>
      </c>
      <c r="L342" s="42">
        <v>54.7</v>
      </c>
      <c r="M342" s="42">
        <f t="shared" si="23"/>
        <v>6.2800000000000011</v>
      </c>
    </row>
    <row r="343" spans="2:13" x14ac:dyDescent="0.25">
      <c r="B343" s="42">
        <f t="shared" si="20"/>
        <v>18</v>
      </c>
      <c r="C343" s="42">
        <f t="shared" si="21"/>
        <v>4</v>
      </c>
      <c r="D343" s="42">
        <f t="shared" si="22"/>
        <v>2017</v>
      </c>
      <c r="E343" s="43">
        <v>42843</v>
      </c>
      <c r="F343" s="42">
        <v>45.61</v>
      </c>
      <c r="G343" s="42">
        <v>55.26</v>
      </c>
      <c r="H343" s="42">
        <v>46.21</v>
      </c>
      <c r="I343" s="42">
        <v>55.95</v>
      </c>
      <c r="J343" s="42">
        <v>54.97</v>
      </c>
      <c r="K343" s="42">
        <v>52.41</v>
      </c>
      <c r="L343" s="42">
        <v>54.56</v>
      </c>
      <c r="M343" s="42">
        <f t="shared" si="23"/>
        <v>6.7999999999999972</v>
      </c>
    </row>
    <row r="344" spans="2:13" x14ac:dyDescent="0.25">
      <c r="B344" s="42">
        <f t="shared" si="20"/>
        <v>19</v>
      </c>
      <c r="C344" s="42">
        <f t="shared" si="21"/>
        <v>4</v>
      </c>
      <c r="D344" s="42">
        <f t="shared" si="22"/>
        <v>2017</v>
      </c>
      <c r="E344" s="43">
        <v>42844</v>
      </c>
      <c r="F344" s="42">
        <v>44.29</v>
      </c>
      <c r="G344" s="42">
        <v>53.44</v>
      </c>
      <c r="H344" s="42">
        <v>44.46</v>
      </c>
      <c r="I344" s="42">
        <v>54.07</v>
      </c>
      <c r="J344" s="42">
        <v>54.42</v>
      </c>
      <c r="K344" s="42">
        <v>50.44</v>
      </c>
      <c r="L344" s="42">
        <v>52.69</v>
      </c>
      <c r="M344" s="42">
        <f t="shared" si="23"/>
        <v>6.1499999999999986</v>
      </c>
    </row>
    <row r="345" spans="2:13" x14ac:dyDescent="0.25">
      <c r="B345" s="42">
        <f t="shared" si="20"/>
        <v>20</v>
      </c>
      <c r="C345" s="42">
        <f t="shared" si="21"/>
        <v>4</v>
      </c>
      <c r="D345" s="42">
        <f t="shared" si="22"/>
        <v>2017</v>
      </c>
      <c r="E345" s="43">
        <v>42845</v>
      </c>
      <c r="F345" s="42">
        <v>43.63</v>
      </c>
      <c r="G345" s="42">
        <v>53.22</v>
      </c>
      <c r="H345" s="42">
        <v>44.24</v>
      </c>
      <c r="I345" s="42">
        <v>53.85</v>
      </c>
      <c r="J345" s="42">
        <v>53.01</v>
      </c>
      <c r="K345" s="42">
        <v>50.27</v>
      </c>
      <c r="L345" s="42">
        <v>52.57</v>
      </c>
      <c r="M345" s="42">
        <f t="shared" si="23"/>
        <v>6.6400000000000006</v>
      </c>
    </row>
    <row r="346" spans="2:13" x14ac:dyDescent="0.25">
      <c r="B346" s="42">
        <f t="shared" si="20"/>
        <v>21</v>
      </c>
      <c r="C346" s="42">
        <f t="shared" si="21"/>
        <v>4</v>
      </c>
      <c r="D346" s="42">
        <f t="shared" si="22"/>
        <v>2017</v>
      </c>
      <c r="E346" s="43">
        <v>42846</v>
      </c>
      <c r="F346" s="42">
        <v>42.73</v>
      </c>
      <c r="G346" s="42">
        <v>52.37</v>
      </c>
      <c r="H346" s="42">
        <v>43.29</v>
      </c>
      <c r="I346" s="42">
        <v>53.02</v>
      </c>
      <c r="J346" s="42">
        <v>51.88</v>
      </c>
      <c r="K346" s="42">
        <v>49.27</v>
      </c>
      <c r="L346" s="42">
        <v>51.32</v>
      </c>
      <c r="M346" s="42">
        <f t="shared" si="23"/>
        <v>6.5400000000000063</v>
      </c>
    </row>
    <row r="347" spans="2:13" x14ac:dyDescent="0.25">
      <c r="B347" s="42">
        <f t="shared" si="20"/>
        <v>24</v>
      </c>
      <c r="C347" s="42">
        <f t="shared" si="21"/>
        <v>4</v>
      </c>
      <c r="D347" s="42">
        <f t="shared" si="22"/>
        <v>2017</v>
      </c>
      <c r="E347" s="43">
        <v>42849</v>
      </c>
      <c r="F347" s="42">
        <v>42.45</v>
      </c>
      <c r="G347" s="42">
        <v>51.92</v>
      </c>
      <c r="H347" s="42">
        <v>43.02</v>
      </c>
      <c r="I347" s="42">
        <v>52.63</v>
      </c>
      <c r="J347" s="42">
        <v>51.55</v>
      </c>
      <c r="K347" s="42">
        <v>48.88</v>
      </c>
      <c r="L347" s="42">
        <v>50.93</v>
      </c>
      <c r="M347" s="42">
        <f t="shared" si="23"/>
        <v>6.43</v>
      </c>
    </row>
    <row r="348" spans="2:13" x14ac:dyDescent="0.25">
      <c r="B348" s="42">
        <f t="shared" si="20"/>
        <v>25</v>
      </c>
      <c r="C348" s="42">
        <f t="shared" si="21"/>
        <v>4</v>
      </c>
      <c r="D348" s="42">
        <f t="shared" si="22"/>
        <v>2017</v>
      </c>
      <c r="E348" s="43">
        <v>42850</v>
      </c>
      <c r="F348" s="42">
        <v>42.62</v>
      </c>
      <c r="G348" s="42">
        <v>52.33</v>
      </c>
      <c r="H348" s="42">
        <v>43.44</v>
      </c>
      <c r="I348" s="42">
        <v>53.07</v>
      </c>
      <c r="J348" s="42">
        <v>51.64</v>
      </c>
      <c r="K348" s="42">
        <v>49.21</v>
      </c>
      <c r="L348" s="42">
        <v>51.11</v>
      </c>
      <c r="M348" s="42">
        <f t="shared" si="23"/>
        <v>6.5900000000000034</v>
      </c>
    </row>
    <row r="349" spans="2:13" x14ac:dyDescent="0.25">
      <c r="B349" s="42">
        <f t="shared" si="20"/>
        <v>26</v>
      </c>
      <c r="C349" s="42">
        <f t="shared" si="21"/>
        <v>4</v>
      </c>
      <c r="D349" s="42">
        <f t="shared" si="22"/>
        <v>2017</v>
      </c>
      <c r="E349" s="43">
        <v>42851</v>
      </c>
      <c r="F349" s="42">
        <v>42.86</v>
      </c>
      <c r="G349" s="42">
        <v>52.3</v>
      </c>
      <c r="H349" s="42">
        <v>43.4</v>
      </c>
      <c r="I349" s="42">
        <v>52.98</v>
      </c>
      <c r="J349" s="42">
        <v>52.31</v>
      </c>
      <c r="K349" s="42">
        <v>49.62</v>
      </c>
      <c r="L349" s="42">
        <v>51.37</v>
      </c>
      <c r="M349" s="42">
        <f t="shared" si="23"/>
        <v>6.759999999999998</v>
      </c>
    </row>
    <row r="350" spans="2:13" x14ac:dyDescent="0.25">
      <c r="B350" s="42">
        <f t="shared" si="20"/>
        <v>27</v>
      </c>
      <c r="C350" s="42">
        <f t="shared" si="21"/>
        <v>4</v>
      </c>
      <c r="D350" s="42">
        <f t="shared" si="22"/>
        <v>2017</v>
      </c>
      <c r="E350" s="43">
        <v>42852</v>
      </c>
      <c r="F350" s="42">
        <v>42.25</v>
      </c>
      <c r="G350" s="42">
        <v>51.82</v>
      </c>
      <c r="H350" s="42">
        <v>43.06</v>
      </c>
      <c r="I350" s="42">
        <v>52.53</v>
      </c>
      <c r="J350" s="42">
        <v>50.47</v>
      </c>
      <c r="K350" s="42">
        <v>48.97</v>
      </c>
      <c r="L350" s="42">
        <v>50.72</v>
      </c>
      <c r="M350" s="42">
        <f t="shared" si="23"/>
        <v>6.7199999999999989</v>
      </c>
    </row>
    <row r="351" spans="2:13" x14ac:dyDescent="0.25">
      <c r="B351" s="42">
        <f t="shared" si="20"/>
        <v>28</v>
      </c>
      <c r="C351" s="42">
        <f t="shared" si="21"/>
        <v>4</v>
      </c>
      <c r="D351" s="42">
        <f t="shared" si="22"/>
        <v>2017</v>
      </c>
      <c r="E351" s="43">
        <v>42853</v>
      </c>
      <c r="F351" s="42">
        <v>42.74</v>
      </c>
      <c r="G351" s="42">
        <v>52.11</v>
      </c>
      <c r="H351" s="42">
        <v>43.34</v>
      </c>
      <c r="I351" s="42">
        <v>52.74</v>
      </c>
      <c r="J351" s="42">
        <v>51.5</v>
      </c>
      <c r="K351" s="42">
        <v>49.33</v>
      </c>
      <c r="L351" s="42">
        <v>51.08</v>
      </c>
      <c r="M351" s="42">
        <f t="shared" si="23"/>
        <v>6.5899999999999963</v>
      </c>
    </row>
    <row r="352" spans="2:13" x14ac:dyDescent="0.25">
      <c r="B352" s="42">
        <f t="shared" si="20"/>
        <v>1</v>
      </c>
      <c r="C352" s="42">
        <f t="shared" si="21"/>
        <v>5</v>
      </c>
      <c r="D352" s="42">
        <f t="shared" si="22"/>
        <v>2017</v>
      </c>
      <c r="E352" s="43">
        <v>42856</v>
      </c>
      <c r="F352" s="42">
        <v>42.74</v>
      </c>
      <c r="G352" s="42">
        <v>51.98</v>
      </c>
      <c r="H352" s="42">
        <v>44.84</v>
      </c>
      <c r="I352" s="42">
        <v>52.69</v>
      </c>
      <c r="J352" s="42">
        <v>51.5</v>
      </c>
      <c r="K352" s="42">
        <v>48.84</v>
      </c>
      <c r="L352" s="42">
        <v>50.69</v>
      </c>
      <c r="M352" s="42">
        <f t="shared" si="23"/>
        <v>6.1000000000000014</v>
      </c>
    </row>
    <row r="353" spans="2:13" x14ac:dyDescent="0.25">
      <c r="B353" s="42">
        <f t="shared" si="20"/>
        <v>2</v>
      </c>
      <c r="C353" s="42">
        <f t="shared" si="21"/>
        <v>5</v>
      </c>
      <c r="D353" s="42">
        <f t="shared" si="22"/>
        <v>2017</v>
      </c>
      <c r="E353" s="43">
        <v>42857</v>
      </c>
      <c r="F353" s="42">
        <v>43.22</v>
      </c>
      <c r="G353" s="42">
        <v>50.78</v>
      </c>
      <c r="H353" s="42">
        <v>44.09</v>
      </c>
      <c r="I353" s="42">
        <v>51.53</v>
      </c>
      <c r="J353" s="42">
        <v>51.13</v>
      </c>
      <c r="K353" s="42">
        <v>47.66</v>
      </c>
      <c r="L353" s="42">
        <v>49.61</v>
      </c>
      <c r="M353" s="42">
        <f t="shared" si="23"/>
        <v>4.4399999999999977</v>
      </c>
    </row>
    <row r="354" spans="2:13" x14ac:dyDescent="0.25">
      <c r="B354" s="42">
        <f t="shared" si="20"/>
        <v>3</v>
      </c>
      <c r="C354" s="42">
        <f t="shared" si="21"/>
        <v>5</v>
      </c>
      <c r="D354" s="42">
        <f t="shared" si="22"/>
        <v>2017</v>
      </c>
      <c r="E354" s="43">
        <v>42858</v>
      </c>
      <c r="F354" s="42">
        <v>42.99</v>
      </c>
      <c r="G354" s="42">
        <v>51.09</v>
      </c>
      <c r="H354" s="42">
        <v>44.28</v>
      </c>
      <c r="I354" s="42">
        <v>51.84</v>
      </c>
      <c r="J354" s="42">
        <v>50.37</v>
      </c>
      <c r="K354" s="42">
        <v>47.82</v>
      </c>
      <c r="L354" s="42">
        <v>49.77</v>
      </c>
      <c r="M354" s="42">
        <f t="shared" si="23"/>
        <v>4.8299999999999983</v>
      </c>
    </row>
    <row r="355" spans="2:13" x14ac:dyDescent="0.25">
      <c r="B355" s="42">
        <f t="shared" si="20"/>
        <v>4</v>
      </c>
      <c r="C355" s="42">
        <f t="shared" si="21"/>
        <v>5</v>
      </c>
      <c r="D355" s="42">
        <f t="shared" si="22"/>
        <v>2017</v>
      </c>
      <c r="E355" s="43">
        <v>42859</v>
      </c>
      <c r="F355" s="42">
        <v>41.42</v>
      </c>
      <c r="G355" s="42">
        <v>48.79</v>
      </c>
      <c r="H355" s="42">
        <v>42.06</v>
      </c>
      <c r="I355" s="42">
        <v>49.54</v>
      </c>
      <c r="J355" s="42">
        <v>48.99</v>
      </c>
      <c r="K355" s="42">
        <v>45.52</v>
      </c>
      <c r="L355" s="42">
        <v>47.62</v>
      </c>
      <c r="M355" s="42">
        <f t="shared" si="23"/>
        <v>4.1000000000000014</v>
      </c>
    </row>
    <row r="356" spans="2:13" x14ac:dyDescent="0.25">
      <c r="B356" s="42">
        <f t="shared" si="20"/>
        <v>5</v>
      </c>
      <c r="C356" s="42">
        <f t="shared" si="21"/>
        <v>5</v>
      </c>
      <c r="D356" s="42">
        <f t="shared" si="22"/>
        <v>2017</v>
      </c>
      <c r="E356" s="43">
        <v>42860</v>
      </c>
      <c r="F356" s="42">
        <v>41.66</v>
      </c>
      <c r="G356" s="42">
        <v>49.58</v>
      </c>
      <c r="H356" s="42">
        <v>42.86</v>
      </c>
      <c r="I356" s="42">
        <v>50.33</v>
      </c>
      <c r="J356" s="42">
        <v>49.21</v>
      </c>
      <c r="K356" s="42">
        <v>46.22</v>
      </c>
      <c r="L356" s="42">
        <v>48.32</v>
      </c>
      <c r="M356" s="42">
        <f t="shared" si="23"/>
        <v>4.5600000000000023</v>
      </c>
    </row>
    <row r="357" spans="2:13" x14ac:dyDescent="0.25">
      <c r="B357" s="42">
        <f t="shared" si="20"/>
        <v>8</v>
      </c>
      <c r="C357" s="42">
        <f t="shared" si="21"/>
        <v>5</v>
      </c>
      <c r="D357" s="42">
        <f t="shared" si="22"/>
        <v>2017</v>
      </c>
      <c r="E357" s="43">
        <v>42863</v>
      </c>
      <c r="F357" s="42">
        <v>41.81</v>
      </c>
      <c r="G357" s="42">
        <v>49.74</v>
      </c>
      <c r="H357" s="42">
        <v>42.97</v>
      </c>
      <c r="I357" s="42">
        <v>50.47</v>
      </c>
      <c r="J357" s="42">
        <v>48.61</v>
      </c>
      <c r="K357" s="42">
        <v>46.43</v>
      </c>
      <c r="L357" s="42">
        <v>48.53</v>
      </c>
      <c r="M357" s="42">
        <f t="shared" si="23"/>
        <v>4.6199999999999974</v>
      </c>
    </row>
    <row r="358" spans="2:13" x14ac:dyDescent="0.25">
      <c r="B358" s="42">
        <f t="shared" si="20"/>
        <v>9</v>
      </c>
      <c r="C358" s="42">
        <f t="shared" si="21"/>
        <v>5</v>
      </c>
      <c r="D358" s="42">
        <f t="shared" si="22"/>
        <v>2017</v>
      </c>
      <c r="E358" s="43">
        <v>42864</v>
      </c>
      <c r="F358" s="42">
        <v>41.53</v>
      </c>
      <c r="G358" s="42">
        <v>49.24</v>
      </c>
      <c r="H358" s="42">
        <v>42.66</v>
      </c>
      <c r="I358" s="42">
        <v>49.96</v>
      </c>
      <c r="J358" s="42">
        <v>48.85</v>
      </c>
      <c r="K358" s="42">
        <v>45.88</v>
      </c>
      <c r="L358" s="42">
        <v>47.98</v>
      </c>
      <c r="M358" s="42">
        <f t="shared" si="23"/>
        <v>4.3500000000000014</v>
      </c>
    </row>
    <row r="359" spans="2:13" x14ac:dyDescent="0.25">
      <c r="B359" s="42">
        <f t="shared" si="20"/>
        <v>10</v>
      </c>
      <c r="C359" s="42">
        <f t="shared" si="21"/>
        <v>5</v>
      </c>
      <c r="D359" s="42">
        <f t="shared" si="22"/>
        <v>2017</v>
      </c>
      <c r="E359" s="43">
        <v>42865</v>
      </c>
      <c r="F359" s="42">
        <v>41.53</v>
      </c>
      <c r="G359" s="42">
        <v>50.68</v>
      </c>
      <c r="H359" s="42">
        <v>43.96</v>
      </c>
      <c r="I359" s="42">
        <v>51.4</v>
      </c>
      <c r="J359" s="42">
        <v>50.08</v>
      </c>
      <c r="K359" s="42">
        <v>47.33</v>
      </c>
      <c r="L359" s="42">
        <v>49.38</v>
      </c>
      <c r="M359" s="42">
        <f t="shared" si="23"/>
        <v>5.7999999999999972</v>
      </c>
    </row>
    <row r="360" spans="2:13" x14ac:dyDescent="0.25">
      <c r="B360" s="42">
        <f t="shared" si="20"/>
        <v>11</v>
      </c>
      <c r="C360" s="42">
        <f t="shared" si="21"/>
        <v>5</v>
      </c>
      <c r="D360" s="42">
        <f t="shared" si="22"/>
        <v>2017</v>
      </c>
      <c r="E360" s="43">
        <v>42866</v>
      </c>
      <c r="F360" s="42">
        <v>43.59</v>
      </c>
      <c r="G360" s="42">
        <v>51.18</v>
      </c>
      <c r="H360" s="42">
        <v>44.67</v>
      </c>
      <c r="I360" s="42">
        <v>51.91</v>
      </c>
      <c r="J360" s="42">
        <v>50.92</v>
      </c>
      <c r="K360" s="42">
        <v>47.83</v>
      </c>
      <c r="L360" s="42">
        <v>49.83</v>
      </c>
      <c r="M360" s="42">
        <f t="shared" si="23"/>
        <v>4.2399999999999949</v>
      </c>
    </row>
    <row r="361" spans="2:13" x14ac:dyDescent="0.25">
      <c r="B361" s="42">
        <f t="shared" si="20"/>
        <v>12</v>
      </c>
      <c r="C361" s="42">
        <f t="shared" si="21"/>
        <v>5</v>
      </c>
      <c r="D361" s="42">
        <f t="shared" si="22"/>
        <v>2017</v>
      </c>
      <c r="E361" s="43">
        <v>42867</v>
      </c>
      <c r="F361" s="42">
        <v>43.52</v>
      </c>
      <c r="G361" s="42">
        <v>51.27</v>
      </c>
      <c r="H361" s="42">
        <v>44.71</v>
      </c>
      <c r="I361" s="42">
        <v>52.01</v>
      </c>
      <c r="J361" s="42">
        <v>50.57</v>
      </c>
      <c r="K361" s="42">
        <v>47.84</v>
      </c>
      <c r="L361" s="42">
        <v>49.94</v>
      </c>
      <c r="M361" s="42">
        <f t="shared" si="23"/>
        <v>4.32</v>
      </c>
    </row>
    <row r="362" spans="2:13" x14ac:dyDescent="0.25">
      <c r="B362" s="42">
        <f t="shared" si="20"/>
        <v>15</v>
      </c>
      <c r="C362" s="42">
        <f t="shared" si="21"/>
        <v>5</v>
      </c>
      <c r="D362" s="42">
        <f t="shared" si="22"/>
        <v>2017</v>
      </c>
      <c r="E362" s="43">
        <v>42870</v>
      </c>
      <c r="F362" s="42">
        <v>44.84</v>
      </c>
      <c r="G362" s="42">
        <v>52.27</v>
      </c>
      <c r="H362" s="42">
        <v>45.71</v>
      </c>
      <c r="I362" s="42">
        <v>53.01</v>
      </c>
      <c r="J362" s="42">
        <v>52.26</v>
      </c>
      <c r="K362" s="42">
        <v>48.85</v>
      </c>
      <c r="L362" s="42">
        <v>50.95</v>
      </c>
      <c r="M362" s="42">
        <f t="shared" si="23"/>
        <v>4.009999999999998</v>
      </c>
    </row>
    <row r="363" spans="2:13" x14ac:dyDescent="0.25">
      <c r="B363" s="42">
        <f t="shared" si="20"/>
        <v>16</v>
      </c>
      <c r="C363" s="42">
        <f t="shared" si="21"/>
        <v>5</v>
      </c>
      <c r="D363" s="42">
        <f t="shared" si="22"/>
        <v>2017</v>
      </c>
      <c r="E363" s="43">
        <v>42871</v>
      </c>
      <c r="F363" s="42">
        <v>44.67</v>
      </c>
      <c r="G363" s="42">
        <v>52.13</v>
      </c>
      <c r="H363" s="42">
        <v>45.54</v>
      </c>
      <c r="I363" s="42">
        <v>52.85</v>
      </c>
      <c r="J363" s="42">
        <v>51.94</v>
      </c>
      <c r="K363" s="42">
        <v>48.66</v>
      </c>
      <c r="L363" s="42">
        <v>50.76</v>
      </c>
      <c r="M363" s="42">
        <f t="shared" si="23"/>
        <v>3.9899999999999949</v>
      </c>
    </row>
    <row r="364" spans="2:13" x14ac:dyDescent="0.25">
      <c r="B364" s="42">
        <f t="shared" si="20"/>
        <v>17</v>
      </c>
      <c r="C364" s="42">
        <f t="shared" si="21"/>
        <v>5</v>
      </c>
      <c r="D364" s="42">
        <f t="shared" si="22"/>
        <v>2017</v>
      </c>
      <c r="E364" s="43">
        <v>42872</v>
      </c>
      <c r="F364" s="42">
        <v>44.94</v>
      </c>
      <c r="G364" s="42">
        <v>52.57</v>
      </c>
      <c r="H364" s="42">
        <v>46</v>
      </c>
      <c r="I364" s="42">
        <v>53.31</v>
      </c>
      <c r="J364" s="42">
        <v>52.46</v>
      </c>
      <c r="K364" s="42">
        <v>49.07</v>
      </c>
      <c r="L364" s="42">
        <v>51.22</v>
      </c>
      <c r="M364" s="42">
        <f t="shared" si="23"/>
        <v>4.1300000000000026</v>
      </c>
    </row>
    <row r="365" spans="2:13" x14ac:dyDescent="0.25">
      <c r="B365" s="42">
        <f t="shared" si="20"/>
        <v>18</v>
      </c>
      <c r="C365" s="42">
        <f t="shared" si="21"/>
        <v>5</v>
      </c>
      <c r="D365" s="42">
        <f t="shared" si="22"/>
        <v>2017</v>
      </c>
      <c r="E365" s="43">
        <v>42873</v>
      </c>
      <c r="F365" s="42">
        <v>45.27</v>
      </c>
      <c r="G365" s="42">
        <v>52.97</v>
      </c>
      <c r="H365" s="42">
        <v>46.28</v>
      </c>
      <c r="I365" s="42">
        <v>53.71</v>
      </c>
      <c r="J365" s="42">
        <v>52.54</v>
      </c>
      <c r="K365" s="42">
        <v>49.35</v>
      </c>
      <c r="L365" s="42">
        <v>51.45</v>
      </c>
      <c r="M365" s="42">
        <f t="shared" si="23"/>
        <v>4.0799999999999983</v>
      </c>
    </row>
    <row r="366" spans="2:13" x14ac:dyDescent="0.25">
      <c r="B366" s="42">
        <f t="shared" si="20"/>
        <v>19</v>
      </c>
      <c r="C366" s="42">
        <f t="shared" si="21"/>
        <v>5</v>
      </c>
      <c r="D366" s="42">
        <f t="shared" si="22"/>
        <v>2017</v>
      </c>
      <c r="E366" s="43">
        <v>42874</v>
      </c>
      <c r="F366" s="42">
        <v>46.19</v>
      </c>
      <c r="G366" s="42">
        <v>54.02</v>
      </c>
      <c r="H366" s="42">
        <v>47.3</v>
      </c>
      <c r="I366" s="42">
        <v>54.78</v>
      </c>
      <c r="J366" s="42">
        <v>53.44</v>
      </c>
      <c r="K366" s="42">
        <v>50.33</v>
      </c>
      <c r="L366" s="42">
        <v>52.53</v>
      </c>
      <c r="M366" s="42">
        <f t="shared" si="23"/>
        <v>4.1400000000000006</v>
      </c>
    </row>
    <row r="367" spans="2:13" x14ac:dyDescent="0.25">
      <c r="B367" s="42">
        <f t="shared" si="20"/>
        <v>22</v>
      </c>
      <c r="C367" s="42">
        <f t="shared" si="21"/>
        <v>5</v>
      </c>
      <c r="D367" s="42">
        <f t="shared" si="22"/>
        <v>2017</v>
      </c>
      <c r="E367" s="43">
        <v>42877</v>
      </c>
      <c r="F367" s="42">
        <v>46.51</v>
      </c>
      <c r="G367" s="42">
        <v>54.31</v>
      </c>
      <c r="H367" s="42">
        <v>47.42</v>
      </c>
      <c r="I367" s="42">
        <v>55.05</v>
      </c>
      <c r="J367" s="42">
        <v>54.11</v>
      </c>
      <c r="K367" s="42">
        <v>50.73</v>
      </c>
      <c r="L367" s="42">
        <v>53.03</v>
      </c>
      <c r="M367" s="42">
        <f t="shared" si="23"/>
        <v>4.2199999999999989</v>
      </c>
    </row>
    <row r="368" spans="2:13" x14ac:dyDescent="0.25">
      <c r="B368" s="42">
        <f t="shared" si="20"/>
        <v>23</v>
      </c>
      <c r="C368" s="42">
        <f t="shared" si="21"/>
        <v>5</v>
      </c>
      <c r="D368" s="42">
        <f t="shared" si="22"/>
        <v>2017</v>
      </c>
      <c r="E368" s="43">
        <v>42878</v>
      </c>
      <c r="F368" s="42">
        <v>46.71</v>
      </c>
      <c r="G368" s="42">
        <v>54.64</v>
      </c>
      <c r="H368" s="42">
        <v>47.75</v>
      </c>
      <c r="I368" s="42">
        <v>55.37</v>
      </c>
      <c r="J368" s="42">
        <v>54.04</v>
      </c>
      <c r="K368" s="42">
        <v>51.17</v>
      </c>
      <c r="L368" s="42">
        <v>53.27</v>
      </c>
      <c r="M368" s="42">
        <f t="shared" si="23"/>
        <v>4.4600000000000009</v>
      </c>
    </row>
    <row r="369" spans="2:13" x14ac:dyDescent="0.25">
      <c r="B369" s="42">
        <f t="shared" si="20"/>
        <v>24</v>
      </c>
      <c r="C369" s="42">
        <f t="shared" si="21"/>
        <v>5</v>
      </c>
      <c r="D369" s="42">
        <f t="shared" si="22"/>
        <v>2017</v>
      </c>
      <c r="E369" s="43">
        <v>42879</v>
      </c>
      <c r="F369" s="42">
        <v>46.84</v>
      </c>
      <c r="G369" s="42">
        <v>54.38</v>
      </c>
      <c r="H369" s="42">
        <v>47.75</v>
      </c>
      <c r="I369" s="42">
        <v>55.13</v>
      </c>
      <c r="J369" s="42">
        <v>54.13</v>
      </c>
      <c r="K369" s="42">
        <v>51.06</v>
      </c>
      <c r="L369" s="42">
        <v>53.11</v>
      </c>
      <c r="M369" s="42">
        <f t="shared" si="23"/>
        <v>4.2199999999999989</v>
      </c>
    </row>
    <row r="370" spans="2:13" x14ac:dyDescent="0.25">
      <c r="B370" s="42">
        <f t="shared" si="20"/>
        <v>25</v>
      </c>
      <c r="C370" s="42">
        <f t="shared" si="21"/>
        <v>5</v>
      </c>
      <c r="D370" s="42">
        <f t="shared" si="22"/>
        <v>2017</v>
      </c>
      <c r="E370" s="43">
        <v>42880</v>
      </c>
      <c r="F370" s="42">
        <v>45.17</v>
      </c>
      <c r="G370" s="42">
        <v>51.72</v>
      </c>
      <c r="H370" s="42">
        <v>45.28</v>
      </c>
      <c r="I370" s="42">
        <v>52.46</v>
      </c>
      <c r="J370" s="42">
        <v>53.09</v>
      </c>
      <c r="K370" s="42">
        <v>48.7</v>
      </c>
      <c r="L370" s="42">
        <v>50.45</v>
      </c>
      <c r="M370" s="42">
        <f t="shared" si="23"/>
        <v>3.5300000000000011</v>
      </c>
    </row>
    <row r="371" spans="2:13" x14ac:dyDescent="0.25">
      <c r="B371" s="42">
        <f t="shared" si="20"/>
        <v>26</v>
      </c>
      <c r="C371" s="42">
        <f t="shared" si="21"/>
        <v>5</v>
      </c>
      <c r="D371" s="42">
        <f t="shared" si="22"/>
        <v>2017</v>
      </c>
      <c r="E371" s="43">
        <v>42881</v>
      </c>
      <c r="F371" s="42">
        <v>45.02</v>
      </c>
      <c r="G371" s="42">
        <v>53.04</v>
      </c>
      <c r="H371" s="42">
        <v>46.17</v>
      </c>
      <c r="I371" s="42">
        <v>53.71</v>
      </c>
      <c r="J371" s="42">
        <v>51.74</v>
      </c>
      <c r="K371" s="42">
        <v>49.8</v>
      </c>
      <c r="L371" s="42">
        <v>51.85</v>
      </c>
      <c r="M371" s="42">
        <f t="shared" si="23"/>
        <v>4.779999999999994</v>
      </c>
    </row>
    <row r="372" spans="2:13" x14ac:dyDescent="0.25">
      <c r="B372" s="42">
        <f t="shared" si="20"/>
        <v>29</v>
      </c>
      <c r="C372" s="42">
        <f t="shared" si="21"/>
        <v>5</v>
      </c>
      <c r="D372" s="42">
        <f t="shared" si="22"/>
        <v>2017</v>
      </c>
      <c r="E372" s="43">
        <v>42884</v>
      </c>
      <c r="F372" s="42">
        <v>45.02</v>
      </c>
      <c r="G372" s="42">
        <v>53.04</v>
      </c>
      <c r="H372" s="42">
        <v>46.17</v>
      </c>
      <c r="I372" s="42">
        <v>53.71</v>
      </c>
      <c r="J372" s="42">
        <v>51.74</v>
      </c>
      <c r="K372" s="42">
        <v>49.8</v>
      </c>
      <c r="L372" s="42">
        <v>51.85</v>
      </c>
      <c r="M372" s="42">
        <f t="shared" si="23"/>
        <v>4.779999999999994</v>
      </c>
    </row>
    <row r="373" spans="2:13" x14ac:dyDescent="0.25">
      <c r="B373" s="42">
        <f t="shared" si="20"/>
        <v>30</v>
      </c>
      <c r="C373" s="42">
        <f t="shared" si="21"/>
        <v>5</v>
      </c>
      <c r="D373" s="42">
        <f t="shared" si="22"/>
        <v>2017</v>
      </c>
      <c r="E373" s="43">
        <v>42885</v>
      </c>
      <c r="F373" s="42">
        <v>44.87</v>
      </c>
      <c r="G373" s="42">
        <v>52.87</v>
      </c>
      <c r="H373" s="42">
        <v>46.06</v>
      </c>
      <c r="I373" s="42">
        <v>53.51</v>
      </c>
      <c r="J373" s="42">
        <v>51.29</v>
      </c>
      <c r="K373" s="42">
        <v>49.66</v>
      </c>
      <c r="L373" s="42">
        <v>51.81</v>
      </c>
      <c r="M373" s="42">
        <f t="shared" si="23"/>
        <v>4.7899999999999991</v>
      </c>
    </row>
    <row r="374" spans="2:13" x14ac:dyDescent="0.25">
      <c r="B374" s="42">
        <f t="shared" si="20"/>
        <v>31</v>
      </c>
      <c r="C374" s="42">
        <f t="shared" si="21"/>
        <v>5</v>
      </c>
      <c r="D374" s="42">
        <f t="shared" si="22"/>
        <v>2017</v>
      </c>
      <c r="E374" s="43">
        <v>42886</v>
      </c>
      <c r="F374" s="42">
        <v>43.67</v>
      </c>
      <c r="G374" s="42">
        <v>51.55</v>
      </c>
      <c r="H374" s="42">
        <v>44.8</v>
      </c>
      <c r="I374" s="42">
        <v>52.14</v>
      </c>
      <c r="J374" s="42">
        <v>49.8</v>
      </c>
      <c r="K374" s="42">
        <v>48.32</v>
      </c>
      <c r="L374" s="42">
        <v>50.47</v>
      </c>
      <c r="M374" s="42">
        <f t="shared" si="23"/>
        <v>4.6499999999999986</v>
      </c>
    </row>
    <row r="375" spans="2:13" x14ac:dyDescent="0.25">
      <c r="B375" s="42">
        <f t="shared" si="20"/>
        <v>1</v>
      </c>
      <c r="C375" s="42">
        <f t="shared" si="21"/>
        <v>6</v>
      </c>
      <c r="D375" s="42">
        <f t="shared" si="22"/>
        <v>2017</v>
      </c>
      <c r="E375" s="43">
        <v>42887</v>
      </c>
      <c r="F375" s="42">
        <v>44.3</v>
      </c>
      <c r="G375" s="42">
        <v>51.66</v>
      </c>
      <c r="H375" s="42">
        <v>44.86</v>
      </c>
      <c r="I375" s="42">
        <v>52.26</v>
      </c>
      <c r="J375" s="42">
        <v>51.35</v>
      </c>
      <c r="K375" s="42">
        <v>48.36</v>
      </c>
      <c r="L375" s="42">
        <v>50.51</v>
      </c>
      <c r="M375" s="42">
        <f t="shared" si="23"/>
        <v>4.0600000000000023</v>
      </c>
    </row>
    <row r="376" spans="2:13" x14ac:dyDescent="0.25">
      <c r="B376" s="42">
        <f t="shared" si="20"/>
        <v>2</v>
      </c>
      <c r="C376" s="42">
        <f t="shared" si="21"/>
        <v>6</v>
      </c>
      <c r="D376" s="42">
        <f t="shared" si="22"/>
        <v>2017</v>
      </c>
      <c r="E376" s="43">
        <v>42888</v>
      </c>
      <c r="F376" s="42">
        <v>43.26</v>
      </c>
      <c r="G376" s="42">
        <v>50.93</v>
      </c>
      <c r="H376" s="42">
        <v>44.31</v>
      </c>
      <c r="I376" s="42">
        <v>51.57</v>
      </c>
      <c r="J376" s="42">
        <v>49.98</v>
      </c>
      <c r="K376" s="42">
        <v>47.66</v>
      </c>
      <c r="L376" s="42">
        <v>49.76</v>
      </c>
      <c r="M376" s="42">
        <f t="shared" si="23"/>
        <v>4.3999999999999986</v>
      </c>
    </row>
    <row r="377" spans="2:13" x14ac:dyDescent="0.25">
      <c r="B377" s="42">
        <f t="shared" si="20"/>
        <v>5</v>
      </c>
      <c r="C377" s="42">
        <f t="shared" si="21"/>
        <v>6</v>
      </c>
      <c r="D377" s="42">
        <f t="shared" si="22"/>
        <v>2017</v>
      </c>
      <c r="E377" s="43">
        <v>42891</v>
      </c>
      <c r="F377" s="42">
        <v>42.97</v>
      </c>
      <c r="G377" s="42">
        <v>50.57</v>
      </c>
      <c r="H377" s="42">
        <v>43.9</v>
      </c>
      <c r="I377" s="42">
        <v>51.18</v>
      </c>
      <c r="J377" s="42">
        <v>49.2</v>
      </c>
      <c r="K377" s="42">
        <v>47.4</v>
      </c>
      <c r="L377" s="42">
        <v>49.6</v>
      </c>
      <c r="M377" s="42">
        <f t="shared" si="23"/>
        <v>4.43</v>
      </c>
    </row>
    <row r="378" spans="2:13" x14ac:dyDescent="0.25">
      <c r="B378" s="42">
        <f t="shared" si="20"/>
        <v>6</v>
      </c>
      <c r="C378" s="42">
        <f t="shared" si="21"/>
        <v>6</v>
      </c>
      <c r="D378" s="42">
        <f t="shared" si="22"/>
        <v>2017</v>
      </c>
      <c r="E378" s="43">
        <v>42892</v>
      </c>
      <c r="F378" s="42">
        <v>43.23</v>
      </c>
      <c r="G378" s="42">
        <v>51.38</v>
      </c>
      <c r="H378" s="42">
        <v>44.29</v>
      </c>
      <c r="I378" s="42">
        <v>51.95</v>
      </c>
      <c r="J378" s="42">
        <v>49.29</v>
      </c>
      <c r="K378" s="42">
        <v>48.19</v>
      </c>
      <c r="L378" s="42">
        <v>50.29</v>
      </c>
      <c r="M378" s="42">
        <f t="shared" si="23"/>
        <v>4.9600000000000009</v>
      </c>
    </row>
    <row r="379" spans="2:13" x14ac:dyDescent="0.25">
      <c r="B379" s="42">
        <f t="shared" si="20"/>
        <v>7</v>
      </c>
      <c r="C379" s="42">
        <f t="shared" si="21"/>
        <v>6</v>
      </c>
      <c r="D379" s="42">
        <f t="shared" si="22"/>
        <v>2017</v>
      </c>
      <c r="E379" s="43">
        <v>42893</v>
      </c>
      <c r="F379" s="42">
        <v>41.94</v>
      </c>
      <c r="G379" s="42">
        <v>49.06</v>
      </c>
      <c r="H379" s="42">
        <v>43.1</v>
      </c>
      <c r="I379" s="42">
        <v>49.7</v>
      </c>
      <c r="J379" s="42">
        <v>48.43</v>
      </c>
      <c r="K379" s="42">
        <v>45.72</v>
      </c>
      <c r="L379" s="42">
        <v>47.62</v>
      </c>
      <c r="M379" s="42">
        <f t="shared" si="23"/>
        <v>3.7800000000000011</v>
      </c>
    </row>
    <row r="380" spans="2:13" x14ac:dyDescent="0.25">
      <c r="B380" s="42">
        <f t="shared" si="20"/>
        <v>8</v>
      </c>
      <c r="C380" s="42">
        <f t="shared" si="21"/>
        <v>6</v>
      </c>
      <c r="D380" s="42">
        <f t="shared" si="22"/>
        <v>2017</v>
      </c>
      <c r="E380" s="43">
        <v>42894</v>
      </c>
      <c r="F380" s="42">
        <v>41.77</v>
      </c>
      <c r="G380" s="42">
        <v>48.78</v>
      </c>
      <c r="H380" s="42">
        <v>42.52</v>
      </c>
      <c r="I380" s="42">
        <v>49.4</v>
      </c>
      <c r="J380" s="42">
        <v>47.99</v>
      </c>
      <c r="K380" s="42">
        <v>45.64</v>
      </c>
      <c r="L380" s="42">
        <v>47.64</v>
      </c>
      <c r="M380" s="42">
        <f t="shared" si="23"/>
        <v>3.8699999999999974</v>
      </c>
    </row>
    <row r="381" spans="2:13" x14ac:dyDescent="0.25">
      <c r="B381" s="42">
        <f t="shared" si="20"/>
        <v>9</v>
      </c>
      <c r="C381" s="42">
        <f t="shared" si="21"/>
        <v>6</v>
      </c>
      <c r="D381" s="42">
        <f t="shared" si="22"/>
        <v>2017</v>
      </c>
      <c r="E381" s="43">
        <v>42895</v>
      </c>
      <c r="F381" s="42">
        <v>41.83</v>
      </c>
      <c r="G381" s="42">
        <v>49.03</v>
      </c>
      <c r="H381" s="42">
        <v>42.67</v>
      </c>
      <c r="I381" s="42">
        <v>49.66</v>
      </c>
      <c r="J381" s="42">
        <v>48.36</v>
      </c>
      <c r="K381" s="42">
        <v>45.83</v>
      </c>
      <c r="L381" s="42">
        <v>47.83</v>
      </c>
      <c r="M381" s="42">
        <f t="shared" si="23"/>
        <v>4</v>
      </c>
    </row>
    <row r="382" spans="2:13" x14ac:dyDescent="0.25">
      <c r="B382" s="42">
        <f t="shared" si="20"/>
        <v>12</v>
      </c>
      <c r="C382" s="42">
        <f t="shared" si="21"/>
        <v>6</v>
      </c>
      <c r="D382" s="42">
        <f t="shared" si="22"/>
        <v>2017</v>
      </c>
      <c r="E382" s="43">
        <v>42898</v>
      </c>
      <c r="F382" s="42">
        <v>42.09</v>
      </c>
      <c r="G382" s="42">
        <v>49.27</v>
      </c>
      <c r="H382" s="42">
        <v>42.91</v>
      </c>
      <c r="I382" s="42">
        <v>49.87</v>
      </c>
      <c r="J382" s="42">
        <v>48.79</v>
      </c>
      <c r="K382" s="42">
        <v>46.08</v>
      </c>
      <c r="L382" s="42">
        <v>48.18</v>
      </c>
      <c r="M382" s="42">
        <f t="shared" si="23"/>
        <v>3.9899999999999949</v>
      </c>
    </row>
    <row r="383" spans="2:13" x14ac:dyDescent="0.25">
      <c r="B383" s="42">
        <f t="shared" si="20"/>
        <v>13</v>
      </c>
      <c r="C383" s="42">
        <f t="shared" si="21"/>
        <v>6</v>
      </c>
      <c r="D383" s="42">
        <f t="shared" si="22"/>
        <v>2017</v>
      </c>
      <c r="E383" s="43">
        <v>42899</v>
      </c>
      <c r="F383" s="42">
        <v>42.29</v>
      </c>
      <c r="G383" s="42">
        <v>49.67</v>
      </c>
      <c r="H383" s="42">
        <v>43.15</v>
      </c>
      <c r="I383" s="42">
        <v>50.28</v>
      </c>
      <c r="J383" s="42">
        <v>48.18</v>
      </c>
      <c r="K383" s="42">
        <v>46.46</v>
      </c>
      <c r="L383" s="42">
        <v>48.61</v>
      </c>
      <c r="M383" s="42">
        <f t="shared" si="23"/>
        <v>4.1700000000000017</v>
      </c>
    </row>
    <row r="384" spans="2:13" x14ac:dyDescent="0.25">
      <c r="B384" s="42">
        <f t="shared" si="20"/>
        <v>14</v>
      </c>
      <c r="C384" s="42">
        <f t="shared" si="21"/>
        <v>6</v>
      </c>
      <c r="D384" s="42">
        <f t="shared" si="22"/>
        <v>2017</v>
      </c>
      <c r="E384" s="43">
        <v>42900</v>
      </c>
      <c r="F384" s="42">
        <v>40.98</v>
      </c>
      <c r="G384" s="42">
        <v>47.94</v>
      </c>
      <c r="H384" s="42">
        <v>41.58</v>
      </c>
      <c r="I384" s="42">
        <v>48.58</v>
      </c>
      <c r="J384" s="42">
        <v>46.88</v>
      </c>
      <c r="K384" s="42">
        <v>44.73</v>
      </c>
      <c r="L384" s="42">
        <v>46.98</v>
      </c>
      <c r="M384" s="42">
        <f t="shared" si="23"/>
        <v>3.75</v>
      </c>
    </row>
    <row r="385" spans="2:13" x14ac:dyDescent="0.25">
      <c r="B385" s="42">
        <f t="shared" si="20"/>
        <v>15</v>
      </c>
      <c r="C385" s="42">
        <f t="shared" si="21"/>
        <v>6</v>
      </c>
      <c r="D385" s="42">
        <f t="shared" si="22"/>
        <v>2017</v>
      </c>
      <c r="E385" s="43">
        <v>42901</v>
      </c>
      <c r="F385" s="42">
        <v>40.619999999999997</v>
      </c>
      <c r="G385" s="42">
        <v>47.59</v>
      </c>
      <c r="H385" s="42">
        <v>41.35</v>
      </c>
      <c r="I385" s="42">
        <v>48.24</v>
      </c>
      <c r="J385" s="42">
        <v>46.96</v>
      </c>
      <c r="K385" s="42">
        <v>44.46</v>
      </c>
      <c r="L385" s="42">
        <v>46.61</v>
      </c>
      <c r="M385" s="42">
        <f t="shared" si="23"/>
        <v>3.8400000000000034</v>
      </c>
    </row>
    <row r="386" spans="2:13" x14ac:dyDescent="0.25">
      <c r="B386" s="42">
        <f t="shared" si="20"/>
        <v>16</v>
      </c>
      <c r="C386" s="42">
        <f t="shared" si="21"/>
        <v>6</v>
      </c>
      <c r="D386" s="42">
        <f t="shared" si="22"/>
        <v>2017</v>
      </c>
      <c r="E386" s="43">
        <v>42902</v>
      </c>
      <c r="F386" s="42">
        <v>40.85</v>
      </c>
      <c r="G386" s="42">
        <v>47.77</v>
      </c>
      <c r="H386" s="42">
        <v>41.55</v>
      </c>
      <c r="I386" s="42">
        <v>48.5</v>
      </c>
      <c r="J386" s="42">
        <v>47.13</v>
      </c>
      <c r="K386" s="42">
        <v>44.74</v>
      </c>
      <c r="L386" s="42">
        <v>46.74</v>
      </c>
      <c r="M386" s="42">
        <f t="shared" si="23"/>
        <v>3.8900000000000006</v>
      </c>
    </row>
    <row r="387" spans="2:13" x14ac:dyDescent="0.25">
      <c r="B387" s="42">
        <f t="shared" si="20"/>
        <v>19</v>
      </c>
      <c r="C387" s="42">
        <f t="shared" si="21"/>
        <v>6</v>
      </c>
      <c r="D387" s="42">
        <f t="shared" si="22"/>
        <v>2017</v>
      </c>
      <c r="E387" s="43">
        <v>42905</v>
      </c>
      <c r="F387" s="42">
        <v>40.659999999999997</v>
      </c>
      <c r="G387" s="42">
        <v>47.25</v>
      </c>
      <c r="H387" s="42">
        <v>41.14</v>
      </c>
      <c r="I387" s="42">
        <v>48</v>
      </c>
      <c r="J387" s="42">
        <v>47.36</v>
      </c>
      <c r="K387" s="42">
        <v>44.2</v>
      </c>
      <c r="L387" s="42">
        <v>46.15</v>
      </c>
      <c r="M387" s="42">
        <f t="shared" si="23"/>
        <v>3.5400000000000063</v>
      </c>
    </row>
    <row r="388" spans="2:13" x14ac:dyDescent="0.25">
      <c r="B388" s="42">
        <f t="shared" si="20"/>
        <v>20</v>
      </c>
      <c r="C388" s="42">
        <f t="shared" si="21"/>
        <v>6</v>
      </c>
      <c r="D388" s="42">
        <f t="shared" si="22"/>
        <v>2017</v>
      </c>
      <c r="E388" s="43">
        <v>42906</v>
      </c>
      <c r="F388" s="42">
        <v>39.79</v>
      </c>
      <c r="G388" s="42">
        <v>46.33</v>
      </c>
      <c r="H388" s="42">
        <v>40.49</v>
      </c>
      <c r="I388" s="42">
        <v>47.06</v>
      </c>
      <c r="J388" s="42">
        <v>45.63</v>
      </c>
      <c r="K388" s="42">
        <v>43.23</v>
      </c>
      <c r="L388" s="42">
        <v>45.18</v>
      </c>
      <c r="M388" s="42">
        <f t="shared" si="23"/>
        <v>3.4399999999999977</v>
      </c>
    </row>
    <row r="389" spans="2:13" x14ac:dyDescent="0.25">
      <c r="B389" s="42">
        <f t="shared" si="20"/>
        <v>21</v>
      </c>
      <c r="C389" s="42">
        <f t="shared" si="21"/>
        <v>6</v>
      </c>
      <c r="D389" s="42">
        <f t="shared" si="22"/>
        <v>2017</v>
      </c>
      <c r="E389" s="43">
        <v>42907</v>
      </c>
      <c r="F389" s="42">
        <v>39.200000000000003</v>
      </c>
      <c r="G389" s="42">
        <v>45.34</v>
      </c>
      <c r="H389" s="42">
        <v>39.520000000000003</v>
      </c>
      <c r="I389" s="42">
        <v>46.08</v>
      </c>
      <c r="J389" s="42">
        <v>45.77</v>
      </c>
      <c r="K389" s="42">
        <v>42.33</v>
      </c>
      <c r="L389" s="42">
        <v>44.13</v>
      </c>
      <c r="M389" s="42">
        <f t="shared" si="23"/>
        <v>3.1299999999999955</v>
      </c>
    </row>
    <row r="390" spans="2:13" x14ac:dyDescent="0.25">
      <c r="B390" s="42">
        <f t="shared" si="20"/>
        <v>22</v>
      </c>
      <c r="C390" s="42">
        <f t="shared" si="21"/>
        <v>6</v>
      </c>
      <c r="D390" s="42">
        <f t="shared" si="22"/>
        <v>2017</v>
      </c>
      <c r="E390" s="43">
        <v>42908</v>
      </c>
      <c r="F390" s="42">
        <v>39.380000000000003</v>
      </c>
      <c r="G390" s="42">
        <v>45.66</v>
      </c>
      <c r="H390" s="42">
        <v>39.909999999999997</v>
      </c>
      <c r="I390" s="42">
        <v>46.4</v>
      </c>
      <c r="J390" s="42">
        <v>45.67</v>
      </c>
      <c r="K390" s="42">
        <v>42.54</v>
      </c>
      <c r="L390" s="42">
        <v>44.39</v>
      </c>
      <c r="M390" s="42">
        <f t="shared" si="23"/>
        <v>3.1599999999999966</v>
      </c>
    </row>
    <row r="391" spans="2:13" x14ac:dyDescent="0.25">
      <c r="B391" s="42">
        <f t="shared" ref="B391:B454" si="24">DAY(E391)</f>
        <v>23</v>
      </c>
      <c r="C391" s="42">
        <f t="shared" ref="C391:C454" si="25">MONTH(E391)</f>
        <v>6</v>
      </c>
      <c r="D391" s="42">
        <f t="shared" ref="D391:D454" si="26">YEAR(E391)</f>
        <v>2017</v>
      </c>
      <c r="E391" s="43">
        <v>42909</v>
      </c>
      <c r="F391" s="42">
        <v>39.65</v>
      </c>
      <c r="G391" s="42">
        <v>45.9</v>
      </c>
      <c r="H391" s="42">
        <v>40.22</v>
      </c>
      <c r="I391" s="42">
        <v>46.66</v>
      </c>
      <c r="J391" s="42">
        <v>45.6</v>
      </c>
      <c r="K391" s="42">
        <v>42.81</v>
      </c>
      <c r="L391" s="42">
        <v>44.76</v>
      </c>
      <c r="M391" s="42">
        <f t="shared" ref="M391:M454" si="27">K391-F391</f>
        <v>3.1600000000000037</v>
      </c>
    </row>
    <row r="392" spans="2:13" x14ac:dyDescent="0.25">
      <c r="B392" s="42">
        <f t="shared" si="24"/>
        <v>26</v>
      </c>
      <c r="C392" s="42">
        <f t="shared" si="25"/>
        <v>6</v>
      </c>
      <c r="D392" s="42">
        <f t="shared" si="26"/>
        <v>2017</v>
      </c>
      <c r="E392" s="43">
        <v>42912</v>
      </c>
      <c r="F392" s="42">
        <v>39.65</v>
      </c>
      <c r="G392" s="42">
        <v>46.44</v>
      </c>
      <c r="H392" s="42">
        <v>40.659999999999997</v>
      </c>
      <c r="I392" s="42">
        <v>47.17</v>
      </c>
      <c r="J392" s="42">
        <v>45.61</v>
      </c>
      <c r="K392" s="42">
        <v>43.38</v>
      </c>
      <c r="L392" s="42">
        <v>45.28</v>
      </c>
      <c r="M392" s="42">
        <f t="shared" si="27"/>
        <v>3.730000000000004</v>
      </c>
    </row>
    <row r="393" spans="2:13" x14ac:dyDescent="0.25">
      <c r="B393" s="42">
        <f t="shared" si="24"/>
        <v>27</v>
      </c>
      <c r="C393" s="42">
        <f t="shared" si="25"/>
        <v>6</v>
      </c>
      <c r="D393" s="42">
        <f t="shared" si="26"/>
        <v>2017</v>
      </c>
      <c r="E393" s="43">
        <v>42913</v>
      </c>
      <c r="F393" s="42">
        <v>40.85</v>
      </c>
      <c r="G393" s="42">
        <v>47.37</v>
      </c>
      <c r="H393" s="42">
        <v>41.52</v>
      </c>
      <c r="I393" s="42">
        <v>48.08</v>
      </c>
      <c r="J393" s="42">
        <v>46.98</v>
      </c>
      <c r="K393" s="42">
        <v>44.24</v>
      </c>
      <c r="L393" s="42">
        <v>46.29</v>
      </c>
      <c r="M393" s="42">
        <f t="shared" si="27"/>
        <v>3.3900000000000006</v>
      </c>
    </row>
    <row r="394" spans="2:13" x14ac:dyDescent="0.25">
      <c r="B394" s="42">
        <f t="shared" si="24"/>
        <v>28</v>
      </c>
      <c r="C394" s="42">
        <f t="shared" si="25"/>
        <v>6</v>
      </c>
      <c r="D394" s="42">
        <f t="shared" si="26"/>
        <v>2017</v>
      </c>
      <c r="E394" s="43">
        <v>42914</v>
      </c>
      <c r="F394" s="42">
        <v>41.38</v>
      </c>
      <c r="G394" s="42">
        <v>47.92</v>
      </c>
      <c r="H394" s="42">
        <v>42.24</v>
      </c>
      <c r="I394" s="42">
        <v>48.64</v>
      </c>
      <c r="J394" s="42">
        <v>47.19</v>
      </c>
      <c r="K394" s="42">
        <v>44.74</v>
      </c>
      <c r="L394" s="42">
        <v>46.79</v>
      </c>
      <c r="M394" s="42">
        <f t="shared" si="27"/>
        <v>3.3599999999999994</v>
      </c>
    </row>
    <row r="395" spans="2:13" x14ac:dyDescent="0.25">
      <c r="B395" s="42">
        <f t="shared" si="24"/>
        <v>29</v>
      </c>
      <c r="C395" s="42">
        <f t="shared" si="25"/>
        <v>6</v>
      </c>
      <c r="D395" s="42">
        <f t="shared" si="26"/>
        <v>2017</v>
      </c>
      <c r="E395" s="43">
        <v>42915</v>
      </c>
      <c r="F395" s="42">
        <v>41.82</v>
      </c>
      <c r="G395" s="42">
        <v>48.12</v>
      </c>
      <c r="H395" s="42">
        <v>42.36</v>
      </c>
      <c r="I395" s="42">
        <v>48.8</v>
      </c>
      <c r="J395" s="42">
        <v>47.75</v>
      </c>
      <c r="K395" s="42">
        <v>44.93</v>
      </c>
      <c r="L395" s="42">
        <v>47.13</v>
      </c>
      <c r="M395" s="42">
        <f t="shared" si="27"/>
        <v>3.1099999999999994</v>
      </c>
    </row>
    <row r="396" spans="2:13" x14ac:dyDescent="0.25">
      <c r="B396" s="42">
        <f t="shared" si="24"/>
        <v>30</v>
      </c>
      <c r="C396" s="42">
        <f t="shared" si="25"/>
        <v>6</v>
      </c>
      <c r="D396" s="42">
        <f t="shared" si="26"/>
        <v>2017</v>
      </c>
      <c r="E396" s="43">
        <v>42916</v>
      </c>
      <c r="F396" s="42">
        <v>42.68</v>
      </c>
      <c r="G396" s="42">
        <v>49.24</v>
      </c>
      <c r="H396" s="42">
        <v>43.52</v>
      </c>
      <c r="I396" s="42">
        <v>49.96</v>
      </c>
      <c r="J396" s="42">
        <v>47.75</v>
      </c>
      <c r="K396" s="42">
        <v>46.04</v>
      </c>
      <c r="L396" s="42">
        <v>48.19</v>
      </c>
      <c r="M396" s="42">
        <f t="shared" si="27"/>
        <v>3.3599999999999994</v>
      </c>
    </row>
    <row r="397" spans="2:13" x14ac:dyDescent="0.25">
      <c r="B397" s="42">
        <f t="shared" si="24"/>
        <v>3</v>
      </c>
      <c r="C397" s="42">
        <f t="shared" si="25"/>
        <v>7</v>
      </c>
      <c r="D397" s="42">
        <f t="shared" si="26"/>
        <v>2017</v>
      </c>
      <c r="E397" s="43">
        <v>42919</v>
      </c>
      <c r="F397" s="42">
        <v>42.68</v>
      </c>
      <c r="G397" s="42">
        <v>51.06</v>
      </c>
      <c r="H397" s="42">
        <v>44.72</v>
      </c>
      <c r="I397" s="42">
        <v>51.79</v>
      </c>
      <c r="J397" s="42">
        <v>49.64</v>
      </c>
      <c r="K397" s="42">
        <v>46.04</v>
      </c>
      <c r="L397" s="42">
        <v>48.19</v>
      </c>
      <c r="M397" s="42">
        <f t="shared" si="27"/>
        <v>3.3599999999999994</v>
      </c>
    </row>
    <row r="398" spans="2:13" x14ac:dyDescent="0.25">
      <c r="B398" s="42">
        <f t="shared" si="24"/>
        <v>4</v>
      </c>
      <c r="C398" s="42">
        <f t="shared" si="25"/>
        <v>7</v>
      </c>
      <c r="D398" s="42">
        <f t="shared" si="26"/>
        <v>2017</v>
      </c>
      <c r="E398" s="43">
        <v>42920</v>
      </c>
      <c r="F398" s="42">
        <v>42.68</v>
      </c>
      <c r="G398" s="42">
        <v>51.06</v>
      </c>
      <c r="H398" s="42">
        <v>44.72</v>
      </c>
      <c r="I398" s="42">
        <v>51.79</v>
      </c>
      <c r="J398" s="42">
        <v>49.86</v>
      </c>
      <c r="K398" s="42">
        <v>46.04</v>
      </c>
      <c r="L398" s="42">
        <v>48.19</v>
      </c>
      <c r="M398" s="42">
        <f t="shared" si="27"/>
        <v>3.3599999999999994</v>
      </c>
    </row>
    <row r="399" spans="2:13" x14ac:dyDescent="0.25">
      <c r="B399" s="42">
        <f t="shared" si="24"/>
        <v>5</v>
      </c>
      <c r="C399" s="42">
        <f t="shared" si="25"/>
        <v>7</v>
      </c>
      <c r="D399" s="42">
        <f t="shared" si="26"/>
        <v>2017</v>
      </c>
      <c r="E399" s="43">
        <v>42921</v>
      </c>
      <c r="F399" s="42">
        <v>42.71</v>
      </c>
      <c r="G399" s="42">
        <v>49.15</v>
      </c>
      <c r="H399" s="42">
        <v>42.88</v>
      </c>
      <c r="I399" s="42">
        <v>49.87</v>
      </c>
      <c r="J399" s="42">
        <v>48.14</v>
      </c>
      <c r="K399" s="42">
        <v>45.13</v>
      </c>
      <c r="L399" s="42">
        <v>47.33</v>
      </c>
      <c r="M399" s="42">
        <f t="shared" si="27"/>
        <v>2.4200000000000017</v>
      </c>
    </row>
    <row r="400" spans="2:13" x14ac:dyDescent="0.25">
      <c r="B400" s="42">
        <f t="shared" si="24"/>
        <v>6</v>
      </c>
      <c r="C400" s="42">
        <f t="shared" si="25"/>
        <v>7</v>
      </c>
      <c r="D400" s="42">
        <f t="shared" si="26"/>
        <v>2017</v>
      </c>
      <c r="E400" s="43">
        <v>42922</v>
      </c>
      <c r="F400" s="42">
        <v>42.9</v>
      </c>
      <c r="G400" s="42">
        <v>49.5</v>
      </c>
      <c r="H400" s="42">
        <v>43.2</v>
      </c>
      <c r="I400" s="42">
        <v>50.19</v>
      </c>
      <c r="J400" s="42">
        <v>49.07</v>
      </c>
      <c r="K400" s="42">
        <v>45.52</v>
      </c>
      <c r="L400" s="42">
        <v>47.72</v>
      </c>
      <c r="M400" s="42">
        <f t="shared" si="27"/>
        <v>2.6200000000000045</v>
      </c>
    </row>
    <row r="401" spans="2:13" x14ac:dyDescent="0.25">
      <c r="B401" s="42">
        <f t="shared" si="24"/>
        <v>7</v>
      </c>
      <c r="C401" s="42">
        <f t="shared" si="25"/>
        <v>7</v>
      </c>
      <c r="D401" s="42">
        <f t="shared" si="26"/>
        <v>2017</v>
      </c>
      <c r="E401" s="43">
        <v>42923</v>
      </c>
      <c r="F401" s="42">
        <v>41.48</v>
      </c>
      <c r="G401" s="42">
        <v>48.31</v>
      </c>
      <c r="H401" s="42">
        <v>42.08</v>
      </c>
      <c r="I401" s="42">
        <v>49.01</v>
      </c>
      <c r="J401" s="42">
        <v>46.97</v>
      </c>
      <c r="K401" s="42">
        <v>44.23</v>
      </c>
      <c r="L401" s="42">
        <v>46.43</v>
      </c>
      <c r="M401" s="42">
        <f t="shared" si="27"/>
        <v>2.75</v>
      </c>
    </row>
    <row r="402" spans="2:13" x14ac:dyDescent="0.25">
      <c r="B402" s="42">
        <f t="shared" si="24"/>
        <v>10</v>
      </c>
      <c r="C402" s="42">
        <f t="shared" si="25"/>
        <v>7</v>
      </c>
      <c r="D402" s="42">
        <f t="shared" si="26"/>
        <v>2017</v>
      </c>
      <c r="E402" s="43">
        <v>42926</v>
      </c>
      <c r="F402" s="42">
        <v>41.64</v>
      </c>
      <c r="G402" s="42">
        <v>48.47</v>
      </c>
      <c r="H402" s="42">
        <v>42.27</v>
      </c>
      <c r="I402" s="42">
        <v>49.16</v>
      </c>
      <c r="J402" s="42">
        <v>47.32</v>
      </c>
      <c r="K402" s="42">
        <v>44.4</v>
      </c>
      <c r="L402" s="42">
        <v>46.7</v>
      </c>
      <c r="M402" s="42">
        <f t="shared" si="27"/>
        <v>2.759999999999998</v>
      </c>
    </row>
    <row r="403" spans="2:13" x14ac:dyDescent="0.25">
      <c r="B403" s="42">
        <f t="shared" si="24"/>
        <v>11</v>
      </c>
      <c r="C403" s="42">
        <f t="shared" si="25"/>
        <v>7</v>
      </c>
      <c r="D403" s="42">
        <f t="shared" si="26"/>
        <v>2017</v>
      </c>
      <c r="E403" s="43">
        <v>42927</v>
      </c>
      <c r="F403" s="42">
        <v>41.94</v>
      </c>
      <c r="G403" s="42">
        <v>49.1</v>
      </c>
      <c r="H403" s="42">
        <v>42.83</v>
      </c>
      <c r="I403" s="42">
        <v>49.78</v>
      </c>
      <c r="J403" s="42">
        <v>47.17</v>
      </c>
      <c r="K403" s="42">
        <v>45.04</v>
      </c>
      <c r="L403" s="42">
        <v>47.44</v>
      </c>
      <c r="M403" s="42">
        <f t="shared" si="27"/>
        <v>3.1000000000000014</v>
      </c>
    </row>
    <row r="404" spans="2:13" x14ac:dyDescent="0.25">
      <c r="B404" s="42">
        <f t="shared" si="24"/>
        <v>12</v>
      </c>
      <c r="C404" s="42">
        <f t="shared" si="25"/>
        <v>7</v>
      </c>
      <c r="D404" s="42">
        <f t="shared" si="26"/>
        <v>2017</v>
      </c>
      <c r="E404" s="43">
        <v>42928</v>
      </c>
      <c r="F404" s="42">
        <v>42.59</v>
      </c>
      <c r="G404" s="42">
        <v>49.42</v>
      </c>
      <c r="H404" s="42">
        <v>43.31</v>
      </c>
      <c r="I404" s="42">
        <v>50.07</v>
      </c>
      <c r="J404" s="42">
        <v>47.82</v>
      </c>
      <c r="K404" s="42">
        <v>45.49</v>
      </c>
      <c r="L404" s="42">
        <v>47.84</v>
      </c>
      <c r="M404" s="42">
        <f t="shared" si="27"/>
        <v>2.8999999999999986</v>
      </c>
    </row>
    <row r="405" spans="2:13" x14ac:dyDescent="0.25">
      <c r="B405" s="42">
        <f t="shared" si="24"/>
        <v>13</v>
      </c>
      <c r="C405" s="42">
        <f t="shared" si="25"/>
        <v>7</v>
      </c>
      <c r="D405" s="42">
        <f t="shared" si="26"/>
        <v>2017</v>
      </c>
      <c r="E405" s="43">
        <v>42929</v>
      </c>
      <c r="F405" s="42">
        <v>43.15</v>
      </c>
      <c r="G405" s="42">
        <v>50.03</v>
      </c>
      <c r="H405" s="42">
        <v>43.68</v>
      </c>
      <c r="I405" s="42">
        <v>50.69</v>
      </c>
      <c r="J405" s="42">
        <v>48.59</v>
      </c>
      <c r="K405" s="42">
        <v>46.08</v>
      </c>
      <c r="L405" s="42">
        <v>48.43</v>
      </c>
      <c r="M405" s="42">
        <f t="shared" si="27"/>
        <v>2.9299999999999997</v>
      </c>
    </row>
    <row r="406" spans="2:13" x14ac:dyDescent="0.25">
      <c r="B406" s="42">
        <f t="shared" si="24"/>
        <v>14</v>
      </c>
      <c r="C406" s="42">
        <f t="shared" si="25"/>
        <v>7</v>
      </c>
      <c r="D406" s="42">
        <f t="shared" si="26"/>
        <v>2017</v>
      </c>
      <c r="E406" s="43">
        <v>42930</v>
      </c>
      <c r="F406" s="42">
        <v>43.74</v>
      </c>
      <c r="G406" s="42">
        <v>50.35</v>
      </c>
      <c r="H406" s="42">
        <v>44.21</v>
      </c>
      <c r="I406" s="42">
        <v>51.07</v>
      </c>
      <c r="J406" s="42">
        <v>48.73</v>
      </c>
      <c r="K406" s="42">
        <v>46.54</v>
      </c>
      <c r="L406" s="42">
        <v>48.89</v>
      </c>
      <c r="M406" s="42">
        <f t="shared" si="27"/>
        <v>2.7999999999999972</v>
      </c>
    </row>
    <row r="407" spans="2:13" x14ac:dyDescent="0.25">
      <c r="B407" s="42">
        <f t="shared" si="24"/>
        <v>17</v>
      </c>
      <c r="C407" s="42">
        <f t="shared" si="25"/>
        <v>7</v>
      </c>
      <c r="D407" s="42">
        <f t="shared" si="26"/>
        <v>2017</v>
      </c>
      <c r="E407" s="43">
        <v>42933</v>
      </c>
      <c r="F407" s="42">
        <v>43.55</v>
      </c>
      <c r="G407" s="42">
        <v>50.11</v>
      </c>
      <c r="H407" s="42">
        <v>44.25</v>
      </c>
      <c r="I407" s="42">
        <v>50.76</v>
      </c>
      <c r="J407" s="42">
        <v>48.94</v>
      </c>
      <c r="K407" s="42">
        <v>46.02</v>
      </c>
      <c r="L407" s="42">
        <v>48.42</v>
      </c>
      <c r="M407" s="42">
        <f t="shared" si="27"/>
        <v>2.470000000000006</v>
      </c>
    </row>
    <row r="408" spans="2:13" x14ac:dyDescent="0.25">
      <c r="B408" s="42">
        <f t="shared" si="24"/>
        <v>18</v>
      </c>
      <c r="C408" s="42">
        <f t="shared" si="25"/>
        <v>7</v>
      </c>
      <c r="D408" s="42">
        <f t="shared" si="26"/>
        <v>2017</v>
      </c>
      <c r="E408" s="43">
        <v>42934</v>
      </c>
      <c r="F408" s="42">
        <v>43.54</v>
      </c>
      <c r="G408" s="42">
        <v>50.48</v>
      </c>
      <c r="H408" s="42">
        <v>44.48</v>
      </c>
      <c r="I408" s="42">
        <v>51.15</v>
      </c>
      <c r="J408" s="42">
        <v>48.78</v>
      </c>
      <c r="K408" s="42">
        <v>46.4</v>
      </c>
      <c r="L408" s="42">
        <v>48.8</v>
      </c>
      <c r="M408" s="42">
        <f t="shared" si="27"/>
        <v>2.8599999999999994</v>
      </c>
    </row>
    <row r="409" spans="2:13" x14ac:dyDescent="0.25">
      <c r="B409" s="42">
        <f t="shared" si="24"/>
        <v>19</v>
      </c>
      <c r="C409" s="42">
        <f t="shared" si="25"/>
        <v>7</v>
      </c>
      <c r="D409" s="42">
        <f t="shared" si="26"/>
        <v>2017</v>
      </c>
      <c r="E409" s="43">
        <v>42935</v>
      </c>
      <c r="F409" s="42">
        <v>44.29</v>
      </c>
      <c r="G409" s="42">
        <v>51.24</v>
      </c>
      <c r="H409" s="42">
        <v>45.31</v>
      </c>
      <c r="I409" s="42">
        <v>51.92</v>
      </c>
      <c r="J409" s="42">
        <v>49.58</v>
      </c>
      <c r="K409" s="42">
        <v>47.12</v>
      </c>
      <c r="L409" s="42">
        <v>49.57</v>
      </c>
      <c r="M409" s="42">
        <f t="shared" si="27"/>
        <v>2.8299999999999983</v>
      </c>
    </row>
    <row r="410" spans="2:13" x14ac:dyDescent="0.25">
      <c r="B410" s="42">
        <f t="shared" si="24"/>
        <v>20</v>
      </c>
      <c r="C410" s="42">
        <f t="shared" si="25"/>
        <v>7</v>
      </c>
      <c r="D410" s="42">
        <f t="shared" si="26"/>
        <v>2017</v>
      </c>
      <c r="E410" s="43">
        <v>42936</v>
      </c>
      <c r="F410" s="42">
        <v>43.99</v>
      </c>
      <c r="G410" s="42">
        <v>50.99</v>
      </c>
      <c r="H410" s="42">
        <v>44.97</v>
      </c>
      <c r="I410" s="42">
        <v>51.65</v>
      </c>
      <c r="J410" s="42">
        <v>49.62</v>
      </c>
      <c r="K410" s="42">
        <v>46.79</v>
      </c>
      <c r="L410" s="42">
        <v>49.34</v>
      </c>
      <c r="M410" s="42">
        <f t="shared" si="27"/>
        <v>2.7999999999999972</v>
      </c>
    </row>
    <row r="411" spans="2:13" x14ac:dyDescent="0.25">
      <c r="B411" s="42">
        <f t="shared" si="24"/>
        <v>21</v>
      </c>
      <c r="C411" s="42">
        <f t="shared" si="25"/>
        <v>7</v>
      </c>
      <c r="D411" s="42">
        <f t="shared" si="26"/>
        <v>2017</v>
      </c>
      <c r="E411" s="43">
        <v>42937</v>
      </c>
      <c r="F411" s="42">
        <v>43.32</v>
      </c>
      <c r="G411" s="42">
        <v>49.84</v>
      </c>
      <c r="H411" s="42">
        <v>43.7</v>
      </c>
      <c r="I411" s="42">
        <v>50.47</v>
      </c>
      <c r="J411" s="42">
        <v>48.74</v>
      </c>
      <c r="K411" s="42">
        <v>45.62</v>
      </c>
      <c r="L411" s="42">
        <v>48.17</v>
      </c>
      <c r="M411" s="42">
        <f t="shared" si="27"/>
        <v>2.2999999999999972</v>
      </c>
    </row>
    <row r="412" spans="2:13" x14ac:dyDescent="0.25">
      <c r="B412" s="42">
        <f t="shared" si="24"/>
        <v>24</v>
      </c>
      <c r="C412" s="42">
        <f t="shared" si="25"/>
        <v>7</v>
      </c>
      <c r="D412" s="42">
        <f t="shared" si="26"/>
        <v>2017</v>
      </c>
      <c r="E412" s="43">
        <v>42940</v>
      </c>
      <c r="F412" s="42">
        <v>43.37</v>
      </c>
      <c r="G412" s="42">
        <v>50.48</v>
      </c>
      <c r="H412" s="42">
        <v>44.21</v>
      </c>
      <c r="I412" s="42">
        <v>51.13</v>
      </c>
      <c r="J412" s="42">
        <v>48.63</v>
      </c>
      <c r="K412" s="42">
        <v>46.19</v>
      </c>
      <c r="L412" s="42">
        <v>48.69</v>
      </c>
      <c r="M412" s="42">
        <f t="shared" si="27"/>
        <v>2.8200000000000003</v>
      </c>
    </row>
    <row r="413" spans="2:13" x14ac:dyDescent="0.25">
      <c r="B413" s="42">
        <f t="shared" si="24"/>
        <v>25</v>
      </c>
      <c r="C413" s="42">
        <f t="shared" si="25"/>
        <v>7</v>
      </c>
      <c r="D413" s="42">
        <f t="shared" si="26"/>
        <v>2017</v>
      </c>
      <c r="E413" s="43">
        <v>42941</v>
      </c>
      <c r="F413" s="42">
        <v>44.69</v>
      </c>
      <c r="G413" s="42">
        <v>52.07</v>
      </c>
      <c r="H413" s="42">
        <v>45.16</v>
      </c>
      <c r="I413" s="42">
        <v>52.7</v>
      </c>
      <c r="J413" s="42">
        <v>50.04</v>
      </c>
      <c r="K413" s="42">
        <v>47.74</v>
      </c>
      <c r="L413" s="42">
        <v>50.24</v>
      </c>
      <c r="M413" s="42">
        <f t="shared" si="27"/>
        <v>3.0500000000000043</v>
      </c>
    </row>
    <row r="414" spans="2:13" x14ac:dyDescent="0.25">
      <c r="B414" s="42">
        <f t="shared" si="24"/>
        <v>26</v>
      </c>
      <c r="C414" s="42">
        <f t="shared" si="25"/>
        <v>7</v>
      </c>
      <c r="D414" s="42">
        <f t="shared" si="26"/>
        <v>2017</v>
      </c>
      <c r="E414" s="43">
        <v>42942</v>
      </c>
      <c r="F414" s="42">
        <v>45.56</v>
      </c>
      <c r="G414" s="42">
        <v>52.86</v>
      </c>
      <c r="H414" s="42">
        <v>46.34</v>
      </c>
      <c r="I414" s="42">
        <v>53.48</v>
      </c>
      <c r="J414" s="42">
        <v>50.66</v>
      </c>
      <c r="K414" s="42">
        <v>48.75</v>
      </c>
      <c r="L414" s="42">
        <v>51.1</v>
      </c>
      <c r="M414" s="42">
        <f t="shared" si="27"/>
        <v>3.1899999999999977</v>
      </c>
    </row>
    <row r="415" spans="2:13" x14ac:dyDescent="0.25">
      <c r="B415" s="42">
        <f t="shared" si="24"/>
        <v>27</v>
      </c>
      <c r="C415" s="42">
        <f t="shared" si="25"/>
        <v>7</v>
      </c>
      <c r="D415" s="42">
        <f t="shared" si="26"/>
        <v>2017</v>
      </c>
      <c r="E415" s="43">
        <v>42943</v>
      </c>
      <c r="F415" s="42">
        <v>45.98</v>
      </c>
      <c r="G415" s="42">
        <v>53.21</v>
      </c>
      <c r="H415" s="42">
        <v>46.86</v>
      </c>
      <c r="I415" s="42">
        <v>53.85</v>
      </c>
      <c r="J415" s="42">
        <v>51.39</v>
      </c>
      <c r="K415" s="42">
        <v>49.04</v>
      </c>
      <c r="L415" s="42">
        <v>51.39</v>
      </c>
      <c r="M415" s="42">
        <f t="shared" si="27"/>
        <v>3.0600000000000023</v>
      </c>
    </row>
    <row r="416" spans="2:13" x14ac:dyDescent="0.25">
      <c r="B416" s="42">
        <f t="shared" si="24"/>
        <v>28</v>
      </c>
      <c r="C416" s="42">
        <f t="shared" si="25"/>
        <v>7</v>
      </c>
      <c r="D416" s="42">
        <f t="shared" si="26"/>
        <v>2017</v>
      </c>
      <c r="E416" s="43">
        <v>42944</v>
      </c>
      <c r="F416" s="42">
        <v>46.61</v>
      </c>
      <c r="G416" s="42">
        <v>53.85</v>
      </c>
      <c r="H416" s="42">
        <v>47.24</v>
      </c>
      <c r="I416" s="42">
        <v>54.5</v>
      </c>
      <c r="J416" s="42">
        <v>52.48</v>
      </c>
      <c r="K416" s="42">
        <v>49.71</v>
      </c>
      <c r="L416" s="42">
        <v>51.96</v>
      </c>
      <c r="M416" s="42">
        <f t="shared" si="27"/>
        <v>3.1000000000000014</v>
      </c>
    </row>
    <row r="417" spans="2:13" x14ac:dyDescent="0.25">
      <c r="B417" s="42">
        <f t="shared" si="24"/>
        <v>31</v>
      </c>
      <c r="C417" s="42">
        <f t="shared" si="25"/>
        <v>7</v>
      </c>
      <c r="D417" s="42">
        <f t="shared" si="26"/>
        <v>2017</v>
      </c>
      <c r="E417" s="43">
        <v>42947</v>
      </c>
      <c r="F417" s="42">
        <v>46.8</v>
      </c>
      <c r="G417" s="42">
        <v>54.32</v>
      </c>
      <c r="H417" s="42">
        <v>47.59</v>
      </c>
      <c r="I417" s="42">
        <v>55</v>
      </c>
      <c r="J417" s="42">
        <v>52.44</v>
      </c>
      <c r="K417" s="42">
        <v>50.17</v>
      </c>
      <c r="L417" s="42">
        <v>52.52</v>
      </c>
      <c r="M417" s="42">
        <f t="shared" si="27"/>
        <v>3.3700000000000045</v>
      </c>
    </row>
    <row r="418" spans="2:13" x14ac:dyDescent="0.25">
      <c r="B418" s="42">
        <f t="shared" si="24"/>
        <v>1</v>
      </c>
      <c r="C418" s="42">
        <f t="shared" si="25"/>
        <v>8</v>
      </c>
      <c r="D418" s="42">
        <f t="shared" si="26"/>
        <v>2017</v>
      </c>
      <c r="E418" s="43">
        <v>42948</v>
      </c>
      <c r="F418" s="42">
        <v>45.82</v>
      </c>
      <c r="G418" s="42">
        <v>53.31</v>
      </c>
      <c r="H418" s="42">
        <v>46.49</v>
      </c>
      <c r="I418" s="42">
        <v>54.01</v>
      </c>
      <c r="J418" s="42">
        <v>51.38</v>
      </c>
      <c r="K418" s="42">
        <v>49.16</v>
      </c>
      <c r="L418" s="42">
        <v>51.46</v>
      </c>
      <c r="M418" s="42">
        <f t="shared" si="27"/>
        <v>3.3399999999999963</v>
      </c>
    </row>
    <row r="419" spans="2:13" x14ac:dyDescent="0.25">
      <c r="B419" s="42">
        <f t="shared" si="24"/>
        <v>2</v>
      </c>
      <c r="C419" s="42">
        <f t="shared" si="25"/>
        <v>8</v>
      </c>
      <c r="D419" s="42">
        <f t="shared" si="26"/>
        <v>2017</v>
      </c>
      <c r="E419" s="43">
        <v>42949</v>
      </c>
      <c r="F419" s="42">
        <v>46</v>
      </c>
      <c r="G419" s="42">
        <v>53.78</v>
      </c>
      <c r="H419" s="42">
        <v>46.97</v>
      </c>
      <c r="I419" s="42">
        <v>54.5</v>
      </c>
      <c r="J419" s="42">
        <v>52.26</v>
      </c>
      <c r="K419" s="42">
        <v>49.59</v>
      </c>
      <c r="L419" s="42">
        <v>51.94</v>
      </c>
      <c r="M419" s="42">
        <f t="shared" si="27"/>
        <v>3.5900000000000034</v>
      </c>
    </row>
    <row r="420" spans="2:13" x14ac:dyDescent="0.25">
      <c r="B420" s="42">
        <f t="shared" si="24"/>
        <v>3</v>
      </c>
      <c r="C420" s="42">
        <f t="shared" si="25"/>
        <v>8</v>
      </c>
      <c r="D420" s="42">
        <f t="shared" si="26"/>
        <v>2017</v>
      </c>
      <c r="E420" s="43">
        <v>42950</v>
      </c>
      <c r="F420" s="42">
        <v>46.29</v>
      </c>
      <c r="G420" s="42">
        <v>53.34</v>
      </c>
      <c r="H420" s="42">
        <v>46.62</v>
      </c>
      <c r="I420" s="42">
        <v>54.04</v>
      </c>
      <c r="J420" s="42">
        <v>52.92</v>
      </c>
      <c r="K420" s="42">
        <v>49.03</v>
      </c>
      <c r="L420" s="42">
        <v>51.43</v>
      </c>
      <c r="M420" s="42">
        <f t="shared" si="27"/>
        <v>2.740000000000002</v>
      </c>
    </row>
    <row r="421" spans="2:13" x14ac:dyDescent="0.25">
      <c r="B421" s="42">
        <f t="shared" si="24"/>
        <v>4</v>
      </c>
      <c r="C421" s="42">
        <f t="shared" si="25"/>
        <v>8</v>
      </c>
      <c r="D421" s="42">
        <f t="shared" si="26"/>
        <v>2017</v>
      </c>
      <c r="E421" s="43">
        <v>42951</v>
      </c>
      <c r="F421" s="42">
        <v>46.28</v>
      </c>
      <c r="G421" s="42">
        <v>53.9</v>
      </c>
      <c r="H421" s="42">
        <v>47.06</v>
      </c>
      <c r="I421" s="42">
        <v>54.61</v>
      </c>
      <c r="J421" s="42">
        <v>52.54</v>
      </c>
      <c r="K421" s="42">
        <v>49.58</v>
      </c>
      <c r="L421" s="42">
        <v>51.98</v>
      </c>
      <c r="M421" s="42">
        <f t="shared" si="27"/>
        <v>3.2999999999999972</v>
      </c>
    </row>
    <row r="422" spans="2:13" x14ac:dyDescent="0.25">
      <c r="B422" s="42">
        <f t="shared" si="24"/>
        <v>7</v>
      </c>
      <c r="C422" s="42">
        <f t="shared" si="25"/>
        <v>8</v>
      </c>
      <c r="D422" s="42">
        <f t="shared" si="26"/>
        <v>2017</v>
      </c>
      <c r="E422" s="43">
        <v>42954</v>
      </c>
      <c r="F422" s="42">
        <v>46.17</v>
      </c>
      <c r="G422" s="42">
        <v>53.81</v>
      </c>
      <c r="H422" s="42">
        <v>47.2</v>
      </c>
      <c r="I422" s="42">
        <v>54.5</v>
      </c>
      <c r="J422" s="42">
        <v>51.67</v>
      </c>
      <c r="K422" s="42">
        <v>49.39</v>
      </c>
      <c r="L422" s="42">
        <v>51.94</v>
      </c>
      <c r="M422" s="42">
        <f t="shared" si="27"/>
        <v>3.2199999999999989</v>
      </c>
    </row>
    <row r="423" spans="2:13" x14ac:dyDescent="0.25">
      <c r="B423" s="42">
        <f t="shared" si="24"/>
        <v>8</v>
      </c>
      <c r="C423" s="42">
        <f t="shared" si="25"/>
        <v>8</v>
      </c>
      <c r="D423" s="42">
        <f t="shared" si="26"/>
        <v>2017</v>
      </c>
      <c r="E423" s="43">
        <v>42955</v>
      </c>
      <c r="F423" s="42">
        <v>46.54</v>
      </c>
      <c r="G423" s="42">
        <v>53.67</v>
      </c>
      <c r="H423" s="42">
        <v>47.2</v>
      </c>
      <c r="I423" s="42">
        <v>54.35</v>
      </c>
      <c r="J423" s="42">
        <v>52.51</v>
      </c>
      <c r="K423" s="42">
        <v>49.17</v>
      </c>
      <c r="L423" s="42">
        <v>51.87</v>
      </c>
      <c r="M423" s="42">
        <f t="shared" si="27"/>
        <v>2.6300000000000026</v>
      </c>
    </row>
    <row r="424" spans="2:13" x14ac:dyDescent="0.25">
      <c r="B424" s="42">
        <f t="shared" si="24"/>
        <v>9</v>
      </c>
      <c r="C424" s="42">
        <f t="shared" si="25"/>
        <v>8</v>
      </c>
      <c r="D424" s="42">
        <f t="shared" si="26"/>
        <v>2017</v>
      </c>
      <c r="E424" s="43">
        <v>42956</v>
      </c>
      <c r="F424" s="42">
        <v>46.54</v>
      </c>
      <c r="G424" s="42">
        <v>54.25</v>
      </c>
      <c r="H424" s="42">
        <v>47.56</v>
      </c>
      <c r="I424" s="42">
        <v>54.95</v>
      </c>
      <c r="J424" s="42">
        <v>52.3</v>
      </c>
      <c r="K424" s="42">
        <v>49.56</v>
      </c>
      <c r="L424" s="42">
        <v>52.31</v>
      </c>
      <c r="M424" s="42">
        <f t="shared" si="27"/>
        <v>3.0200000000000031</v>
      </c>
    </row>
    <row r="425" spans="2:13" x14ac:dyDescent="0.25">
      <c r="B425" s="42">
        <f t="shared" si="24"/>
        <v>10</v>
      </c>
      <c r="C425" s="42">
        <f t="shared" si="25"/>
        <v>8</v>
      </c>
      <c r="D425" s="42">
        <f t="shared" si="26"/>
        <v>2017</v>
      </c>
      <c r="E425" s="43">
        <v>42957</v>
      </c>
      <c r="F425" s="42">
        <v>46.4</v>
      </c>
      <c r="G425" s="42">
        <v>53.37</v>
      </c>
      <c r="H425" s="42">
        <v>46.74</v>
      </c>
      <c r="I425" s="42">
        <v>54.09</v>
      </c>
      <c r="J425" s="42">
        <v>52.6</v>
      </c>
      <c r="K425" s="42">
        <v>48.59</v>
      </c>
      <c r="L425" s="42">
        <v>51.49</v>
      </c>
      <c r="M425" s="42">
        <f t="shared" si="27"/>
        <v>2.1900000000000048</v>
      </c>
    </row>
    <row r="426" spans="2:13" x14ac:dyDescent="0.25">
      <c r="B426" s="42">
        <f t="shared" si="24"/>
        <v>11</v>
      </c>
      <c r="C426" s="42">
        <f t="shared" si="25"/>
        <v>8</v>
      </c>
      <c r="D426" s="42">
        <f t="shared" si="26"/>
        <v>2017</v>
      </c>
      <c r="E426" s="43">
        <v>42958</v>
      </c>
      <c r="F426" s="42">
        <v>45.74</v>
      </c>
      <c r="G426" s="42">
        <v>53.5</v>
      </c>
      <c r="H426" s="42">
        <v>46.81</v>
      </c>
      <c r="I426" s="42">
        <v>54.23</v>
      </c>
      <c r="J426" s="42">
        <v>51.98</v>
      </c>
      <c r="K426" s="42">
        <v>48.82</v>
      </c>
      <c r="L426" s="42">
        <v>51.57</v>
      </c>
      <c r="M426" s="42">
        <f t="shared" si="27"/>
        <v>3.0799999999999983</v>
      </c>
    </row>
    <row r="427" spans="2:13" x14ac:dyDescent="0.25">
      <c r="B427" s="42">
        <f t="shared" si="24"/>
        <v>14</v>
      </c>
      <c r="C427" s="42">
        <f t="shared" si="25"/>
        <v>8</v>
      </c>
      <c r="D427" s="42">
        <f t="shared" si="26"/>
        <v>2017</v>
      </c>
      <c r="E427" s="43">
        <v>42961</v>
      </c>
      <c r="F427" s="42">
        <v>45.27</v>
      </c>
      <c r="G427" s="42">
        <v>52.23</v>
      </c>
      <c r="H427" s="42">
        <v>45.54</v>
      </c>
      <c r="I427" s="42">
        <v>52.96</v>
      </c>
      <c r="J427" s="42">
        <v>51.94</v>
      </c>
      <c r="K427" s="42">
        <v>47.59</v>
      </c>
      <c r="L427" s="42">
        <v>50.34</v>
      </c>
      <c r="M427" s="42">
        <f t="shared" si="27"/>
        <v>2.3200000000000003</v>
      </c>
    </row>
    <row r="428" spans="2:13" x14ac:dyDescent="0.25">
      <c r="B428" s="42">
        <f t="shared" si="24"/>
        <v>15</v>
      </c>
      <c r="C428" s="42">
        <f t="shared" si="25"/>
        <v>8</v>
      </c>
      <c r="D428" s="42">
        <f t="shared" si="26"/>
        <v>2017</v>
      </c>
      <c r="E428" s="43">
        <v>42962</v>
      </c>
      <c r="F428" s="42">
        <v>44.54</v>
      </c>
      <c r="G428" s="42">
        <v>52.22</v>
      </c>
      <c r="H428" s="42">
        <v>45.54</v>
      </c>
      <c r="I428" s="42">
        <v>52.94</v>
      </c>
      <c r="J428" s="42">
        <v>50.56</v>
      </c>
      <c r="K428" s="42">
        <v>47.55</v>
      </c>
      <c r="L428" s="42">
        <v>50.2</v>
      </c>
      <c r="M428" s="42">
        <f t="shared" si="27"/>
        <v>3.009999999999998</v>
      </c>
    </row>
    <row r="429" spans="2:13" x14ac:dyDescent="0.25">
      <c r="B429" s="42">
        <f t="shared" si="24"/>
        <v>16</v>
      </c>
      <c r="C429" s="42">
        <f t="shared" si="25"/>
        <v>8</v>
      </c>
      <c r="D429" s="42">
        <f t="shared" si="26"/>
        <v>2017</v>
      </c>
      <c r="E429" s="43">
        <v>42963</v>
      </c>
      <c r="F429" s="42">
        <v>44.41</v>
      </c>
      <c r="G429" s="42">
        <v>51.65</v>
      </c>
      <c r="H429" s="42">
        <v>44.78</v>
      </c>
      <c r="I429" s="42">
        <v>52.4</v>
      </c>
      <c r="J429" s="42">
        <v>50.94</v>
      </c>
      <c r="K429" s="42">
        <v>46.78</v>
      </c>
      <c r="L429" s="42">
        <v>49.68</v>
      </c>
      <c r="M429" s="42">
        <f t="shared" si="27"/>
        <v>2.3700000000000045</v>
      </c>
    </row>
    <row r="430" spans="2:13" x14ac:dyDescent="0.25">
      <c r="B430" s="42">
        <f t="shared" si="24"/>
        <v>17</v>
      </c>
      <c r="C430" s="42">
        <f t="shared" si="25"/>
        <v>8</v>
      </c>
      <c r="D430" s="42">
        <f t="shared" si="26"/>
        <v>2017</v>
      </c>
      <c r="E430" s="43">
        <v>42964</v>
      </c>
      <c r="F430" s="42">
        <v>44.25</v>
      </c>
      <c r="G430" s="42">
        <v>52.26</v>
      </c>
      <c r="H430" s="42">
        <v>45.4</v>
      </c>
      <c r="I430" s="42">
        <v>52.99</v>
      </c>
      <c r="J430" s="42">
        <v>50.77</v>
      </c>
      <c r="K430" s="42">
        <v>47.09</v>
      </c>
      <c r="L430" s="42">
        <v>50.24</v>
      </c>
      <c r="M430" s="42">
        <f t="shared" si="27"/>
        <v>2.8400000000000034</v>
      </c>
    </row>
    <row r="431" spans="2:13" x14ac:dyDescent="0.25">
      <c r="B431" s="42">
        <f t="shared" si="24"/>
        <v>18</v>
      </c>
      <c r="C431" s="42">
        <f t="shared" si="25"/>
        <v>8</v>
      </c>
      <c r="D431" s="42">
        <f t="shared" si="26"/>
        <v>2017</v>
      </c>
      <c r="E431" s="43">
        <v>42965</v>
      </c>
      <c r="F431" s="42">
        <v>45.3</v>
      </c>
      <c r="G431" s="42">
        <v>53.87</v>
      </c>
      <c r="H431" s="42">
        <v>46.92</v>
      </c>
      <c r="I431" s="42">
        <v>54.68</v>
      </c>
      <c r="J431" s="42">
        <v>51.39</v>
      </c>
      <c r="K431" s="42">
        <v>48.51</v>
      </c>
      <c r="L431" s="42">
        <v>51.86</v>
      </c>
      <c r="M431" s="42">
        <f t="shared" si="27"/>
        <v>3.2100000000000009</v>
      </c>
    </row>
    <row r="432" spans="2:13" x14ac:dyDescent="0.25">
      <c r="B432" s="42">
        <f t="shared" si="24"/>
        <v>21</v>
      </c>
      <c r="C432" s="42">
        <f t="shared" si="25"/>
        <v>8</v>
      </c>
      <c r="D432" s="42">
        <f t="shared" si="26"/>
        <v>2017</v>
      </c>
      <c r="E432" s="43">
        <v>42968</v>
      </c>
      <c r="F432" s="42">
        <v>45.4</v>
      </c>
      <c r="G432" s="42">
        <v>52.58</v>
      </c>
      <c r="H432" s="42">
        <v>45.74</v>
      </c>
      <c r="I432" s="42">
        <v>53.38</v>
      </c>
      <c r="J432" s="42">
        <v>51.85</v>
      </c>
      <c r="K432" s="42">
        <v>47.37</v>
      </c>
      <c r="L432" s="42">
        <v>50.57</v>
      </c>
      <c r="M432" s="42">
        <f t="shared" si="27"/>
        <v>1.9699999999999989</v>
      </c>
    </row>
    <row r="433" spans="2:13" x14ac:dyDescent="0.25">
      <c r="B433" s="42">
        <f t="shared" si="24"/>
        <v>22</v>
      </c>
      <c r="C433" s="42">
        <f t="shared" si="25"/>
        <v>8</v>
      </c>
      <c r="D433" s="42">
        <f t="shared" si="26"/>
        <v>2017</v>
      </c>
      <c r="E433" s="43">
        <v>42969</v>
      </c>
      <c r="F433" s="42">
        <v>45.36</v>
      </c>
      <c r="G433" s="42">
        <v>52.76</v>
      </c>
      <c r="H433" s="42">
        <v>46.03</v>
      </c>
      <c r="I433" s="42">
        <v>53.57</v>
      </c>
      <c r="J433" s="42">
        <v>52.19</v>
      </c>
      <c r="K433" s="42">
        <v>47.64</v>
      </c>
      <c r="L433" s="42">
        <v>50.79</v>
      </c>
      <c r="M433" s="42">
        <f t="shared" si="27"/>
        <v>2.2800000000000011</v>
      </c>
    </row>
    <row r="434" spans="2:13" x14ac:dyDescent="0.25">
      <c r="B434" s="42">
        <f t="shared" si="24"/>
        <v>23</v>
      </c>
      <c r="C434" s="42">
        <f t="shared" si="25"/>
        <v>8</v>
      </c>
      <c r="D434" s="42">
        <f t="shared" si="26"/>
        <v>2017</v>
      </c>
      <c r="E434" s="43">
        <v>42970</v>
      </c>
      <c r="F434" s="42">
        <v>45.64</v>
      </c>
      <c r="G434" s="42">
        <v>53.31</v>
      </c>
      <c r="H434" s="42">
        <v>46.39</v>
      </c>
      <c r="I434" s="42">
        <v>54.11</v>
      </c>
      <c r="J434" s="42">
        <v>52.48</v>
      </c>
      <c r="K434" s="42">
        <v>48.19</v>
      </c>
      <c r="L434" s="42">
        <v>51.44</v>
      </c>
      <c r="M434" s="42">
        <f t="shared" si="27"/>
        <v>2.5499999999999972</v>
      </c>
    </row>
    <row r="435" spans="2:13" x14ac:dyDescent="0.25">
      <c r="B435" s="42">
        <f t="shared" si="24"/>
        <v>24</v>
      </c>
      <c r="C435" s="42">
        <f t="shared" si="25"/>
        <v>8</v>
      </c>
      <c r="D435" s="42">
        <f t="shared" si="26"/>
        <v>2017</v>
      </c>
      <c r="E435" s="43">
        <v>42971</v>
      </c>
      <c r="F435" s="42">
        <v>45.5</v>
      </c>
      <c r="G435" s="42">
        <v>52.46</v>
      </c>
      <c r="H435" s="42">
        <v>45.89</v>
      </c>
      <c r="I435" s="42">
        <v>53.34</v>
      </c>
      <c r="J435" s="42">
        <v>52.35</v>
      </c>
      <c r="K435" s="42">
        <v>47.28</v>
      </c>
      <c r="L435" s="42">
        <v>50.68</v>
      </c>
      <c r="M435" s="42">
        <f t="shared" si="27"/>
        <v>1.7800000000000011</v>
      </c>
    </row>
    <row r="436" spans="2:13" x14ac:dyDescent="0.25">
      <c r="B436" s="42">
        <f t="shared" si="24"/>
        <v>25</v>
      </c>
      <c r="C436" s="42">
        <f t="shared" si="25"/>
        <v>8</v>
      </c>
      <c r="D436" s="42">
        <f t="shared" si="26"/>
        <v>2017</v>
      </c>
      <c r="E436" s="43">
        <v>42972</v>
      </c>
      <c r="F436" s="42">
        <v>45.75</v>
      </c>
      <c r="G436" s="42">
        <v>52.8</v>
      </c>
      <c r="H436" s="42">
        <v>46.09</v>
      </c>
      <c r="I436" s="42">
        <v>53.66</v>
      </c>
      <c r="J436" s="42">
        <v>52.37</v>
      </c>
      <c r="K436" s="42">
        <v>47.63</v>
      </c>
      <c r="L436" s="42">
        <v>51.23</v>
      </c>
      <c r="M436" s="42">
        <f t="shared" si="27"/>
        <v>1.8800000000000026</v>
      </c>
    </row>
    <row r="437" spans="2:13" x14ac:dyDescent="0.25">
      <c r="B437" s="42">
        <f t="shared" si="24"/>
        <v>28</v>
      </c>
      <c r="C437" s="42">
        <f t="shared" si="25"/>
        <v>8</v>
      </c>
      <c r="D437" s="42">
        <f t="shared" si="26"/>
        <v>2017</v>
      </c>
      <c r="E437" s="43">
        <v>42975</v>
      </c>
      <c r="F437" s="42">
        <v>45.75</v>
      </c>
      <c r="G437" s="42">
        <v>51.46</v>
      </c>
      <c r="H437" s="42">
        <v>45.11</v>
      </c>
      <c r="I437" s="42">
        <v>52.46</v>
      </c>
      <c r="J437" s="42">
        <v>52.37</v>
      </c>
      <c r="K437" s="42">
        <v>46.57</v>
      </c>
      <c r="L437" s="42">
        <v>49.87</v>
      </c>
      <c r="M437" s="42">
        <f t="shared" si="27"/>
        <v>0.82000000000000028</v>
      </c>
    </row>
    <row r="438" spans="2:13" x14ac:dyDescent="0.25">
      <c r="B438" s="42">
        <f t="shared" si="24"/>
        <v>29</v>
      </c>
      <c r="C438" s="42">
        <f t="shared" si="25"/>
        <v>8</v>
      </c>
      <c r="D438" s="42">
        <f t="shared" si="26"/>
        <v>2017</v>
      </c>
      <c r="E438" s="43">
        <v>42976</v>
      </c>
      <c r="F438" s="42">
        <v>45.05</v>
      </c>
      <c r="G438" s="42">
        <v>51.63</v>
      </c>
      <c r="H438" s="42">
        <v>45.12</v>
      </c>
      <c r="I438" s="42">
        <v>52.61</v>
      </c>
      <c r="J438" s="42">
        <v>51.87</v>
      </c>
      <c r="K438" s="42">
        <v>46.44</v>
      </c>
      <c r="L438" s="42">
        <v>50.44</v>
      </c>
      <c r="M438" s="42">
        <f t="shared" si="27"/>
        <v>1.3900000000000006</v>
      </c>
    </row>
    <row r="439" spans="2:13" x14ac:dyDescent="0.25">
      <c r="B439" s="42">
        <f t="shared" si="24"/>
        <v>30</v>
      </c>
      <c r="C439" s="42">
        <f t="shared" si="25"/>
        <v>8</v>
      </c>
      <c r="D439" s="42">
        <f t="shared" si="26"/>
        <v>2017</v>
      </c>
      <c r="E439" s="43">
        <v>42977</v>
      </c>
      <c r="F439" s="42">
        <v>44.86</v>
      </c>
      <c r="G439" s="42">
        <v>51.31</v>
      </c>
      <c r="H439" s="42">
        <v>45.04</v>
      </c>
      <c r="I439" s="42">
        <v>52.18</v>
      </c>
      <c r="J439" s="42">
        <v>51.85</v>
      </c>
      <c r="K439" s="42">
        <v>45.96</v>
      </c>
      <c r="L439" s="42">
        <v>50.01</v>
      </c>
      <c r="M439" s="42">
        <f t="shared" si="27"/>
        <v>1.1000000000000014</v>
      </c>
    </row>
    <row r="440" spans="2:13" x14ac:dyDescent="0.25">
      <c r="B440" s="42">
        <f t="shared" si="24"/>
        <v>31</v>
      </c>
      <c r="C440" s="42">
        <f t="shared" si="25"/>
        <v>8</v>
      </c>
      <c r="D440" s="42">
        <f t="shared" si="26"/>
        <v>2017</v>
      </c>
      <c r="E440" s="43">
        <v>42978</v>
      </c>
      <c r="F440" s="42">
        <v>45.62</v>
      </c>
      <c r="G440" s="42">
        <v>52.49</v>
      </c>
      <c r="H440" s="42">
        <v>46.24</v>
      </c>
      <c r="I440" s="42">
        <v>53.5</v>
      </c>
      <c r="J440" s="42">
        <v>52.52</v>
      </c>
      <c r="K440" s="42">
        <v>47.23</v>
      </c>
      <c r="L440" s="42">
        <v>51.23</v>
      </c>
      <c r="M440" s="42">
        <f t="shared" si="27"/>
        <v>1.6099999999999994</v>
      </c>
    </row>
    <row r="441" spans="2:13" x14ac:dyDescent="0.25">
      <c r="B441" s="42">
        <f t="shared" si="24"/>
        <v>1</v>
      </c>
      <c r="C441" s="42">
        <f t="shared" si="25"/>
        <v>9</v>
      </c>
      <c r="D441" s="42">
        <f t="shared" si="26"/>
        <v>2017</v>
      </c>
      <c r="E441" s="43">
        <v>42979</v>
      </c>
      <c r="F441" s="42">
        <v>45.62</v>
      </c>
      <c r="G441" s="42">
        <v>52.03</v>
      </c>
      <c r="H441" s="42">
        <v>46.34</v>
      </c>
      <c r="I441" s="42">
        <v>53.31</v>
      </c>
      <c r="J441" s="42">
        <v>52.75</v>
      </c>
      <c r="K441" s="42">
        <v>47.29</v>
      </c>
      <c r="L441" s="42">
        <v>51.49</v>
      </c>
      <c r="M441" s="42">
        <f t="shared" si="27"/>
        <v>1.6700000000000017</v>
      </c>
    </row>
    <row r="442" spans="2:13" x14ac:dyDescent="0.25">
      <c r="B442" s="42">
        <f t="shared" si="24"/>
        <v>4</v>
      </c>
      <c r="C442" s="42">
        <f t="shared" si="25"/>
        <v>9</v>
      </c>
      <c r="D442" s="42">
        <f t="shared" si="26"/>
        <v>2017</v>
      </c>
      <c r="E442" s="43">
        <v>42982</v>
      </c>
      <c r="F442" s="42">
        <v>45.62</v>
      </c>
      <c r="G442" s="42">
        <v>52.03</v>
      </c>
      <c r="H442" s="42">
        <v>46.34</v>
      </c>
      <c r="I442" s="42">
        <v>53.31</v>
      </c>
      <c r="J442" s="42">
        <v>52.59</v>
      </c>
      <c r="K442" s="42">
        <v>47.29</v>
      </c>
      <c r="L442" s="42">
        <v>51.49</v>
      </c>
      <c r="M442" s="42">
        <f t="shared" si="27"/>
        <v>1.6700000000000017</v>
      </c>
    </row>
    <row r="443" spans="2:13" x14ac:dyDescent="0.25">
      <c r="B443" s="42">
        <f t="shared" si="24"/>
        <v>5</v>
      </c>
      <c r="C443" s="42">
        <f t="shared" si="25"/>
        <v>9</v>
      </c>
      <c r="D443" s="42">
        <f t="shared" si="26"/>
        <v>2017</v>
      </c>
      <c r="E443" s="43">
        <v>42983</v>
      </c>
      <c r="F443" s="42">
        <v>46.63</v>
      </c>
      <c r="G443" s="42">
        <v>53.43</v>
      </c>
      <c r="H443" s="42">
        <v>47.58</v>
      </c>
      <c r="I443" s="42">
        <v>54.54</v>
      </c>
      <c r="J443" s="42">
        <v>53.54</v>
      </c>
      <c r="K443" s="42">
        <v>48.66</v>
      </c>
      <c r="L443" s="42">
        <v>52.36</v>
      </c>
      <c r="M443" s="42">
        <f t="shared" si="27"/>
        <v>2.029999999999994</v>
      </c>
    </row>
    <row r="444" spans="2:13" x14ac:dyDescent="0.25">
      <c r="B444" s="42">
        <f t="shared" si="24"/>
        <v>6</v>
      </c>
      <c r="C444" s="42">
        <f t="shared" si="25"/>
        <v>9</v>
      </c>
      <c r="D444" s="42">
        <f t="shared" si="26"/>
        <v>2017</v>
      </c>
      <c r="E444" s="43">
        <v>42984</v>
      </c>
      <c r="F444" s="42">
        <v>47.43</v>
      </c>
      <c r="G444" s="42">
        <v>54.17</v>
      </c>
      <c r="H444" s="42">
        <v>48.28</v>
      </c>
      <c r="I444" s="42">
        <v>55.34</v>
      </c>
      <c r="J444" s="42">
        <v>54.37</v>
      </c>
      <c r="K444" s="42">
        <v>49.16</v>
      </c>
      <c r="L444" s="42">
        <v>53.31</v>
      </c>
      <c r="M444" s="42">
        <f t="shared" si="27"/>
        <v>1.7299999999999969</v>
      </c>
    </row>
    <row r="445" spans="2:13" x14ac:dyDescent="0.25">
      <c r="B445" s="42">
        <f t="shared" si="24"/>
        <v>7</v>
      </c>
      <c r="C445" s="42">
        <f t="shared" si="25"/>
        <v>9</v>
      </c>
      <c r="D445" s="42">
        <f t="shared" si="26"/>
        <v>2017</v>
      </c>
      <c r="E445" s="43">
        <v>42985</v>
      </c>
      <c r="F445" s="42">
        <v>47.32</v>
      </c>
      <c r="G445" s="42">
        <v>54.14</v>
      </c>
      <c r="H445" s="42">
        <v>48.32</v>
      </c>
      <c r="I445" s="42">
        <v>55.36</v>
      </c>
      <c r="J445" s="42">
        <v>54.12</v>
      </c>
      <c r="K445" s="42">
        <v>49.09</v>
      </c>
      <c r="L445" s="42">
        <v>53.34</v>
      </c>
      <c r="M445" s="42">
        <f t="shared" si="27"/>
        <v>1.7700000000000031</v>
      </c>
    </row>
    <row r="446" spans="2:13" x14ac:dyDescent="0.25">
      <c r="B446" s="42">
        <f t="shared" si="24"/>
        <v>8</v>
      </c>
      <c r="C446" s="42">
        <f t="shared" si="25"/>
        <v>9</v>
      </c>
      <c r="D446" s="42">
        <f t="shared" si="26"/>
        <v>2017</v>
      </c>
      <c r="E446" s="43">
        <v>42986</v>
      </c>
      <c r="F446" s="42">
        <v>46.83</v>
      </c>
      <c r="G446" s="42">
        <v>52.91</v>
      </c>
      <c r="H446" s="42">
        <v>47.21</v>
      </c>
      <c r="I446" s="42">
        <v>54.22</v>
      </c>
      <c r="J446" s="42">
        <v>54.23</v>
      </c>
      <c r="K446" s="42">
        <v>47.48</v>
      </c>
      <c r="L446" s="42">
        <v>52.48</v>
      </c>
      <c r="M446" s="42">
        <f t="shared" si="27"/>
        <v>0.64999999999999858</v>
      </c>
    </row>
    <row r="447" spans="2:13" x14ac:dyDescent="0.25">
      <c r="B447" s="42">
        <f t="shared" si="24"/>
        <v>11</v>
      </c>
      <c r="C447" s="42">
        <f t="shared" si="25"/>
        <v>9</v>
      </c>
      <c r="D447" s="42">
        <f t="shared" si="26"/>
        <v>2017</v>
      </c>
      <c r="E447" s="43">
        <v>42989</v>
      </c>
      <c r="F447" s="42">
        <v>46.72</v>
      </c>
      <c r="G447" s="42">
        <v>53.47</v>
      </c>
      <c r="H447" s="42">
        <v>47.58</v>
      </c>
      <c r="I447" s="42">
        <v>54.71</v>
      </c>
      <c r="J447" s="42">
        <v>53.56</v>
      </c>
      <c r="K447" s="42">
        <v>48.07</v>
      </c>
      <c r="L447" s="42">
        <v>52.92</v>
      </c>
      <c r="M447" s="42">
        <f t="shared" si="27"/>
        <v>1.3500000000000014</v>
      </c>
    </row>
    <row r="448" spans="2:13" x14ac:dyDescent="0.25">
      <c r="B448" s="42">
        <f t="shared" si="24"/>
        <v>12</v>
      </c>
      <c r="C448" s="42">
        <f t="shared" si="25"/>
        <v>9</v>
      </c>
      <c r="D448" s="42">
        <f t="shared" si="26"/>
        <v>2017</v>
      </c>
      <c r="E448" s="43">
        <v>42990</v>
      </c>
      <c r="F448" s="42">
        <v>47.31</v>
      </c>
      <c r="G448" s="42">
        <v>53.65</v>
      </c>
      <c r="H448" s="42">
        <v>47.76</v>
      </c>
      <c r="I448" s="42">
        <v>54.93</v>
      </c>
      <c r="J448" s="42">
        <v>54.49</v>
      </c>
      <c r="K448" s="42">
        <v>48.23</v>
      </c>
      <c r="L448" s="42">
        <v>53.03</v>
      </c>
      <c r="M448" s="42">
        <f t="shared" si="27"/>
        <v>0.9199999999999946</v>
      </c>
    </row>
    <row r="449" spans="2:13" x14ac:dyDescent="0.25">
      <c r="B449" s="42">
        <f t="shared" si="24"/>
        <v>13</v>
      </c>
      <c r="C449" s="42">
        <f t="shared" si="25"/>
        <v>9</v>
      </c>
      <c r="D449" s="42">
        <f t="shared" si="26"/>
        <v>2017</v>
      </c>
      <c r="E449" s="43">
        <v>42991</v>
      </c>
      <c r="F449" s="42">
        <v>48.31</v>
      </c>
      <c r="G449" s="42">
        <v>54.64</v>
      </c>
      <c r="H449" s="42">
        <v>48.63</v>
      </c>
      <c r="I449" s="42">
        <v>55.9</v>
      </c>
      <c r="J449" s="42">
        <v>55.15</v>
      </c>
      <c r="K449" s="42">
        <v>49.3</v>
      </c>
      <c r="L449" s="42">
        <v>54.1</v>
      </c>
      <c r="M449" s="42">
        <f t="shared" si="27"/>
        <v>0.98999999999999488</v>
      </c>
    </row>
    <row r="450" spans="2:13" x14ac:dyDescent="0.25">
      <c r="B450" s="42">
        <f t="shared" si="24"/>
        <v>14</v>
      </c>
      <c r="C450" s="42">
        <f t="shared" si="25"/>
        <v>9</v>
      </c>
      <c r="D450" s="42">
        <f t="shared" si="26"/>
        <v>2017</v>
      </c>
      <c r="E450" s="43">
        <v>42992</v>
      </c>
      <c r="F450" s="42">
        <v>48.98</v>
      </c>
      <c r="G450" s="42">
        <v>55.17</v>
      </c>
      <c r="H450" s="42">
        <v>49.35</v>
      </c>
      <c r="I450" s="42">
        <v>56.36</v>
      </c>
      <c r="J450" s="42">
        <v>55.96</v>
      </c>
      <c r="K450" s="42">
        <v>49.89</v>
      </c>
      <c r="L450" s="42">
        <v>54.69</v>
      </c>
      <c r="M450" s="42">
        <f t="shared" si="27"/>
        <v>0.91000000000000369</v>
      </c>
    </row>
    <row r="451" spans="2:13" x14ac:dyDescent="0.25">
      <c r="B451" s="42">
        <f t="shared" si="24"/>
        <v>15</v>
      </c>
      <c r="C451" s="42">
        <f t="shared" si="25"/>
        <v>9</v>
      </c>
      <c r="D451" s="42">
        <f t="shared" si="26"/>
        <v>2017</v>
      </c>
      <c r="E451" s="43">
        <v>42993</v>
      </c>
      <c r="F451" s="42">
        <v>48.86</v>
      </c>
      <c r="G451" s="42">
        <v>55.11</v>
      </c>
      <c r="H451" s="42">
        <v>49.3</v>
      </c>
      <c r="I451" s="42">
        <v>56.36</v>
      </c>
      <c r="J451" s="42">
        <v>55.87</v>
      </c>
      <c r="K451" s="42">
        <v>49.89</v>
      </c>
      <c r="L451" s="42">
        <v>54.69</v>
      </c>
      <c r="M451" s="42">
        <f t="shared" si="27"/>
        <v>1.0300000000000011</v>
      </c>
    </row>
    <row r="452" spans="2:13" x14ac:dyDescent="0.25">
      <c r="B452" s="42">
        <f t="shared" si="24"/>
        <v>18</v>
      </c>
      <c r="C452" s="42">
        <f t="shared" si="25"/>
        <v>9</v>
      </c>
      <c r="D452" s="42">
        <f t="shared" si="26"/>
        <v>2017</v>
      </c>
      <c r="E452" s="43">
        <v>42996</v>
      </c>
      <c r="F452" s="42">
        <v>48.26</v>
      </c>
      <c r="G452" s="42">
        <v>55.38</v>
      </c>
      <c r="H452" s="42">
        <v>48.79</v>
      </c>
      <c r="I452" s="42">
        <v>56.54</v>
      </c>
      <c r="J452" s="42">
        <v>54.95</v>
      </c>
      <c r="K452" s="42">
        <v>49.91</v>
      </c>
      <c r="L452" s="42">
        <v>55.26</v>
      </c>
      <c r="M452" s="42">
        <f t="shared" si="27"/>
        <v>1.6499999999999986</v>
      </c>
    </row>
    <row r="453" spans="2:13" x14ac:dyDescent="0.25">
      <c r="B453" s="42">
        <f t="shared" si="24"/>
        <v>19</v>
      </c>
      <c r="C453" s="42">
        <f t="shared" si="25"/>
        <v>9</v>
      </c>
      <c r="D453" s="42">
        <f t="shared" si="26"/>
        <v>2017</v>
      </c>
      <c r="E453" s="43">
        <v>42997</v>
      </c>
      <c r="F453" s="42">
        <v>48.04</v>
      </c>
      <c r="G453" s="42">
        <v>54.87</v>
      </c>
      <c r="H453" s="42">
        <v>48.11</v>
      </c>
      <c r="I453" s="42">
        <v>56.06</v>
      </c>
      <c r="J453" s="42">
        <v>55.4</v>
      </c>
      <c r="K453" s="42">
        <v>49.48</v>
      </c>
      <c r="L453" s="42">
        <v>55.08</v>
      </c>
      <c r="M453" s="42">
        <f t="shared" si="27"/>
        <v>1.4399999999999977</v>
      </c>
    </row>
    <row r="454" spans="2:13" x14ac:dyDescent="0.25">
      <c r="B454" s="42">
        <f t="shared" si="24"/>
        <v>20</v>
      </c>
      <c r="C454" s="42">
        <f t="shared" si="25"/>
        <v>9</v>
      </c>
      <c r="D454" s="42">
        <f t="shared" si="26"/>
        <v>2017</v>
      </c>
      <c r="E454" s="43">
        <v>42998</v>
      </c>
      <c r="F454" s="42">
        <v>48.78</v>
      </c>
      <c r="G454" s="42">
        <v>55.79</v>
      </c>
      <c r="H454" s="42">
        <v>48.92</v>
      </c>
      <c r="I454" s="42">
        <v>56.98</v>
      </c>
      <c r="J454" s="42">
        <v>56.25</v>
      </c>
      <c r="K454" s="42">
        <v>50.41</v>
      </c>
      <c r="L454" s="42">
        <v>55.76</v>
      </c>
      <c r="M454" s="42">
        <f t="shared" si="27"/>
        <v>1.6299999999999955</v>
      </c>
    </row>
    <row r="455" spans="2:13" x14ac:dyDescent="0.25">
      <c r="B455" s="42">
        <f t="shared" ref="B455:B518" si="28">DAY(E455)</f>
        <v>21</v>
      </c>
      <c r="C455" s="42">
        <f t="shared" ref="C455:C518" si="29">MONTH(E455)</f>
        <v>9</v>
      </c>
      <c r="D455" s="42">
        <f t="shared" ref="D455:D518" si="30">YEAR(E455)</f>
        <v>2017</v>
      </c>
      <c r="E455" s="43">
        <v>42999</v>
      </c>
      <c r="F455" s="42">
        <v>48.65</v>
      </c>
      <c r="G455" s="42">
        <v>55.72</v>
      </c>
      <c r="H455" s="42">
        <v>48.77</v>
      </c>
      <c r="I455" s="42">
        <v>56.96</v>
      </c>
      <c r="J455" s="42">
        <v>56.32</v>
      </c>
      <c r="K455" s="42">
        <v>50.2</v>
      </c>
      <c r="L455" s="42">
        <v>55.8</v>
      </c>
      <c r="M455" s="42">
        <f t="shared" ref="M455:M518" si="31">K455-F455</f>
        <v>1.5500000000000043</v>
      </c>
    </row>
    <row r="456" spans="2:13" x14ac:dyDescent="0.25">
      <c r="B456" s="42">
        <f t="shared" si="28"/>
        <v>22</v>
      </c>
      <c r="C456" s="42">
        <f t="shared" si="29"/>
        <v>9</v>
      </c>
      <c r="D456" s="42">
        <f t="shared" si="30"/>
        <v>2017</v>
      </c>
      <c r="E456" s="43">
        <v>43000</v>
      </c>
      <c r="F456" s="42">
        <v>48.75</v>
      </c>
      <c r="G456" s="42">
        <v>56.12</v>
      </c>
      <c r="H456" s="42">
        <v>48.97</v>
      </c>
      <c r="I456" s="42">
        <v>57.41</v>
      </c>
      <c r="J456" s="42">
        <v>56.84</v>
      </c>
      <c r="K456" s="42">
        <v>50.31</v>
      </c>
      <c r="L456" s="42">
        <v>56.71</v>
      </c>
      <c r="M456" s="42">
        <f t="shared" si="31"/>
        <v>1.5600000000000023</v>
      </c>
    </row>
    <row r="457" spans="2:13" x14ac:dyDescent="0.25">
      <c r="B457" s="42">
        <f t="shared" si="28"/>
        <v>25</v>
      </c>
      <c r="C457" s="42">
        <f t="shared" si="29"/>
        <v>9</v>
      </c>
      <c r="D457" s="42">
        <f t="shared" si="30"/>
        <v>2017</v>
      </c>
      <c r="E457" s="43">
        <v>43003</v>
      </c>
      <c r="F457" s="42">
        <v>50.01</v>
      </c>
      <c r="G457" s="42">
        <v>58.06</v>
      </c>
      <c r="H457" s="42">
        <v>50.09</v>
      </c>
      <c r="I457" s="42">
        <v>59.38</v>
      </c>
      <c r="J457" s="42">
        <v>58.59</v>
      </c>
      <c r="K457" s="42">
        <v>51.92</v>
      </c>
      <c r="L457" s="42">
        <v>58.57</v>
      </c>
      <c r="M457" s="42">
        <f t="shared" si="31"/>
        <v>1.9100000000000037</v>
      </c>
    </row>
    <row r="458" spans="2:13" x14ac:dyDescent="0.25">
      <c r="B458" s="42">
        <f t="shared" si="28"/>
        <v>26</v>
      </c>
      <c r="C458" s="42">
        <f t="shared" si="29"/>
        <v>9</v>
      </c>
      <c r="D458" s="42">
        <f t="shared" si="30"/>
        <v>2017</v>
      </c>
      <c r="E458" s="43">
        <v>43004</v>
      </c>
      <c r="F458" s="42">
        <v>49.76</v>
      </c>
      <c r="G458" s="42">
        <v>57.52</v>
      </c>
      <c r="H458" s="42">
        <v>50.37</v>
      </c>
      <c r="I458" s="42">
        <v>58.77</v>
      </c>
      <c r="J458" s="42">
        <v>58.47</v>
      </c>
      <c r="K458" s="42">
        <v>51.88</v>
      </c>
      <c r="L458" s="42">
        <v>57.38</v>
      </c>
      <c r="M458" s="42">
        <f t="shared" si="31"/>
        <v>2.1200000000000045</v>
      </c>
    </row>
    <row r="459" spans="2:13" x14ac:dyDescent="0.25">
      <c r="B459" s="42">
        <f t="shared" si="28"/>
        <v>27</v>
      </c>
      <c r="C459" s="42">
        <f t="shared" si="29"/>
        <v>9</v>
      </c>
      <c r="D459" s="42">
        <f t="shared" si="30"/>
        <v>2017</v>
      </c>
      <c r="E459" s="43">
        <v>43005</v>
      </c>
      <c r="F459" s="42">
        <v>49.8</v>
      </c>
      <c r="G459" s="42">
        <v>57.58</v>
      </c>
      <c r="H459" s="42">
        <v>50.43</v>
      </c>
      <c r="I459" s="42">
        <v>58.78</v>
      </c>
      <c r="J459" s="42">
        <v>58.07</v>
      </c>
      <c r="K459" s="42">
        <v>52.14</v>
      </c>
      <c r="L459" s="42">
        <v>57.54</v>
      </c>
      <c r="M459" s="42">
        <f t="shared" si="31"/>
        <v>2.3400000000000034</v>
      </c>
    </row>
    <row r="460" spans="2:13" x14ac:dyDescent="0.25">
      <c r="B460" s="42">
        <f t="shared" si="28"/>
        <v>28</v>
      </c>
      <c r="C460" s="42">
        <f t="shared" si="29"/>
        <v>9</v>
      </c>
      <c r="D460" s="42">
        <f t="shared" si="30"/>
        <v>2017</v>
      </c>
      <c r="E460" s="43">
        <v>43006</v>
      </c>
      <c r="F460" s="42">
        <v>49.74</v>
      </c>
      <c r="G460" s="42">
        <v>57.16</v>
      </c>
      <c r="H460" s="42">
        <v>50.09</v>
      </c>
      <c r="I460" s="42">
        <v>58.39</v>
      </c>
      <c r="J460" s="42">
        <v>57.88</v>
      </c>
      <c r="K460" s="42">
        <v>51.56</v>
      </c>
      <c r="L460" s="42">
        <v>56.81</v>
      </c>
      <c r="M460" s="42">
        <f t="shared" si="31"/>
        <v>1.8200000000000003</v>
      </c>
    </row>
    <row r="461" spans="2:13" x14ac:dyDescent="0.25">
      <c r="B461" s="42">
        <f t="shared" si="28"/>
        <v>29</v>
      </c>
      <c r="C461" s="42">
        <f t="shared" si="29"/>
        <v>9</v>
      </c>
      <c r="D461" s="42">
        <f t="shared" si="30"/>
        <v>2017</v>
      </c>
      <c r="E461" s="43">
        <v>43007</v>
      </c>
      <c r="F461" s="42">
        <v>49.02</v>
      </c>
      <c r="G461" s="42">
        <v>56.76</v>
      </c>
      <c r="H461" s="42">
        <v>49.56</v>
      </c>
      <c r="I461" s="42">
        <v>57.93</v>
      </c>
      <c r="J461" s="42">
        <v>57.33</v>
      </c>
      <c r="K461" s="42">
        <v>51.67</v>
      </c>
      <c r="L461" s="42">
        <v>56.52</v>
      </c>
      <c r="M461" s="42">
        <f t="shared" si="31"/>
        <v>2.6499999999999986</v>
      </c>
    </row>
    <row r="462" spans="2:13" x14ac:dyDescent="0.25">
      <c r="B462" s="42">
        <f t="shared" si="28"/>
        <v>2</v>
      </c>
      <c r="C462" s="42">
        <f t="shared" si="29"/>
        <v>10</v>
      </c>
      <c r="D462" s="42">
        <f t="shared" si="30"/>
        <v>2017</v>
      </c>
      <c r="E462" s="43">
        <v>43010</v>
      </c>
      <c r="F462" s="42">
        <v>47.6</v>
      </c>
      <c r="G462" s="42">
        <v>54.42</v>
      </c>
      <c r="H462" s="42">
        <v>47.62</v>
      </c>
      <c r="I462" s="42">
        <v>57.1</v>
      </c>
      <c r="J462" s="42">
        <v>55.79</v>
      </c>
      <c r="K462" s="42">
        <v>50.58</v>
      </c>
      <c r="L462" s="42">
        <v>55.63</v>
      </c>
      <c r="M462" s="42">
        <f t="shared" si="31"/>
        <v>2.9799999999999969</v>
      </c>
    </row>
    <row r="463" spans="2:13" x14ac:dyDescent="0.25">
      <c r="B463" s="42">
        <f t="shared" si="28"/>
        <v>3</v>
      </c>
      <c r="C463" s="42">
        <f t="shared" si="29"/>
        <v>10</v>
      </c>
      <c r="D463" s="42">
        <f t="shared" si="30"/>
        <v>2017</v>
      </c>
      <c r="E463" s="43">
        <v>43011</v>
      </c>
      <c r="F463" s="42">
        <v>47.42</v>
      </c>
      <c r="G463" s="42">
        <v>54.31</v>
      </c>
      <c r="H463" s="42">
        <v>47.34</v>
      </c>
      <c r="I463" s="42">
        <v>57</v>
      </c>
      <c r="J463" s="42">
        <v>56.22</v>
      </c>
      <c r="K463" s="42">
        <v>50.42</v>
      </c>
      <c r="L463" s="42">
        <v>55.57</v>
      </c>
      <c r="M463" s="42">
        <f t="shared" si="31"/>
        <v>3</v>
      </c>
    </row>
    <row r="464" spans="2:13" x14ac:dyDescent="0.25">
      <c r="B464" s="42">
        <f t="shared" si="28"/>
        <v>4</v>
      </c>
      <c r="C464" s="42">
        <f t="shared" si="29"/>
        <v>10</v>
      </c>
      <c r="D464" s="42">
        <f t="shared" si="30"/>
        <v>2017</v>
      </c>
      <c r="E464" s="43">
        <v>43012</v>
      </c>
      <c r="F464" s="42">
        <v>47.34</v>
      </c>
      <c r="G464" s="42">
        <v>54.2</v>
      </c>
      <c r="H464" s="42">
        <v>47.47</v>
      </c>
      <c r="I464" s="42">
        <v>56.87</v>
      </c>
      <c r="J464" s="42">
        <v>56.14</v>
      </c>
      <c r="K464" s="42">
        <v>49.98</v>
      </c>
      <c r="L464" s="42">
        <v>55.18</v>
      </c>
      <c r="M464" s="42">
        <f t="shared" si="31"/>
        <v>2.6399999999999935</v>
      </c>
    </row>
    <row r="465" spans="2:13" x14ac:dyDescent="0.25">
      <c r="B465" s="42">
        <f t="shared" si="28"/>
        <v>5</v>
      </c>
      <c r="C465" s="42">
        <f t="shared" si="29"/>
        <v>10</v>
      </c>
      <c r="D465" s="42">
        <f t="shared" si="30"/>
        <v>2017</v>
      </c>
      <c r="E465" s="43">
        <v>43013</v>
      </c>
      <c r="F465" s="42">
        <v>48.23</v>
      </c>
      <c r="G465" s="42">
        <v>55.17</v>
      </c>
      <c r="H465" s="42">
        <v>48.52</v>
      </c>
      <c r="I465" s="42">
        <v>57.91</v>
      </c>
      <c r="J465" s="42">
        <v>57.15</v>
      </c>
      <c r="K465" s="42">
        <v>50.79</v>
      </c>
      <c r="L465" s="42">
        <v>56.09</v>
      </c>
      <c r="M465" s="42">
        <f t="shared" si="31"/>
        <v>2.5600000000000023</v>
      </c>
    </row>
    <row r="466" spans="2:13" x14ac:dyDescent="0.25">
      <c r="B466" s="42">
        <f t="shared" si="28"/>
        <v>6</v>
      </c>
      <c r="C466" s="42">
        <f t="shared" si="29"/>
        <v>10</v>
      </c>
      <c r="D466" s="42">
        <f t="shared" si="30"/>
        <v>2017</v>
      </c>
      <c r="E466" s="43">
        <v>43014</v>
      </c>
      <c r="F466" s="42">
        <v>47.03</v>
      </c>
      <c r="G466" s="42">
        <v>53.8</v>
      </c>
      <c r="H466" s="42">
        <v>47.16</v>
      </c>
      <c r="I466" s="42">
        <v>56.55</v>
      </c>
      <c r="J466" s="42">
        <v>55.26</v>
      </c>
      <c r="K466" s="42">
        <v>49.29</v>
      </c>
      <c r="L466" s="42">
        <v>54.94</v>
      </c>
      <c r="M466" s="42">
        <f t="shared" si="31"/>
        <v>2.259999999999998</v>
      </c>
    </row>
    <row r="467" spans="2:13" x14ac:dyDescent="0.25">
      <c r="B467" s="42">
        <f t="shared" si="28"/>
        <v>9</v>
      </c>
      <c r="C467" s="42">
        <f t="shared" si="29"/>
        <v>10</v>
      </c>
      <c r="D467" s="42">
        <f t="shared" si="30"/>
        <v>2017</v>
      </c>
      <c r="E467" s="43">
        <v>43017</v>
      </c>
      <c r="F467" s="42">
        <v>47</v>
      </c>
      <c r="G467" s="42">
        <v>54.04</v>
      </c>
      <c r="H467" s="42">
        <v>47.33</v>
      </c>
      <c r="I467" s="42">
        <v>56.73</v>
      </c>
      <c r="J467" s="42">
        <v>55.59</v>
      </c>
      <c r="K467" s="42">
        <v>49.58</v>
      </c>
      <c r="L467" s="42">
        <v>55.28</v>
      </c>
      <c r="M467" s="42">
        <f t="shared" si="31"/>
        <v>2.5799999999999983</v>
      </c>
    </row>
    <row r="468" spans="2:13" x14ac:dyDescent="0.25">
      <c r="B468" s="42">
        <f t="shared" si="28"/>
        <v>10</v>
      </c>
      <c r="C468" s="42">
        <f t="shared" si="29"/>
        <v>10</v>
      </c>
      <c r="D468" s="42">
        <f t="shared" si="30"/>
        <v>2017</v>
      </c>
      <c r="E468" s="43">
        <v>43018</v>
      </c>
      <c r="F468" s="42">
        <v>48.02</v>
      </c>
      <c r="G468" s="42">
        <v>55.23</v>
      </c>
      <c r="H468" s="42">
        <v>48.43</v>
      </c>
      <c r="I468" s="42">
        <v>57.85</v>
      </c>
      <c r="J468" s="42">
        <v>56.75</v>
      </c>
      <c r="K468" s="42">
        <v>50.92</v>
      </c>
      <c r="L468" s="42">
        <v>56.62</v>
      </c>
      <c r="M468" s="42">
        <f t="shared" si="31"/>
        <v>2.8999999999999986</v>
      </c>
    </row>
    <row r="469" spans="2:13" x14ac:dyDescent="0.25">
      <c r="B469" s="42">
        <f t="shared" si="28"/>
        <v>11</v>
      </c>
      <c r="C469" s="42">
        <f t="shared" si="29"/>
        <v>10</v>
      </c>
      <c r="D469" s="42">
        <f t="shared" si="30"/>
        <v>2017</v>
      </c>
      <c r="E469" s="43">
        <v>43019</v>
      </c>
      <c r="F469" s="42">
        <v>48.27</v>
      </c>
      <c r="G469" s="42">
        <v>55.69</v>
      </c>
      <c r="H469" s="42">
        <v>49.02</v>
      </c>
      <c r="I469" s="42">
        <v>58.28</v>
      </c>
      <c r="J469" s="42">
        <v>56.35</v>
      </c>
      <c r="K469" s="42">
        <v>51.3</v>
      </c>
      <c r="L469" s="42">
        <v>56.9</v>
      </c>
      <c r="M469" s="42">
        <f t="shared" si="31"/>
        <v>3.029999999999994</v>
      </c>
    </row>
    <row r="470" spans="2:13" x14ac:dyDescent="0.25">
      <c r="B470" s="42">
        <f t="shared" si="28"/>
        <v>12</v>
      </c>
      <c r="C470" s="42">
        <f t="shared" si="29"/>
        <v>10</v>
      </c>
      <c r="D470" s="42">
        <f t="shared" si="30"/>
        <v>2017</v>
      </c>
      <c r="E470" s="43">
        <v>43020</v>
      </c>
      <c r="F470" s="42">
        <v>47.99</v>
      </c>
      <c r="G470" s="42">
        <v>54.98</v>
      </c>
      <c r="H470" s="42">
        <v>48.37</v>
      </c>
      <c r="I470" s="42">
        <v>57.59</v>
      </c>
      <c r="J470" s="42">
        <v>56.15</v>
      </c>
      <c r="K470" s="42">
        <v>50.6</v>
      </c>
      <c r="L470" s="42">
        <v>56.15</v>
      </c>
      <c r="M470" s="42">
        <f t="shared" si="31"/>
        <v>2.6099999999999994</v>
      </c>
    </row>
    <row r="471" spans="2:13" x14ac:dyDescent="0.25">
      <c r="B471" s="42">
        <f t="shared" si="28"/>
        <v>13</v>
      </c>
      <c r="C471" s="42">
        <f t="shared" si="29"/>
        <v>10</v>
      </c>
      <c r="D471" s="42">
        <f t="shared" si="30"/>
        <v>2017</v>
      </c>
      <c r="E471" s="43">
        <v>43021</v>
      </c>
      <c r="F471" s="42">
        <v>48.6</v>
      </c>
      <c r="G471" s="42">
        <v>55.85</v>
      </c>
      <c r="H471" s="42">
        <v>49</v>
      </c>
      <c r="I471" s="42">
        <v>58.46</v>
      </c>
      <c r="J471" s="42">
        <v>57.18</v>
      </c>
      <c r="K471" s="42">
        <v>51.45</v>
      </c>
      <c r="L471" s="42">
        <v>57.3</v>
      </c>
      <c r="M471" s="42">
        <f t="shared" si="31"/>
        <v>2.8500000000000014</v>
      </c>
    </row>
    <row r="472" spans="2:13" x14ac:dyDescent="0.25">
      <c r="B472" s="42">
        <f t="shared" si="28"/>
        <v>16</v>
      </c>
      <c r="C472" s="42">
        <f t="shared" si="29"/>
        <v>10</v>
      </c>
      <c r="D472" s="42">
        <f t="shared" si="30"/>
        <v>2017</v>
      </c>
      <c r="E472" s="43">
        <v>43024</v>
      </c>
      <c r="F472" s="42">
        <v>49.33</v>
      </c>
      <c r="G472" s="42">
        <v>56.45</v>
      </c>
      <c r="H472" s="42">
        <v>49.66</v>
      </c>
      <c r="I472" s="42">
        <v>59.1</v>
      </c>
      <c r="J472" s="42">
        <v>57.88</v>
      </c>
      <c r="K472" s="42">
        <v>51.87</v>
      </c>
      <c r="L472" s="42">
        <v>57.67</v>
      </c>
      <c r="M472" s="42">
        <f t="shared" si="31"/>
        <v>2.5399999999999991</v>
      </c>
    </row>
    <row r="473" spans="2:13" x14ac:dyDescent="0.25">
      <c r="B473" s="42">
        <f t="shared" si="28"/>
        <v>17</v>
      </c>
      <c r="C473" s="42">
        <f t="shared" si="29"/>
        <v>10</v>
      </c>
      <c r="D473" s="42">
        <f t="shared" si="30"/>
        <v>2017</v>
      </c>
      <c r="E473" s="43">
        <v>43025</v>
      </c>
      <c r="F473" s="42">
        <v>49.25</v>
      </c>
      <c r="G473" s="42">
        <v>56.6</v>
      </c>
      <c r="H473" s="42">
        <v>49.83</v>
      </c>
      <c r="I473" s="42">
        <v>59.28</v>
      </c>
      <c r="J473" s="42">
        <v>57.61</v>
      </c>
      <c r="K473" s="42">
        <v>51.88</v>
      </c>
      <c r="L473" s="42">
        <v>57.83</v>
      </c>
      <c r="M473" s="42">
        <f t="shared" si="31"/>
        <v>2.6300000000000026</v>
      </c>
    </row>
    <row r="474" spans="2:13" x14ac:dyDescent="0.25">
      <c r="B474" s="42">
        <f t="shared" si="28"/>
        <v>18</v>
      </c>
      <c r="C474" s="42">
        <f t="shared" si="29"/>
        <v>10</v>
      </c>
      <c r="D474" s="42">
        <f t="shared" si="30"/>
        <v>2017</v>
      </c>
      <c r="E474" s="43">
        <v>43026</v>
      </c>
      <c r="F474" s="42">
        <v>49.25</v>
      </c>
      <c r="G474" s="42">
        <v>57.09</v>
      </c>
      <c r="H474" s="42">
        <v>50.24</v>
      </c>
      <c r="I474" s="42">
        <v>59.73</v>
      </c>
      <c r="J474" s="42">
        <v>57.79</v>
      </c>
      <c r="K474" s="42">
        <v>52.04</v>
      </c>
      <c r="L474" s="42">
        <v>58.34</v>
      </c>
      <c r="M474" s="42">
        <f t="shared" si="31"/>
        <v>2.7899999999999991</v>
      </c>
    </row>
    <row r="475" spans="2:13" x14ac:dyDescent="0.25">
      <c r="B475" s="42">
        <f t="shared" si="28"/>
        <v>19</v>
      </c>
      <c r="C475" s="42">
        <f t="shared" si="29"/>
        <v>10</v>
      </c>
      <c r="D475" s="42">
        <f t="shared" si="30"/>
        <v>2017</v>
      </c>
      <c r="E475" s="43">
        <v>43027</v>
      </c>
      <c r="F475" s="42">
        <v>48.98</v>
      </c>
      <c r="G475" s="42">
        <v>56.25</v>
      </c>
      <c r="H475" s="42">
        <v>49.51</v>
      </c>
      <c r="I475" s="42">
        <v>58.88</v>
      </c>
      <c r="J475" s="42">
        <v>57.63</v>
      </c>
      <c r="K475" s="42">
        <v>51.29</v>
      </c>
      <c r="L475" s="42">
        <v>57.64</v>
      </c>
      <c r="M475" s="42">
        <f t="shared" si="31"/>
        <v>2.3100000000000023</v>
      </c>
    </row>
    <row r="476" spans="2:13" x14ac:dyDescent="0.25">
      <c r="B476" s="42">
        <f t="shared" si="28"/>
        <v>20</v>
      </c>
      <c r="C476" s="42">
        <f t="shared" si="29"/>
        <v>10</v>
      </c>
      <c r="D476" s="42">
        <f t="shared" si="30"/>
        <v>2017</v>
      </c>
      <c r="E476" s="43">
        <v>43028</v>
      </c>
      <c r="F476" s="42">
        <v>49.11</v>
      </c>
      <c r="G476" s="42">
        <v>56.46</v>
      </c>
      <c r="H476" s="42">
        <v>49.63</v>
      </c>
      <c r="I476" s="42">
        <v>59.15</v>
      </c>
      <c r="J476" s="42">
        <v>57.73</v>
      </c>
      <c r="K476" s="42">
        <v>51.47</v>
      </c>
      <c r="L476" s="42">
        <v>57.87</v>
      </c>
      <c r="M476" s="42">
        <f t="shared" si="31"/>
        <v>2.3599999999999994</v>
      </c>
    </row>
    <row r="477" spans="2:13" x14ac:dyDescent="0.25">
      <c r="B477" s="42">
        <f t="shared" si="28"/>
        <v>23</v>
      </c>
      <c r="C477" s="42">
        <f t="shared" si="29"/>
        <v>10</v>
      </c>
      <c r="D477" s="42">
        <f t="shared" si="30"/>
        <v>2017</v>
      </c>
      <c r="E477" s="43">
        <v>43031</v>
      </c>
      <c r="F477" s="42">
        <v>49.31</v>
      </c>
      <c r="G477" s="42">
        <v>56.46</v>
      </c>
      <c r="H477" s="42">
        <v>49.47</v>
      </c>
      <c r="I477" s="42">
        <v>59.02</v>
      </c>
      <c r="J477" s="42">
        <v>57.6</v>
      </c>
      <c r="K477" s="42">
        <v>51.72</v>
      </c>
      <c r="L477" s="42">
        <v>58.17</v>
      </c>
      <c r="M477" s="42">
        <f t="shared" si="31"/>
        <v>2.4099999999999966</v>
      </c>
    </row>
    <row r="478" spans="2:13" x14ac:dyDescent="0.25">
      <c r="B478" s="42">
        <f t="shared" si="28"/>
        <v>24</v>
      </c>
      <c r="C478" s="42">
        <f t="shared" si="29"/>
        <v>10</v>
      </c>
      <c r="D478" s="42">
        <f t="shared" si="30"/>
        <v>2017</v>
      </c>
      <c r="E478" s="43">
        <v>43032</v>
      </c>
      <c r="F478" s="42">
        <v>49.36</v>
      </c>
      <c r="G478" s="42">
        <v>56.85</v>
      </c>
      <c r="H478" s="42">
        <v>49.9</v>
      </c>
      <c r="I478" s="42">
        <v>59.46</v>
      </c>
      <c r="J478" s="42">
        <v>57.82</v>
      </c>
      <c r="K478" s="42">
        <v>52.27</v>
      </c>
      <c r="L478" s="42">
        <v>58.82</v>
      </c>
      <c r="M478" s="42">
        <f t="shared" si="31"/>
        <v>2.9100000000000037</v>
      </c>
    </row>
    <row r="479" spans="2:13" x14ac:dyDescent="0.25">
      <c r="B479" s="42">
        <f t="shared" si="28"/>
        <v>25</v>
      </c>
      <c r="C479" s="42">
        <f t="shared" si="29"/>
        <v>10</v>
      </c>
      <c r="D479" s="42">
        <f t="shared" si="30"/>
        <v>2017</v>
      </c>
      <c r="E479" s="43">
        <v>43033</v>
      </c>
      <c r="F479" s="42">
        <v>49.64</v>
      </c>
      <c r="G479" s="42">
        <v>56.67</v>
      </c>
      <c r="H479" s="42">
        <v>49.96</v>
      </c>
      <c r="I479" s="42">
        <v>59.34</v>
      </c>
      <c r="J479" s="42">
        <v>58.28</v>
      </c>
      <c r="K479" s="42">
        <v>51.87</v>
      </c>
      <c r="L479" s="42">
        <v>58.32</v>
      </c>
      <c r="M479" s="42">
        <f t="shared" si="31"/>
        <v>2.2299999999999969</v>
      </c>
    </row>
    <row r="480" spans="2:13" x14ac:dyDescent="0.25">
      <c r="B480" s="42">
        <f t="shared" si="28"/>
        <v>26</v>
      </c>
      <c r="C480" s="42">
        <f t="shared" si="29"/>
        <v>10</v>
      </c>
      <c r="D480" s="42">
        <f t="shared" si="30"/>
        <v>2017</v>
      </c>
      <c r="E480" s="43">
        <v>43034</v>
      </c>
      <c r="F480" s="42">
        <v>50.15</v>
      </c>
      <c r="G480" s="42">
        <v>57.3</v>
      </c>
      <c r="H480" s="42">
        <v>50.81</v>
      </c>
      <c r="I480" s="42">
        <v>60.01</v>
      </c>
      <c r="J480" s="42">
        <v>58.7</v>
      </c>
      <c r="K480" s="42">
        <v>52.64</v>
      </c>
      <c r="L480" s="42">
        <v>58.59</v>
      </c>
      <c r="M480" s="42">
        <f t="shared" si="31"/>
        <v>2.490000000000002</v>
      </c>
    </row>
    <row r="481" spans="2:13" x14ac:dyDescent="0.25">
      <c r="B481" s="42">
        <f t="shared" si="28"/>
        <v>27</v>
      </c>
      <c r="C481" s="42">
        <f t="shared" si="29"/>
        <v>10</v>
      </c>
      <c r="D481" s="42">
        <f t="shared" si="30"/>
        <v>2017</v>
      </c>
      <c r="E481" s="43">
        <v>43035</v>
      </c>
      <c r="F481" s="42">
        <v>51.56</v>
      </c>
      <c r="G481" s="42">
        <v>58.76</v>
      </c>
      <c r="H481" s="42">
        <v>52.14</v>
      </c>
      <c r="I481" s="42">
        <v>61.41</v>
      </c>
      <c r="J481" s="42">
        <v>60.34</v>
      </c>
      <c r="K481" s="42">
        <v>53.9</v>
      </c>
      <c r="L481" s="42">
        <v>59.95</v>
      </c>
      <c r="M481" s="42">
        <f t="shared" si="31"/>
        <v>2.3399999999999963</v>
      </c>
    </row>
    <row r="482" spans="2:13" x14ac:dyDescent="0.25">
      <c r="B482" s="42">
        <f t="shared" si="28"/>
        <v>30</v>
      </c>
      <c r="C482" s="42">
        <f t="shared" si="29"/>
        <v>10</v>
      </c>
      <c r="D482" s="42">
        <f t="shared" si="30"/>
        <v>2017</v>
      </c>
      <c r="E482" s="43">
        <v>43038</v>
      </c>
      <c r="F482" s="42">
        <v>52.12</v>
      </c>
      <c r="G482" s="42">
        <v>59.1</v>
      </c>
      <c r="H482" s="42">
        <v>52.65</v>
      </c>
      <c r="I482" s="42">
        <v>61.76</v>
      </c>
      <c r="J482" s="42">
        <v>60.5</v>
      </c>
      <c r="K482" s="42">
        <v>54.15</v>
      </c>
      <c r="L482" s="42">
        <v>60.25</v>
      </c>
      <c r="M482" s="42">
        <f t="shared" si="31"/>
        <v>2.0300000000000011</v>
      </c>
    </row>
    <row r="483" spans="2:13" x14ac:dyDescent="0.25">
      <c r="B483" s="42">
        <f t="shared" si="28"/>
        <v>31</v>
      </c>
      <c r="C483" s="42">
        <f t="shared" si="29"/>
        <v>10</v>
      </c>
      <c r="D483" s="42">
        <f t="shared" si="30"/>
        <v>2017</v>
      </c>
      <c r="E483" s="43">
        <v>43039</v>
      </c>
      <c r="F483" s="42">
        <v>52.72</v>
      </c>
      <c r="G483" s="42">
        <v>59.36</v>
      </c>
      <c r="H483" s="42">
        <v>53.31</v>
      </c>
      <c r="I483" s="42">
        <v>62.01</v>
      </c>
      <c r="J483" s="42">
        <v>61.1</v>
      </c>
      <c r="K483" s="42">
        <v>54.38</v>
      </c>
      <c r="L483" s="42">
        <v>60.63</v>
      </c>
      <c r="M483" s="42">
        <f t="shared" si="31"/>
        <v>1.6600000000000037</v>
      </c>
    </row>
    <row r="484" spans="2:13" x14ac:dyDescent="0.25">
      <c r="B484" s="42">
        <f t="shared" si="28"/>
        <v>1</v>
      </c>
      <c r="C484" s="42">
        <f t="shared" si="29"/>
        <v>11</v>
      </c>
      <c r="D484" s="42">
        <f t="shared" si="30"/>
        <v>2017</v>
      </c>
      <c r="E484" s="43">
        <v>43040</v>
      </c>
      <c r="F484" s="42">
        <v>52.21</v>
      </c>
      <c r="G484" s="42">
        <v>59.19</v>
      </c>
      <c r="H484" s="42">
        <v>52.91</v>
      </c>
      <c r="I484" s="42">
        <v>61.82</v>
      </c>
      <c r="J484" s="42">
        <v>60.81</v>
      </c>
      <c r="K484" s="42">
        <v>54.3</v>
      </c>
      <c r="L484" s="42">
        <v>60.45</v>
      </c>
      <c r="M484" s="42">
        <f t="shared" si="31"/>
        <v>2.0899999999999963</v>
      </c>
    </row>
    <row r="485" spans="2:13" x14ac:dyDescent="0.25">
      <c r="B485" s="42">
        <f t="shared" si="28"/>
        <v>2</v>
      </c>
      <c r="C485" s="42">
        <f t="shared" si="29"/>
        <v>11</v>
      </c>
      <c r="D485" s="42">
        <f t="shared" si="30"/>
        <v>2017</v>
      </c>
      <c r="E485" s="43">
        <v>43041</v>
      </c>
      <c r="F485" s="42">
        <v>51.92</v>
      </c>
      <c r="G485" s="42">
        <v>59.26</v>
      </c>
      <c r="H485" s="42">
        <v>53.11</v>
      </c>
      <c r="I485" s="42">
        <v>61.9</v>
      </c>
      <c r="J485" s="42">
        <v>60.36</v>
      </c>
      <c r="K485" s="42">
        <v>54.54</v>
      </c>
      <c r="L485" s="42">
        <v>60.34</v>
      </c>
      <c r="M485" s="42">
        <f t="shared" si="31"/>
        <v>2.6199999999999974</v>
      </c>
    </row>
    <row r="486" spans="2:13" x14ac:dyDescent="0.25">
      <c r="B486" s="42">
        <f t="shared" si="28"/>
        <v>3</v>
      </c>
      <c r="C486" s="42">
        <f t="shared" si="29"/>
        <v>11</v>
      </c>
      <c r="D486" s="42">
        <f t="shared" si="30"/>
        <v>2017</v>
      </c>
      <c r="E486" s="43">
        <v>43042</v>
      </c>
      <c r="F486" s="42">
        <v>52.74</v>
      </c>
      <c r="G486" s="42">
        <v>60.44</v>
      </c>
      <c r="H486" s="42">
        <v>54.47</v>
      </c>
      <c r="I486" s="42">
        <v>63.14</v>
      </c>
      <c r="J486" s="42">
        <v>61.24</v>
      </c>
      <c r="K486" s="42">
        <v>55.64</v>
      </c>
      <c r="L486" s="42">
        <v>61.49</v>
      </c>
      <c r="M486" s="42">
        <f t="shared" si="31"/>
        <v>2.8999999999999986</v>
      </c>
    </row>
    <row r="487" spans="2:13" x14ac:dyDescent="0.25">
      <c r="B487" s="42">
        <f t="shared" si="28"/>
        <v>6</v>
      </c>
      <c r="C487" s="42">
        <f t="shared" si="29"/>
        <v>11</v>
      </c>
      <c r="D487" s="42">
        <f t="shared" si="30"/>
        <v>2017</v>
      </c>
      <c r="E487" s="43">
        <v>43045</v>
      </c>
      <c r="F487" s="42">
        <v>54.68</v>
      </c>
      <c r="G487" s="42">
        <v>62.33</v>
      </c>
      <c r="H487" s="42">
        <v>56.4</v>
      </c>
      <c r="I487" s="42">
        <v>65.06</v>
      </c>
      <c r="J487" s="42">
        <v>63.71</v>
      </c>
      <c r="K487" s="42">
        <v>57.35</v>
      </c>
      <c r="L487" s="42">
        <v>63.45</v>
      </c>
      <c r="M487" s="42">
        <f t="shared" si="31"/>
        <v>2.6700000000000017</v>
      </c>
    </row>
    <row r="488" spans="2:13" x14ac:dyDescent="0.25">
      <c r="B488" s="42">
        <f t="shared" si="28"/>
        <v>7</v>
      </c>
      <c r="C488" s="42">
        <f t="shared" si="29"/>
        <v>11</v>
      </c>
      <c r="D488" s="42">
        <f t="shared" si="30"/>
        <v>2017</v>
      </c>
      <c r="E488" s="43">
        <v>43046</v>
      </c>
      <c r="F488" s="42">
        <v>54.71</v>
      </c>
      <c r="G488" s="42">
        <v>62.05</v>
      </c>
      <c r="H488" s="42">
        <v>55.88</v>
      </c>
      <c r="I488" s="42">
        <v>64.760000000000005</v>
      </c>
      <c r="J488" s="42">
        <v>63.79</v>
      </c>
      <c r="K488" s="42">
        <v>57.2</v>
      </c>
      <c r="L488" s="42">
        <v>62.9</v>
      </c>
      <c r="M488" s="42">
        <f t="shared" si="31"/>
        <v>2.490000000000002</v>
      </c>
    </row>
    <row r="489" spans="2:13" x14ac:dyDescent="0.25">
      <c r="B489" s="42">
        <f t="shared" si="28"/>
        <v>8</v>
      </c>
      <c r="C489" s="42">
        <f t="shared" si="29"/>
        <v>11</v>
      </c>
      <c r="D489" s="42">
        <f t="shared" si="30"/>
        <v>2017</v>
      </c>
      <c r="E489" s="43">
        <v>43047</v>
      </c>
      <c r="F489" s="42">
        <v>54.53</v>
      </c>
      <c r="G489" s="42">
        <v>61.44</v>
      </c>
      <c r="H489" s="42">
        <v>55.63</v>
      </c>
      <c r="I489" s="42">
        <v>64.180000000000007</v>
      </c>
      <c r="J489" s="42">
        <v>63.69</v>
      </c>
      <c r="K489" s="42">
        <v>56.81</v>
      </c>
      <c r="L489" s="42">
        <v>62.41</v>
      </c>
      <c r="M489" s="42">
        <f t="shared" si="31"/>
        <v>2.2800000000000011</v>
      </c>
    </row>
    <row r="490" spans="2:13" x14ac:dyDescent="0.25">
      <c r="B490" s="42">
        <f t="shared" si="28"/>
        <v>9</v>
      </c>
      <c r="C490" s="42">
        <f t="shared" si="29"/>
        <v>11</v>
      </c>
      <c r="D490" s="42">
        <f t="shared" si="30"/>
        <v>2017</v>
      </c>
      <c r="E490" s="43">
        <v>43048</v>
      </c>
      <c r="F490" s="42">
        <v>54.82</v>
      </c>
      <c r="G490" s="42">
        <v>61.9</v>
      </c>
      <c r="H490" s="42">
        <v>55.97</v>
      </c>
      <c r="I490" s="42">
        <v>64.61</v>
      </c>
      <c r="J490" s="42">
        <v>64.19</v>
      </c>
      <c r="K490" s="42">
        <v>57.17</v>
      </c>
      <c r="L490" s="42">
        <v>62.77</v>
      </c>
      <c r="M490" s="42">
        <f t="shared" si="31"/>
        <v>2.3500000000000014</v>
      </c>
    </row>
    <row r="491" spans="2:13" x14ac:dyDescent="0.25">
      <c r="B491" s="42">
        <f t="shared" si="28"/>
        <v>10</v>
      </c>
      <c r="C491" s="42">
        <f t="shared" si="29"/>
        <v>11</v>
      </c>
      <c r="D491" s="42">
        <f t="shared" si="30"/>
        <v>2017</v>
      </c>
      <c r="E491" s="43">
        <v>43049</v>
      </c>
      <c r="F491" s="42">
        <v>54.66</v>
      </c>
      <c r="G491" s="42">
        <v>61.58</v>
      </c>
      <c r="H491" s="42">
        <v>55.35</v>
      </c>
      <c r="I491" s="42">
        <v>64.319999999999993</v>
      </c>
      <c r="J491" s="42">
        <v>64.180000000000007</v>
      </c>
      <c r="K491" s="42">
        <v>56.74</v>
      </c>
      <c r="L491" s="42">
        <v>62.59</v>
      </c>
      <c r="M491" s="42">
        <f t="shared" si="31"/>
        <v>2.0800000000000054</v>
      </c>
    </row>
    <row r="492" spans="2:13" x14ac:dyDescent="0.25">
      <c r="B492" s="42">
        <f t="shared" si="28"/>
        <v>13</v>
      </c>
      <c r="C492" s="42">
        <f t="shared" si="29"/>
        <v>11</v>
      </c>
      <c r="D492" s="42">
        <f t="shared" si="30"/>
        <v>2017</v>
      </c>
      <c r="E492" s="43">
        <v>43052</v>
      </c>
      <c r="F492" s="42">
        <v>54.03</v>
      </c>
      <c r="G492" s="42">
        <v>61.48</v>
      </c>
      <c r="H492" s="42">
        <v>55.21</v>
      </c>
      <c r="I492" s="42">
        <v>64.12</v>
      </c>
      <c r="J492" s="42">
        <v>63.47</v>
      </c>
      <c r="K492" s="42">
        <v>56.76</v>
      </c>
      <c r="L492" s="42">
        <v>62.56</v>
      </c>
      <c r="M492" s="42">
        <f t="shared" si="31"/>
        <v>2.7299999999999969</v>
      </c>
    </row>
    <row r="493" spans="2:13" x14ac:dyDescent="0.25">
      <c r="B493" s="42">
        <f t="shared" si="28"/>
        <v>14</v>
      </c>
      <c r="C493" s="42">
        <f t="shared" si="29"/>
        <v>11</v>
      </c>
      <c r="D493" s="42">
        <f t="shared" si="30"/>
        <v>2017</v>
      </c>
      <c r="E493" s="43">
        <v>43053</v>
      </c>
      <c r="F493" s="42">
        <v>52.74</v>
      </c>
      <c r="G493" s="42">
        <v>60.3</v>
      </c>
      <c r="H493" s="42">
        <v>54.12</v>
      </c>
      <c r="I493" s="42">
        <v>62.94</v>
      </c>
      <c r="J493" s="42">
        <v>61.57</v>
      </c>
      <c r="K493" s="42">
        <v>55.7</v>
      </c>
      <c r="L493" s="42">
        <v>61.4</v>
      </c>
      <c r="M493" s="42">
        <f t="shared" si="31"/>
        <v>2.9600000000000009</v>
      </c>
    </row>
    <row r="494" spans="2:13" x14ac:dyDescent="0.25">
      <c r="B494" s="42">
        <f t="shared" si="28"/>
        <v>15</v>
      </c>
      <c r="C494" s="42">
        <f t="shared" si="29"/>
        <v>11</v>
      </c>
      <c r="D494" s="42">
        <f t="shared" si="30"/>
        <v>2017</v>
      </c>
      <c r="E494" s="43">
        <v>43054</v>
      </c>
      <c r="F494" s="42">
        <v>52.62</v>
      </c>
      <c r="G494" s="42">
        <v>60.07</v>
      </c>
      <c r="H494" s="42">
        <v>53.85</v>
      </c>
      <c r="I494" s="42">
        <v>62.72</v>
      </c>
      <c r="J494" s="42">
        <v>62.03</v>
      </c>
      <c r="K494" s="42">
        <v>55.33</v>
      </c>
      <c r="L494" s="42">
        <v>61.18</v>
      </c>
      <c r="M494" s="42">
        <f t="shared" si="31"/>
        <v>2.7100000000000009</v>
      </c>
    </row>
    <row r="495" spans="2:13" x14ac:dyDescent="0.25">
      <c r="B495" s="42">
        <f t="shared" si="28"/>
        <v>16</v>
      </c>
      <c r="C495" s="42">
        <f t="shared" si="29"/>
        <v>11</v>
      </c>
      <c r="D495" s="42">
        <f t="shared" si="30"/>
        <v>2017</v>
      </c>
      <c r="E495" s="43">
        <v>43055</v>
      </c>
      <c r="F495" s="42">
        <v>52.51</v>
      </c>
      <c r="G495" s="42">
        <v>59.97</v>
      </c>
      <c r="H495" s="42">
        <v>53.49</v>
      </c>
      <c r="I495" s="42">
        <v>62.57</v>
      </c>
      <c r="J495" s="42">
        <v>61.81</v>
      </c>
      <c r="K495" s="42">
        <v>55.14</v>
      </c>
      <c r="L495" s="42">
        <v>61.24</v>
      </c>
      <c r="M495" s="42">
        <f t="shared" si="31"/>
        <v>2.6300000000000026</v>
      </c>
    </row>
    <row r="496" spans="2:13" x14ac:dyDescent="0.25">
      <c r="B496" s="42">
        <f t="shared" si="28"/>
        <v>17</v>
      </c>
      <c r="C496" s="42">
        <f t="shared" si="29"/>
        <v>11</v>
      </c>
      <c r="D496" s="42">
        <f t="shared" si="30"/>
        <v>2017</v>
      </c>
      <c r="E496" s="43">
        <v>43056</v>
      </c>
      <c r="F496" s="42">
        <v>53.19</v>
      </c>
      <c r="G496" s="42">
        <v>61.34</v>
      </c>
      <c r="H496" s="42">
        <v>54.61</v>
      </c>
      <c r="I496" s="42">
        <v>63.93</v>
      </c>
      <c r="J496" s="42">
        <v>62.41</v>
      </c>
      <c r="K496" s="42">
        <v>56.55</v>
      </c>
      <c r="L496" s="42">
        <v>62.55</v>
      </c>
      <c r="M496" s="42">
        <f t="shared" si="31"/>
        <v>3.3599999999999994</v>
      </c>
    </row>
    <row r="497" spans="2:13" x14ac:dyDescent="0.25">
      <c r="B497" s="42">
        <f t="shared" si="28"/>
        <v>20</v>
      </c>
      <c r="C497" s="42">
        <f t="shared" si="29"/>
        <v>11</v>
      </c>
      <c r="D497" s="42">
        <f t="shared" si="30"/>
        <v>2017</v>
      </c>
      <c r="E497" s="43">
        <v>43059</v>
      </c>
      <c r="F497" s="42">
        <v>52.87</v>
      </c>
      <c r="G497" s="42">
        <v>60.72</v>
      </c>
      <c r="H497" s="42">
        <v>54.23</v>
      </c>
      <c r="I497" s="42">
        <v>63.34</v>
      </c>
      <c r="J497" s="42">
        <v>61.95</v>
      </c>
      <c r="K497" s="42">
        <v>56.09</v>
      </c>
      <c r="L497" s="42">
        <v>62.14</v>
      </c>
      <c r="M497" s="42">
        <f t="shared" si="31"/>
        <v>3.220000000000006</v>
      </c>
    </row>
    <row r="498" spans="2:13" x14ac:dyDescent="0.25">
      <c r="B498" s="42">
        <f t="shared" si="28"/>
        <v>21</v>
      </c>
      <c r="C498" s="42">
        <f t="shared" si="29"/>
        <v>11</v>
      </c>
      <c r="D498" s="42">
        <f t="shared" si="30"/>
        <v>2017</v>
      </c>
      <c r="E498" s="43">
        <v>43060</v>
      </c>
      <c r="F498" s="42">
        <v>53.12</v>
      </c>
      <c r="G498" s="42">
        <v>61.47</v>
      </c>
      <c r="H498" s="42">
        <v>54.62</v>
      </c>
      <c r="I498" s="42">
        <v>64.02</v>
      </c>
      <c r="J498" s="42">
        <v>62.43</v>
      </c>
      <c r="K498" s="42">
        <v>56.72</v>
      </c>
      <c r="L498" s="42">
        <v>63.07</v>
      </c>
      <c r="M498" s="42">
        <f t="shared" si="31"/>
        <v>3.6000000000000014</v>
      </c>
    </row>
    <row r="499" spans="2:13" x14ac:dyDescent="0.25">
      <c r="B499" s="42">
        <f t="shared" si="28"/>
        <v>22</v>
      </c>
      <c r="C499" s="42">
        <f t="shared" si="29"/>
        <v>11</v>
      </c>
      <c r="D499" s="42">
        <f t="shared" si="30"/>
        <v>2017</v>
      </c>
      <c r="E499" s="43">
        <v>43061</v>
      </c>
      <c r="F499" s="42">
        <v>53.62</v>
      </c>
      <c r="G499" s="42">
        <v>62.48</v>
      </c>
      <c r="H499" s="42">
        <v>55.2</v>
      </c>
      <c r="I499" s="42">
        <v>65</v>
      </c>
      <c r="J499" s="42">
        <v>62.99</v>
      </c>
      <c r="K499" s="42">
        <v>57.95</v>
      </c>
      <c r="L499" s="42">
        <v>63.95</v>
      </c>
      <c r="M499" s="42">
        <f t="shared" si="31"/>
        <v>4.3300000000000054</v>
      </c>
    </row>
    <row r="500" spans="2:13" x14ac:dyDescent="0.25">
      <c r="B500" s="42">
        <f t="shared" si="28"/>
        <v>23</v>
      </c>
      <c r="C500" s="42">
        <f t="shared" si="29"/>
        <v>11</v>
      </c>
      <c r="D500" s="42">
        <f t="shared" si="30"/>
        <v>2017</v>
      </c>
      <c r="E500" s="43">
        <v>43062</v>
      </c>
      <c r="F500" s="42">
        <v>53.62</v>
      </c>
      <c r="G500" s="42">
        <v>62.48</v>
      </c>
      <c r="H500" s="42">
        <v>55.2</v>
      </c>
      <c r="I500" s="42">
        <v>65</v>
      </c>
      <c r="J500" s="42">
        <v>63.38</v>
      </c>
      <c r="K500" s="42">
        <v>57.95</v>
      </c>
      <c r="L500" s="42">
        <v>63.95</v>
      </c>
      <c r="M500" s="42">
        <f t="shared" si="31"/>
        <v>4.3300000000000054</v>
      </c>
    </row>
    <row r="501" spans="2:13" x14ac:dyDescent="0.25">
      <c r="B501" s="42">
        <f t="shared" si="28"/>
        <v>24</v>
      </c>
      <c r="C501" s="42">
        <f t="shared" si="29"/>
        <v>11</v>
      </c>
      <c r="D501" s="42">
        <f t="shared" si="30"/>
        <v>2017</v>
      </c>
      <c r="E501" s="43">
        <v>43063</v>
      </c>
      <c r="F501" s="42">
        <v>53.62</v>
      </c>
      <c r="G501" s="42">
        <v>63.1</v>
      </c>
      <c r="H501" s="42">
        <v>55.6</v>
      </c>
      <c r="I501" s="42">
        <v>65.58</v>
      </c>
      <c r="J501" s="42">
        <v>63.6</v>
      </c>
      <c r="K501" s="42">
        <v>57.95</v>
      </c>
      <c r="L501" s="42">
        <v>63.95</v>
      </c>
      <c r="M501" s="42">
        <f t="shared" si="31"/>
        <v>4.3300000000000054</v>
      </c>
    </row>
    <row r="502" spans="2:13" x14ac:dyDescent="0.25">
      <c r="B502" s="42">
        <f t="shared" si="28"/>
        <v>27</v>
      </c>
      <c r="C502" s="42">
        <f t="shared" si="29"/>
        <v>11</v>
      </c>
      <c r="D502" s="42">
        <f t="shared" si="30"/>
        <v>2017</v>
      </c>
      <c r="E502" s="43">
        <v>43066</v>
      </c>
      <c r="F502" s="42">
        <v>53.86</v>
      </c>
      <c r="G502" s="42">
        <v>62.44</v>
      </c>
      <c r="H502" s="42">
        <v>55.51</v>
      </c>
      <c r="I502" s="42">
        <v>65.05</v>
      </c>
      <c r="J502" s="42">
        <v>63.3</v>
      </c>
      <c r="K502" s="42">
        <v>58.11</v>
      </c>
      <c r="L502" s="42">
        <v>63.61</v>
      </c>
      <c r="M502" s="42">
        <f t="shared" si="31"/>
        <v>4.25</v>
      </c>
    </row>
    <row r="503" spans="2:13" x14ac:dyDescent="0.25">
      <c r="B503" s="42">
        <f t="shared" si="28"/>
        <v>28</v>
      </c>
      <c r="C503" s="42">
        <f t="shared" si="29"/>
        <v>11</v>
      </c>
      <c r="D503" s="42">
        <f t="shared" si="30"/>
        <v>2017</v>
      </c>
      <c r="E503" s="43">
        <v>43067</v>
      </c>
      <c r="F503" s="42">
        <v>53.91</v>
      </c>
      <c r="G503" s="42">
        <v>62.42</v>
      </c>
      <c r="H503" s="42">
        <v>55.45</v>
      </c>
      <c r="I503" s="42">
        <v>64.97</v>
      </c>
      <c r="J503" s="42">
        <v>63.58</v>
      </c>
      <c r="K503" s="42">
        <v>57.99</v>
      </c>
      <c r="L503" s="42">
        <v>63.54</v>
      </c>
      <c r="M503" s="42">
        <f t="shared" si="31"/>
        <v>4.0800000000000054</v>
      </c>
    </row>
    <row r="504" spans="2:13" x14ac:dyDescent="0.25">
      <c r="B504" s="42">
        <f t="shared" si="28"/>
        <v>29</v>
      </c>
      <c r="C504" s="42">
        <f t="shared" si="29"/>
        <v>11</v>
      </c>
      <c r="D504" s="42">
        <f t="shared" si="30"/>
        <v>2017</v>
      </c>
      <c r="E504" s="43">
        <v>43068</v>
      </c>
      <c r="F504" s="42">
        <v>53.53</v>
      </c>
      <c r="G504" s="42">
        <v>61.81</v>
      </c>
      <c r="H504" s="42">
        <v>54.9</v>
      </c>
      <c r="I504" s="42">
        <v>64.39</v>
      </c>
      <c r="J504" s="42">
        <v>63.26</v>
      </c>
      <c r="K504" s="42">
        <v>57.3</v>
      </c>
      <c r="L504" s="42">
        <v>62.8</v>
      </c>
      <c r="M504" s="42">
        <f t="shared" si="31"/>
        <v>3.769999999999996</v>
      </c>
    </row>
    <row r="505" spans="2:13" x14ac:dyDescent="0.25">
      <c r="B505" s="42">
        <f t="shared" si="28"/>
        <v>30</v>
      </c>
      <c r="C505" s="42">
        <f t="shared" si="29"/>
        <v>11</v>
      </c>
      <c r="D505" s="42">
        <f t="shared" si="30"/>
        <v>2017</v>
      </c>
      <c r="E505" s="43">
        <v>43069</v>
      </c>
      <c r="F505" s="42">
        <v>53.59</v>
      </c>
      <c r="G505" s="42">
        <v>61.99</v>
      </c>
      <c r="H505" s="42">
        <v>54.88</v>
      </c>
      <c r="I505" s="42">
        <v>64.510000000000005</v>
      </c>
      <c r="J505" s="42">
        <v>63.52</v>
      </c>
      <c r="K505" s="42">
        <v>57.4</v>
      </c>
      <c r="L505" s="42">
        <v>63.1</v>
      </c>
      <c r="M505" s="42">
        <f t="shared" si="31"/>
        <v>3.8099999999999952</v>
      </c>
    </row>
    <row r="506" spans="2:13" x14ac:dyDescent="0.25">
      <c r="B506" s="42">
        <f t="shared" si="28"/>
        <v>1</v>
      </c>
      <c r="C506" s="42">
        <f t="shared" si="29"/>
        <v>12</v>
      </c>
      <c r="D506" s="42">
        <f t="shared" si="30"/>
        <v>2017</v>
      </c>
      <c r="E506" s="43">
        <v>43070</v>
      </c>
      <c r="F506" s="42">
        <v>54.4</v>
      </c>
      <c r="G506" s="42">
        <v>62.94</v>
      </c>
      <c r="H506" s="42">
        <v>55.97</v>
      </c>
      <c r="I506" s="42">
        <v>65.459999999999994</v>
      </c>
      <c r="J506" s="42">
        <v>64.12</v>
      </c>
      <c r="K506" s="42">
        <v>58.36</v>
      </c>
      <c r="L506" s="42">
        <v>64.11</v>
      </c>
      <c r="M506" s="42">
        <f t="shared" si="31"/>
        <v>3.9600000000000009</v>
      </c>
    </row>
    <row r="507" spans="2:13" x14ac:dyDescent="0.25">
      <c r="B507" s="42">
        <f t="shared" si="28"/>
        <v>4</v>
      </c>
      <c r="C507" s="42">
        <f t="shared" si="29"/>
        <v>12</v>
      </c>
      <c r="D507" s="42">
        <f t="shared" si="30"/>
        <v>2017</v>
      </c>
      <c r="E507" s="43">
        <v>43073</v>
      </c>
      <c r="F507" s="42">
        <v>53.42</v>
      </c>
      <c r="G507" s="42">
        <v>61.9</v>
      </c>
      <c r="H507" s="42">
        <v>54.65</v>
      </c>
      <c r="I507" s="42">
        <v>64.39</v>
      </c>
      <c r="J507" s="42">
        <v>62.94</v>
      </c>
      <c r="K507" s="42">
        <v>57.47</v>
      </c>
      <c r="L507" s="42">
        <v>63.12</v>
      </c>
      <c r="M507" s="42">
        <f t="shared" si="31"/>
        <v>4.0499999999999972</v>
      </c>
    </row>
    <row r="508" spans="2:13" x14ac:dyDescent="0.25">
      <c r="B508" s="42">
        <f t="shared" si="28"/>
        <v>5</v>
      </c>
      <c r="C508" s="42">
        <f t="shared" si="29"/>
        <v>12</v>
      </c>
      <c r="D508" s="42">
        <f t="shared" si="30"/>
        <v>2017</v>
      </c>
      <c r="E508" s="43">
        <v>43074</v>
      </c>
      <c r="F508" s="42">
        <v>53.24</v>
      </c>
      <c r="G508" s="42">
        <v>62.08</v>
      </c>
      <c r="H508" s="42">
        <v>54.85</v>
      </c>
      <c r="I508" s="42">
        <v>64.62</v>
      </c>
      <c r="J508" s="42">
        <v>62.81</v>
      </c>
      <c r="K508" s="42">
        <v>57.62</v>
      </c>
      <c r="L508" s="42">
        <v>63.32</v>
      </c>
      <c r="M508" s="42">
        <f t="shared" si="31"/>
        <v>4.3799999999999955</v>
      </c>
    </row>
    <row r="509" spans="2:13" x14ac:dyDescent="0.25">
      <c r="B509" s="42">
        <f t="shared" si="28"/>
        <v>6</v>
      </c>
      <c r="C509" s="42">
        <f t="shared" si="29"/>
        <v>12</v>
      </c>
      <c r="D509" s="42">
        <f t="shared" si="30"/>
        <v>2017</v>
      </c>
      <c r="E509" s="43">
        <v>43075</v>
      </c>
      <c r="F509" s="42">
        <v>51.84</v>
      </c>
      <c r="G509" s="42">
        <v>60.43</v>
      </c>
      <c r="H509" s="42">
        <v>53.13</v>
      </c>
      <c r="I509" s="42">
        <v>62.99</v>
      </c>
      <c r="J509" s="42">
        <v>61.69</v>
      </c>
      <c r="K509" s="42">
        <v>55.96</v>
      </c>
      <c r="L509" s="42">
        <v>61.56</v>
      </c>
      <c r="M509" s="42">
        <f t="shared" si="31"/>
        <v>4.1199999999999974</v>
      </c>
    </row>
    <row r="510" spans="2:13" x14ac:dyDescent="0.25">
      <c r="B510" s="42">
        <f t="shared" si="28"/>
        <v>7</v>
      </c>
      <c r="C510" s="42">
        <f t="shared" si="29"/>
        <v>12</v>
      </c>
      <c r="D510" s="42">
        <f t="shared" si="30"/>
        <v>2017</v>
      </c>
      <c r="E510" s="43">
        <v>43076</v>
      </c>
      <c r="F510" s="42">
        <v>52.13</v>
      </c>
      <c r="G510" s="42">
        <v>61.21</v>
      </c>
      <c r="H510" s="42">
        <v>53.9</v>
      </c>
      <c r="I510" s="42">
        <v>63.81</v>
      </c>
      <c r="J510" s="42">
        <v>62.03</v>
      </c>
      <c r="K510" s="42">
        <v>56.69</v>
      </c>
      <c r="L510" s="42">
        <v>62.44</v>
      </c>
      <c r="M510" s="42">
        <f t="shared" si="31"/>
        <v>4.5599999999999952</v>
      </c>
    </row>
    <row r="511" spans="2:13" x14ac:dyDescent="0.25">
      <c r="B511" s="42">
        <f t="shared" si="28"/>
        <v>8</v>
      </c>
      <c r="C511" s="42">
        <f t="shared" si="29"/>
        <v>12</v>
      </c>
      <c r="D511" s="42">
        <f t="shared" si="30"/>
        <v>2017</v>
      </c>
      <c r="E511" s="43">
        <v>43077</v>
      </c>
      <c r="F511" s="42">
        <v>53.19</v>
      </c>
      <c r="G511" s="42">
        <v>62.1</v>
      </c>
      <c r="H511" s="42">
        <v>54.69</v>
      </c>
      <c r="I511" s="42">
        <v>64.77</v>
      </c>
      <c r="J511" s="42">
        <v>63.33</v>
      </c>
      <c r="K511" s="42">
        <v>57.36</v>
      </c>
      <c r="L511" s="42">
        <v>63.21</v>
      </c>
      <c r="M511" s="42">
        <f t="shared" si="31"/>
        <v>4.1700000000000017</v>
      </c>
    </row>
    <row r="512" spans="2:13" x14ac:dyDescent="0.25">
      <c r="B512" s="42">
        <f t="shared" si="28"/>
        <v>11</v>
      </c>
      <c r="C512" s="42">
        <f t="shared" si="29"/>
        <v>12</v>
      </c>
      <c r="D512" s="42">
        <f t="shared" si="30"/>
        <v>2017</v>
      </c>
      <c r="E512" s="43">
        <v>43080</v>
      </c>
      <c r="F512" s="42">
        <v>54.25</v>
      </c>
      <c r="G512" s="42">
        <v>63.06</v>
      </c>
      <c r="H512" s="42">
        <v>55.71</v>
      </c>
      <c r="I512" s="42">
        <v>65.8</v>
      </c>
      <c r="J512" s="42">
        <v>64.56</v>
      </c>
      <c r="K512" s="42">
        <v>57.99</v>
      </c>
      <c r="L512" s="42">
        <v>64.14</v>
      </c>
      <c r="M512" s="42">
        <f t="shared" si="31"/>
        <v>3.740000000000002</v>
      </c>
    </row>
    <row r="513" spans="2:13" x14ac:dyDescent="0.25">
      <c r="B513" s="42">
        <f t="shared" si="28"/>
        <v>12</v>
      </c>
      <c r="C513" s="42">
        <f t="shared" si="29"/>
        <v>12</v>
      </c>
      <c r="D513" s="42">
        <f t="shared" si="30"/>
        <v>2017</v>
      </c>
      <c r="E513" s="43">
        <v>43081</v>
      </c>
      <c r="F513" s="42">
        <v>53.69</v>
      </c>
      <c r="G513" s="42">
        <v>62.39</v>
      </c>
      <c r="H513" s="42">
        <v>54.84</v>
      </c>
      <c r="I513" s="42">
        <v>65.16</v>
      </c>
      <c r="J513" s="42">
        <v>64.010000000000005</v>
      </c>
      <c r="K513" s="42">
        <v>57.14</v>
      </c>
      <c r="L513" s="42">
        <v>63.24</v>
      </c>
      <c r="M513" s="42">
        <f t="shared" si="31"/>
        <v>3.4500000000000028</v>
      </c>
    </row>
    <row r="514" spans="2:13" x14ac:dyDescent="0.25">
      <c r="B514" s="42">
        <f t="shared" si="28"/>
        <v>13</v>
      </c>
      <c r="C514" s="42">
        <f t="shared" si="29"/>
        <v>12</v>
      </c>
      <c r="D514" s="42">
        <f t="shared" si="30"/>
        <v>2017</v>
      </c>
      <c r="E514" s="43">
        <v>43082</v>
      </c>
      <c r="F514" s="42">
        <v>52.74</v>
      </c>
      <c r="G514" s="42">
        <v>61.37</v>
      </c>
      <c r="H514" s="42">
        <v>54.02</v>
      </c>
      <c r="I514" s="42">
        <v>64.069999999999993</v>
      </c>
      <c r="J514" s="42">
        <v>62.78</v>
      </c>
      <c r="K514" s="42">
        <v>56.6</v>
      </c>
      <c r="L514" s="42">
        <v>62.15</v>
      </c>
      <c r="M514" s="42">
        <f t="shared" si="31"/>
        <v>3.8599999999999994</v>
      </c>
    </row>
    <row r="515" spans="2:13" x14ac:dyDescent="0.25">
      <c r="B515" s="42">
        <f t="shared" si="28"/>
        <v>14</v>
      </c>
      <c r="C515" s="42">
        <f t="shared" si="29"/>
        <v>12</v>
      </c>
      <c r="D515" s="42">
        <f t="shared" si="30"/>
        <v>2017</v>
      </c>
      <c r="E515" s="43">
        <v>43083</v>
      </c>
      <c r="F515" s="42">
        <v>53.07</v>
      </c>
      <c r="G515" s="42">
        <v>61.72</v>
      </c>
      <c r="H515" s="42">
        <v>54.57</v>
      </c>
      <c r="I515" s="42">
        <v>64.510000000000005</v>
      </c>
      <c r="J515" s="42">
        <v>63.23</v>
      </c>
      <c r="K515" s="42">
        <v>57.04</v>
      </c>
      <c r="L515" s="42">
        <v>62.54</v>
      </c>
      <c r="M515" s="42">
        <f t="shared" si="31"/>
        <v>3.9699999999999989</v>
      </c>
    </row>
    <row r="516" spans="2:13" x14ac:dyDescent="0.25">
      <c r="B516" s="42">
        <f t="shared" si="28"/>
        <v>15</v>
      </c>
      <c r="C516" s="42">
        <f t="shared" si="29"/>
        <v>12</v>
      </c>
      <c r="D516" s="42">
        <f t="shared" si="30"/>
        <v>2017</v>
      </c>
      <c r="E516" s="43">
        <v>43084</v>
      </c>
      <c r="F516" s="42">
        <v>53.17</v>
      </c>
      <c r="G516" s="42">
        <v>61.58</v>
      </c>
      <c r="H516" s="42">
        <v>54.27</v>
      </c>
      <c r="I516" s="42">
        <v>64.36</v>
      </c>
      <c r="J516" s="42">
        <v>63.48</v>
      </c>
      <c r="K516" s="42">
        <v>57.3</v>
      </c>
      <c r="L516" s="42">
        <v>62.1</v>
      </c>
      <c r="M516" s="42">
        <f t="shared" si="31"/>
        <v>4.1299999999999955</v>
      </c>
    </row>
    <row r="517" spans="2:13" x14ac:dyDescent="0.25">
      <c r="B517" s="42">
        <f t="shared" si="28"/>
        <v>18</v>
      </c>
      <c r="C517" s="42">
        <f t="shared" si="29"/>
        <v>12</v>
      </c>
      <c r="D517" s="42">
        <f t="shared" si="30"/>
        <v>2017</v>
      </c>
      <c r="E517" s="43">
        <v>43087</v>
      </c>
      <c r="F517" s="42">
        <v>53.38</v>
      </c>
      <c r="G517" s="42">
        <v>61.38</v>
      </c>
      <c r="H517" s="42">
        <v>54.36</v>
      </c>
      <c r="I517" s="42">
        <v>64.14</v>
      </c>
      <c r="J517" s="42">
        <v>63.68</v>
      </c>
      <c r="K517" s="42">
        <v>57.16</v>
      </c>
      <c r="L517" s="42">
        <v>61.96</v>
      </c>
      <c r="M517" s="42">
        <f t="shared" si="31"/>
        <v>3.779999999999994</v>
      </c>
    </row>
    <row r="518" spans="2:13" x14ac:dyDescent="0.25">
      <c r="B518" s="42">
        <f t="shared" si="28"/>
        <v>19</v>
      </c>
      <c r="C518" s="42">
        <f t="shared" si="29"/>
        <v>12</v>
      </c>
      <c r="D518" s="42">
        <f t="shared" si="30"/>
        <v>2017</v>
      </c>
      <c r="E518" s="43">
        <v>43088</v>
      </c>
      <c r="F518" s="42">
        <v>53.57</v>
      </c>
      <c r="G518" s="42">
        <v>61.89</v>
      </c>
      <c r="H518" s="42">
        <v>54.76</v>
      </c>
      <c r="I518" s="42">
        <v>64.64</v>
      </c>
      <c r="J518" s="42">
        <v>63.52</v>
      </c>
      <c r="K518" s="42">
        <v>57.46</v>
      </c>
      <c r="L518" s="42">
        <v>62.46</v>
      </c>
      <c r="M518" s="42">
        <f t="shared" si="31"/>
        <v>3.8900000000000006</v>
      </c>
    </row>
    <row r="519" spans="2:13" x14ac:dyDescent="0.25">
      <c r="B519" s="42">
        <f t="shared" ref="B519:B582" si="32">DAY(E519)</f>
        <v>20</v>
      </c>
      <c r="C519" s="42">
        <f t="shared" ref="C519:C582" si="33">MONTH(E519)</f>
        <v>12</v>
      </c>
      <c r="D519" s="42">
        <f t="shared" ref="D519:D582" si="34">YEAR(E519)</f>
        <v>2017</v>
      </c>
      <c r="E519" s="43">
        <v>43089</v>
      </c>
      <c r="F519" s="42">
        <v>54.43</v>
      </c>
      <c r="G519" s="42">
        <v>62.53</v>
      </c>
      <c r="H519" s="42">
        <v>55.34</v>
      </c>
      <c r="I519" s="42">
        <v>65.25</v>
      </c>
      <c r="J519" s="42">
        <v>64.47</v>
      </c>
      <c r="K519" s="42">
        <v>58.02</v>
      </c>
      <c r="L519" s="42">
        <v>63.17</v>
      </c>
      <c r="M519" s="42">
        <f t="shared" ref="M519:M582" si="35">K519-F519</f>
        <v>3.5900000000000034</v>
      </c>
    </row>
    <row r="520" spans="2:13" x14ac:dyDescent="0.25">
      <c r="B520" s="42">
        <f t="shared" si="32"/>
        <v>21</v>
      </c>
      <c r="C520" s="42">
        <f t="shared" si="33"/>
        <v>12</v>
      </c>
      <c r="D520" s="42">
        <f t="shared" si="34"/>
        <v>2017</v>
      </c>
      <c r="E520" s="43">
        <v>43090</v>
      </c>
      <c r="F520" s="42">
        <v>54.71</v>
      </c>
      <c r="G520" s="42">
        <v>62.89</v>
      </c>
      <c r="H520" s="42">
        <v>55.86</v>
      </c>
      <c r="I520" s="42">
        <v>65.599999999999994</v>
      </c>
      <c r="J520" s="42">
        <v>64.680000000000007</v>
      </c>
      <c r="K520" s="42">
        <v>58.33</v>
      </c>
      <c r="L520" s="42">
        <v>63.28</v>
      </c>
      <c r="M520" s="42">
        <f t="shared" si="35"/>
        <v>3.6199999999999974</v>
      </c>
    </row>
    <row r="521" spans="2:13" x14ac:dyDescent="0.25">
      <c r="B521" s="42">
        <f t="shared" si="32"/>
        <v>22</v>
      </c>
      <c r="C521" s="42">
        <f t="shared" si="33"/>
        <v>12</v>
      </c>
      <c r="D521" s="42">
        <f t="shared" si="34"/>
        <v>2017</v>
      </c>
      <c r="E521" s="43">
        <v>43091</v>
      </c>
      <c r="F521" s="42">
        <v>54.6</v>
      </c>
      <c r="G521" s="42">
        <v>63.16</v>
      </c>
      <c r="H521" s="42">
        <v>56.09</v>
      </c>
      <c r="I521" s="42">
        <v>65.86</v>
      </c>
      <c r="J521" s="42">
        <v>64.52</v>
      </c>
      <c r="K521" s="42">
        <v>58.42</v>
      </c>
      <c r="L521" s="42">
        <v>63.27</v>
      </c>
      <c r="M521" s="42">
        <f t="shared" si="35"/>
        <v>3.8200000000000003</v>
      </c>
    </row>
    <row r="522" spans="2:13" x14ac:dyDescent="0.25">
      <c r="B522" s="42">
        <f t="shared" si="32"/>
        <v>25</v>
      </c>
      <c r="C522" s="42">
        <f t="shared" si="33"/>
        <v>12</v>
      </c>
      <c r="D522" s="42">
        <f t="shared" si="34"/>
        <v>2017</v>
      </c>
      <c r="E522" s="43">
        <v>43094</v>
      </c>
      <c r="F522" s="42">
        <v>54.6</v>
      </c>
      <c r="G522" s="42">
        <v>63.16</v>
      </c>
      <c r="H522" s="42">
        <v>56.09</v>
      </c>
      <c r="I522" s="42">
        <v>65.86</v>
      </c>
      <c r="J522" s="42">
        <v>64.52</v>
      </c>
      <c r="K522" s="42">
        <v>58.42</v>
      </c>
      <c r="L522" s="42">
        <v>63.27</v>
      </c>
      <c r="M522" s="42">
        <f t="shared" si="35"/>
        <v>3.8200000000000003</v>
      </c>
    </row>
    <row r="523" spans="2:13" x14ac:dyDescent="0.25">
      <c r="B523" s="42">
        <f t="shared" si="32"/>
        <v>26</v>
      </c>
      <c r="C523" s="42">
        <f t="shared" si="33"/>
        <v>12</v>
      </c>
      <c r="D523" s="42">
        <f t="shared" si="34"/>
        <v>2017</v>
      </c>
      <c r="E523" s="43">
        <v>43095</v>
      </c>
      <c r="F523" s="42">
        <v>54.6</v>
      </c>
      <c r="G523" s="42">
        <v>64.14</v>
      </c>
      <c r="H523" s="42">
        <v>56.58</v>
      </c>
      <c r="I523" s="42">
        <v>66.959999999999994</v>
      </c>
      <c r="J523" s="42">
        <v>64.52</v>
      </c>
      <c r="K523" s="42">
        <v>59.97</v>
      </c>
      <c r="L523" s="42">
        <v>65.22</v>
      </c>
      <c r="M523" s="42">
        <f t="shared" si="35"/>
        <v>5.3699999999999974</v>
      </c>
    </row>
    <row r="524" spans="2:13" x14ac:dyDescent="0.25">
      <c r="B524" s="42">
        <f t="shared" si="32"/>
        <v>27</v>
      </c>
      <c r="C524" s="42">
        <f t="shared" si="33"/>
        <v>12</v>
      </c>
      <c r="D524" s="42">
        <f t="shared" si="34"/>
        <v>2017</v>
      </c>
      <c r="E524" s="43">
        <v>43096</v>
      </c>
      <c r="F524" s="42">
        <v>55.74</v>
      </c>
      <c r="G524" s="42">
        <v>64.14</v>
      </c>
      <c r="H524" s="42">
        <v>57</v>
      </c>
      <c r="I524" s="42">
        <v>66.87</v>
      </c>
      <c r="J524" s="42">
        <v>66.42</v>
      </c>
      <c r="K524" s="42">
        <v>59.64</v>
      </c>
      <c r="L524" s="42">
        <v>64.89</v>
      </c>
      <c r="M524" s="42">
        <f t="shared" si="35"/>
        <v>3.8999999999999986</v>
      </c>
    </row>
    <row r="525" spans="2:13" x14ac:dyDescent="0.25">
      <c r="B525" s="42">
        <f t="shared" si="32"/>
        <v>28</v>
      </c>
      <c r="C525" s="42">
        <f t="shared" si="33"/>
        <v>12</v>
      </c>
      <c r="D525" s="42">
        <f t="shared" si="34"/>
        <v>2017</v>
      </c>
      <c r="E525" s="43">
        <v>43097</v>
      </c>
      <c r="F525" s="42">
        <v>55.63</v>
      </c>
      <c r="G525" s="42">
        <v>64.58</v>
      </c>
      <c r="H525" s="42">
        <v>57.11</v>
      </c>
      <c r="I525" s="42">
        <v>67.3</v>
      </c>
      <c r="J525" s="42">
        <v>66.37</v>
      </c>
      <c r="K525" s="42">
        <v>59.84</v>
      </c>
      <c r="L525" s="42">
        <v>64.989999999999995</v>
      </c>
      <c r="M525" s="42">
        <f t="shared" si="35"/>
        <v>4.2100000000000009</v>
      </c>
    </row>
    <row r="526" spans="2:13" x14ac:dyDescent="0.25">
      <c r="B526" s="42">
        <f t="shared" si="32"/>
        <v>29</v>
      </c>
      <c r="C526" s="42">
        <f t="shared" si="33"/>
        <v>12</v>
      </c>
      <c r="D526" s="42">
        <f t="shared" si="34"/>
        <v>2017</v>
      </c>
      <c r="E526" s="43">
        <v>43098</v>
      </c>
      <c r="F526" s="42">
        <v>56.19</v>
      </c>
      <c r="G526" s="42">
        <v>65.06</v>
      </c>
      <c r="H526" s="42">
        <v>57.44</v>
      </c>
      <c r="I526" s="42">
        <v>67.760000000000005</v>
      </c>
      <c r="J526" s="42">
        <v>66.67</v>
      </c>
      <c r="K526" s="42">
        <v>60.42</v>
      </c>
      <c r="L526" s="42">
        <v>65.569999999999993</v>
      </c>
      <c r="M526" s="42">
        <f t="shared" si="35"/>
        <v>4.230000000000004</v>
      </c>
    </row>
    <row r="527" spans="2:13" x14ac:dyDescent="0.25">
      <c r="B527" s="42">
        <f t="shared" si="32"/>
        <v>1</v>
      </c>
      <c r="C527" s="42">
        <f t="shared" si="33"/>
        <v>1</v>
      </c>
      <c r="D527" s="42">
        <f t="shared" si="34"/>
        <v>2018</v>
      </c>
      <c r="E527" s="43">
        <v>43101</v>
      </c>
      <c r="F527" s="42">
        <v>56.19</v>
      </c>
      <c r="G527" s="42">
        <v>65.06</v>
      </c>
      <c r="H527" s="42">
        <v>57.44</v>
      </c>
      <c r="I527" s="42">
        <v>67.760000000000005</v>
      </c>
      <c r="J527" s="42">
        <v>66.67</v>
      </c>
      <c r="K527" s="42">
        <v>60.42</v>
      </c>
      <c r="L527" s="42">
        <v>65.569999999999993</v>
      </c>
      <c r="M527" s="42">
        <f t="shared" si="35"/>
        <v>4.230000000000004</v>
      </c>
    </row>
    <row r="528" spans="2:13" x14ac:dyDescent="0.25">
      <c r="B528" s="42">
        <f t="shared" si="32"/>
        <v>2</v>
      </c>
      <c r="C528" s="42">
        <f t="shared" si="33"/>
        <v>1</v>
      </c>
      <c r="D528" s="42">
        <f t="shared" si="34"/>
        <v>2018</v>
      </c>
      <c r="E528" s="43">
        <v>43102</v>
      </c>
      <c r="F528" s="42">
        <v>56.72</v>
      </c>
      <c r="G528" s="42">
        <v>65.41</v>
      </c>
      <c r="H528" s="42">
        <v>57.63</v>
      </c>
      <c r="I528" s="42">
        <v>67.64</v>
      </c>
      <c r="J528" s="42">
        <v>66.349999999999994</v>
      </c>
      <c r="K528" s="42">
        <v>60.37</v>
      </c>
      <c r="L528" s="42">
        <v>65.37</v>
      </c>
      <c r="M528" s="42">
        <f t="shared" si="35"/>
        <v>3.6499999999999986</v>
      </c>
    </row>
    <row r="529" spans="2:13" x14ac:dyDescent="0.25">
      <c r="B529" s="42">
        <f t="shared" si="32"/>
        <v>3</v>
      </c>
      <c r="C529" s="42">
        <f t="shared" si="33"/>
        <v>1</v>
      </c>
      <c r="D529" s="42">
        <f t="shared" si="34"/>
        <v>2018</v>
      </c>
      <c r="E529" s="43">
        <v>43103</v>
      </c>
      <c r="F529" s="42">
        <v>57.67</v>
      </c>
      <c r="G529" s="42">
        <v>66.760000000000005</v>
      </c>
      <c r="H529" s="42">
        <v>58.69</v>
      </c>
      <c r="I529" s="42">
        <v>69</v>
      </c>
      <c r="J529" s="42">
        <v>67.56</v>
      </c>
      <c r="K529" s="42">
        <v>61.63</v>
      </c>
      <c r="L529" s="42">
        <v>66.53</v>
      </c>
      <c r="M529" s="42">
        <f t="shared" si="35"/>
        <v>3.9600000000000009</v>
      </c>
    </row>
    <row r="530" spans="2:13" x14ac:dyDescent="0.25">
      <c r="B530" s="42">
        <f t="shared" si="32"/>
        <v>4</v>
      </c>
      <c r="C530" s="42">
        <f t="shared" si="33"/>
        <v>1</v>
      </c>
      <c r="D530" s="42">
        <f t="shared" si="34"/>
        <v>2018</v>
      </c>
      <c r="E530" s="43">
        <v>43104</v>
      </c>
      <c r="F530" s="42">
        <v>57.88</v>
      </c>
      <c r="G530" s="42">
        <v>66.83</v>
      </c>
      <c r="H530" s="42">
        <v>58.7</v>
      </c>
      <c r="I530" s="42">
        <v>69.069999999999993</v>
      </c>
      <c r="J530" s="42">
        <v>68.12</v>
      </c>
      <c r="K530" s="42">
        <v>62.01</v>
      </c>
      <c r="L530" s="42">
        <v>66.86</v>
      </c>
      <c r="M530" s="42">
        <f t="shared" si="35"/>
        <v>4.1299999999999955</v>
      </c>
    </row>
    <row r="531" spans="2:13" x14ac:dyDescent="0.25">
      <c r="B531" s="42">
        <f t="shared" si="32"/>
        <v>5</v>
      </c>
      <c r="C531" s="42">
        <f t="shared" si="33"/>
        <v>1</v>
      </c>
      <c r="D531" s="42">
        <f t="shared" si="34"/>
        <v>2018</v>
      </c>
      <c r="E531" s="43">
        <v>43105</v>
      </c>
      <c r="F531" s="42">
        <v>57.31</v>
      </c>
      <c r="G531" s="42">
        <v>66.38</v>
      </c>
      <c r="H531" s="42">
        <v>58.2</v>
      </c>
      <c r="I531" s="42">
        <v>68.650000000000006</v>
      </c>
      <c r="J531" s="42">
        <v>67.62</v>
      </c>
      <c r="K531" s="42">
        <v>61.44</v>
      </c>
      <c r="L531" s="42">
        <v>66.290000000000006</v>
      </c>
      <c r="M531" s="42">
        <f t="shared" si="35"/>
        <v>4.1299999999999955</v>
      </c>
    </row>
    <row r="532" spans="2:13" x14ac:dyDescent="0.25">
      <c r="B532" s="42">
        <f t="shared" si="32"/>
        <v>8</v>
      </c>
      <c r="C532" s="42">
        <f t="shared" si="33"/>
        <v>1</v>
      </c>
      <c r="D532" s="42">
        <f t="shared" si="34"/>
        <v>2018</v>
      </c>
      <c r="E532" s="43">
        <v>43108</v>
      </c>
      <c r="F532" s="42">
        <v>57.5</v>
      </c>
      <c r="G532" s="42">
        <v>66.55</v>
      </c>
      <c r="H532" s="42">
        <v>58.41</v>
      </c>
      <c r="I532" s="42">
        <v>68.81</v>
      </c>
      <c r="J532" s="42">
        <v>67.709999999999994</v>
      </c>
      <c r="K532" s="42">
        <v>61.73</v>
      </c>
      <c r="L532" s="42">
        <v>66.430000000000007</v>
      </c>
      <c r="M532" s="42">
        <f t="shared" si="35"/>
        <v>4.2299999999999969</v>
      </c>
    </row>
    <row r="533" spans="2:13" x14ac:dyDescent="0.25">
      <c r="B533" s="42">
        <f t="shared" si="32"/>
        <v>9</v>
      </c>
      <c r="C533" s="42">
        <f t="shared" si="33"/>
        <v>1</v>
      </c>
      <c r="D533" s="42">
        <f t="shared" si="34"/>
        <v>2018</v>
      </c>
      <c r="E533" s="43">
        <v>43109</v>
      </c>
      <c r="F533" s="42">
        <v>58.18</v>
      </c>
      <c r="G533" s="42">
        <v>67.67</v>
      </c>
      <c r="H533" s="42">
        <v>59.27</v>
      </c>
      <c r="I533" s="42">
        <v>69.900000000000006</v>
      </c>
      <c r="J533" s="42">
        <v>68.33</v>
      </c>
      <c r="K533" s="42">
        <v>62.96</v>
      </c>
      <c r="L533" s="42">
        <v>67.510000000000005</v>
      </c>
      <c r="M533" s="42">
        <f t="shared" si="35"/>
        <v>4.7800000000000011</v>
      </c>
    </row>
    <row r="534" spans="2:13" x14ac:dyDescent="0.25">
      <c r="B534" s="42">
        <f t="shared" si="32"/>
        <v>10</v>
      </c>
      <c r="C534" s="42">
        <f t="shared" si="33"/>
        <v>1</v>
      </c>
      <c r="D534" s="42">
        <f t="shared" si="34"/>
        <v>2018</v>
      </c>
      <c r="E534" s="43">
        <v>43110</v>
      </c>
      <c r="F534" s="42">
        <v>58.68</v>
      </c>
      <c r="G534" s="42">
        <v>68.290000000000006</v>
      </c>
      <c r="H534" s="42">
        <v>59.61</v>
      </c>
      <c r="I534" s="42">
        <v>70.45</v>
      </c>
      <c r="J534" s="42">
        <v>69.27</v>
      </c>
      <c r="K534" s="42">
        <v>63.57</v>
      </c>
      <c r="L534" s="42">
        <v>68.22</v>
      </c>
      <c r="M534" s="42">
        <f t="shared" si="35"/>
        <v>4.8900000000000006</v>
      </c>
    </row>
    <row r="535" spans="2:13" x14ac:dyDescent="0.25">
      <c r="B535" s="42">
        <f t="shared" si="32"/>
        <v>11</v>
      </c>
      <c r="C535" s="42">
        <f t="shared" si="33"/>
        <v>1</v>
      </c>
      <c r="D535" s="42">
        <f t="shared" si="34"/>
        <v>2018</v>
      </c>
      <c r="E535" s="43">
        <v>43111</v>
      </c>
      <c r="F535" s="42">
        <v>59.22</v>
      </c>
      <c r="G535" s="42">
        <v>68.31</v>
      </c>
      <c r="H535" s="42">
        <v>59.59</v>
      </c>
      <c r="I535" s="42">
        <v>70.48</v>
      </c>
      <c r="J535" s="42">
        <v>70.010000000000005</v>
      </c>
      <c r="K535" s="42">
        <v>63.8</v>
      </c>
      <c r="L535" s="42">
        <v>68.349999999999994</v>
      </c>
      <c r="M535" s="42">
        <f t="shared" si="35"/>
        <v>4.5799999999999983</v>
      </c>
    </row>
    <row r="536" spans="2:13" x14ac:dyDescent="0.25">
      <c r="B536" s="42">
        <f t="shared" si="32"/>
        <v>12</v>
      </c>
      <c r="C536" s="42">
        <f t="shared" si="33"/>
        <v>1</v>
      </c>
      <c r="D536" s="42">
        <f t="shared" si="34"/>
        <v>2018</v>
      </c>
      <c r="E536" s="43">
        <v>43112</v>
      </c>
      <c r="F536" s="42">
        <v>59.21</v>
      </c>
      <c r="G536" s="42">
        <v>68.95</v>
      </c>
      <c r="H536" s="42">
        <v>60.11</v>
      </c>
      <c r="I536" s="42">
        <v>71.13</v>
      </c>
      <c r="J536" s="42">
        <v>69.3</v>
      </c>
      <c r="K536" s="42">
        <v>64.3</v>
      </c>
      <c r="L536" s="42">
        <v>69.05</v>
      </c>
      <c r="M536" s="42">
        <f t="shared" si="35"/>
        <v>5.0899999999999963</v>
      </c>
    </row>
    <row r="537" spans="2:13" x14ac:dyDescent="0.25">
      <c r="B537" s="42">
        <f t="shared" si="32"/>
        <v>15</v>
      </c>
      <c r="C537" s="42">
        <f t="shared" si="33"/>
        <v>1</v>
      </c>
      <c r="D537" s="42">
        <f t="shared" si="34"/>
        <v>2018</v>
      </c>
      <c r="E537" s="43">
        <v>43115</v>
      </c>
      <c r="F537" s="42">
        <v>59.21</v>
      </c>
      <c r="G537" s="42">
        <v>68.95</v>
      </c>
      <c r="H537" s="42">
        <v>60.11</v>
      </c>
      <c r="I537" s="42">
        <v>71.13</v>
      </c>
      <c r="J537" s="42">
        <v>70.05</v>
      </c>
      <c r="K537" s="42">
        <v>64.3</v>
      </c>
      <c r="L537" s="42">
        <v>69.05</v>
      </c>
      <c r="M537" s="42">
        <f t="shared" si="35"/>
        <v>5.0899999999999963</v>
      </c>
    </row>
    <row r="538" spans="2:13" x14ac:dyDescent="0.25">
      <c r="B538" s="42">
        <f t="shared" si="32"/>
        <v>16</v>
      </c>
      <c r="C538" s="42">
        <f t="shared" si="33"/>
        <v>1</v>
      </c>
      <c r="D538" s="42">
        <f t="shared" si="34"/>
        <v>2018</v>
      </c>
      <c r="E538" s="43">
        <v>43116</v>
      </c>
      <c r="F538" s="42">
        <v>58.6</v>
      </c>
      <c r="G538" s="42">
        <v>68.489999999999995</v>
      </c>
      <c r="H538" s="42">
        <v>59.62</v>
      </c>
      <c r="I538" s="42">
        <v>70.61</v>
      </c>
      <c r="J538" s="42">
        <v>69.37</v>
      </c>
      <c r="K538" s="42">
        <v>63.73</v>
      </c>
      <c r="L538" s="42">
        <v>68.53</v>
      </c>
      <c r="M538" s="42">
        <f t="shared" si="35"/>
        <v>5.1299999999999955</v>
      </c>
    </row>
    <row r="539" spans="2:13" x14ac:dyDescent="0.25">
      <c r="B539" s="42">
        <f t="shared" si="32"/>
        <v>17</v>
      </c>
      <c r="C539" s="42">
        <f t="shared" si="33"/>
        <v>1</v>
      </c>
      <c r="D539" s="42">
        <f t="shared" si="34"/>
        <v>2018</v>
      </c>
      <c r="E539" s="43">
        <v>43117</v>
      </c>
      <c r="F539" s="42">
        <v>58.69</v>
      </c>
      <c r="G539" s="42">
        <v>68.66</v>
      </c>
      <c r="H539" s="42">
        <v>59.92</v>
      </c>
      <c r="I539" s="42">
        <v>70.75</v>
      </c>
      <c r="J539" s="42">
        <v>69.290000000000006</v>
      </c>
      <c r="K539" s="42">
        <v>63.97</v>
      </c>
      <c r="L539" s="42">
        <v>68.67</v>
      </c>
      <c r="M539" s="42">
        <f t="shared" si="35"/>
        <v>5.2800000000000011</v>
      </c>
    </row>
    <row r="540" spans="2:13" x14ac:dyDescent="0.25">
      <c r="B540" s="42">
        <f t="shared" si="32"/>
        <v>18</v>
      </c>
      <c r="C540" s="42">
        <f t="shared" si="33"/>
        <v>1</v>
      </c>
      <c r="D540" s="42">
        <f t="shared" si="34"/>
        <v>2018</v>
      </c>
      <c r="E540" s="43">
        <v>43118</v>
      </c>
      <c r="F540" s="42">
        <v>59.03</v>
      </c>
      <c r="G540" s="42">
        <v>68.58</v>
      </c>
      <c r="H540" s="42">
        <v>60</v>
      </c>
      <c r="I540" s="42">
        <v>70.69</v>
      </c>
      <c r="J540" s="42">
        <v>69.44</v>
      </c>
      <c r="K540" s="42">
        <v>63.95</v>
      </c>
      <c r="L540" s="42">
        <v>68.55</v>
      </c>
      <c r="M540" s="42">
        <f t="shared" si="35"/>
        <v>4.9200000000000017</v>
      </c>
    </row>
    <row r="541" spans="2:13" x14ac:dyDescent="0.25">
      <c r="B541" s="42">
        <f t="shared" si="32"/>
        <v>19</v>
      </c>
      <c r="C541" s="42">
        <f t="shared" si="33"/>
        <v>1</v>
      </c>
      <c r="D541" s="42">
        <f t="shared" si="34"/>
        <v>2018</v>
      </c>
      <c r="E541" s="43">
        <v>43119</v>
      </c>
      <c r="F541" s="42">
        <v>58.39</v>
      </c>
      <c r="G541" s="42">
        <v>67.790000000000006</v>
      </c>
      <c r="H541" s="42">
        <v>59.37</v>
      </c>
      <c r="I541" s="42">
        <v>69.930000000000007</v>
      </c>
      <c r="J541" s="42">
        <v>68.540000000000006</v>
      </c>
      <c r="K541" s="42">
        <v>63.37</v>
      </c>
      <c r="L541" s="42">
        <v>67.72</v>
      </c>
      <c r="M541" s="42">
        <f t="shared" si="35"/>
        <v>4.9799999999999969</v>
      </c>
    </row>
    <row r="542" spans="2:13" x14ac:dyDescent="0.25">
      <c r="B542" s="42">
        <f t="shared" si="32"/>
        <v>22</v>
      </c>
      <c r="C542" s="42">
        <f t="shared" si="33"/>
        <v>1</v>
      </c>
      <c r="D542" s="42">
        <f t="shared" si="34"/>
        <v>2018</v>
      </c>
      <c r="E542" s="43">
        <v>43122</v>
      </c>
      <c r="F542" s="42">
        <v>58.47</v>
      </c>
      <c r="G542" s="42">
        <v>67.900000000000006</v>
      </c>
      <c r="H542" s="42">
        <v>59.23</v>
      </c>
      <c r="I542" s="42">
        <v>70.06</v>
      </c>
      <c r="J542" s="42">
        <v>69.599999999999994</v>
      </c>
      <c r="K542" s="42">
        <v>63.49</v>
      </c>
      <c r="L542" s="42">
        <v>67.64</v>
      </c>
      <c r="M542" s="42">
        <f t="shared" si="35"/>
        <v>5.0200000000000031</v>
      </c>
    </row>
    <row r="543" spans="2:13" x14ac:dyDescent="0.25">
      <c r="B543" s="42">
        <f t="shared" si="32"/>
        <v>23</v>
      </c>
      <c r="C543" s="42">
        <f t="shared" si="33"/>
        <v>1</v>
      </c>
      <c r="D543" s="42">
        <f t="shared" si="34"/>
        <v>2018</v>
      </c>
      <c r="E543" s="43">
        <v>43123</v>
      </c>
      <c r="F543" s="42">
        <v>59.09</v>
      </c>
      <c r="G543" s="42">
        <v>68.95</v>
      </c>
      <c r="H543" s="42">
        <v>60.08</v>
      </c>
      <c r="I543" s="42">
        <v>71.099999999999994</v>
      </c>
      <c r="J543" s="42">
        <v>70.010000000000005</v>
      </c>
      <c r="K543" s="42">
        <v>64.52</v>
      </c>
      <c r="L543" s="42">
        <v>68.62</v>
      </c>
      <c r="M543" s="42">
        <f t="shared" si="35"/>
        <v>5.4299999999999926</v>
      </c>
    </row>
    <row r="544" spans="2:13" x14ac:dyDescent="0.25">
      <c r="B544" s="42">
        <f t="shared" si="32"/>
        <v>24</v>
      </c>
      <c r="C544" s="42">
        <f t="shared" si="33"/>
        <v>1</v>
      </c>
      <c r="D544" s="42">
        <f t="shared" si="34"/>
        <v>2018</v>
      </c>
      <c r="E544" s="43">
        <v>43124</v>
      </c>
      <c r="F544" s="42">
        <v>59.58</v>
      </c>
      <c r="G544" s="42">
        <v>69.819999999999993</v>
      </c>
      <c r="H544" s="42">
        <v>60.95</v>
      </c>
      <c r="I544" s="42">
        <v>71.930000000000007</v>
      </c>
      <c r="J544" s="42">
        <v>69.92</v>
      </c>
      <c r="K544" s="42">
        <v>65.73</v>
      </c>
      <c r="L544" s="42">
        <v>69.180000000000007</v>
      </c>
      <c r="M544" s="42">
        <f t="shared" si="35"/>
        <v>6.1500000000000057</v>
      </c>
    </row>
    <row r="545" spans="2:13" x14ac:dyDescent="0.25">
      <c r="B545" s="42">
        <f t="shared" si="32"/>
        <v>25</v>
      </c>
      <c r="C545" s="42">
        <f t="shared" si="33"/>
        <v>1</v>
      </c>
      <c r="D545" s="42">
        <f t="shared" si="34"/>
        <v>2018</v>
      </c>
      <c r="E545" s="43">
        <v>43125</v>
      </c>
      <c r="F545" s="42">
        <v>59.7</v>
      </c>
      <c r="G545" s="42">
        <v>69.78</v>
      </c>
      <c r="H545" s="42">
        <v>60.94</v>
      </c>
      <c r="I545" s="42">
        <v>71.83</v>
      </c>
      <c r="J545" s="42">
        <v>70.709999999999994</v>
      </c>
      <c r="K545" s="42">
        <v>65.63</v>
      </c>
      <c r="L545" s="42">
        <v>67.73</v>
      </c>
      <c r="M545" s="42">
        <f t="shared" si="35"/>
        <v>5.9299999999999926</v>
      </c>
    </row>
    <row r="546" spans="2:13" x14ac:dyDescent="0.25">
      <c r="B546" s="42">
        <f t="shared" si="32"/>
        <v>26</v>
      </c>
      <c r="C546" s="42">
        <f t="shared" si="33"/>
        <v>1</v>
      </c>
      <c r="D546" s="42">
        <f t="shared" si="34"/>
        <v>2018</v>
      </c>
      <c r="E546" s="43">
        <v>43126</v>
      </c>
      <c r="F546" s="42">
        <v>59.75</v>
      </c>
      <c r="G546" s="42">
        <v>69.489999999999995</v>
      </c>
      <c r="H546" s="42">
        <v>61.01</v>
      </c>
      <c r="I546" s="42">
        <v>71.62</v>
      </c>
      <c r="J546" s="42">
        <v>70.47</v>
      </c>
      <c r="K546" s="42">
        <v>66.14</v>
      </c>
      <c r="L546" s="42">
        <v>68.89</v>
      </c>
      <c r="M546" s="42">
        <f t="shared" si="35"/>
        <v>6.3900000000000006</v>
      </c>
    </row>
    <row r="547" spans="2:13" x14ac:dyDescent="0.25">
      <c r="B547" s="42">
        <f t="shared" si="32"/>
        <v>29</v>
      </c>
      <c r="C547" s="42">
        <f t="shared" si="33"/>
        <v>1</v>
      </c>
      <c r="D547" s="42">
        <f t="shared" si="34"/>
        <v>2018</v>
      </c>
      <c r="E547" s="43">
        <v>43129</v>
      </c>
      <c r="F547" s="42">
        <v>58.99</v>
      </c>
      <c r="G547" s="42">
        <v>68.61</v>
      </c>
      <c r="H547" s="42">
        <v>60.29</v>
      </c>
      <c r="I547" s="42">
        <v>70.709999999999994</v>
      </c>
      <c r="J547" s="42">
        <v>69.22</v>
      </c>
      <c r="K547" s="42">
        <v>65.56</v>
      </c>
      <c r="L547" s="42">
        <v>68.010000000000005</v>
      </c>
      <c r="M547" s="42">
        <f t="shared" si="35"/>
        <v>6.57</v>
      </c>
    </row>
    <row r="548" spans="2:13" x14ac:dyDescent="0.25">
      <c r="B548" s="42">
        <f t="shared" si="32"/>
        <v>30</v>
      </c>
      <c r="C548" s="42">
        <f t="shared" si="33"/>
        <v>1</v>
      </c>
      <c r="D548" s="42">
        <f t="shared" si="34"/>
        <v>2018</v>
      </c>
      <c r="E548" s="43">
        <v>43130</v>
      </c>
      <c r="F548" s="42">
        <v>58.08</v>
      </c>
      <c r="G548" s="42">
        <v>67.52</v>
      </c>
      <c r="H548" s="42">
        <v>59.24</v>
      </c>
      <c r="I548" s="42">
        <v>69.67</v>
      </c>
      <c r="J548" s="42">
        <v>68.63</v>
      </c>
      <c r="K548" s="42">
        <v>64.5</v>
      </c>
      <c r="L548" s="42">
        <v>67.150000000000006</v>
      </c>
      <c r="M548" s="42">
        <f t="shared" si="35"/>
        <v>6.4200000000000017</v>
      </c>
    </row>
    <row r="549" spans="2:13" x14ac:dyDescent="0.25">
      <c r="B549" s="42">
        <f t="shared" si="32"/>
        <v>31</v>
      </c>
      <c r="C549" s="42">
        <f t="shared" si="33"/>
        <v>1</v>
      </c>
      <c r="D549" s="42">
        <f t="shared" si="34"/>
        <v>2018</v>
      </c>
      <c r="E549" s="43">
        <v>43131</v>
      </c>
      <c r="F549" s="42">
        <v>58.39</v>
      </c>
      <c r="G549" s="42">
        <v>67.83</v>
      </c>
      <c r="H549" s="42">
        <v>59.68</v>
      </c>
      <c r="I549" s="42">
        <v>70</v>
      </c>
      <c r="J549" s="42">
        <v>68.69</v>
      </c>
      <c r="K549" s="42">
        <v>64.73</v>
      </c>
      <c r="L549" s="42">
        <v>67.53</v>
      </c>
      <c r="M549" s="42">
        <f t="shared" si="35"/>
        <v>6.3400000000000034</v>
      </c>
    </row>
    <row r="550" spans="2:13" x14ac:dyDescent="0.25">
      <c r="B550" s="42">
        <f t="shared" si="32"/>
        <v>1</v>
      </c>
      <c r="C550" s="42">
        <f t="shared" si="33"/>
        <v>2</v>
      </c>
      <c r="D550" s="42">
        <f t="shared" si="34"/>
        <v>2018</v>
      </c>
      <c r="E550" s="43">
        <v>43132</v>
      </c>
      <c r="F550" s="42">
        <v>59.44</v>
      </c>
      <c r="G550" s="42">
        <v>69.12</v>
      </c>
      <c r="H550" s="42">
        <v>60.52</v>
      </c>
      <c r="I550" s="42">
        <v>71.16</v>
      </c>
      <c r="J550" s="42">
        <v>69.069999999999993</v>
      </c>
      <c r="K550" s="42">
        <v>65.8</v>
      </c>
      <c r="L550" s="42">
        <v>68.75</v>
      </c>
      <c r="M550" s="42">
        <f t="shared" si="35"/>
        <v>6.3599999999999994</v>
      </c>
    </row>
    <row r="551" spans="2:13" x14ac:dyDescent="0.25">
      <c r="B551" s="42">
        <f t="shared" si="32"/>
        <v>2</v>
      </c>
      <c r="C551" s="42">
        <f t="shared" si="33"/>
        <v>2</v>
      </c>
      <c r="D551" s="42">
        <f t="shared" si="34"/>
        <v>2018</v>
      </c>
      <c r="E551" s="43">
        <v>43133</v>
      </c>
      <c r="F551" s="42">
        <v>58.76</v>
      </c>
      <c r="G551" s="42">
        <v>68.260000000000005</v>
      </c>
      <c r="H551" s="42">
        <v>59.62</v>
      </c>
      <c r="I551" s="42">
        <v>70.19</v>
      </c>
      <c r="J551" s="42">
        <v>68.2</v>
      </c>
      <c r="K551" s="42">
        <v>65.45</v>
      </c>
      <c r="L551" s="42">
        <v>68.150000000000006</v>
      </c>
      <c r="M551" s="42">
        <f t="shared" si="35"/>
        <v>6.6900000000000048</v>
      </c>
    </row>
    <row r="552" spans="2:13" x14ac:dyDescent="0.25">
      <c r="B552" s="42">
        <f t="shared" si="32"/>
        <v>5</v>
      </c>
      <c r="C552" s="42">
        <f t="shared" si="33"/>
        <v>2</v>
      </c>
      <c r="D552" s="42">
        <f t="shared" si="34"/>
        <v>2018</v>
      </c>
      <c r="E552" s="43">
        <v>43136</v>
      </c>
      <c r="F552" s="42">
        <v>58.02</v>
      </c>
      <c r="G552" s="42">
        <v>66.97</v>
      </c>
      <c r="H552" s="42">
        <v>58.55</v>
      </c>
      <c r="I552" s="42">
        <v>68.94</v>
      </c>
      <c r="J552" s="42">
        <v>68.45</v>
      </c>
      <c r="K552" s="42">
        <v>64.150000000000006</v>
      </c>
      <c r="L552" s="42">
        <v>66.650000000000006</v>
      </c>
      <c r="M552" s="42">
        <f t="shared" si="35"/>
        <v>6.1300000000000026</v>
      </c>
    </row>
    <row r="553" spans="2:13" x14ac:dyDescent="0.25">
      <c r="B553" s="42">
        <f t="shared" si="32"/>
        <v>6</v>
      </c>
      <c r="C553" s="42">
        <f t="shared" si="33"/>
        <v>2</v>
      </c>
      <c r="D553" s="42">
        <f t="shared" si="34"/>
        <v>2018</v>
      </c>
      <c r="E553" s="43">
        <v>43137</v>
      </c>
      <c r="F553" s="42">
        <v>57.2</v>
      </c>
      <c r="G553" s="42">
        <v>66.27</v>
      </c>
      <c r="H553" s="42">
        <v>57.96</v>
      </c>
      <c r="I553" s="42">
        <v>68.290000000000006</v>
      </c>
      <c r="J553" s="42">
        <v>66.989999999999995</v>
      </c>
      <c r="K553" s="42">
        <v>63.39</v>
      </c>
      <c r="L553" s="42">
        <v>65.69</v>
      </c>
      <c r="M553" s="42">
        <f t="shared" si="35"/>
        <v>6.1899999999999977</v>
      </c>
    </row>
    <row r="554" spans="2:13" x14ac:dyDescent="0.25">
      <c r="B554" s="42">
        <f t="shared" si="32"/>
        <v>7</v>
      </c>
      <c r="C554" s="42">
        <f t="shared" si="33"/>
        <v>2</v>
      </c>
      <c r="D554" s="42">
        <f t="shared" si="34"/>
        <v>2018</v>
      </c>
      <c r="E554" s="43">
        <v>43138</v>
      </c>
      <c r="F554" s="42">
        <v>55.97</v>
      </c>
      <c r="G554" s="42">
        <v>64.72</v>
      </c>
      <c r="H554" s="42">
        <v>56.71</v>
      </c>
      <c r="I554" s="42">
        <v>66.78</v>
      </c>
      <c r="J554" s="42">
        <v>65.98</v>
      </c>
      <c r="K554" s="42">
        <v>61.79</v>
      </c>
      <c r="L554" s="42">
        <v>64.040000000000006</v>
      </c>
      <c r="M554" s="42">
        <f t="shared" si="35"/>
        <v>5.82</v>
      </c>
    </row>
    <row r="555" spans="2:13" x14ac:dyDescent="0.25">
      <c r="B555" s="42">
        <f t="shared" si="32"/>
        <v>8</v>
      </c>
      <c r="C555" s="42">
        <f t="shared" si="33"/>
        <v>2</v>
      </c>
      <c r="D555" s="42">
        <f t="shared" si="34"/>
        <v>2018</v>
      </c>
      <c r="E555" s="43">
        <v>43139</v>
      </c>
      <c r="F555" s="42">
        <v>54.94</v>
      </c>
      <c r="G555" s="42">
        <v>63.75</v>
      </c>
      <c r="H555" s="42">
        <v>55.67</v>
      </c>
      <c r="I555" s="42">
        <v>65.72</v>
      </c>
      <c r="J555" s="42">
        <v>64.62</v>
      </c>
      <c r="K555" s="42">
        <v>61.15</v>
      </c>
      <c r="L555" s="42">
        <v>63.3</v>
      </c>
      <c r="M555" s="42">
        <f t="shared" si="35"/>
        <v>6.2100000000000009</v>
      </c>
    </row>
    <row r="556" spans="2:13" x14ac:dyDescent="0.25">
      <c r="B556" s="42">
        <f t="shared" si="32"/>
        <v>9</v>
      </c>
      <c r="C556" s="42">
        <f t="shared" si="33"/>
        <v>2</v>
      </c>
      <c r="D556" s="42">
        <f t="shared" si="34"/>
        <v>2018</v>
      </c>
      <c r="E556" s="43">
        <v>43140</v>
      </c>
      <c r="F556" s="42">
        <v>53.41</v>
      </c>
      <c r="G556" s="42">
        <v>61.96</v>
      </c>
      <c r="H556" s="42">
        <v>53.97</v>
      </c>
      <c r="I556" s="42">
        <v>63.99</v>
      </c>
      <c r="J556" s="42">
        <v>63.36</v>
      </c>
      <c r="K556" s="42">
        <v>59.2</v>
      </c>
      <c r="L556" s="42">
        <v>61.45</v>
      </c>
      <c r="M556" s="42">
        <f t="shared" si="35"/>
        <v>5.7900000000000063</v>
      </c>
    </row>
    <row r="557" spans="2:13" x14ac:dyDescent="0.25">
      <c r="B557" s="42">
        <f t="shared" si="32"/>
        <v>12</v>
      </c>
      <c r="C557" s="42">
        <f t="shared" si="33"/>
        <v>2</v>
      </c>
      <c r="D557" s="42">
        <f t="shared" si="34"/>
        <v>2018</v>
      </c>
      <c r="E557" s="43">
        <v>43143</v>
      </c>
      <c r="F557" s="42">
        <v>53.46</v>
      </c>
      <c r="G557" s="42">
        <v>61.9</v>
      </c>
      <c r="H557" s="42">
        <v>54.14</v>
      </c>
      <c r="I557" s="42">
        <v>63.91</v>
      </c>
      <c r="J557" s="42">
        <v>63.17</v>
      </c>
      <c r="K557" s="42">
        <v>59.29</v>
      </c>
      <c r="L557" s="42">
        <v>61.44</v>
      </c>
      <c r="M557" s="42">
        <f t="shared" si="35"/>
        <v>5.8299999999999983</v>
      </c>
    </row>
    <row r="558" spans="2:13" x14ac:dyDescent="0.25">
      <c r="B558" s="42">
        <f t="shared" si="32"/>
        <v>13</v>
      </c>
      <c r="C558" s="42">
        <f t="shared" si="33"/>
        <v>2</v>
      </c>
      <c r="D558" s="42">
        <f t="shared" si="34"/>
        <v>2018</v>
      </c>
      <c r="E558" s="43">
        <v>43144</v>
      </c>
      <c r="F558" s="42">
        <v>53.2</v>
      </c>
      <c r="G558" s="42">
        <v>61.75</v>
      </c>
      <c r="H558" s="42">
        <v>54.32</v>
      </c>
      <c r="I558" s="42">
        <v>63.79</v>
      </c>
      <c r="J558" s="42">
        <v>62.2</v>
      </c>
      <c r="K558" s="42">
        <v>59.19</v>
      </c>
      <c r="L558" s="42">
        <v>61.29</v>
      </c>
      <c r="M558" s="42">
        <f t="shared" si="35"/>
        <v>5.9899999999999949</v>
      </c>
    </row>
    <row r="559" spans="2:13" x14ac:dyDescent="0.25">
      <c r="B559" s="42">
        <f t="shared" si="32"/>
        <v>14</v>
      </c>
      <c r="C559" s="42">
        <f t="shared" si="33"/>
        <v>2</v>
      </c>
      <c r="D559" s="42">
        <f t="shared" si="34"/>
        <v>2018</v>
      </c>
      <c r="E559" s="43">
        <v>43145</v>
      </c>
      <c r="F559" s="42">
        <v>54.03</v>
      </c>
      <c r="G559" s="42">
        <v>63.27</v>
      </c>
      <c r="H559" s="42">
        <v>55.41</v>
      </c>
      <c r="I559" s="42">
        <v>65.36</v>
      </c>
      <c r="J559" s="42">
        <v>63.17</v>
      </c>
      <c r="K559" s="42">
        <v>60.6</v>
      </c>
      <c r="L559" s="42">
        <v>62.8</v>
      </c>
      <c r="M559" s="42">
        <f t="shared" si="35"/>
        <v>6.57</v>
      </c>
    </row>
    <row r="560" spans="2:13" x14ac:dyDescent="0.25">
      <c r="B560" s="42">
        <f t="shared" si="32"/>
        <v>15</v>
      </c>
      <c r="C560" s="42">
        <f t="shared" si="33"/>
        <v>2</v>
      </c>
      <c r="D560" s="42">
        <f t="shared" si="34"/>
        <v>2018</v>
      </c>
      <c r="E560" s="43">
        <v>43146</v>
      </c>
      <c r="F560" s="42">
        <v>54.74</v>
      </c>
      <c r="G560" s="42">
        <v>63.92</v>
      </c>
      <c r="H560" s="42">
        <v>55.93</v>
      </c>
      <c r="I560" s="42">
        <v>65.930000000000007</v>
      </c>
      <c r="J560" s="42">
        <v>63.71</v>
      </c>
      <c r="K560" s="42">
        <v>61.34</v>
      </c>
      <c r="L560" s="42">
        <v>63.54</v>
      </c>
      <c r="M560" s="42">
        <f t="shared" si="35"/>
        <v>6.6000000000000014</v>
      </c>
    </row>
    <row r="561" spans="2:13" x14ac:dyDescent="0.25">
      <c r="B561" s="42">
        <f t="shared" si="32"/>
        <v>16</v>
      </c>
      <c r="C561" s="42">
        <f t="shared" si="33"/>
        <v>2</v>
      </c>
      <c r="D561" s="42">
        <f t="shared" si="34"/>
        <v>2018</v>
      </c>
      <c r="E561" s="43">
        <v>43147</v>
      </c>
      <c r="F561" s="42">
        <v>54.74</v>
      </c>
      <c r="G561" s="42">
        <v>64.28</v>
      </c>
      <c r="H561" s="42">
        <v>56.15</v>
      </c>
      <c r="I561" s="42">
        <v>66.28</v>
      </c>
      <c r="J561" s="42">
        <v>64.97</v>
      </c>
      <c r="K561" s="42">
        <v>61.68</v>
      </c>
      <c r="L561" s="42">
        <v>63.83</v>
      </c>
      <c r="M561" s="42">
        <f t="shared" si="35"/>
        <v>6.9399999999999977</v>
      </c>
    </row>
    <row r="562" spans="2:13" x14ac:dyDescent="0.25">
      <c r="B562" s="42">
        <f t="shared" si="32"/>
        <v>19</v>
      </c>
      <c r="C562" s="42">
        <f t="shared" si="33"/>
        <v>2</v>
      </c>
      <c r="D562" s="42">
        <f t="shared" si="34"/>
        <v>2018</v>
      </c>
      <c r="E562" s="43">
        <v>43150</v>
      </c>
      <c r="F562" s="42">
        <v>54.74</v>
      </c>
      <c r="G562" s="42">
        <v>64.28</v>
      </c>
      <c r="H562" s="42">
        <v>56.15</v>
      </c>
      <c r="I562" s="42">
        <v>66.28</v>
      </c>
      <c r="J562" s="42">
        <v>65.650000000000006</v>
      </c>
      <c r="K562" s="42">
        <v>61.68</v>
      </c>
      <c r="L562" s="42">
        <v>63.83</v>
      </c>
      <c r="M562" s="42">
        <f t="shared" si="35"/>
        <v>6.9399999999999977</v>
      </c>
    </row>
    <row r="563" spans="2:13" x14ac:dyDescent="0.25">
      <c r="B563" s="42">
        <f t="shared" si="32"/>
        <v>20</v>
      </c>
      <c r="C563" s="42">
        <f t="shared" si="33"/>
        <v>2</v>
      </c>
      <c r="D563" s="42">
        <f t="shared" si="34"/>
        <v>2018</v>
      </c>
      <c r="E563" s="43">
        <v>43151</v>
      </c>
      <c r="F563" s="42">
        <v>55.47</v>
      </c>
      <c r="G563" s="42">
        <v>64.52</v>
      </c>
      <c r="H563" s="42">
        <v>56.53</v>
      </c>
      <c r="I563" s="42">
        <v>66.489999999999995</v>
      </c>
      <c r="J563" s="42">
        <v>65.069999999999993</v>
      </c>
      <c r="K563" s="42">
        <v>61.9</v>
      </c>
      <c r="L563" s="42">
        <v>64.05</v>
      </c>
      <c r="M563" s="42">
        <f t="shared" si="35"/>
        <v>6.43</v>
      </c>
    </row>
    <row r="564" spans="2:13" x14ac:dyDescent="0.25">
      <c r="B564" s="42">
        <f t="shared" si="32"/>
        <v>21</v>
      </c>
      <c r="C564" s="42">
        <f t="shared" si="33"/>
        <v>2</v>
      </c>
      <c r="D564" s="42">
        <f t="shared" si="34"/>
        <v>2018</v>
      </c>
      <c r="E564" s="43">
        <v>43152</v>
      </c>
      <c r="F564" s="42">
        <v>55.4</v>
      </c>
      <c r="G564" s="42">
        <v>64.17</v>
      </c>
      <c r="H564" s="42">
        <v>56.29</v>
      </c>
      <c r="I564" s="42">
        <v>66.17</v>
      </c>
      <c r="J564" s="42">
        <v>65.260000000000005</v>
      </c>
      <c r="K564" s="42">
        <v>61.63</v>
      </c>
      <c r="L564" s="42">
        <v>63.78</v>
      </c>
      <c r="M564" s="42">
        <f t="shared" si="35"/>
        <v>6.230000000000004</v>
      </c>
    </row>
    <row r="565" spans="2:13" x14ac:dyDescent="0.25">
      <c r="B565" s="42">
        <f t="shared" si="32"/>
        <v>22</v>
      </c>
      <c r="C565" s="42">
        <f t="shared" si="33"/>
        <v>2</v>
      </c>
      <c r="D565" s="42">
        <f t="shared" si="34"/>
        <v>2018</v>
      </c>
      <c r="E565" s="43">
        <v>43153</v>
      </c>
      <c r="F565" s="42">
        <v>56.21</v>
      </c>
      <c r="G565" s="42">
        <v>65.39</v>
      </c>
      <c r="H565" s="42">
        <v>57.09</v>
      </c>
      <c r="I565" s="42">
        <v>67.42</v>
      </c>
      <c r="J565" s="42">
        <v>66.349999999999994</v>
      </c>
      <c r="K565" s="42">
        <v>62.72</v>
      </c>
      <c r="L565" s="42">
        <v>64.97</v>
      </c>
      <c r="M565" s="42">
        <f t="shared" si="35"/>
        <v>6.509999999999998</v>
      </c>
    </row>
    <row r="566" spans="2:13" x14ac:dyDescent="0.25">
      <c r="B566" s="42">
        <f t="shared" si="32"/>
        <v>23</v>
      </c>
      <c r="C566" s="42">
        <f t="shared" si="33"/>
        <v>2</v>
      </c>
      <c r="D566" s="42">
        <f t="shared" si="34"/>
        <v>2018</v>
      </c>
      <c r="E566" s="43">
        <v>43154</v>
      </c>
      <c r="F566" s="42">
        <v>56.89</v>
      </c>
      <c r="G566" s="42">
        <v>66.33</v>
      </c>
      <c r="H566" s="42">
        <v>57.84</v>
      </c>
      <c r="I566" s="42">
        <v>68.37</v>
      </c>
      <c r="J566" s="42">
        <v>67.02</v>
      </c>
      <c r="K566" s="42">
        <v>63.5</v>
      </c>
      <c r="L566" s="42">
        <v>66</v>
      </c>
      <c r="M566" s="42">
        <f t="shared" si="35"/>
        <v>6.6099999999999994</v>
      </c>
    </row>
    <row r="567" spans="2:13" x14ac:dyDescent="0.25">
      <c r="B567" s="42">
        <f t="shared" si="32"/>
        <v>26</v>
      </c>
      <c r="C567" s="42">
        <f t="shared" si="33"/>
        <v>2</v>
      </c>
      <c r="D567" s="42">
        <f t="shared" si="34"/>
        <v>2018</v>
      </c>
      <c r="E567" s="43">
        <v>43157</v>
      </c>
      <c r="F567" s="42">
        <v>57.48</v>
      </c>
      <c r="G567" s="42">
        <v>66.56</v>
      </c>
      <c r="H567" s="42">
        <v>58.11</v>
      </c>
      <c r="I567" s="42">
        <v>68.599999999999994</v>
      </c>
      <c r="J567" s="42">
        <v>67.69</v>
      </c>
      <c r="K567" s="42">
        <v>63.91</v>
      </c>
      <c r="L567" s="42">
        <v>66.11</v>
      </c>
      <c r="M567" s="42">
        <f t="shared" si="35"/>
        <v>6.43</v>
      </c>
    </row>
    <row r="568" spans="2:13" x14ac:dyDescent="0.25">
      <c r="B568" s="42">
        <f t="shared" si="32"/>
        <v>27</v>
      </c>
      <c r="C568" s="42">
        <f t="shared" si="33"/>
        <v>2</v>
      </c>
      <c r="D568" s="42">
        <f t="shared" si="34"/>
        <v>2018</v>
      </c>
      <c r="E568" s="43">
        <v>43158</v>
      </c>
      <c r="F568" s="42">
        <v>56.84</v>
      </c>
      <c r="G568" s="42">
        <v>65.849999999999994</v>
      </c>
      <c r="H568" s="42">
        <v>57.41</v>
      </c>
      <c r="I568" s="42">
        <v>67.849999999999994</v>
      </c>
      <c r="J568" s="42">
        <v>66.900000000000006</v>
      </c>
      <c r="K568" s="42">
        <v>63.04</v>
      </c>
      <c r="L568" s="42">
        <v>65.34</v>
      </c>
      <c r="M568" s="42">
        <f t="shared" si="35"/>
        <v>6.1999999999999957</v>
      </c>
    </row>
    <row r="569" spans="2:13" x14ac:dyDescent="0.25">
      <c r="B569" s="42">
        <f t="shared" si="32"/>
        <v>28</v>
      </c>
      <c r="C569" s="42">
        <f t="shared" si="33"/>
        <v>2</v>
      </c>
      <c r="D569" s="42">
        <f t="shared" si="34"/>
        <v>2018</v>
      </c>
      <c r="E569" s="43">
        <v>43159</v>
      </c>
      <c r="F569" s="42">
        <v>55.59</v>
      </c>
      <c r="G569" s="42">
        <v>64.42</v>
      </c>
      <c r="H569" s="42">
        <v>56.11</v>
      </c>
      <c r="I569" s="42">
        <v>66.33</v>
      </c>
      <c r="J569" s="42">
        <v>65.459999999999994</v>
      </c>
      <c r="K569" s="42">
        <v>61.64</v>
      </c>
      <c r="L569" s="42">
        <v>63.94</v>
      </c>
      <c r="M569" s="42">
        <f t="shared" si="35"/>
        <v>6.0499999999999972</v>
      </c>
    </row>
    <row r="570" spans="2:13" x14ac:dyDescent="0.25">
      <c r="B570" s="42">
        <f t="shared" si="32"/>
        <v>1</v>
      </c>
      <c r="C570" s="42">
        <f t="shared" si="33"/>
        <v>3</v>
      </c>
      <c r="D570" s="42">
        <f t="shared" si="34"/>
        <v>2018</v>
      </c>
      <c r="E570" s="43">
        <v>43160</v>
      </c>
      <c r="F570" s="42">
        <v>54.12</v>
      </c>
      <c r="G570" s="42">
        <v>63.84</v>
      </c>
      <c r="H570" s="42">
        <v>55.16</v>
      </c>
      <c r="I570" s="42">
        <v>65.8</v>
      </c>
      <c r="J570" s="42">
        <v>63.77</v>
      </c>
      <c r="K570" s="42">
        <v>61.02</v>
      </c>
      <c r="L570" s="42">
        <v>63.27</v>
      </c>
      <c r="M570" s="42">
        <f t="shared" si="35"/>
        <v>6.9000000000000057</v>
      </c>
    </row>
    <row r="571" spans="2:13" x14ac:dyDescent="0.25">
      <c r="B571" s="42">
        <f t="shared" si="32"/>
        <v>2</v>
      </c>
      <c r="C571" s="42">
        <f t="shared" si="33"/>
        <v>3</v>
      </c>
      <c r="D571" s="42">
        <f t="shared" si="34"/>
        <v>2018</v>
      </c>
      <c r="E571" s="43">
        <v>43161</v>
      </c>
      <c r="F571" s="42">
        <v>54.22</v>
      </c>
      <c r="G571" s="42">
        <v>63.89</v>
      </c>
      <c r="H571" s="42">
        <v>55.3</v>
      </c>
      <c r="I571" s="42">
        <v>65.89</v>
      </c>
      <c r="J571" s="42">
        <v>63.92</v>
      </c>
      <c r="K571" s="42">
        <v>61.28</v>
      </c>
      <c r="L571" s="42">
        <v>63.38</v>
      </c>
      <c r="M571" s="42">
        <f t="shared" si="35"/>
        <v>7.0600000000000023</v>
      </c>
    </row>
    <row r="572" spans="2:13" x14ac:dyDescent="0.25">
      <c r="B572" s="42">
        <f t="shared" si="32"/>
        <v>5</v>
      </c>
      <c r="C572" s="42">
        <f t="shared" si="33"/>
        <v>3</v>
      </c>
      <c r="D572" s="42">
        <f t="shared" si="34"/>
        <v>2018</v>
      </c>
      <c r="E572" s="43">
        <v>43164</v>
      </c>
      <c r="F572" s="42">
        <v>55.46</v>
      </c>
      <c r="G572" s="42">
        <v>65.27</v>
      </c>
      <c r="H572" s="42">
        <v>56.75</v>
      </c>
      <c r="I572" s="42">
        <v>67.23</v>
      </c>
      <c r="J572" s="42">
        <v>65.59</v>
      </c>
      <c r="K572" s="42">
        <v>62.58</v>
      </c>
      <c r="L572" s="42">
        <v>64.73</v>
      </c>
      <c r="M572" s="42">
        <f t="shared" si="35"/>
        <v>7.1199999999999974</v>
      </c>
    </row>
    <row r="573" spans="2:13" x14ac:dyDescent="0.25">
      <c r="B573" s="42">
        <f t="shared" si="32"/>
        <v>6</v>
      </c>
      <c r="C573" s="42">
        <f t="shared" si="33"/>
        <v>3</v>
      </c>
      <c r="D573" s="42">
        <f t="shared" si="34"/>
        <v>2018</v>
      </c>
      <c r="E573" s="43">
        <v>43165</v>
      </c>
      <c r="F573" s="42">
        <v>55.68</v>
      </c>
      <c r="G573" s="42">
        <v>65.459999999999994</v>
      </c>
      <c r="H573" s="42">
        <v>57</v>
      </c>
      <c r="I573" s="42">
        <v>67.39</v>
      </c>
      <c r="J573" s="42">
        <v>65.47</v>
      </c>
      <c r="K573" s="42">
        <v>62.61</v>
      </c>
      <c r="L573" s="42">
        <v>64.86</v>
      </c>
      <c r="M573" s="42">
        <f t="shared" si="35"/>
        <v>6.93</v>
      </c>
    </row>
    <row r="574" spans="2:13" x14ac:dyDescent="0.25">
      <c r="B574" s="42">
        <f t="shared" si="32"/>
        <v>7</v>
      </c>
      <c r="C574" s="42">
        <f t="shared" si="33"/>
        <v>3</v>
      </c>
      <c r="D574" s="42">
        <f t="shared" si="34"/>
        <v>2018</v>
      </c>
      <c r="E574" s="43">
        <v>43166</v>
      </c>
      <c r="F574" s="42">
        <v>54.89</v>
      </c>
      <c r="G574" s="42">
        <v>64.040000000000006</v>
      </c>
      <c r="H574" s="42">
        <v>55.73</v>
      </c>
      <c r="I574" s="42">
        <v>66.010000000000005</v>
      </c>
      <c r="J574" s="42">
        <v>65.33</v>
      </c>
      <c r="K574" s="42">
        <v>61.17</v>
      </c>
      <c r="L574" s="42">
        <v>63.42</v>
      </c>
      <c r="M574" s="42">
        <f t="shared" si="35"/>
        <v>6.2800000000000011</v>
      </c>
    </row>
    <row r="575" spans="2:13" x14ac:dyDescent="0.25">
      <c r="B575" s="42">
        <f t="shared" si="32"/>
        <v>8</v>
      </c>
      <c r="C575" s="42">
        <f t="shared" si="33"/>
        <v>3</v>
      </c>
      <c r="D575" s="42">
        <f t="shared" si="34"/>
        <v>2018</v>
      </c>
      <c r="E575" s="43">
        <v>43167</v>
      </c>
      <c r="F575" s="42">
        <v>53.94</v>
      </c>
      <c r="G575" s="42">
        <v>63.04</v>
      </c>
      <c r="H575" s="42">
        <v>54.83</v>
      </c>
      <c r="I575" s="42">
        <v>65.040000000000006</v>
      </c>
      <c r="J575" s="42">
        <v>64.09</v>
      </c>
      <c r="K575" s="42">
        <v>60.15</v>
      </c>
      <c r="L575" s="42">
        <v>62.4</v>
      </c>
      <c r="M575" s="42">
        <f t="shared" si="35"/>
        <v>6.2100000000000009</v>
      </c>
    </row>
    <row r="576" spans="2:13" x14ac:dyDescent="0.25">
      <c r="B576" s="42">
        <f t="shared" si="32"/>
        <v>9</v>
      </c>
      <c r="C576" s="42">
        <f t="shared" si="33"/>
        <v>3</v>
      </c>
      <c r="D576" s="42">
        <f t="shared" si="34"/>
        <v>2018</v>
      </c>
      <c r="E576" s="43">
        <v>43168</v>
      </c>
      <c r="F576" s="42">
        <v>55.15</v>
      </c>
      <c r="G576" s="42">
        <v>64.819999999999993</v>
      </c>
      <c r="H576" s="42">
        <v>56.55</v>
      </c>
      <c r="I576" s="42">
        <v>66.81</v>
      </c>
      <c r="J576" s="42">
        <v>65.41</v>
      </c>
      <c r="K576" s="42">
        <v>62.04</v>
      </c>
      <c r="L576" s="42">
        <v>64.39</v>
      </c>
      <c r="M576" s="42">
        <f t="shared" si="35"/>
        <v>6.8900000000000006</v>
      </c>
    </row>
    <row r="577" spans="2:13" x14ac:dyDescent="0.25">
      <c r="B577" s="42">
        <f t="shared" si="32"/>
        <v>12</v>
      </c>
      <c r="C577" s="42">
        <f t="shared" si="33"/>
        <v>3</v>
      </c>
      <c r="D577" s="42">
        <f t="shared" si="34"/>
        <v>2018</v>
      </c>
      <c r="E577" s="43">
        <v>43171</v>
      </c>
      <c r="F577" s="42">
        <v>54.93</v>
      </c>
      <c r="G577" s="42">
        <v>64.239999999999995</v>
      </c>
      <c r="H577" s="42">
        <v>56.2</v>
      </c>
      <c r="I577" s="42">
        <v>66.239999999999995</v>
      </c>
      <c r="J577" s="42">
        <v>64.84</v>
      </c>
      <c r="K577" s="42">
        <v>61.41</v>
      </c>
      <c r="L577" s="42">
        <v>63.76</v>
      </c>
      <c r="M577" s="42">
        <f t="shared" si="35"/>
        <v>6.4799999999999969</v>
      </c>
    </row>
    <row r="578" spans="2:13" x14ac:dyDescent="0.25">
      <c r="B578" s="42">
        <f t="shared" si="32"/>
        <v>13</v>
      </c>
      <c r="C578" s="42">
        <f t="shared" si="33"/>
        <v>3</v>
      </c>
      <c r="D578" s="42">
        <f t="shared" si="34"/>
        <v>2018</v>
      </c>
      <c r="E578" s="43">
        <v>43172</v>
      </c>
      <c r="F578" s="42">
        <v>54.47</v>
      </c>
      <c r="G578" s="42">
        <v>63.47</v>
      </c>
      <c r="H578" s="42">
        <v>55.66</v>
      </c>
      <c r="I578" s="42">
        <v>65.52</v>
      </c>
      <c r="J578" s="42">
        <v>64.569999999999993</v>
      </c>
      <c r="K578" s="42">
        <v>60.73</v>
      </c>
      <c r="L578" s="42">
        <v>63.18</v>
      </c>
      <c r="M578" s="42">
        <f t="shared" si="35"/>
        <v>6.259999999999998</v>
      </c>
    </row>
    <row r="579" spans="2:13" x14ac:dyDescent="0.25">
      <c r="B579" s="42">
        <f t="shared" si="32"/>
        <v>14</v>
      </c>
      <c r="C579" s="42">
        <f t="shared" si="33"/>
        <v>3</v>
      </c>
      <c r="D579" s="42">
        <f t="shared" si="34"/>
        <v>2018</v>
      </c>
      <c r="E579" s="43">
        <v>43173</v>
      </c>
      <c r="F579" s="42">
        <v>54.46</v>
      </c>
      <c r="G579" s="42">
        <v>63.95</v>
      </c>
      <c r="H579" s="42">
        <v>55.73</v>
      </c>
      <c r="I579" s="42">
        <v>65.97</v>
      </c>
      <c r="J579" s="42">
        <v>64.62</v>
      </c>
      <c r="K579" s="42">
        <v>60.97</v>
      </c>
      <c r="L579" s="42">
        <v>63.42</v>
      </c>
      <c r="M579" s="42">
        <f t="shared" si="35"/>
        <v>6.509999999999998</v>
      </c>
    </row>
    <row r="580" spans="2:13" x14ac:dyDescent="0.25">
      <c r="B580" s="42">
        <f t="shared" si="32"/>
        <v>15</v>
      </c>
      <c r="C580" s="42">
        <f t="shared" si="33"/>
        <v>3</v>
      </c>
      <c r="D580" s="42">
        <f t="shared" si="34"/>
        <v>2018</v>
      </c>
      <c r="E580" s="43">
        <v>43174</v>
      </c>
      <c r="F580" s="42">
        <v>54.65</v>
      </c>
      <c r="G580" s="42">
        <v>64.14</v>
      </c>
      <c r="H580" s="42">
        <v>56.02</v>
      </c>
      <c r="I580" s="42">
        <v>66.13</v>
      </c>
      <c r="J580" s="42">
        <v>65.11</v>
      </c>
      <c r="K580" s="42">
        <v>61.22</v>
      </c>
      <c r="L580" s="42">
        <v>63.77</v>
      </c>
      <c r="M580" s="42">
        <f t="shared" si="35"/>
        <v>6.57</v>
      </c>
    </row>
    <row r="581" spans="2:13" x14ac:dyDescent="0.25">
      <c r="B581" s="42">
        <f t="shared" si="32"/>
        <v>16</v>
      </c>
      <c r="C581" s="42">
        <f t="shared" si="33"/>
        <v>3</v>
      </c>
      <c r="D581" s="42">
        <f t="shared" si="34"/>
        <v>2018</v>
      </c>
      <c r="E581" s="43">
        <v>43175</v>
      </c>
      <c r="F581" s="42">
        <v>54.65</v>
      </c>
      <c r="G581" s="42">
        <v>65.180000000000007</v>
      </c>
      <c r="H581" s="42">
        <v>56.83</v>
      </c>
      <c r="I581" s="42">
        <v>67.16</v>
      </c>
      <c r="J581" s="42">
        <v>65.97</v>
      </c>
      <c r="K581" s="42">
        <v>62.36</v>
      </c>
      <c r="L581" s="42">
        <v>64.81</v>
      </c>
      <c r="M581" s="42">
        <f t="shared" si="35"/>
        <v>7.7100000000000009</v>
      </c>
    </row>
    <row r="582" spans="2:13" x14ac:dyDescent="0.25">
      <c r="B582" s="42">
        <f t="shared" si="32"/>
        <v>19</v>
      </c>
      <c r="C582" s="42">
        <f t="shared" si="33"/>
        <v>3</v>
      </c>
      <c r="D582" s="42">
        <f t="shared" si="34"/>
        <v>2018</v>
      </c>
      <c r="E582" s="43">
        <v>43178</v>
      </c>
      <c r="F582" s="42">
        <v>55.55</v>
      </c>
      <c r="G582" s="42">
        <v>64.94</v>
      </c>
      <c r="H582" s="42">
        <v>56.48</v>
      </c>
      <c r="I582" s="42">
        <v>66.95</v>
      </c>
      <c r="J582" s="42">
        <v>66.3</v>
      </c>
      <c r="K582" s="42">
        <v>62.06</v>
      </c>
      <c r="L582" s="42">
        <v>64.56</v>
      </c>
      <c r="M582" s="42">
        <f t="shared" si="35"/>
        <v>6.5100000000000051</v>
      </c>
    </row>
    <row r="583" spans="2:13" x14ac:dyDescent="0.25">
      <c r="B583" s="42">
        <f t="shared" ref="B583:B646" si="36">DAY(E583)</f>
        <v>20</v>
      </c>
      <c r="C583" s="42">
        <f t="shared" ref="C583:C646" si="37">MONTH(E583)</f>
        <v>3</v>
      </c>
      <c r="D583" s="42">
        <f t="shared" ref="D583:D646" si="38">YEAR(E583)</f>
        <v>2018</v>
      </c>
      <c r="E583" s="43">
        <v>43179</v>
      </c>
      <c r="F583" s="42">
        <v>56.27</v>
      </c>
      <c r="G583" s="42">
        <v>66.09</v>
      </c>
      <c r="H583" s="42">
        <v>57.46</v>
      </c>
      <c r="I583" s="42">
        <v>68.12</v>
      </c>
      <c r="J583" s="42">
        <v>67.319999999999993</v>
      </c>
      <c r="K583" s="42">
        <v>63.44</v>
      </c>
      <c r="L583" s="42">
        <v>65.739999999999995</v>
      </c>
      <c r="M583" s="42">
        <f t="shared" ref="M583:M646" si="39">K583-F583</f>
        <v>7.1699999999999946</v>
      </c>
    </row>
    <row r="584" spans="2:13" x14ac:dyDescent="0.25">
      <c r="B584" s="42">
        <f t="shared" si="36"/>
        <v>21</v>
      </c>
      <c r="C584" s="42">
        <f t="shared" si="37"/>
        <v>3</v>
      </c>
      <c r="D584" s="42">
        <f t="shared" si="38"/>
        <v>2018</v>
      </c>
      <c r="E584" s="43">
        <v>43180</v>
      </c>
      <c r="F584" s="42">
        <v>57.69</v>
      </c>
      <c r="G584" s="42">
        <v>67.900000000000006</v>
      </c>
      <c r="H584" s="42">
        <v>58.99</v>
      </c>
      <c r="I584" s="42">
        <v>70.05</v>
      </c>
      <c r="J584" s="42">
        <v>69.349999999999994</v>
      </c>
      <c r="K584" s="42">
        <v>65.06</v>
      </c>
      <c r="L584" s="42">
        <v>67.36</v>
      </c>
      <c r="M584" s="42">
        <f t="shared" si="39"/>
        <v>7.3700000000000045</v>
      </c>
    </row>
    <row r="585" spans="2:13" x14ac:dyDescent="0.25">
      <c r="B585" s="42">
        <f t="shared" si="36"/>
        <v>22</v>
      </c>
      <c r="C585" s="42">
        <f t="shared" si="37"/>
        <v>3</v>
      </c>
      <c r="D585" s="42">
        <f t="shared" si="38"/>
        <v>2018</v>
      </c>
      <c r="E585" s="43">
        <v>43181</v>
      </c>
      <c r="F585" s="42">
        <v>57.44</v>
      </c>
      <c r="G585" s="42">
        <v>66.790000000000006</v>
      </c>
      <c r="H585" s="42">
        <v>58.04</v>
      </c>
      <c r="I585" s="42">
        <v>68.97</v>
      </c>
      <c r="J585" s="42">
        <v>69.16</v>
      </c>
      <c r="K585" s="42">
        <v>64.17</v>
      </c>
      <c r="L585" s="42">
        <v>66.52</v>
      </c>
      <c r="M585" s="42">
        <f t="shared" si="39"/>
        <v>6.730000000000004</v>
      </c>
    </row>
    <row r="586" spans="2:13" x14ac:dyDescent="0.25">
      <c r="B586" s="42">
        <f t="shared" si="36"/>
        <v>23</v>
      </c>
      <c r="C586" s="42">
        <f t="shared" si="37"/>
        <v>3</v>
      </c>
      <c r="D586" s="42">
        <f t="shared" si="38"/>
        <v>2018</v>
      </c>
      <c r="E586" s="43">
        <v>43182</v>
      </c>
      <c r="F586" s="42">
        <v>58.3</v>
      </c>
      <c r="G586" s="42">
        <v>68.400000000000006</v>
      </c>
      <c r="H586" s="42">
        <v>59.32</v>
      </c>
      <c r="I586" s="42">
        <v>70.58</v>
      </c>
      <c r="J586" s="42">
        <v>70.099999999999994</v>
      </c>
      <c r="K586" s="42">
        <v>65.849999999999994</v>
      </c>
      <c r="L586" s="42">
        <v>68.2</v>
      </c>
      <c r="M586" s="42">
        <f t="shared" si="39"/>
        <v>7.5499999999999972</v>
      </c>
    </row>
    <row r="587" spans="2:13" x14ac:dyDescent="0.25">
      <c r="B587" s="42">
        <f t="shared" si="36"/>
        <v>26</v>
      </c>
      <c r="C587" s="42">
        <f t="shared" si="37"/>
        <v>3</v>
      </c>
      <c r="D587" s="42">
        <f t="shared" si="38"/>
        <v>2018</v>
      </c>
      <c r="E587" s="43">
        <v>43185</v>
      </c>
      <c r="F587" s="42">
        <v>58.12</v>
      </c>
      <c r="G587" s="42">
        <v>68.22</v>
      </c>
      <c r="H587" s="42">
        <v>59.04</v>
      </c>
      <c r="I587" s="42">
        <v>70.37</v>
      </c>
      <c r="J587" s="42">
        <v>70.02</v>
      </c>
      <c r="K587" s="42">
        <v>65.55</v>
      </c>
      <c r="L587" s="42">
        <v>67.900000000000006</v>
      </c>
      <c r="M587" s="42">
        <f t="shared" si="39"/>
        <v>7.43</v>
      </c>
    </row>
    <row r="588" spans="2:13" x14ac:dyDescent="0.25">
      <c r="B588" s="42">
        <f t="shared" si="36"/>
        <v>27</v>
      </c>
      <c r="C588" s="42">
        <f t="shared" si="37"/>
        <v>3</v>
      </c>
      <c r="D588" s="42">
        <f t="shared" si="38"/>
        <v>2018</v>
      </c>
      <c r="E588" s="43">
        <v>43186</v>
      </c>
      <c r="F588" s="42">
        <v>57.74</v>
      </c>
      <c r="G588" s="42">
        <v>67.760000000000005</v>
      </c>
      <c r="H588" s="42">
        <v>58.57</v>
      </c>
      <c r="I588" s="42">
        <v>69.87</v>
      </c>
      <c r="J588" s="42">
        <v>70.13</v>
      </c>
      <c r="K588" s="42">
        <v>65.260000000000005</v>
      </c>
      <c r="L588" s="42">
        <v>67.81</v>
      </c>
      <c r="M588" s="42">
        <f t="shared" si="39"/>
        <v>7.5200000000000031</v>
      </c>
    </row>
    <row r="589" spans="2:13" x14ac:dyDescent="0.25">
      <c r="B589" s="42">
        <f t="shared" si="36"/>
        <v>28</v>
      </c>
      <c r="C589" s="42">
        <f t="shared" si="37"/>
        <v>3</v>
      </c>
      <c r="D589" s="42">
        <f t="shared" si="38"/>
        <v>2018</v>
      </c>
      <c r="E589" s="43">
        <v>43187</v>
      </c>
      <c r="F589" s="42">
        <v>56.9</v>
      </c>
      <c r="G589" s="42">
        <v>66.790000000000006</v>
      </c>
      <c r="H589" s="42">
        <v>57.48</v>
      </c>
      <c r="I589" s="42">
        <v>69.040000000000006</v>
      </c>
      <c r="J589" s="42">
        <v>69.930000000000007</v>
      </c>
      <c r="K589" s="42">
        <v>64.41</v>
      </c>
      <c r="L589" s="42">
        <v>67.06</v>
      </c>
      <c r="M589" s="42">
        <f t="shared" si="39"/>
        <v>7.509999999999998</v>
      </c>
    </row>
    <row r="590" spans="2:13" x14ac:dyDescent="0.25">
      <c r="B590" s="42">
        <f t="shared" si="36"/>
        <v>29</v>
      </c>
      <c r="C590" s="42">
        <f t="shared" si="37"/>
        <v>3</v>
      </c>
      <c r="D590" s="42">
        <f t="shared" si="38"/>
        <v>2018</v>
      </c>
      <c r="E590" s="43">
        <v>43188</v>
      </c>
      <c r="F590" s="42">
        <v>56.44</v>
      </c>
      <c r="G590" s="42">
        <v>67.25</v>
      </c>
      <c r="H590" s="42">
        <v>57.81</v>
      </c>
      <c r="I590" s="42">
        <v>69.47</v>
      </c>
      <c r="J590" s="42">
        <v>69.150000000000006</v>
      </c>
      <c r="K590" s="42">
        <v>64.94</v>
      </c>
      <c r="L590" s="42">
        <v>67.59</v>
      </c>
      <c r="M590" s="42">
        <f t="shared" si="39"/>
        <v>8.5</v>
      </c>
    </row>
    <row r="591" spans="2:13" x14ac:dyDescent="0.25">
      <c r="B591" s="42">
        <f t="shared" si="36"/>
        <v>30</v>
      </c>
      <c r="C591" s="42">
        <f t="shared" si="37"/>
        <v>3</v>
      </c>
      <c r="D591" s="42">
        <f t="shared" si="38"/>
        <v>2018</v>
      </c>
      <c r="E591" s="43">
        <v>43189</v>
      </c>
      <c r="F591" s="42">
        <v>56.44</v>
      </c>
      <c r="G591" s="42">
        <v>67.25</v>
      </c>
      <c r="H591" s="42">
        <v>57.81</v>
      </c>
      <c r="I591" s="42">
        <v>69.47</v>
      </c>
      <c r="J591" s="42">
        <v>69.150000000000006</v>
      </c>
      <c r="K591" s="42">
        <v>64.94</v>
      </c>
      <c r="L591" s="42">
        <v>67.59</v>
      </c>
      <c r="M591" s="42">
        <f t="shared" si="39"/>
        <v>8.5</v>
      </c>
    </row>
    <row r="592" spans="2:13" x14ac:dyDescent="0.25">
      <c r="B592" s="42">
        <f t="shared" si="36"/>
        <v>2</v>
      </c>
      <c r="C592" s="42">
        <f t="shared" si="37"/>
        <v>4</v>
      </c>
      <c r="D592" s="42">
        <f t="shared" si="38"/>
        <v>2018</v>
      </c>
      <c r="E592" s="43">
        <v>43192</v>
      </c>
      <c r="F592" s="42">
        <v>55.12</v>
      </c>
      <c r="G592" s="42">
        <v>65.27</v>
      </c>
      <c r="H592" s="42">
        <v>55.55</v>
      </c>
      <c r="I592" s="42">
        <v>67.27</v>
      </c>
      <c r="J592" s="42">
        <v>69.150000000000006</v>
      </c>
      <c r="K592" s="42">
        <v>63.04</v>
      </c>
      <c r="L592" s="42">
        <v>65.89</v>
      </c>
      <c r="M592" s="42">
        <f t="shared" si="39"/>
        <v>7.9200000000000017</v>
      </c>
    </row>
    <row r="593" spans="2:13" x14ac:dyDescent="0.25">
      <c r="B593" s="42">
        <f t="shared" si="36"/>
        <v>3</v>
      </c>
      <c r="C593" s="42">
        <f t="shared" si="37"/>
        <v>4</v>
      </c>
      <c r="D593" s="42">
        <f t="shared" si="38"/>
        <v>2018</v>
      </c>
      <c r="E593" s="43">
        <v>43193</v>
      </c>
      <c r="F593" s="42">
        <v>55.25</v>
      </c>
      <c r="G593" s="42">
        <v>65.48</v>
      </c>
      <c r="H593" s="42">
        <v>55.34</v>
      </c>
      <c r="I593" s="42">
        <v>67.56</v>
      </c>
      <c r="J593" s="42">
        <v>68.19</v>
      </c>
      <c r="K593" s="42">
        <v>63.51</v>
      </c>
      <c r="L593" s="42">
        <v>66.31</v>
      </c>
      <c r="M593" s="42">
        <f t="shared" si="39"/>
        <v>8.259999999999998</v>
      </c>
    </row>
    <row r="594" spans="2:13" x14ac:dyDescent="0.25">
      <c r="B594" s="42">
        <f t="shared" si="36"/>
        <v>4</v>
      </c>
      <c r="C594" s="42">
        <f t="shared" si="37"/>
        <v>4</v>
      </c>
      <c r="D594" s="42">
        <f t="shared" si="38"/>
        <v>2018</v>
      </c>
      <c r="E594" s="43">
        <v>43194</v>
      </c>
      <c r="F594" s="42">
        <v>54.98</v>
      </c>
      <c r="G594" s="42">
        <v>64.849999999999994</v>
      </c>
      <c r="H594" s="42">
        <v>54.82</v>
      </c>
      <c r="I594" s="42">
        <v>67.03</v>
      </c>
      <c r="J594" s="42">
        <v>67.83</v>
      </c>
      <c r="K594" s="42">
        <v>63.37</v>
      </c>
      <c r="L594" s="42">
        <v>66.27</v>
      </c>
      <c r="M594" s="42">
        <f t="shared" si="39"/>
        <v>8.39</v>
      </c>
    </row>
    <row r="595" spans="2:13" x14ac:dyDescent="0.25">
      <c r="B595" s="42">
        <f t="shared" si="36"/>
        <v>5</v>
      </c>
      <c r="C595" s="42">
        <f t="shared" si="37"/>
        <v>4</v>
      </c>
      <c r="D595" s="42">
        <f t="shared" si="38"/>
        <v>2018</v>
      </c>
      <c r="E595" s="43">
        <v>43195</v>
      </c>
      <c r="F595" s="42">
        <v>55.39</v>
      </c>
      <c r="G595" s="42">
        <v>64.95</v>
      </c>
      <c r="H595" s="42">
        <v>55.04</v>
      </c>
      <c r="I595" s="42">
        <v>67.17</v>
      </c>
      <c r="J595" s="42">
        <v>68.3</v>
      </c>
      <c r="K595" s="42">
        <v>63.57</v>
      </c>
      <c r="L595" s="42">
        <v>66.42</v>
      </c>
      <c r="M595" s="42">
        <f t="shared" si="39"/>
        <v>8.18</v>
      </c>
    </row>
    <row r="596" spans="2:13" x14ac:dyDescent="0.25">
      <c r="B596" s="42">
        <f t="shared" si="36"/>
        <v>6</v>
      </c>
      <c r="C596" s="42">
        <f t="shared" si="37"/>
        <v>4</v>
      </c>
      <c r="D596" s="42">
        <f t="shared" si="38"/>
        <v>2018</v>
      </c>
      <c r="E596" s="43">
        <v>43196</v>
      </c>
      <c r="F596" s="42">
        <v>54.66</v>
      </c>
      <c r="G596" s="42">
        <v>63.38</v>
      </c>
      <c r="H596" s="42">
        <v>53.83</v>
      </c>
      <c r="I596" s="42">
        <v>65.63</v>
      </c>
      <c r="J596" s="42">
        <v>67.540000000000006</v>
      </c>
      <c r="K596" s="42">
        <v>62.08</v>
      </c>
      <c r="L596" s="42">
        <v>65.13</v>
      </c>
      <c r="M596" s="42">
        <f t="shared" si="39"/>
        <v>7.4200000000000017</v>
      </c>
    </row>
    <row r="597" spans="2:13" x14ac:dyDescent="0.25">
      <c r="B597" s="42">
        <f t="shared" si="36"/>
        <v>9</v>
      </c>
      <c r="C597" s="42">
        <f t="shared" si="37"/>
        <v>4</v>
      </c>
      <c r="D597" s="42">
        <f t="shared" si="38"/>
        <v>2018</v>
      </c>
      <c r="E597" s="43">
        <v>43199</v>
      </c>
      <c r="F597" s="42">
        <v>55.59</v>
      </c>
      <c r="G597" s="42">
        <v>64.930000000000007</v>
      </c>
      <c r="H597" s="42">
        <v>55.15</v>
      </c>
      <c r="I597" s="42">
        <v>67.2</v>
      </c>
      <c r="J597" s="42">
        <v>68.69</v>
      </c>
      <c r="K597" s="42">
        <v>63.42</v>
      </c>
      <c r="L597" s="42">
        <v>66.52</v>
      </c>
      <c r="M597" s="42">
        <f t="shared" si="39"/>
        <v>7.8299999999999983</v>
      </c>
    </row>
    <row r="598" spans="2:13" x14ac:dyDescent="0.25">
      <c r="B598" s="42">
        <f t="shared" si="36"/>
        <v>10</v>
      </c>
      <c r="C598" s="42">
        <f t="shared" si="37"/>
        <v>4</v>
      </c>
      <c r="D598" s="42">
        <f t="shared" si="38"/>
        <v>2018</v>
      </c>
      <c r="E598" s="43">
        <v>43200</v>
      </c>
      <c r="F598" s="42">
        <v>57.2</v>
      </c>
      <c r="G598" s="42">
        <v>67.16</v>
      </c>
      <c r="H598" s="42">
        <v>56.88</v>
      </c>
      <c r="I598" s="42">
        <v>69.5</v>
      </c>
      <c r="J598" s="42">
        <v>70.81</v>
      </c>
      <c r="K598" s="42">
        <v>65.510000000000005</v>
      </c>
      <c r="L598" s="42">
        <v>68.709999999999994</v>
      </c>
      <c r="M598" s="42">
        <f t="shared" si="39"/>
        <v>8.3100000000000023</v>
      </c>
    </row>
    <row r="599" spans="2:13" x14ac:dyDescent="0.25">
      <c r="B599" s="42">
        <f t="shared" si="36"/>
        <v>11</v>
      </c>
      <c r="C599" s="42">
        <f t="shared" si="37"/>
        <v>4</v>
      </c>
      <c r="D599" s="42">
        <f t="shared" si="38"/>
        <v>2018</v>
      </c>
      <c r="E599" s="43">
        <v>43201</v>
      </c>
      <c r="F599" s="42">
        <v>58.74</v>
      </c>
      <c r="G599" s="42">
        <v>68.400000000000006</v>
      </c>
      <c r="H599" s="42">
        <v>57.92</v>
      </c>
      <c r="I599" s="42">
        <v>70.67</v>
      </c>
      <c r="J599" s="42">
        <v>72.66</v>
      </c>
      <c r="K599" s="42">
        <v>66.819999999999993</v>
      </c>
      <c r="L599" s="42">
        <v>70.12</v>
      </c>
      <c r="M599" s="42">
        <f t="shared" si="39"/>
        <v>8.0799999999999912</v>
      </c>
    </row>
    <row r="600" spans="2:13" x14ac:dyDescent="0.25">
      <c r="B600" s="42">
        <f t="shared" si="36"/>
        <v>12</v>
      </c>
      <c r="C600" s="42">
        <f t="shared" si="37"/>
        <v>4</v>
      </c>
      <c r="D600" s="42">
        <f t="shared" si="38"/>
        <v>2018</v>
      </c>
      <c r="E600" s="43">
        <v>43202</v>
      </c>
      <c r="F600" s="42">
        <v>58.69</v>
      </c>
      <c r="G600" s="42">
        <v>69.05</v>
      </c>
      <c r="H600" s="42">
        <v>58.62</v>
      </c>
      <c r="I600" s="42">
        <v>71.25</v>
      </c>
      <c r="J600" s="42">
        <v>71.59</v>
      </c>
      <c r="K600" s="42">
        <v>67.069999999999993</v>
      </c>
      <c r="L600" s="42">
        <v>70.319999999999993</v>
      </c>
      <c r="M600" s="42">
        <f t="shared" si="39"/>
        <v>8.3799999999999955</v>
      </c>
    </row>
    <row r="601" spans="2:13" x14ac:dyDescent="0.25">
      <c r="B601" s="42">
        <f t="shared" si="36"/>
        <v>13</v>
      </c>
      <c r="C601" s="42">
        <f t="shared" si="37"/>
        <v>4</v>
      </c>
      <c r="D601" s="42">
        <f t="shared" si="38"/>
        <v>2018</v>
      </c>
      <c r="E601" s="43">
        <v>43203</v>
      </c>
      <c r="F601" s="42">
        <v>59.4</v>
      </c>
      <c r="G601" s="42">
        <v>69.290000000000006</v>
      </c>
      <c r="H601" s="42">
        <v>58.94</v>
      </c>
      <c r="I601" s="42">
        <v>71.510000000000005</v>
      </c>
      <c r="J601" s="42">
        <v>72.739999999999995</v>
      </c>
      <c r="K601" s="42">
        <v>67.430000000000007</v>
      </c>
      <c r="L601" s="42">
        <v>70.58</v>
      </c>
      <c r="M601" s="42">
        <f t="shared" si="39"/>
        <v>8.0300000000000082</v>
      </c>
    </row>
    <row r="602" spans="2:13" x14ac:dyDescent="0.25">
      <c r="B602" s="42">
        <f t="shared" si="36"/>
        <v>16</v>
      </c>
      <c r="C602" s="42">
        <f t="shared" si="37"/>
        <v>4</v>
      </c>
      <c r="D602" s="42">
        <f t="shared" si="38"/>
        <v>2018</v>
      </c>
      <c r="E602" s="43">
        <v>43206</v>
      </c>
      <c r="F602" s="42">
        <v>58.52</v>
      </c>
      <c r="G602" s="42">
        <v>68.53</v>
      </c>
      <c r="H602" s="42">
        <v>58.34</v>
      </c>
      <c r="I602" s="42">
        <v>70.73</v>
      </c>
      <c r="J602" s="42">
        <v>71.69</v>
      </c>
      <c r="K602" s="42">
        <v>66.22</v>
      </c>
      <c r="L602" s="42">
        <v>69.37</v>
      </c>
      <c r="M602" s="42">
        <f t="shared" si="39"/>
        <v>7.6999999999999957</v>
      </c>
    </row>
    <row r="603" spans="2:13" x14ac:dyDescent="0.25">
      <c r="B603" s="42">
        <f t="shared" si="36"/>
        <v>17</v>
      </c>
      <c r="C603" s="42">
        <f t="shared" si="37"/>
        <v>4</v>
      </c>
      <c r="D603" s="42">
        <f t="shared" si="38"/>
        <v>2018</v>
      </c>
      <c r="E603" s="43">
        <v>43207</v>
      </c>
      <c r="F603" s="42">
        <v>58.68</v>
      </c>
      <c r="G603" s="42">
        <v>68.97</v>
      </c>
      <c r="H603" s="42">
        <v>58.69</v>
      </c>
      <c r="I603" s="42">
        <v>71.099999999999994</v>
      </c>
      <c r="J603" s="42">
        <v>71.569999999999993</v>
      </c>
      <c r="K603" s="42">
        <v>66.52</v>
      </c>
      <c r="L603" s="42">
        <v>69.52</v>
      </c>
      <c r="M603" s="42">
        <f t="shared" si="39"/>
        <v>7.8399999999999963</v>
      </c>
    </row>
    <row r="604" spans="2:13" x14ac:dyDescent="0.25">
      <c r="B604" s="42">
        <f t="shared" si="36"/>
        <v>18</v>
      </c>
      <c r="C604" s="42">
        <f t="shared" si="37"/>
        <v>4</v>
      </c>
      <c r="D604" s="42">
        <f t="shared" si="38"/>
        <v>2018</v>
      </c>
      <c r="E604" s="43">
        <v>43208</v>
      </c>
      <c r="F604" s="42">
        <v>60.14</v>
      </c>
      <c r="G604" s="42">
        <v>70.930000000000007</v>
      </c>
      <c r="H604" s="42">
        <v>60.4</v>
      </c>
      <c r="I604" s="42">
        <v>73.09</v>
      </c>
      <c r="J604" s="42">
        <v>73.22</v>
      </c>
      <c r="K604" s="42">
        <v>68.5</v>
      </c>
      <c r="L604" s="42">
        <v>71.3</v>
      </c>
      <c r="M604" s="42">
        <f t="shared" si="39"/>
        <v>8.36</v>
      </c>
    </row>
    <row r="605" spans="2:13" x14ac:dyDescent="0.25">
      <c r="B605" s="42">
        <f t="shared" si="36"/>
        <v>19</v>
      </c>
      <c r="C605" s="42">
        <f t="shared" si="37"/>
        <v>4</v>
      </c>
      <c r="D605" s="42">
        <f t="shared" si="38"/>
        <v>2018</v>
      </c>
      <c r="E605" s="43">
        <v>43209</v>
      </c>
      <c r="F605" s="42">
        <v>60.85</v>
      </c>
      <c r="G605" s="42">
        <v>70.58</v>
      </c>
      <c r="H605" s="42">
        <v>60.12</v>
      </c>
      <c r="I605" s="42">
        <v>72.790000000000006</v>
      </c>
      <c r="J605" s="42">
        <v>74.77</v>
      </c>
      <c r="K605" s="42">
        <v>68.34</v>
      </c>
      <c r="L605" s="42">
        <v>71.239999999999995</v>
      </c>
      <c r="M605" s="42">
        <f t="shared" si="39"/>
        <v>7.490000000000002</v>
      </c>
    </row>
    <row r="606" spans="2:13" x14ac:dyDescent="0.25">
      <c r="B606" s="42">
        <f t="shared" si="36"/>
        <v>20</v>
      </c>
      <c r="C606" s="42">
        <f t="shared" si="37"/>
        <v>4</v>
      </c>
      <c r="D606" s="42">
        <f t="shared" si="38"/>
        <v>2018</v>
      </c>
      <c r="E606" s="43">
        <v>43210</v>
      </c>
      <c r="F606" s="42">
        <v>60.12</v>
      </c>
      <c r="G606" s="42">
        <v>70.58</v>
      </c>
      <c r="H606" s="42">
        <v>60.14</v>
      </c>
      <c r="I606" s="42">
        <v>72.819999999999993</v>
      </c>
      <c r="J606" s="42">
        <v>73.64</v>
      </c>
      <c r="K606" s="42">
        <v>68.41</v>
      </c>
      <c r="L606" s="42">
        <v>71.31</v>
      </c>
      <c r="M606" s="42">
        <f t="shared" si="39"/>
        <v>8.2899999999999991</v>
      </c>
    </row>
    <row r="607" spans="2:13" x14ac:dyDescent="0.25">
      <c r="B607" s="42">
        <f t="shared" si="36"/>
        <v>23</v>
      </c>
      <c r="C607" s="42">
        <f t="shared" si="37"/>
        <v>4</v>
      </c>
      <c r="D607" s="42">
        <f t="shared" si="38"/>
        <v>2018</v>
      </c>
      <c r="E607" s="43">
        <v>43213</v>
      </c>
      <c r="F607" s="42">
        <v>60.33</v>
      </c>
      <c r="G607" s="42">
        <v>70.41</v>
      </c>
      <c r="H607" s="42">
        <v>59.86</v>
      </c>
      <c r="I607" s="42">
        <v>72.77</v>
      </c>
      <c r="J607" s="42">
        <v>74.150000000000006</v>
      </c>
      <c r="K607" s="42">
        <v>68.5</v>
      </c>
      <c r="L607" s="42">
        <v>71.7</v>
      </c>
      <c r="M607" s="42">
        <f t="shared" si="39"/>
        <v>8.1700000000000017</v>
      </c>
    </row>
    <row r="608" spans="2:13" x14ac:dyDescent="0.25">
      <c r="B608" s="42">
        <f t="shared" si="36"/>
        <v>24</v>
      </c>
      <c r="C608" s="42">
        <f t="shared" si="37"/>
        <v>4</v>
      </c>
      <c r="D608" s="42">
        <f t="shared" si="38"/>
        <v>2018</v>
      </c>
      <c r="E608" s="43">
        <v>43214</v>
      </c>
      <c r="F608" s="42">
        <v>60.02</v>
      </c>
      <c r="G608" s="42">
        <v>68.349999999999994</v>
      </c>
      <c r="H608" s="42">
        <v>58.38</v>
      </c>
      <c r="I608" s="42">
        <v>70.87</v>
      </c>
      <c r="J608" s="42">
        <v>75.11</v>
      </c>
      <c r="K608" s="42">
        <v>67.66</v>
      </c>
      <c r="L608" s="42">
        <v>70.86</v>
      </c>
      <c r="M608" s="42">
        <f t="shared" si="39"/>
        <v>7.6399999999999935</v>
      </c>
    </row>
    <row r="609" spans="2:13" x14ac:dyDescent="0.25">
      <c r="B609" s="42">
        <f t="shared" si="36"/>
        <v>25</v>
      </c>
      <c r="C609" s="42">
        <f t="shared" si="37"/>
        <v>4</v>
      </c>
      <c r="D609" s="42">
        <f t="shared" si="38"/>
        <v>2018</v>
      </c>
      <c r="E609" s="43">
        <v>43215</v>
      </c>
      <c r="F609" s="42">
        <v>60.09</v>
      </c>
      <c r="G609" s="42">
        <v>69.489999999999995</v>
      </c>
      <c r="H609" s="42">
        <v>59.03</v>
      </c>
      <c r="I609" s="42">
        <v>71.790000000000006</v>
      </c>
      <c r="J609" s="42">
        <v>73.900000000000006</v>
      </c>
      <c r="K609" s="42">
        <v>68.06</v>
      </c>
      <c r="L609" s="42">
        <v>71.510000000000005</v>
      </c>
      <c r="M609" s="42">
        <f t="shared" si="39"/>
        <v>7.9699999999999989</v>
      </c>
    </row>
    <row r="610" spans="2:13" x14ac:dyDescent="0.25">
      <c r="B610" s="42">
        <f t="shared" si="36"/>
        <v>26</v>
      </c>
      <c r="C610" s="42">
        <f t="shared" si="37"/>
        <v>4</v>
      </c>
      <c r="D610" s="42">
        <f t="shared" si="38"/>
        <v>2018</v>
      </c>
      <c r="E610" s="43">
        <v>43216</v>
      </c>
      <c r="F610" s="42">
        <v>60.7</v>
      </c>
      <c r="G610" s="42">
        <v>69.97</v>
      </c>
      <c r="H610" s="42">
        <v>59.81</v>
      </c>
      <c r="I610" s="42">
        <v>72.33</v>
      </c>
      <c r="J610" s="42">
        <v>74.709999999999994</v>
      </c>
      <c r="K610" s="42">
        <v>68.19</v>
      </c>
      <c r="L610" s="42">
        <v>71.489999999999995</v>
      </c>
      <c r="M610" s="42">
        <f t="shared" si="39"/>
        <v>7.4899999999999949</v>
      </c>
    </row>
    <row r="611" spans="2:13" x14ac:dyDescent="0.25">
      <c r="B611" s="42">
        <f t="shared" si="36"/>
        <v>27</v>
      </c>
      <c r="C611" s="42">
        <f t="shared" si="37"/>
        <v>4</v>
      </c>
      <c r="D611" s="42">
        <f t="shared" si="38"/>
        <v>2018</v>
      </c>
      <c r="E611" s="43">
        <v>43217</v>
      </c>
      <c r="F611" s="42">
        <v>60.89</v>
      </c>
      <c r="G611" s="42">
        <v>70.02</v>
      </c>
      <c r="H611" s="42">
        <v>60.2</v>
      </c>
      <c r="I611" s="42">
        <v>72.33</v>
      </c>
      <c r="J611" s="42">
        <v>74.64</v>
      </c>
      <c r="K611" s="42">
        <v>68.099999999999994</v>
      </c>
      <c r="L611" s="42">
        <v>71.55</v>
      </c>
      <c r="M611" s="42">
        <f t="shared" si="39"/>
        <v>7.2099999999999937</v>
      </c>
    </row>
    <row r="612" spans="2:13" x14ac:dyDescent="0.25">
      <c r="B612" s="42">
        <f t="shared" si="36"/>
        <v>30</v>
      </c>
      <c r="C612" s="42">
        <f t="shared" si="37"/>
        <v>4</v>
      </c>
      <c r="D612" s="42">
        <f t="shared" si="38"/>
        <v>2018</v>
      </c>
      <c r="E612" s="43">
        <v>43220</v>
      </c>
      <c r="F612" s="42">
        <v>61.35</v>
      </c>
      <c r="G612" s="42">
        <v>70.73</v>
      </c>
      <c r="H612" s="42">
        <v>60.69</v>
      </c>
      <c r="I612" s="42">
        <v>73.06</v>
      </c>
      <c r="J612" s="42">
        <v>74.900000000000006</v>
      </c>
      <c r="K612" s="42">
        <v>68.599999999999994</v>
      </c>
      <c r="L612" s="42">
        <v>72.5</v>
      </c>
      <c r="M612" s="42">
        <f t="shared" si="39"/>
        <v>7.2499999999999929</v>
      </c>
    </row>
    <row r="613" spans="2:13" x14ac:dyDescent="0.25">
      <c r="B613" s="42">
        <f t="shared" si="36"/>
        <v>1</v>
      </c>
      <c r="C613" s="42">
        <f t="shared" si="37"/>
        <v>5</v>
      </c>
      <c r="D613" s="42">
        <f t="shared" si="38"/>
        <v>2018</v>
      </c>
      <c r="E613" s="43">
        <v>43221</v>
      </c>
      <c r="F613" s="42">
        <v>61.21</v>
      </c>
      <c r="G613" s="42">
        <v>71</v>
      </c>
      <c r="H613" s="42">
        <v>61.5</v>
      </c>
      <c r="I613" s="42">
        <v>72.989999999999995</v>
      </c>
      <c r="J613" s="42">
        <v>73.8</v>
      </c>
      <c r="K613" s="42">
        <v>67.25</v>
      </c>
      <c r="L613" s="42">
        <v>71.05</v>
      </c>
      <c r="M613" s="42">
        <f t="shared" si="39"/>
        <v>6.0399999999999991</v>
      </c>
    </row>
    <row r="614" spans="2:13" x14ac:dyDescent="0.25">
      <c r="B614" s="42">
        <f t="shared" si="36"/>
        <v>2</v>
      </c>
      <c r="C614" s="42">
        <f t="shared" si="37"/>
        <v>5</v>
      </c>
      <c r="D614" s="42">
        <f t="shared" si="38"/>
        <v>2018</v>
      </c>
      <c r="E614" s="43">
        <v>43222</v>
      </c>
      <c r="F614" s="42">
        <v>60.19</v>
      </c>
      <c r="G614" s="42">
        <v>70.209999999999994</v>
      </c>
      <c r="H614" s="42">
        <v>60.49</v>
      </c>
      <c r="I614" s="42">
        <v>72.27</v>
      </c>
      <c r="J614" s="42">
        <v>72.709999999999994</v>
      </c>
      <c r="K614" s="42">
        <v>67.930000000000007</v>
      </c>
      <c r="L614" s="42">
        <v>71.53</v>
      </c>
      <c r="M614" s="42">
        <f t="shared" si="39"/>
        <v>7.7400000000000091</v>
      </c>
    </row>
    <row r="615" spans="2:13" x14ac:dyDescent="0.25">
      <c r="B615" s="42">
        <f t="shared" si="36"/>
        <v>3</v>
      </c>
      <c r="C615" s="42">
        <f t="shared" si="37"/>
        <v>5</v>
      </c>
      <c r="D615" s="42">
        <f t="shared" si="38"/>
        <v>2018</v>
      </c>
      <c r="E615" s="43">
        <v>43223</v>
      </c>
      <c r="F615" s="42">
        <v>59.9</v>
      </c>
      <c r="G615" s="42">
        <v>69.66</v>
      </c>
      <c r="H615" s="42">
        <v>59.44</v>
      </c>
      <c r="I615" s="42">
        <v>71.89</v>
      </c>
      <c r="J615" s="42">
        <v>73.23</v>
      </c>
      <c r="K615" s="42">
        <v>68.430000000000007</v>
      </c>
      <c r="L615" s="42">
        <v>72.03</v>
      </c>
      <c r="M615" s="42">
        <f t="shared" si="39"/>
        <v>8.5300000000000082</v>
      </c>
    </row>
    <row r="616" spans="2:13" x14ac:dyDescent="0.25">
      <c r="B616" s="42">
        <f t="shared" si="36"/>
        <v>4</v>
      </c>
      <c r="C616" s="42">
        <f t="shared" si="37"/>
        <v>5</v>
      </c>
      <c r="D616" s="42">
        <f t="shared" si="38"/>
        <v>2018</v>
      </c>
      <c r="E616" s="43">
        <v>43224</v>
      </c>
      <c r="F616" s="42">
        <v>60.64</v>
      </c>
      <c r="G616" s="42">
        <v>70.72</v>
      </c>
      <c r="H616" s="42">
        <v>60.64</v>
      </c>
      <c r="I616" s="42">
        <v>72.989999999999995</v>
      </c>
      <c r="J616" s="42">
        <v>74.23</v>
      </c>
      <c r="K616" s="42">
        <v>69.73</v>
      </c>
      <c r="L616" s="42">
        <v>73.23</v>
      </c>
      <c r="M616" s="42">
        <f t="shared" si="39"/>
        <v>9.0900000000000034</v>
      </c>
    </row>
    <row r="617" spans="2:13" x14ac:dyDescent="0.25">
      <c r="B617" s="42">
        <f t="shared" si="36"/>
        <v>7</v>
      </c>
      <c r="C617" s="42">
        <f t="shared" si="37"/>
        <v>5</v>
      </c>
      <c r="D617" s="42">
        <f t="shared" si="38"/>
        <v>2018</v>
      </c>
      <c r="E617" s="43">
        <v>43227</v>
      </c>
      <c r="F617" s="42">
        <v>60.64</v>
      </c>
      <c r="G617" s="42">
        <v>71.44</v>
      </c>
      <c r="H617" s="42">
        <v>61.29</v>
      </c>
      <c r="I617" s="42">
        <v>73.66</v>
      </c>
      <c r="J617" s="42">
        <v>74.23</v>
      </c>
      <c r="K617" s="42">
        <v>70.73</v>
      </c>
      <c r="L617" s="42">
        <v>74.28</v>
      </c>
      <c r="M617" s="42">
        <f t="shared" si="39"/>
        <v>10.090000000000003</v>
      </c>
    </row>
    <row r="618" spans="2:13" x14ac:dyDescent="0.25">
      <c r="B618" s="42">
        <f t="shared" si="36"/>
        <v>8</v>
      </c>
      <c r="C618" s="42">
        <f t="shared" si="37"/>
        <v>5</v>
      </c>
      <c r="D618" s="42">
        <f t="shared" si="38"/>
        <v>2018</v>
      </c>
      <c r="E618" s="43">
        <v>43228</v>
      </c>
      <c r="F618" s="42">
        <v>60.88</v>
      </c>
      <c r="G618" s="42">
        <v>70.42</v>
      </c>
      <c r="H618" s="42">
        <v>60.7</v>
      </c>
      <c r="I618" s="42">
        <v>72.86</v>
      </c>
      <c r="J618" s="42">
        <v>74</v>
      </c>
      <c r="K618" s="42">
        <v>69.06</v>
      </c>
      <c r="L618" s="42">
        <v>72.709999999999994</v>
      </c>
      <c r="M618" s="42">
        <f t="shared" si="39"/>
        <v>8.18</v>
      </c>
    </row>
    <row r="619" spans="2:13" x14ac:dyDescent="0.25">
      <c r="B619" s="42">
        <f t="shared" si="36"/>
        <v>9</v>
      </c>
      <c r="C619" s="42">
        <f t="shared" si="37"/>
        <v>5</v>
      </c>
      <c r="D619" s="42">
        <f t="shared" si="38"/>
        <v>2018</v>
      </c>
      <c r="E619" s="43">
        <v>43229</v>
      </c>
      <c r="F619" s="42">
        <v>63.45</v>
      </c>
      <c r="G619" s="42">
        <v>72.75</v>
      </c>
      <c r="H619" s="42">
        <v>62.98</v>
      </c>
      <c r="I619" s="42">
        <v>75.02</v>
      </c>
      <c r="J619" s="42">
        <v>77.17</v>
      </c>
      <c r="K619" s="42">
        <v>71.14</v>
      </c>
      <c r="L619" s="42">
        <v>74.790000000000006</v>
      </c>
      <c r="M619" s="42">
        <f t="shared" si="39"/>
        <v>7.6899999999999977</v>
      </c>
    </row>
    <row r="620" spans="2:13" x14ac:dyDescent="0.25">
      <c r="B620" s="42">
        <f t="shared" si="36"/>
        <v>10</v>
      </c>
      <c r="C620" s="42">
        <f t="shared" si="37"/>
        <v>5</v>
      </c>
      <c r="D620" s="42">
        <f t="shared" si="38"/>
        <v>2018</v>
      </c>
      <c r="E620" s="43">
        <v>43230</v>
      </c>
      <c r="F620" s="42">
        <v>63.76</v>
      </c>
      <c r="G620" s="42">
        <v>72.66</v>
      </c>
      <c r="H620" s="42">
        <v>62.9</v>
      </c>
      <c r="I620" s="42">
        <v>74.97</v>
      </c>
      <c r="J620" s="42">
        <v>77.19</v>
      </c>
      <c r="K620" s="42">
        <v>71.36</v>
      </c>
      <c r="L620" s="42">
        <v>75.010000000000005</v>
      </c>
      <c r="M620" s="42">
        <f t="shared" si="39"/>
        <v>7.6000000000000014</v>
      </c>
    </row>
    <row r="621" spans="2:13" x14ac:dyDescent="0.25">
      <c r="B621" s="42">
        <f t="shared" si="36"/>
        <v>11</v>
      </c>
      <c r="C621" s="42">
        <f t="shared" si="37"/>
        <v>5</v>
      </c>
      <c r="D621" s="42">
        <f t="shared" si="38"/>
        <v>2018</v>
      </c>
      <c r="E621" s="43">
        <v>43231</v>
      </c>
      <c r="F621" s="42">
        <v>63.76</v>
      </c>
      <c r="G621" s="42">
        <v>72.38</v>
      </c>
      <c r="H621" s="42">
        <v>63.33</v>
      </c>
      <c r="I621" s="42">
        <v>74.650000000000006</v>
      </c>
      <c r="J621" s="42">
        <v>77.510000000000005</v>
      </c>
      <c r="K621" s="42">
        <v>70.73</v>
      </c>
      <c r="L621" s="42">
        <v>74.53</v>
      </c>
      <c r="M621" s="42">
        <f t="shared" si="39"/>
        <v>6.970000000000006</v>
      </c>
    </row>
    <row r="622" spans="2:13" x14ac:dyDescent="0.25">
      <c r="B622" s="42">
        <f t="shared" si="36"/>
        <v>14</v>
      </c>
      <c r="C622" s="42">
        <f t="shared" si="37"/>
        <v>5</v>
      </c>
      <c r="D622" s="42">
        <f t="shared" si="38"/>
        <v>2018</v>
      </c>
      <c r="E622" s="43">
        <v>43234</v>
      </c>
      <c r="F622" s="42">
        <v>64.44</v>
      </c>
      <c r="G622" s="42">
        <v>72.92</v>
      </c>
      <c r="H622" s="42">
        <v>63.93</v>
      </c>
      <c r="I622" s="42">
        <v>75.31</v>
      </c>
      <c r="J622" s="42">
        <v>77.900000000000006</v>
      </c>
      <c r="K622" s="42">
        <v>70.989999999999995</v>
      </c>
      <c r="L622" s="42">
        <v>75.19</v>
      </c>
      <c r="M622" s="42">
        <f t="shared" si="39"/>
        <v>6.5499999999999972</v>
      </c>
    </row>
    <row r="623" spans="2:13" x14ac:dyDescent="0.25">
      <c r="B623" s="42">
        <f t="shared" si="36"/>
        <v>15</v>
      </c>
      <c r="C623" s="42">
        <f t="shared" si="37"/>
        <v>5</v>
      </c>
      <c r="D623" s="42">
        <f t="shared" si="38"/>
        <v>2018</v>
      </c>
      <c r="E623" s="43">
        <v>43235</v>
      </c>
      <c r="F623" s="42">
        <v>65.45</v>
      </c>
      <c r="G623" s="42">
        <v>74.430000000000007</v>
      </c>
      <c r="H623" s="42">
        <v>65.260000000000005</v>
      </c>
      <c r="I623" s="42">
        <v>76.56</v>
      </c>
      <c r="J623" s="42">
        <v>78.81</v>
      </c>
      <c r="K623" s="42">
        <v>71.31</v>
      </c>
      <c r="L623" s="42">
        <v>75.66</v>
      </c>
      <c r="M623" s="42">
        <f t="shared" si="39"/>
        <v>5.8599999999999994</v>
      </c>
    </row>
    <row r="624" spans="2:13" x14ac:dyDescent="0.25">
      <c r="B624" s="42">
        <f t="shared" si="36"/>
        <v>16</v>
      </c>
      <c r="C624" s="42">
        <f t="shared" si="37"/>
        <v>5</v>
      </c>
      <c r="D624" s="42">
        <f t="shared" si="38"/>
        <v>2018</v>
      </c>
      <c r="E624" s="43">
        <v>43236</v>
      </c>
      <c r="F624" s="42">
        <v>66</v>
      </c>
      <c r="G624" s="42">
        <v>74.599999999999994</v>
      </c>
      <c r="H624" s="42">
        <v>65.239999999999995</v>
      </c>
      <c r="I624" s="42">
        <v>76.81</v>
      </c>
      <c r="J624" s="42">
        <v>78.27</v>
      </c>
      <c r="K624" s="42">
        <v>71.489999999999995</v>
      </c>
      <c r="L624" s="42">
        <v>76.489999999999995</v>
      </c>
      <c r="M624" s="42">
        <f t="shared" si="39"/>
        <v>5.4899999999999949</v>
      </c>
    </row>
    <row r="625" spans="2:13" x14ac:dyDescent="0.25">
      <c r="B625" s="42">
        <f t="shared" si="36"/>
        <v>17</v>
      </c>
      <c r="C625" s="42">
        <f t="shared" si="37"/>
        <v>5</v>
      </c>
      <c r="D625" s="42">
        <f t="shared" si="38"/>
        <v>2018</v>
      </c>
      <c r="E625" s="43">
        <v>43237</v>
      </c>
      <c r="F625" s="42">
        <v>67.209999999999994</v>
      </c>
      <c r="G625" s="42">
        <v>75.55</v>
      </c>
      <c r="H625" s="42">
        <v>66.45</v>
      </c>
      <c r="I625" s="42">
        <v>77.680000000000007</v>
      </c>
      <c r="J625" s="42">
        <v>80.459999999999994</v>
      </c>
      <c r="K625" s="42">
        <v>71.489999999999995</v>
      </c>
      <c r="L625" s="42">
        <v>76.989999999999995</v>
      </c>
      <c r="M625" s="42">
        <f t="shared" si="39"/>
        <v>4.2800000000000011</v>
      </c>
    </row>
    <row r="626" spans="2:13" x14ac:dyDescent="0.25">
      <c r="B626" s="42">
        <f t="shared" si="36"/>
        <v>18</v>
      </c>
      <c r="C626" s="42">
        <f t="shared" si="37"/>
        <v>5</v>
      </c>
      <c r="D626" s="42">
        <f t="shared" si="38"/>
        <v>2018</v>
      </c>
      <c r="E626" s="43">
        <v>43238</v>
      </c>
      <c r="F626" s="42">
        <v>66.83</v>
      </c>
      <c r="G626" s="42">
        <v>75.89</v>
      </c>
      <c r="H626" s="42">
        <v>67.06</v>
      </c>
      <c r="I626" s="42">
        <v>77.83</v>
      </c>
      <c r="J626" s="42">
        <v>79.08</v>
      </c>
      <c r="K626" s="42">
        <v>71.28</v>
      </c>
      <c r="L626" s="42">
        <v>77.23</v>
      </c>
      <c r="M626" s="42">
        <f t="shared" si="39"/>
        <v>4.4500000000000028</v>
      </c>
    </row>
    <row r="627" spans="2:13" x14ac:dyDescent="0.25">
      <c r="B627" s="42">
        <f t="shared" si="36"/>
        <v>21</v>
      </c>
      <c r="C627" s="42">
        <f t="shared" si="37"/>
        <v>5</v>
      </c>
      <c r="D627" s="42">
        <f t="shared" si="38"/>
        <v>2018</v>
      </c>
      <c r="E627" s="43">
        <v>43241</v>
      </c>
      <c r="F627" s="42">
        <v>67.5</v>
      </c>
      <c r="G627" s="42">
        <v>77.48</v>
      </c>
      <c r="H627" s="42">
        <v>68.239999999999995</v>
      </c>
      <c r="I627" s="42">
        <v>79.290000000000006</v>
      </c>
      <c r="J627" s="42">
        <v>78.8</v>
      </c>
      <c r="K627" s="42">
        <v>72.27</v>
      </c>
      <c r="L627" s="42">
        <v>78.069999999999993</v>
      </c>
      <c r="M627" s="42">
        <f t="shared" si="39"/>
        <v>4.769999999999996</v>
      </c>
    </row>
    <row r="628" spans="2:13" x14ac:dyDescent="0.25">
      <c r="B628" s="42">
        <f t="shared" si="36"/>
        <v>22</v>
      </c>
      <c r="C628" s="42">
        <f t="shared" si="37"/>
        <v>5</v>
      </c>
      <c r="D628" s="42">
        <f t="shared" si="38"/>
        <v>2018</v>
      </c>
      <c r="E628" s="43">
        <v>43242</v>
      </c>
      <c r="F628" s="42">
        <v>68.22</v>
      </c>
      <c r="G628" s="42">
        <v>77.56</v>
      </c>
      <c r="H628" s="42">
        <v>68.05</v>
      </c>
      <c r="I628" s="42">
        <v>79.349999999999994</v>
      </c>
      <c r="J628" s="42">
        <v>80.28</v>
      </c>
      <c r="K628" s="42">
        <v>72.17</v>
      </c>
      <c r="L628" s="42">
        <v>78.42</v>
      </c>
      <c r="M628" s="42">
        <f t="shared" si="39"/>
        <v>3.9500000000000028</v>
      </c>
    </row>
    <row r="629" spans="2:13" x14ac:dyDescent="0.25">
      <c r="B629" s="42">
        <f t="shared" si="36"/>
        <v>23</v>
      </c>
      <c r="C629" s="42">
        <f t="shared" si="37"/>
        <v>5</v>
      </c>
      <c r="D629" s="42">
        <f t="shared" si="38"/>
        <v>2018</v>
      </c>
      <c r="E629" s="43">
        <v>43243</v>
      </c>
      <c r="F629" s="42">
        <v>66.39</v>
      </c>
      <c r="G629" s="42">
        <v>76.08</v>
      </c>
      <c r="H629" s="42">
        <v>66.58</v>
      </c>
      <c r="I629" s="42">
        <v>78.17</v>
      </c>
      <c r="J629" s="42">
        <v>78.900000000000006</v>
      </c>
      <c r="K629" s="42">
        <v>71.84</v>
      </c>
      <c r="L629" s="42">
        <v>78.39</v>
      </c>
      <c r="M629" s="42">
        <f t="shared" si="39"/>
        <v>5.4500000000000028</v>
      </c>
    </row>
    <row r="630" spans="2:13" x14ac:dyDescent="0.25">
      <c r="B630" s="42">
        <f t="shared" si="36"/>
        <v>24</v>
      </c>
      <c r="C630" s="42">
        <f t="shared" si="37"/>
        <v>5</v>
      </c>
      <c r="D630" s="42">
        <f t="shared" si="38"/>
        <v>2018</v>
      </c>
      <c r="E630" s="43">
        <v>43244</v>
      </c>
      <c r="F630" s="42">
        <v>65.930000000000007</v>
      </c>
      <c r="G630" s="42">
        <v>75.069999999999993</v>
      </c>
      <c r="H630" s="42">
        <v>64.84</v>
      </c>
      <c r="I630" s="42">
        <v>77.180000000000007</v>
      </c>
      <c r="J630" s="42">
        <v>78.98</v>
      </c>
      <c r="K630" s="42">
        <v>70.739999999999995</v>
      </c>
      <c r="L630" s="42">
        <v>78.84</v>
      </c>
      <c r="M630" s="42">
        <f t="shared" si="39"/>
        <v>4.8099999999999881</v>
      </c>
    </row>
    <row r="631" spans="2:13" x14ac:dyDescent="0.25">
      <c r="B631" s="42">
        <f t="shared" si="36"/>
        <v>25</v>
      </c>
      <c r="C631" s="42">
        <f t="shared" si="37"/>
        <v>5</v>
      </c>
      <c r="D631" s="42">
        <f t="shared" si="38"/>
        <v>2018</v>
      </c>
      <c r="E631" s="43">
        <v>43245</v>
      </c>
      <c r="F631" s="42">
        <v>62.99</v>
      </c>
      <c r="G631" s="42">
        <v>71.709999999999994</v>
      </c>
      <c r="H631" s="42">
        <v>61.92</v>
      </c>
      <c r="I631" s="42">
        <v>73.989999999999995</v>
      </c>
      <c r="J631" s="42">
        <v>76.41</v>
      </c>
      <c r="K631" s="42">
        <v>67.92</v>
      </c>
      <c r="L631" s="42">
        <v>75.62</v>
      </c>
      <c r="M631" s="42">
        <f t="shared" si="39"/>
        <v>4.93</v>
      </c>
    </row>
    <row r="632" spans="2:13" x14ac:dyDescent="0.25">
      <c r="B632" s="42">
        <f t="shared" si="36"/>
        <v>28</v>
      </c>
      <c r="C632" s="42">
        <f t="shared" si="37"/>
        <v>5</v>
      </c>
      <c r="D632" s="42">
        <f t="shared" si="38"/>
        <v>2018</v>
      </c>
      <c r="E632" s="43">
        <v>43248</v>
      </c>
      <c r="F632" s="42">
        <v>62.99</v>
      </c>
      <c r="G632" s="42">
        <v>71.709999999999994</v>
      </c>
      <c r="H632" s="42">
        <v>61.92</v>
      </c>
      <c r="I632" s="42">
        <v>73.989999999999995</v>
      </c>
      <c r="J632" s="42">
        <v>76.41</v>
      </c>
      <c r="K632" s="42">
        <v>67.92</v>
      </c>
      <c r="L632" s="42">
        <v>75.62</v>
      </c>
      <c r="M632" s="42">
        <f t="shared" si="39"/>
        <v>4.93</v>
      </c>
    </row>
    <row r="633" spans="2:13" x14ac:dyDescent="0.25">
      <c r="B633" s="42">
        <f t="shared" si="36"/>
        <v>29</v>
      </c>
      <c r="C633" s="42">
        <f t="shared" si="37"/>
        <v>5</v>
      </c>
      <c r="D633" s="42">
        <f t="shared" si="38"/>
        <v>2018</v>
      </c>
      <c r="E633" s="43">
        <v>43249</v>
      </c>
      <c r="F633" s="42">
        <v>62.99</v>
      </c>
      <c r="G633" s="42">
        <v>70.430000000000007</v>
      </c>
      <c r="H633" s="42">
        <v>60.6</v>
      </c>
      <c r="I633" s="42">
        <v>72.75</v>
      </c>
      <c r="J633" s="42">
        <v>75.16</v>
      </c>
      <c r="K633" s="42">
        <v>66.73</v>
      </c>
      <c r="L633" s="42">
        <v>73.48</v>
      </c>
      <c r="M633" s="42">
        <f t="shared" si="39"/>
        <v>3.740000000000002</v>
      </c>
    </row>
    <row r="634" spans="2:13" x14ac:dyDescent="0.25">
      <c r="B634" s="42">
        <f t="shared" si="36"/>
        <v>30</v>
      </c>
      <c r="C634" s="42">
        <f t="shared" si="37"/>
        <v>5</v>
      </c>
      <c r="D634" s="42">
        <f t="shared" si="38"/>
        <v>2018</v>
      </c>
      <c r="E634" s="43">
        <v>43250</v>
      </c>
      <c r="F634" s="42">
        <v>62.9</v>
      </c>
      <c r="G634" s="42">
        <v>71.77</v>
      </c>
      <c r="H634" s="42">
        <v>61.95</v>
      </c>
      <c r="I634" s="42">
        <v>74.27</v>
      </c>
      <c r="J634" s="42">
        <v>77.02</v>
      </c>
      <c r="K634" s="42">
        <v>68.239999999999995</v>
      </c>
      <c r="L634" s="42">
        <v>75.94</v>
      </c>
      <c r="M634" s="42">
        <f t="shared" si="39"/>
        <v>5.3399999999999963</v>
      </c>
    </row>
    <row r="635" spans="2:13" x14ac:dyDescent="0.25">
      <c r="B635" s="42">
        <f t="shared" si="36"/>
        <v>31</v>
      </c>
      <c r="C635" s="42">
        <f t="shared" si="37"/>
        <v>5</v>
      </c>
      <c r="D635" s="42">
        <f t="shared" si="38"/>
        <v>2018</v>
      </c>
      <c r="E635" s="43">
        <v>43251</v>
      </c>
      <c r="F635" s="42">
        <v>63.48</v>
      </c>
      <c r="G635" s="42">
        <v>71.86</v>
      </c>
      <c r="H635" s="42">
        <v>61.96</v>
      </c>
      <c r="I635" s="42">
        <v>74.319999999999993</v>
      </c>
      <c r="J635" s="42">
        <v>77.650000000000006</v>
      </c>
      <c r="K635" s="42">
        <v>67.08</v>
      </c>
      <c r="L635" s="42">
        <v>76.58</v>
      </c>
      <c r="M635" s="42">
        <f t="shared" si="39"/>
        <v>3.6000000000000014</v>
      </c>
    </row>
    <row r="636" spans="2:13" x14ac:dyDescent="0.25">
      <c r="B636" s="42">
        <f t="shared" si="36"/>
        <v>1</v>
      </c>
      <c r="C636" s="42">
        <f t="shared" si="37"/>
        <v>6</v>
      </c>
      <c r="D636" s="42">
        <f t="shared" si="38"/>
        <v>2018</v>
      </c>
      <c r="E636" s="43">
        <v>43252</v>
      </c>
      <c r="F636" s="42">
        <v>63.97</v>
      </c>
      <c r="G636" s="42">
        <v>70.069999999999993</v>
      </c>
      <c r="H636" s="42">
        <v>63.47</v>
      </c>
      <c r="I636" s="42">
        <v>73.14</v>
      </c>
      <c r="J636" s="42">
        <v>76.5</v>
      </c>
      <c r="K636" s="42">
        <v>65.86</v>
      </c>
      <c r="L636" s="42">
        <v>74.36</v>
      </c>
      <c r="M636" s="42">
        <f t="shared" si="39"/>
        <v>1.8900000000000006</v>
      </c>
    </row>
    <row r="637" spans="2:13" x14ac:dyDescent="0.25">
      <c r="B637" s="42">
        <f t="shared" si="36"/>
        <v>4</v>
      </c>
      <c r="C637" s="42">
        <f t="shared" si="37"/>
        <v>6</v>
      </c>
      <c r="D637" s="42">
        <f t="shared" si="38"/>
        <v>2018</v>
      </c>
      <c r="E637" s="43">
        <v>43255</v>
      </c>
      <c r="F637" s="42">
        <v>63.17</v>
      </c>
      <c r="G637" s="42">
        <v>69.239999999999995</v>
      </c>
      <c r="H637" s="42">
        <v>62.84</v>
      </c>
      <c r="I637" s="42">
        <v>72.2</v>
      </c>
      <c r="J637" s="42">
        <v>75.38</v>
      </c>
      <c r="K637" s="42">
        <v>64.75</v>
      </c>
      <c r="L637" s="42">
        <v>73.45</v>
      </c>
      <c r="M637" s="42">
        <f t="shared" si="39"/>
        <v>1.5799999999999983</v>
      </c>
    </row>
    <row r="638" spans="2:13" x14ac:dyDescent="0.25">
      <c r="B638" s="42">
        <f t="shared" si="36"/>
        <v>5</v>
      </c>
      <c r="C638" s="42">
        <f t="shared" si="37"/>
        <v>6</v>
      </c>
      <c r="D638" s="42">
        <f t="shared" si="38"/>
        <v>2018</v>
      </c>
      <c r="E638" s="43">
        <v>43256</v>
      </c>
      <c r="F638" s="42">
        <v>63.18</v>
      </c>
      <c r="G638" s="42">
        <v>69.34</v>
      </c>
      <c r="H638" s="42">
        <v>63.11</v>
      </c>
      <c r="I638" s="42">
        <v>72.23</v>
      </c>
      <c r="J638" s="42">
        <v>74.59</v>
      </c>
      <c r="K638" s="42">
        <v>65.540000000000006</v>
      </c>
      <c r="L638" s="42">
        <v>72.790000000000006</v>
      </c>
      <c r="M638" s="42">
        <f t="shared" si="39"/>
        <v>2.3600000000000065</v>
      </c>
    </row>
    <row r="639" spans="2:13" x14ac:dyDescent="0.25">
      <c r="B639" s="42">
        <f t="shared" si="36"/>
        <v>6</v>
      </c>
      <c r="C639" s="42">
        <f t="shared" si="37"/>
        <v>6</v>
      </c>
      <c r="D639" s="42">
        <f t="shared" si="38"/>
        <v>2018</v>
      </c>
      <c r="E639" s="43">
        <v>43257</v>
      </c>
      <c r="F639" s="42">
        <v>63.04</v>
      </c>
      <c r="G639" s="42">
        <v>69.180000000000007</v>
      </c>
      <c r="H639" s="42">
        <v>62.75</v>
      </c>
      <c r="I639" s="42">
        <v>72.23</v>
      </c>
      <c r="J639" s="42">
        <v>75.05</v>
      </c>
      <c r="K639" s="42">
        <v>64.790000000000006</v>
      </c>
      <c r="L639" s="42">
        <v>73.040000000000006</v>
      </c>
      <c r="M639" s="42">
        <f t="shared" si="39"/>
        <v>1.7500000000000071</v>
      </c>
    </row>
    <row r="640" spans="2:13" x14ac:dyDescent="0.25">
      <c r="B640" s="42">
        <f t="shared" si="36"/>
        <v>7</v>
      </c>
      <c r="C640" s="42">
        <f t="shared" si="37"/>
        <v>6</v>
      </c>
      <c r="D640" s="42">
        <f t="shared" si="38"/>
        <v>2018</v>
      </c>
      <c r="E640" s="43">
        <v>43258</v>
      </c>
      <c r="F640" s="42">
        <v>64.900000000000006</v>
      </c>
      <c r="G640" s="42">
        <v>71.3</v>
      </c>
      <c r="H640" s="42">
        <v>64.7</v>
      </c>
      <c r="I640" s="42">
        <v>74.260000000000005</v>
      </c>
      <c r="J640" s="42">
        <v>77.010000000000005</v>
      </c>
      <c r="K640" s="42">
        <v>65.95</v>
      </c>
      <c r="L640" s="42">
        <v>74.95</v>
      </c>
      <c r="M640" s="42">
        <f t="shared" si="39"/>
        <v>1.0499999999999972</v>
      </c>
    </row>
    <row r="641" spans="2:13" x14ac:dyDescent="0.25">
      <c r="B641" s="42">
        <f t="shared" si="36"/>
        <v>8</v>
      </c>
      <c r="C641" s="42">
        <f t="shared" si="37"/>
        <v>6</v>
      </c>
      <c r="D641" s="42">
        <f t="shared" si="38"/>
        <v>2018</v>
      </c>
      <c r="E641" s="43">
        <v>43259</v>
      </c>
      <c r="F641" s="42">
        <v>64.260000000000005</v>
      </c>
      <c r="G641" s="42">
        <v>70.44</v>
      </c>
      <c r="H641" s="42">
        <v>64.17</v>
      </c>
      <c r="I641" s="42">
        <v>73.39</v>
      </c>
      <c r="J641" s="42">
        <v>76.64</v>
      </c>
      <c r="K641" s="42">
        <v>65.739999999999995</v>
      </c>
      <c r="L641" s="42">
        <v>74.44</v>
      </c>
      <c r="M641" s="42">
        <f t="shared" si="39"/>
        <v>1.4799999999999898</v>
      </c>
    </row>
    <row r="642" spans="2:13" x14ac:dyDescent="0.25">
      <c r="B642" s="42">
        <f t="shared" si="36"/>
        <v>11</v>
      </c>
      <c r="C642" s="42">
        <f t="shared" si="37"/>
        <v>6</v>
      </c>
      <c r="D642" s="42">
        <f t="shared" si="38"/>
        <v>2018</v>
      </c>
      <c r="E642" s="43">
        <v>43262</v>
      </c>
      <c r="F642" s="42">
        <v>64.739999999999995</v>
      </c>
      <c r="G642" s="42">
        <v>71.2</v>
      </c>
      <c r="H642" s="42">
        <v>64.709999999999994</v>
      </c>
      <c r="I642" s="42">
        <v>73.98</v>
      </c>
      <c r="J642" s="42">
        <v>76.61</v>
      </c>
      <c r="K642" s="42">
        <v>66.099999999999994</v>
      </c>
      <c r="L642" s="42">
        <v>74.599999999999994</v>
      </c>
      <c r="M642" s="42">
        <f t="shared" si="39"/>
        <v>1.3599999999999994</v>
      </c>
    </row>
    <row r="643" spans="2:13" x14ac:dyDescent="0.25">
      <c r="B643" s="42">
        <f t="shared" si="36"/>
        <v>12</v>
      </c>
      <c r="C643" s="42">
        <f t="shared" si="37"/>
        <v>6</v>
      </c>
      <c r="D643" s="42">
        <f t="shared" si="38"/>
        <v>2018</v>
      </c>
      <c r="E643" s="43">
        <v>43263</v>
      </c>
      <c r="F643" s="42">
        <v>64.209999999999994</v>
      </c>
      <c r="G643" s="42">
        <v>70.87</v>
      </c>
      <c r="H643" s="42">
        <v>63.89</v>
      </c>
      <c r="I643" s="42">
        <v>73.650000000000006</v>
      </c>
      <c r="J643" s="42">
        <v>76.44</v>
      </c>
      <c r="K643" s="42">
        <v>66.39</v>
      </c>
      <c r="L643" s="42">
        <v>74.84</v>
      </c>
      <c r="M643" s="42">
        <f t="shared" si="39"/>
        <v>2.1800000000000068</v>
      </c>
    </row>
    <row r="644" spans="2:13" x14ac:dyDescent="0.25">
      <c r="B644" s="42">
        <f t="shared" si="36"/>
        <v>13</v>
      </c>
      <c r="C644" s="42">
        <f t="shared" si="37"/>
        <v>6</v>
      </c>
      <c r="D644" s="42">
        <f t="shared" si="38"/>
        <v>2018</v>
      </c>
      <c r="E644" s="43">
        <v>43264</v>
      </c>
      <c r="F644" s="42">
        <v>64.17</v>
      </c>
      <c r="G644" s="42">
        <v>71.260000000000005</v>
      </c>
      <c r="H644" s="42">
        <v>64.3</v>
      </c>
      <c r="I644" s="42">
        <v>74.12</v>
      </c>
      <c r="J644" s="42">
        <v>76.319999999999993</v>
      </c>
      <c r="K644" s="42">
        <v>66.64</v>
      </c>
      <c r="L644" s="42">
        <v>75.239999999999995</v>
      </c>
      <c r="M644" s="42">
        <f t="shared" si="39"/>
        <v>2.4699999999999989</v>
      </c>
    </row>
    <row r="645" spans="2:13" x14ac:dyDescent="0.25">
      <c r="B645" s="42">
        <f t="shared" si="36"/>
        <v>14</v>
      </c>
      <c r="C645" s="42">
        <f t="shared" si="37"/>
        <v>6</v>
      </c>
      <c r="D645" s="42">
        <f t="shared" si="38"/>
        <v>2018</v>
      </c>
      <c r="E645" s="43">
        <v>43265</v>
      </c>
      <c r="F645" s="42">
        <v>64.34</v>
      </c>
      <c r="G645" s="42">
        <v>71.150000000000006</v>
      </c>
      <c r="H645" s="42">
        <v>64.069999999999993</v>
      </c>
      <c r="I645" s="42">
        <v>73.900000000000006</v>
      </c>
      <c r="J645" s="42">
        <v>76.06</v>
      </c>
      <c r="K645" s="42">
        <v>66.89</v>
      </c>
      <c r="L645" s="42">
        <v>75.44</v>
      </c>
      <c r="M645" s="42">
        <f t="shared" si="39"/>
        <v>2.5499999999999972</v>
      </c>
    </row>
    <row r="646" spans="2:13" x14ac:dyDescent="0.25">
      <c r="B646" s="42">
        <f t="shared" si="36"/>
        <v>15</v>
      </c>
      <c r="C646" s="42">
        <f t="shared" si="37"/>
        <v>6</v>
      </c>
      <c r="D646" s="42">
        <f t="shared" si="38"/>
        <v>2018</v>
      </c>
      <c r="E646" s="43">
        <v>43266</v>
      </c>
      <c r="F646" s="42">
        <v>64.34</v>
      </c>
      <c r="G646" s="42">
        <v>68.849999999999994</v>
      </c>
      <c r="H646" s="42">
        <v>61.95</v>
      </c>
      <c r="I646" s="42">
        <v>71.59</v>
      </c>
      <c r="J646" s="42">
        <v>73.36</v>
      </c>
      <c r="K646" s="42">
        <v>65.06</v>
      </c>
      <c r="L646" s="42">
        <v>72.81</v>
      </c>
      <c r="M646" s="42">
        <f t="shared" si="39"/>
        <v>0.71999999999999886</v>
      </c>
    </row>
    <row r="647" spans="2:13" x14ac:dyDescent="0.25">
      <c r="B647" s="42">
        <f t="shared" ref="B647:B710" si="40">DAY(E647)</f>
        <v>18</v>
      </c>
      <c r="C647" s="42">
        <f t="shared" ref="C647:C710" si="41">MONTH(E647)</f>
        <v>6</v>
      </c>
      <c r="D647" s="42">
        <f t="shared" ref="D647:D710" si="42">YEAR(E647)</f>
        <v>2018</v>
      </c>
      <c r="E647" s="43">
        <v>43269</v>
      </c>
      <c r="F647" s="42">
        <v>63.36</v>
      </c>
      <c r="G647" s="42">
        <v>70.44</v>
      </c>
      <c r="H647" s="42">
        <v>63.62</v>
      </c>
      <c r="I647" s="42">
        <v>73.209999999999994</v>
      </c>
      <c r="J647" s="42">
        <v>74.75</v>
      </c>
      <c r="K647" s="42">
        <v>65.87</v>
      </c>
      <c r="L647" s="42">
        <v>74.97</v>
      </c>
      <c r="M647" s="42">
        <f t="shared" ref="M647:M710" si="43">K647-F647</f>
        <v>2.5100000000000051</v>
      </c>
    </row>
    <row r="648" spans="2:13" x14ac:dyDescent="0.25">
      <c r="B648" s="42">
        <f t="shared" si="40"/>
        <v>19</v>
      </c>
      <c r="C648" s="42">
        <f t="shared" si="41"/>
        <v>6</v>
      </c>
      <c r="D648" s="42">
        <f t="shared" si="42"/>
        <v>2018</v>
      </c>
      <c r="E648" s="43">
        <v>43270</v>
      </c>
      <c r="F648" s="42">
        <v>63.35</v>
      </c>
      <c r="G648" s="42">
        <v>70.430000000000007</v>
      </c>
      <c r="H648" s="42">
        <v>63.46</v>
      </c>
      <c r="I648" s="42">
        <v>73.16</v>
      </c>
      <c r="J648" s="42">
        <v>74.83</v>
      </c>
      <c r="K648" s="42">
        <v>65.099999999999994</v>
      </c>
      <c r="L648" s="42">
        <v>75.05</v>
      </c>
      <c r="M648" s="42">
        <f t="shared" si="43"/>
        <v>1.7499999999999929</v>
      </c>
    </row>
    <row r="649" spans="2:13" x14ac:dyDescent="0.25">
      <c r="B649" s="42">
        <f t="shared" si="40"/>
        <v>20</v>
      </c>
      <c r="C649" s="42">
        <f t="shared" si="41"/>
        <v>6</v>
      </c>
      <c r="D649" s="42">
        <f t="shared" si="42"/>
        <v>2018</v>
      </c>
      <c r="E649" s="43">
        <v>43271</v>
      </c>
      <c r="F649" s="42">
        <v>64.78</v>
      </c>
      <c r="G649" s="42">
        <v>71.709999999999994</v>
      </c>
      <c r="H649" s="42">
        <v>65.16</v>
      </c>
      <c r="I649" s="42">
        <v>74.11</v>
      </c>
      <c r="J649" s="42">
        <v>75.36</v>
      </c>
      <c r="K649" s="42">
        <v>66.239999999999995</v>
      </c>
      <c r="L649" s="42">
        <v>74.64</v>
      </c>
      <c r="M649" s="42">
        <f t="shared" si="43"/>
        <v>1.4599999999999937</v>
      </c>
    </row>
    <row r="650" spans="2:13" x14ac:dyDescent="0.25">
      <c r="B650" s="42">
        <f t="shared" si="40"/>
        <v>21</v>
      </c>
      <c r="C650" s="42">
        <f t="shared" si="41"/>
        <v>6</v>
      </c>
      <c r="D650" s="42">
        <f t="shared" si="42"/>
        <v>2018</v>
      </c>
      <c r="E650" s="43">
        <v>43272</v>
      </c>
      <c r="F650" s="42">
        <v>64.61</v>
      </c>
      <c r="G650" s="42">
        <v>71.400000000000006</v>
      </c>
      <c r="H650" s="42">
        <v>65.61</v>
      </c>
      <c r="I650" s="42">
        <v>73.64</v>
      </c>
      <c r="J650" s="42">
        <v>73.62</v>
      </c>
      <c r="K650" s="42">
        <v>65.89</v>
      </c>
      <c r="L650" s="42">
        <v>71.989999999999995</v>
      </c>
      <c r="M650" s="42">
        <f t="shared" si="43"/>
        <v>1.2800000000000011</v>
      </c>
    </row>
    <row r="651" spans="2:13" x14ac:dyDescent="0.25">
      <c r="B651" s="42">
        <f t="shared" si="40"/>
        <v>22</v>
      </c>
      <c r="C651" s="42">
        <f t="shared" si="41"/>
        <v>6</v>
      </c>
      <c r="D651" s="42">
        <f t="shared" si="42"/>
        <v>2018</v>
      </c>
      <c r="E651" s="43">
        <v>43273</v>
      </c>
      <c r="F651" s="42">
        <v>67.08</v>
      </c>
      <c r="G651" s="42">
        <v>72.27</v>
      </c>
      <c r="H651" s="42">
        <v>65.78</v>
      </c>
      <c r="I651" s="42">
        <v>74.78</v>
      </c>
      <c r="J651" s="42">
        <v>74.67</v>
      </c>
      <c r="K651" s="42">
        <v>71.430000000000007</v>
      </c>
      <c r="L651" s="42">
        <v>76.83</v>
      </c>
      <c r="M651" s="42">
        <f t="shared" si="43"/>
        <v>4.3500000000000085</v>
      </c>
    </row>
    <row r="652" spans="2:13" x14ac:dyDescent="0.25">
      <c r="B652" s="42">
        <f t="shared" si="40"/>
        <v>25</v>
      </c>
      <c r="C652" s="42">
        <f t="shared" si="41"/>
        <v>6</v>
      </c>
      <c r="D652" s="42">
        <f t="shared" si="42"/>
        <v>2018</v>
      </c>
      <c r="E652" s="43">
        <v>43276</v>
      </c>
      <c r="F652" s="42">
        <v>65.13</v>
      </c>
      <c r="G652" s="42">
        <v>71.17</v>
      </c>
      <c r="H652" s="42">
        <v>65.75</v>
      </c>
      <c r="I652" s="42">
        <v>73.72</v>
      </c>
      <c r="J652" s="42">
        <v>74.34</v>
      </c>
      <c r="K652" s="42">
        <v>71.58</v>
      </c>
      <c r="L652" s="42">
        <v>73.53</v>
      </c>
      <c r="M652" s="42">
        <f t="shared" si="43"/>
        <v>6.4500000000000028</v>
      </c>
    </row>
    <row r="653" spans="2:13" x14ac:dyDescent="0.25">
      <c r="B653" s="42">
        <f t="shared" si="40"/>
        <v>26</v>
      </c>
      <c r="C653" s="42">
        <f t="shared" si="41"/>
        <v>6</v>
      </c>
      <c r="D653" s="42">
        <f t="shared" si="42"/>
        <v>2018</v>
      </c>
      <c r="E653" s="43">
        <v>43277</v>
      </c>
      <c r="F653" s="42">
        <v>65.33</v>
      </c>
      <c r="G653" s="42">
        <v>71.55</v>
      </c>
      <c r="H653" s="42">
        <v>65.73</v>
      </c>
      <c r="I653" s="42">
        <v>74.3</v>
      </c>
      <c r="J653" s="42">
        <v>75.099999999999994</v>
      </c>
      <c r="K653" s="42">
        <v>70.53</v>
      </c>
      <c r="L653" s="42">
        <v>74.83</v>
      </c>
      <c r="M653" s="42">
        <f t="shared" si="43"/>
        <v>5.2000000000000028</v>
      </c>
    </row>
    <row r="654" spans="2:13" x14ac:dyDescent="0.25">
      <c r="B654" s="42">
        <f t="shared" si="40"/>
        <v>27</v>
      </c>
      <c r="C654" s="42">
        <f t="shared" si="41"/>
        <v>6</v>
      </c>
      <c r="D654" s="42">
        <f t="shared" si="42"/>
        <v>2018</v>
      </c>
      <c r="E654" s="43">
        <v>43278</v>
      </c>
      <c r="F654" s="42">
        <v>66.930000000000007</v>
      </c>
      <c r="G654" s="42">
        <v>72.739999999999995</v>
      </c>
      <c r="H654" s="42">
        <v>67.33</v>
      </c>
      <c r="I654" s="42">
        <v>75.47</v>
      </c>
      <c r="J654" s="42">
        <v>77.819999999999993</v>
      </c>
      <c r="K654" s="42">
        <v>72.760000000000005</v>
      </c>
      <c r="L654" s="42">
        <v>75.510000000000005</v>
      </c>
      <c r="M654" s="42">
        <f t="shared" si="43"/>
        <v>5.8299999999999983</v>
      </c>
    </row>
    <row r="655" spans="2:13" x14ac:dyDescent="0.25">
      <c r="B655" s="42">
        <f t="shared" si="40"/>
        <v>28</v>
      </c>
      <c r="C655" s="42">
        <f t="shared" si="41"/>
        <v>6</v>
      </c>
      <c r="D655" s="42">
        <f t="shared" si="42"/>
        <v>2018</v>
      </c>
      <c r="E655" s="43">
        <v>43279</v>
      </c>
      <c r="F655" s="42">
        <v>67.08</v>
      </c>
      <c r="G655" s="42">
        <v>72.88</v>
      </c>
      <c r="H655" s="42">
        <v>67.2</v>
      </c>
      <c r="I655" s="42">
        <v>75.599999999999994</v>
      </c>
      <c r="J655" s="42">
        <v>77.62</v>
      </c>
      <c r="K655" s="42">
        <v>73.5</v>
      </c>
      <c r="L655" s="42">
        <v>75.75</v>
      </c>
      <c r="M655" s="42">
        <f t="shared" si="43"/>
        <v>6.4200000000000017</v>
      </c>
    </row>
    <row r="656" spans="2:13" x14ac:dyDescent="0.25">
      <c r="B656" s="42">
        <f t="shared" si="40"/>
        <v>29</v>
      </c>
      <c r="C656" s="42">
        <f t="shared" si="41"/>
        <v>6</v>
      </c>
      <c r="D656" s="42">
        <f t="shared" si="42"/>
        <v>2018</v>
      </c>
      <c r="E656" s="43">
        <v>43280</v>
      </c>
      <c r="F656" s="42">
        <v>68.72</v>
      </c>
      <c r="G656" s="42">
        <v>74.13</v>
      </c>
      <c r="H656" s="42">
        <v>68.680000000000007</v>
      </c>
      <c r="I656" s="42">
        <v>76.94</v>
      </c>
      <c r="J656" s="42">
        <v>79.55</v>
      </c>
      <c r="K656" s="42">
        <v>74.150000000000006</v>
      </c>
      <c r="L656" s="42">
        <v>77.150000000000006</v>
      </c>
      <c r="M656" s="42">
        <f t="shared" si="43"/>
        <v>5.4300000000000068</v>
      </c>
    </row>
    <row r="657" spans="2:13" x14ac:dyDescent="0.25">
      <c r="B657" s="42">
        <f t="shared" si="40"/>
        <v>2</v>
      </c>
      <c r="C657" s="42">
        <f t="shared" si="41"/>
        <v>7</v>
      </c>
      <c r="D657" s="42">
        <f t="shared" si="42"/>
        <v>2018</v>
      </c>
      <c r="E657" s="43">
        <v>43283</v>
      </c>
      <c r="F657" s="42">
        <v>69.2</v>
      </c>
      <c r="G657" s="42">
        <v>73.239999999999995</v>
      </c>
      <c r="H657" s="42">
        <v>69.73</v>
      </c>
      <c r="I657" s="42">
        <v>75.88</v>
      </c>
      <c r="J657" s="42">
        <v>77.84</v>
      </c>
      <c r="K657" s="42">
        <v>73.94</v>
      </c>
      <c r="L657" s="42">
        <v>76.44</v>
      </c>
      <c r="M657" s="42">
        <f t="shared" si="43"/>
        <v>4.7399999999999949</v>
      </c>
    </row>
    <row r="658" spans="2:13" x14ac:dyDescent="0.25">
      <c r="B658" s="42">
        <f t="shared" si="40"/>
        <v>3</v>
      </c>
      <c r="C658" s="42">
        <f t="shared" si="41"/>
        <v>7</v>
      </c>
      <c r="D658" s="42">
        <f t="shared" si="42"/>
        <v>2018</v>
      </c>
      <c r="E658" s="43">
        <v>43284</v>
      </c>
      <c r="F658" s="42">
        <v>68.959999999999994</v>
      </c>
      <c r="G658" s="42">
        <v>73.23</v>
      </c>
      <c r="H658" s="42">
        <v>69.760000000000005</v>
      </c>
      <c r="I658" s="42">
        <v>75.959999999999994</v>
      </c>
      <c r="J658" s="42">
        <v>77.06</v>
      </c>
      <c r="K658" s="42">
        <v>74.14</v>
      </c>
      <c r="L658" s="42">
        <v>76.290000000000006</v>
      </c>
      <c r="M658" s="42">
        <f t="shared" si="43"/>
        <v>5.1800000000000068</v>
      </c>
    </row>
    <row r="659" spans="2:13" x14ac:dyDescent="0.25">
      <c r="B659" s="42">
        <f t="shared" si="40"/>
        <v>4</v>
      </c>
      <c r="C659" s="42">
        <f t="shared" si="41"/>
        <v>7</v>
      </c>
      <c r="D659" s="42">
        <f t="shared" si="42"/>
        <v>2018</v>
      </c>
      <c r="E659" s="43">
        <v>43285</v>
      </c>
      <c r="F659" s="42">
        <v>68.959999999999994</v>
      </c>
      <c r="G659" s="42">
        <v>73.23</v>
      </c>
      <c r="H659" s="42">
        <v>69.760000000000005</v>
      </c>
      <c r="I659" s="42">
        <v>75.959999999999994</v>
      </c>
      <c r="J659" s="42">
        <v>78.3</v>
      </c>
      <c r="K659" s="42">
        <v>74.14</v>
      </c>
      <c r="L659" s="42">
        <v>76.290000000000006</v>
      </c>
      <c r="M659" s="42">
        <f t="shared" si="43"/>
        <v>5.1800000000000068</v>
      </c>
    </row>
    <row r="660" spans="2:13" x14ac:dyDescent="0.25">
      <c r="B660" s="42">
        <f t="shared" si="40"/>
        <v>5</v>
      </c>
      <c r="C660" s="42">
        <f t="shared" si="41"/>
        <v>7</v>
      </c>
      <c r="D660" s="42">
        <f t="shared" si="42"/>
        <v>2018</v>
      </c>
      <c r="E660" s="43">
        <v>43286</v>
      </c>
      <c r="F660" s="42">
        <v>68.98</v>
      </c>
      <c r="G660" s="42">
        <v>72.3</v>
      </c>
      <c r="H660" s="42">
        <v>69.16</v>
      </c>
      <c r="I660" s="42">
        <v>75.14</v>
      </c>
      <c r="J660" s="42">
        <v>78.28</v>
      </c>
      <c r="K660" s="42">
        <v>72.989999999999995</v>
      </c>
      <c r="L660" s="42">
        <v>75.44</v>
      </c>
      <c r="M660" s="42">
        <f t="shared" si="43"/>
        <v>4.0099999999999909</v>
      </c>
    </row>
    <row r="661" spans="2:13" x14ac:dyDescent="0.25">
      <c r="B661" s="42">
        <f t="shared" si="40"/>
        <v>6</v>
      </c>
      <c r="C661" s="42">
        <f t="shared" si="41"/>
        <v>7</v>
      </c>
      <c r="D661" s="42">
        <f t="shared" si="42"/>
        <v>2018</v>
      </c>
      <c r="E661" s="43">
        <v>43287</v>
      </c>
      <c r="F661" s="42">
        <v>68.540000000000006</v>
      </c>
      <c r="G661" s="42">
        <v>72.63</v>
      </c>
      <c r="H661" s="42">
        <v>69.19</v>
      </c>
      <c r="I661" s="42">
        <v>75.33</v>
      </c>
      <c r="J661" s="42">
        <v>77.12</v>
      </c>
      <c r="K661" s="42">
        <v>73.8</v>
      </c>
      <c r="L661" s="42">
        <v>75.849999999999994</v>
      </c>
      <c r="M661" s="42">
        <f t="shared" si="43"/>
        <v>5.2599999999999909</v>
      </c>
    </row>
    <row r="662" spans="2:13" x14ac:dyDescent="0.25">
      <c r="B662" s="42">
        <f t="shared" si="40"/>
        <v>9</v>
      </c>
      <c r="C662" s="42">
        <f t="shared" si="41"/>
        <v>7</v>
      </c>
      <c r="D662" s="42">
        <f t="shared" si="42"/>
        <v>2018</v>
      </c>
      <c r="E662" s="43">
        <v>43290</v>
      </c>
      <c r="F662" s="42">
        <v>69.02</v>
      </c>
      <c r="G662" s="42">
        <v>72.930000000000007</v>
      </c>
      <c r="H662" s="42">
        <v>69.67</v>
      </c>
      <c r="I662" s="42">
        <v>75.77</v>
      </c>
      <c r="J662" s="42">
        <v>78.13</v>
      </c>
      <c r="K662" s="42">
        <v>73.900000000000006</v>
      </c>
      <c r="L662" s="42">
        <v>76.25</v>
      </c>
      <c r="M662" s="42">
        <f t="shared" si="43"/>
        <v>4.8800000000000097</v>
      </c>
    </row>
    <row r="663" spans="2:13" x14ac:dyDescent="0.25">
      <c r="B663" s="42">
        <f t="shared" si="40"/>
        <v>10</v>
      </c>
      <c r="C663" s="42">
        <f t="shared" si="41"/>
        <v>7</v>
      </c>
      <c r="D663" s="42">
        <f t="shared" si="42"/>
        <v>2018</v>
      </c>
      <c r="E663" s="43">
        <v>43291</v>
      </c>
      <c r="F663" s="42">
        <v>69.459999999999994</v>
      </c>
      <c r="G663" s="42">
        <v>72.78</v>
      </c>
      <c r="H663" s="42">
        <v>69.739999999999995</v>
      </c>
      <c r="I663" s="42">
        <v>75.73</v>
      </c>
      <c r="J663" s="42">
        <v>78.91</v>
      </c>
      <c r="K663" s="42">
        <v>74.16</v>
      </c>
      <c r="L663" s="42">
        <v>76.459999999999994</v>
      </c>
      <c r="M663" s="42">
        <f t="shared" si="43"/>
        <v>4.7000000000000028</v>
      </c>
    </row>
    <row r="664" spans="2:13" x14ac:dyDescent="0.25">
      <c r="B664" s="42">
        <f t="shared" si="40"/>
        <v>11</v>
      </c>
      <c r="C664" s="42">
        <f t="shared" si="41"/>
        <v>7</v>
      </c>
      <c r="D664" s="42">
        <f t="shared" si="42"/>
        <v>2018</v>
      </c>
      <c r="E664" s="43">
        <v>43292</v>
      </c>
      <c r="F664" s="42">
        <v>65.989999999999995</v>
      </c>
      <c r="G664" s="42">
        <v>68.25</v>
      </c>
      <c r="H664" s="42">
        <v>65.239999999999995</v>
      </c>
      <c r="I664" s="42">
        <v>71.150000000000006</v>
      </c>
      <c r="J664" s="42">
        <v>76.63</v>
      </c>
      <c r="K664" s="42">
        <v>70.430000000000007</v>
      </c>
      <c r="L664" s="42">
        <v>72.430000000000007</v>
      </c>
      <c r="M664" s="42">
        <f t="shared" si="43"/>
        <v>4.4400000000000119</v>
      </c>
    </row>
    <row r="665" spans="2:13" x14ac:dyDescent="0.25">
      <c r="B665" s="42">
        <f t="shared" si="40"/>
        <v>12</v>
      </c>
      <c r="C665" s="42">
        <f t="shared" si="41"/>
        <v>7</v>
      </c>
      <c r="D665" s="42">
        <f t="shared" si="42"/>
        <v>2018</v>
      </c>
      <c r="E665" s="43">
        <v>43293</v>
      </c>
      <c r="F665" s="42">
        <v>64.95</v>
      </c>
      <c r="G665" s="42">
        <v>68.81</v>
      </c>
      <c r="H665" s="42">
        <v>65.66</v>
      </c>
      <c r="I665" s="42">
        <v>71.69</v>
      </c>
      <c r="J665" s="42">
        <v>73.34</v>
      </c>
      <c r="K665" s="42">
        <v>70.38</v>
      </c>
      <c r="L665" s="42">
        <v>72.13</v>
      </c>
      <c r="M665" s="42">
        <f t="shared" si="43"/>
        <v>5.4299999999999926</v>
      </c>
    </row>
    <row r="666" spans="2:13" x14ac:dyDescent="0.25">
      <c r="B666" s="42">
        <f t="shared" si="40"/>
        <v>13</v>
      </c>
      <c r="C666" s="42">
        <f t="shared" si="41"/>
        <v>7</v>
      </c>
      <c r="D666" s="42">
        <f t="shared" si="42"/>
        <v>2018</v>
      </c>
      <c r="E666" s="43">
        <v>43294</v>
      </c>
      <c r="F666" s="42">
        <v>67.67</v>
      </c>
      <c r="G666" s="42">
        <v>70.63</v>
      </c>
      <c r="H666" s="42">
        <v>67.98</v>
      </c>
      <c r="I666" s="42">
        <v>73.3</v>
      </c>
      <c r="J666" s="42">
        <v>75.44</v>
      </c>
      <c r="K666" s="42">
        <v>71</v>
      </c>
      <c r="L666" s="42">
        <v>72.900000000000006</v>
      </c>
      <c r="M666" s="42">
        <f t="shared" si="43"/>
        <v>3.3299999999999983</v>
      </c>
    </row>
    <row r="667" spans="2:13" x14ac:dyDescent="0.25">
      <c r="B667" s="42">
        <f t="shared" si="40"/>
        <v>16</v>
      </c>
      <c r="C667" s="42">
        <f t="shared" si="41"/>
        <v>7</v>
      </c>
      <c r="D667" s="42">
        <f t="shared" si="42"/>
        <v>2018</v>
      </c>
      <c r="E667" s="43">
        <v>43297</v>
      </c>
      <c r="F667" s="42">
        <v>64.73</v>
      </c>
      <c r="G667" s="42">
        <v>67.61</v>
      </c>
      <c r="H667" s="42">
        <v>65.09</v>
      </c>
      <c r="I667" s="42">
        <v>70.3</v>
      </c>
      <c r="J667" s="42">
        <v>72.53</v>
      </c>
      <c r="K667" s="42">
        <v>68.08</v>
      </c>
      <c r="L667" s="42">
        <v>69.83</v>
      </c>
      <c r="M667" s="42">
        <f t="shared" si="43"/>
        <v>3.3499999999999943</v>
      </c>
    </row>
    <row r="668" spans="2:13" x14ac:dyDescent="0.25">
      <c r="B668" s="42">
        <f t="shared" si="40"/>
        <v>17</v>
      </c>
      <c r="C668" s="42">
        <f t="shared" si="41"/>
        <v>7</v>
      </c>
      <c r="D668" s="42">
        <f t="shared" si="42"/>
        <v>2018</v>
      </c>
      <c r="E668" s="43">
        <v>43298</v>
      </c>
      <c r="F668" s="42">
        <v>63.86</v>
      </c>
      <c r="G668" s="42">
        <v>67</v>
      </c>
      <c r="H668" s="42">
        <v>64.67</v>
      </c>
      <c r="I668" s="42">
        <v>69.81</v>
      </c>
      <c r="J668" s="42">
        <v>72.23</v>
      </c>
      <c r="K668" s="42">
        <v>68.08</v>
      </c>
      <c r="L668" s="42">
        <v>69.73</v>
      </c>
      <c r="M668" s="42">
        <f t="shared" si="43"/>
        <v>4.2199999999999989</v>
      </c>
    </row>
    <row r="669" spans="2:13" x14ac:dyDescent="0.25">
      <c r="B669" s="42">
        <f t="shared" si="40"/>
        <v>18</v>
      </c>
      <c r="C669" s="42">
        <f t="shared" si="41"/>
        <v>7</v>
      </c>
      <c r="D669" s="42">
        <f t="shared" si="42"/>
        <v>2018</v>
      </c>
      <c r="E669" s="43">
        <v>43299</v>
      </c>
      <c r="F669" s="42">
        <v>63.99</v>
      </c>
      <c r="G669" s="42">
        <v>67.680000000000007</v>
      </c>
      <c r="H669" s="42">
        <v>65.819999999999993</v>
      </c>
      <c r="I669" s="42">
        <v>70.53</v>
      </c>
      <c r="J669" s="42">
        <v>71.88</v>
      </c>
      <c r="K669" s="42">
        <v>68.760000000000005</v>
      </c>
      <c r="L669" s="42">
        <v>70.209999999999994</v>
      </c>
      <c r="M669" s="42">
        <f t="shared" si="43"/>
        <v>4.7700000000000031</v>
      </c>
    </row>
    <row r="670" spans="2:13" x14ac:dyDescent="0.25">
      <c r="B670" s="42">
        <f t="shared" si="40"/>
        <v>19</v>
      </c>
      <c r="C670" s="42">
        <f t="shared" si="41"/>
        <v>7</v>
      </c>
      <c r="D670" s="42">
        <f t="shared" si="42"/>
        <v>2018</v>
      </c>
      <c r="E670" s="43">
        <v>43300</v>
      </c>
      <c r="F670" s="42">
        <v>64.319999999999993</v>
      </c>
      <c r="G670" s="42">
        <v>67.7</v>
      </c>
      <c r="H670" s="42">
        <v>64.849999999999994</v>
      </c>
      <c r="I670" s="42">
        <v>70.5</v>
      </c>
      <c r="J670" s="42">
        <v>73.33</v>
      </c>
      <c r="K670" s="42">
        <v>69.459999999999994</v>
      </c>
      <c r="L670" s="42">
        <v>70.66</v>
      </c>
      <c r="M670" s="42">
        <f t="shared" si="43"/>
        <v>5.1400000000000006</v>
      </c>
    </row>
    <row r="671" spans="2:13" x14ac:dyDescent="0.25">
      <c r="B671" s="42">
        <f t="shared" si="40"/>
        <v>20</v>
      </c>
      <c r="C671" s="42">
        <f t="shared" si="41"/>
        <v>7</v>
      </c>
      <c r="D671" s="42">
        <f t="shared" si="42"/>
        <v>2018</v>
      </c>
      <c r="E671" s="43">
        <v>43301</v>
      </c>
      <c r="F671" s="42">
        <v>65.2</v>
      </c>
      <c r="G671" s="42">
        <v>68.319999999999993</v>
      </c>
      <c r="H671" s="42">
        <v>65.239999999999995</v>
      </c>
      <c r="I671" s="42">
        <v>71.099999999999994</v>
      </c>
      <c r="J671" s="42">
        <v>72.97</v>
      </c>
      <c r="K671" s="42">
        <v>70.489999999999995</v>
      </c>
      <c r="L671" s="42">
        <v>71.239999999999995</v>
      </c>
      <c r="M671" s="42">
        <f t="shared" si="43"/>
        <v>5.289999999999992</v>
      </c>
    </row>
    <row r="672" spans="2:13" x14ac:dyDescent="0.25">
      <c r="B672" s="42">
        <f t="shared" si="40"/>
        <v>23</v>
      </c>
      <c r="C672" s="42">
        <f t="shared" si="41"/>
        <v>7</v>
      </c>
      <c r="D672" s="42">
        <f t="shared" si="42"/>
        <v>2018</v>
      </c>
      <c r="E672" s="43">
        <v>43304</v>
      </c>
      <c r="F672" s="42">
        <v>64.69</v>
      </c>
      <c r="G672" s="42">
        <v>66.75</v>
      </c>
      <c r="H672" s="42">
        <v>64.38</v>
      </c>
      <c r="I672" s="42">
        <v>69.8</v>
      </c>
      <c r="J672" s="42">
        <v>73.989999999999995</v>
      </c>
      <c r="K672" s="42">
        <v>69.64</v>
      </c>
      <c r="L672" s="42">
        <v>69.64</v>
      </c>
      <c r="M672" s="42">
        <f t="shared" si="43"/>
        <v>4.9500000000000028</v>
      </c>
    </row>
    <row r="673" spans="2:13" x14ac:dyDescent="0.25">
      <c r="B673" s="42">
        <f t="shared" si="40"/>
        <v>24</v>
      </c>
      <c r="C673" s="42">
        <f t="shared" si="41"/>
        <v>7</v>
      </c>
      <c r="D673" s="42">
        <f t="shared" si="42"/>
        <v>2018</v>
      </c>
      <c r="E673" s="43">
        <v>43305</v>
      </c>
      <c r="F673" s="42">
        <v>65.75</v>
      </c>
      <c r="G673" s="42">
        <v>68.069999999999993</v>
      </c>
      <c r="H673" s="42">
        <v>65.36</v>
      </c>
      <c r="I673" s="42">
        <v>70.92</v>
      </c>
      <c r="J673" s="42">
        <v>73.81</v>
      </c>
      <c r="K673" s="42">
        <v>70.510000000000005</v>
      </c>
      <c r="L673" s="42">
        <v>71.41</v>
      </c>
      <c r="M673" s="42">
        <f t="shared" si="43"/>
        <v>4.7600000000000051</v>
      </c>
    </row>
    <row r="674" spans="2:13" x14ac:dyDescent="0.25">
      <c r="B674" s="42">
        <f t="shared" si="40"/>
        <v>25</v>
      </c>
      <c r="C674" s="42">
        <f t="shared" si="41"/>
        <v>7</v>
      </c>
      <c r="D674" s="42">
        <f t="shared" si="42"/>
        <v>2018</v>
      </c>
      <c r="E674" s="43">
        <v>43306</v>
      </c>
      <c r="F674" s="42">
        <v>66.010000000000005</v>
      </c>
      <c r="G674" s="42">
        <v>68.8</v>
      </c>
      <c r="H674" s="42">
        <v>66.06</v>
      </c>
      <c r="I674" s="42">
        <v>71.650000000000006</v>
      </c>
      <c r="J674" s="42">
        <v>73.930000000000007</v>
      </c>
      <c r="K674" s="42">
        <v>71.349999999999994</v>
      </c>
      <c r="L674" s="42">
        <v>72.55</v>
      </c>
      <c r="M674" s="42">
        <f t="shared" si="43"/>
        <v>5.3399999999999892</v>
      </c>
    </row>
    <row r="675" spans="2:13" x14ac:dyDescent="0.25">
      <c r="B675" s="42">
        <f t="shared" si="40"/>
        <v>26</v>
      </c>
      <c r="C675" s="42">
        <f t="shared" si="41"/>
        <v>7</v>
      </c>
      <c r="D675" s="42">
        <f t="shared" si="42"/>
        <v>2018</v>
      </c>
      <c r="E675" s="43">
        <v>43307</v>
      </c>
      <c r="F675" s="42">
        <v>65.760000000000005</v>
      </c>
      <c r="G675" s="42">
        <v>67.77</v>
      </c>
      <c r="H675" s="42">
        <v>65.430000000000007</v>
      </c>
      <c r="I675" s="42">
        <v>70.87</v>
      </c>
      <c r="J675" s="42">
        <v>74.62</v>
      </c>
      <c r="K675" s="42">
        <v>69.63</v>
      </c>
      <c r="L675" s="42">
        <v>72.38</v>
      </c>
      <c r="M675" s="42">
        <f t="shared" si="43"/>
        <v>3.8699999999999903</v>
      </c>
    </row>
    <row r="676" spans="2:13" x14ac:dyDescent="0.25">
      <c r="B676" s="42">
        <f t="shared" si="40"/>
        <v>27</v>
      </c>
      <c r="C676" s="42">
        <f t="shared" si="41"/>
        <v>7</v>
      </c>
      <c r="D676" s="42">
        <f t="shared" si="42"/>
        <v>2018</v>
      </c>
      <c r="E676" s="43">
        <v>43308</v>
      </c>
      <c r="F676" s="42">
        <v>65.400000000000006</v>
      </c>
      <c r="G676" s="42">
        <v>67.010000000000005</v>
      </c>
      <c r="H676" s="42">
        <v>64.45</v>
      </c>
      <c r="I676" s="42">
        <v>70.209999999999994</v>
      </c>
      <c r="J676" s="42">
        <v>74.91</v>
      </c>
      <c r="K676" s="42">
        <v>68.69</v>
      </c>
      <c r="L676" s="42">
        <v>71.69</v>
      </c>
      <c r="M676" s="42">
        <f t="shared" si="43"/>
        <v>3.289999999999992</v>
      </c>
    </row>
    <row r="677" spans="2:13" x14ac:dyDescent="0.25">
      <c r="B677" s="42">
        <f t="shared" si="40"/>
        <v>30</v>
      </c>
      <c r="C677" s="42">
        <f t="shared" si="41"/>
        <v>7</v>
      </c>
      <c r="D677" s="42">
        <f t="shared" si="42"/>
        <v>2018</v>
      </c>
      <c r="E677" s="43">
        <v>43311</v>
      </c>
      <c r="F677" s="42">
        <v>65.89</v>
      </c>
      <c r="G677" s="42">
        <v>68.290000000000006</v>
      </c>
      <c r="H677" s="42">
        <v>65.44</v>
      </c>
      <c r="I677" s="42">
        <v>71.38</v>
      </c>
      <c r="J677" s="42">
        <v>75.099999999999994</v>
      </c>
      <c r="K677" s="42">
        <v>70.13</v>
      </c>
      <c r="L677" s="42">
        <v>72.930000000000007</v>
      </c>
      <c r="M677" s="42">
        <f t="shared" si="43"/>
        <v>4.2399999999999949</v>
      </c>
    </row>
    <row r="678" spans="2:13" x14ac:dyDescent="0.25">
      <c r="B678" s="42">
        <f t="shared" si="40"/>
        <v>31</v>
      </c>
      <c r="C678" s="42">
        <f t="shared" si="41"/>
        <v>7</v>
      </c>
      <c r="D678" s="42">
        <f t="shared" si="42"/>
        <v>2018</v>
      </c>
      <c r="E678" s="43">
        <v>43312</v>
      </c>
      <c r="F678" s="42">
        <v>65.09</v>
      </c>
      <c r="G678" s="42">
        <v>67.3</v>
      </c>
      <c r="H678" s="42">
        <v>64.37</v>
      </c>
      <c r="I678" s="42">
        <v>70.36</v>
      </c>
      <c r="J678" s="42">
        <v>74.37</v>
      </c>
      <c r="K678" s="42">
        <v>68.760000000000005</v>
      </c>
      <c r="L678" s="42">
        <v>71.760000000000005</v>
      </c>
      <c r="M678" s="42">
        <f t="shared" si="43"/>
        <v>3.6700000000000017</v>
      </c>
    </row>
    <row r="679" spans="2:13" x14ac:dyDescent="0.25">
      <c r="B679" s="42">
        <f t="shared" si="40"/>
        <v>1</v>
      </c>
      <c r="C679" s="42">
        <f t="shared" si="41"/>
        <v>8</v>
      </c>
      <c r="D679" s="42">
        <f t="shared" si="42"/>
        <v>2018</v>
      </c>
      <c r="E679" s="43">
        <v>43313</v>
      </c>
      <c r="F679" s="42">
        <v>63.41</v>
      </c>
      <c r="G679" s="42">
        <v>66.040000000000006</v>
      </c>
      <c r="H679" s="42">
        <v>62.57</v>
      </c>
      <c r="I679" s="42">
        <v>69.5</v>
      </c>
      <c r="J679" s="42">
        <v>72.72</v>
      </c>
      <c r="K679" s="42">
        <v>67.66</v>
      </c>
      <c r="L679" s="42">
        <v>70.81</v>
      </c>
      <c r="M679" s="42">
        <f t="shared" si="43"/>
        <v>4.25</v>
      </c>
    </row>
    <row r="680" spans="2:13" x14ac:dyDescent="0.25">
      <c r="B680" s="42">
        <f t="shared" si="40"/>
        <v>2</v>
      </c>
      <c r="C680" s="42">
        <f t="shared" si="41"/>
        <v>8</v>
      </c>
      <c r="D680" s="42">
        <f t="shared" si="42"/>
        <v>2018</v>
      </c>
      <c r="E680" s="43">
        <v>43314</v>
      </c>
      <c r="F680" s="42">
        <v>63.82</v>
      </c>
      <c r="G680" s="42">
        <v>67</v>
      </c>
      <c r="H680" s="42">
        <v>63.5</v>
      </c>
      <c r="I680" s="42">
        <v>70.459999999999994</v>
      </c>
      <c r="J680" s="42">
        <v>73.23</v>
      </c>
      <c r="K680" s="42">
        <v>68.959999999999994</v>
      </c>
      <c r="L680" s="42">
        <v>71.86</v>
      </c>
      <c r="M680" s="42">
        <f t="shared" si="43"/>
        <v>5.1399999999999935</v>
      </c>
    </row>
    <row r="681" spans="2:13" x14ac:dyDescent="0.25">
      <c r="B681" s="42">
        <f t="shared" si="40"/>
        <v>3</v>
      </c>
      <c r="C681" s="42">
        <f t="shared" si="41"/>
        <v>8</v>
      </c>
      <c r="D681" s="42">
        <f t="shared" si="42"/>
        <v>2018</v>
      </c>
      <c r="E681" s="43">
        <v>43315</v>
      </c>
      <c r="F681" s="42">
        <v>63.53</v>
      </c>
      <c r="G681" s="42">
        <v>66.510000000000005</v>
      </c>
      <c r="H681" s="42">
        <v>62.83</v>
      </c>
      <c r="I681" s="42">
        <v>70.069999999999993</v>
      </c>
      <c r="J681" s="42">
        <v>73.42</v>
      </c>
      <c r="K681" s="42">
        <v>68.489999999999995</v>
      </c>
      <c r="L681" s="42">
        <v>71.59</v>
      </c>
      <c r="M681" s="42">
        <f t="shared" si="43"/>
        <v>4.9599999999999937</v>
      </c>
    </row>
    <row r="682" spans="2:13" x14ac:dyDescent="0.25">
      <c r="B682" s="42">
        <f t="shared" si="40"/>
        <v>6</v>
      </c>
      <c r="C682" s="42">
        <f t="shared" si="41"/>
        <v>8</v>
      </c>
      <c r="D682" s="42">
        <f t="shared" si="42"/>
        <v>2018</v>
      </c>
      <c r="E682" s="43">
        <v>43318</v>
      </c>
      <c r="F682" s="42">
        <v>63.74</v>
      </c>
      <c r="G682" s="42">
        <v>66.87</v>
      </c>
      <c r="H682" s="42">
        <v>63.1</v>
      </c>
      <c r="I682" s="42">
        <v>70.38</v>
      </c>
      <c r="J682" s="42">
        <v>74.13</v>
      </c>
      <c r="K682" s="42">
        <v>69.06</v>
      </c>
      <c r="L682" s="42">
        <v>72.209999999999994</v>
      </c>
      <c r="M682" s="42">
        <f t="shared" si="43"/>
        <v>5.32</v>
      </c>
    </row>
    <row r="683" spans="2:13" x14ac:dyDescent="0.25">
      <c r="B683" s="42">
        <f t="shared" si="40"/>
        <v>7</v>
      </c>
      <c r="C683" s="42">
        <f t="shared" si="41"/>
        <v>8</v>
      </c>
      <c r="D683" s="42">
        <f t="shared" si="42"/>
        <v>2018</v>
      </c>
      <c r="E683" s="43">
        <v>43319</v>
      </c>
      <c r="F683" s="42">
        <v>64.569999999999993</v>
      </c>
      <c r="G683" s="42">
        <v>67.319999999999993</v>
      </c>
      <c r="H683" s="42">
        <v>63.81</v>
      </c>
      <c r="I683" s="42">
        <v>70.87</v>
      </c>
      <c r="J683" s="42">
        <v>74.39</v>
      </c>
      <c r="K683" s="42">
        <v>69.22</v>
      </c>
      <c r="L683" s="42">
        <v>72.37</v>
      </c>
      <c r="M683" s="42">
        <f t="shared" si="43"/>
        <v>4.6500000000000057</v>
      </c>
    </row>
    <row r="684" spans="2:13" x14ac:dyDescent="0.25">
      <c r="B684" s="42">
        <f t="shared" si="40"/>
        <v>8</v>
      </c>
      <c r="C684" s="42">
        <f t="shared" si="41"/>
        <v>8</v>
      </c>
      <c r="D684" s="42">
        <f t="shared" si="42"/>
        <v>2018</v>
      </c>
      <c r="E684" s="43">
        <v>43320</v>
      </c>
      <c r="F684" s="42">
        <v>62.79</v>
      </c>
      <c r="G684" s="42">
        <v>65.52</v>
      </c>
      <c r="H684" s="42">
        <v>61.91</v>
      </c>
      <c r="I684" s="42">
        <v>69.010000000000005</v>
      </c>
      <c r="J684" s="42">
        <v>72.180000000000007</v>
      </c>
      <c r="K684" s="42">
        <v>66.94</v>
      </c>
      <c r="L684" s="42">
        <v>70.540000000000006</v>
      </c>
      <c r="M684" s="42">
        <f t="shared" si="43"/>
        <v>4.1499999999999986</v>
      </c>
    </row>
    <row r="685" spans="2:13" x14ac:dyDescent="0.25">
      <c r="B685" s="42">
        <f t="shared" si="40"/>
        <v>9</v>
      </c>
      <c r="C685" s="42">
        <f t="shared" si="41"/>
        <v>8</v>
      </c>
      <c r="D685" s="42">
        <f t="shared" si="42"/>
        <v>2018</v>
      </c>
      <c r="E685" s="43">
        <v>43321</v>
      </c>
      <c r="F685" s="42">
        <v>62.79</v>
      </c>
      <c r="G685" s="42">
        <v>65.59</v>
      </c>
      <c r="H685" s="42">
        <v>62.03</v>
      </c>
      <c r="I685" s="42">
        <v>69.03</v>
      </c>
      <c r="J685" s="42">
        <v>72.3</v>
      </c>
      <c r="K685" s="42">
        <v>66.81</v>
      </c>
      <c r="L685" s="42">
        <v>70.41</v>
      </c>
      <c r="M685" s="42">
        <f t="shared" si="43"/>
        <v>4.0200000000000031</v>
      </c>
    </row>
    <row r="686" spans="2:13" x14ac:dyDescent="0.25">
      <c r="B686" s="42">
        <f t="shared" si="40"/>
        <v>10</v>
      </c>
      <c r="C686" s="42">
        <f t="shared" si="41"/>
        <v>8</v>
      </c>
      <c r="D686" s="42">
        <f t="shared" si="42"/>
        <v>2018</v>
      </c>
      <c r="E686" s="43">
        <v>43322</v>
      </c>
      <c r="F686" s="42">
        <v>64.64</v>
      </c>
      <c r="G686" s="42">
        <v>68.42</v>
      </c>
      <c r="H686" s="42">
        <v>64.819999999999993</v>
      </c>
      <c r="I686" s="42">
        <v>71.52</v>
      </c>
      <c r="J686" s="42">
        <v>72.819999999999993</v>
      </c>
      <c r="K686" s="42">
        <v>67.63</v>
      </c>
      <c r="L686" s="42">
        <v>71.23</v>
      </c>
      <c r="M686" s="42">
        <f t="shared" si="43"/>
        <v>2.9899999999999949</v>
      </c>
    </row>
    <row r="687" spans="2:13" x14ac:dyDescent="0.25">
      <c r="B687" s="42">
        <f t="shared" si="40"/>
        <v>13</v>
      </c>
      <c r="C687" s="42">
        <f t="shared" si="41"/>
        <v>8</v>
      </c>
      <c r="D687" s="42">
        <f t="shared" si="42"/>
        <v>2018</v>
      </c>
      <c r="E687" s="43">
        <v>43325</v>
      </c>
      <c r="F687" s="42">
        <v>63.02</v>
      </c>
      <c r="G687" s="42">
        <v>66.540000000000006</v>
      </c>
      <c r="H687" s="42">
        <v>62.54</v>
      </c>
      <c r="I687" s="42">
        <v>69.95</v>
      </c>
      <c r="J687" s="42">
        <v>72.63</v>
      </c>
      <c r="K687" s="42">
        <v>67.209999999999994</v>
      </c>
      <c r="L687" s="42">
        <v>71.06</v>
      </c>
      <c r="M687" s="42">
        <f t="shared" si="43"/>
        <v>4.1899999999999906</v>
      </c>
    </row>
    <row r="688" spans="2:13" x14ac:dyDescent="0.25">
      <c r="B688" s="42">
        <f t="shared" si="40"/>
        <v>14</v>
      </c>
      <c r="C688" s="42">
        <f t="shared" si="41"/>
        <v>8</v>
      </c>
      <c r="D688" s="42">
        <f t="shared" si="42"/>
        <v>2018</v>
      </c>
      <c r="E688" s="43">
        <v>43326</v>
      </c>
      <c r="F688" s="42">
        <v>62.71</v>
      </c>
      <c r="G688" s="42">
        <v>66.13</v>
      </c>
      <c r="H688" s="42">
        <v>62.04</v>
      </c>
      <c r="I688" s="42">
        <v>69.59</v>
      </c>
      <c r="J688" s="42">
        <v>72.56</v>
      </c>
      <c r="K688" s="42">
        <v>67.040000000000006</v>
      </c>
      <c r="L688" s="42">
        <v>71.39</v>
      </c>
      <c r="M688" s="42">
        <f t="shared" si="43"/>
        <v>4.3300000000000054</v>
      </c>
    </row>
    <row r="689" spans="2:13" x14ac:dyDescent="0.25">
      <c r="B689" s="42">
        <f t="shared" si="40"/>
        <v>15</v>
      </c>
      <c r="C689" s="42">
        <f t="shared" si="41"/>
        <v>8</v>
      </c>
      <c r="D689" s="42">
        <f t="shared" si="42"/>
        <v>2018</v>
      </c>
      <c r="E689" s="43">
        <v>43327</v>
      </c>
      <c r="F689" s="42">
        <v>60.72</v>
      </c>
      <c r="G689" s="42">
        <v>63.86</v>
      </c>
      <c r="H689" s="42">
        <v>59.86</v>
      </c>
      <c r="I689" s="42">
        <v>67.37</v>
      </c>
      <c r="J689" s="42">
        <v>70.38</v>
      </c>
      <c r="K689" s="42">
        <v>65.010000000000005</v>
      </c>
      <c r="L689" s="42">
        <v>69.86</v>
      </c>
      <c r="M689" s="42">
        <f t="shared" si="43"/>
        <v>4.2900000000000063</v>
      </c>
    </row>
    <row r="690" spans="2:13" x14ac:dyDescent="0.25">
      <c r="B690" s="42">
        <f t="shared" si="40"/>
        <v>16</v>
      </c>
      <c r="C690" s="42">
        <f t="shared" si="41"/>
        <v>8</v>
      </c>
      <c r="D690" s="42">
        <f t="shared" si="42"/>
        <v>2018</v>
      </c>
      <c r="E690" s="43">
        <v>43328</v>
      </c>
      <c r="F690" s="42">
        <v>61.28</v>
      </c>
      <c r="G690" s="42">
        <v>64.709999999999994</v>
      </c>
      <c r="H690" s="42">
        <v>60.51</v>
      </c>
      <c r="I690" s="42">
        <v>68.17</v>
      </c>
      <c r="J690" s="42">
        <v>71.23</v>
      </c>
      <c r="K690" s="42">
        <v>65.459999999999994</v>
      </c>
      <c r="L690" s="42">
        <v>71.06</v>
      </c>
      <c r="M690" s="42">
        <f t="shared" si="43"/>
        <v>4.1799999999999926</v>
      </c>
    </row>
    <row r="691" spans="2:13" x14ac:dyDescent="0.25">
      <c r="B691" s="42">
        <f t="shared" si="40"/>
        <v>17</v>
      </c>
      <c r="C691" s="42">
        <f t="shared" si="41"/>
        <v>8</v>
      </c>
      <c r="D691" s="42">
        <f t="shared" si="42"/>
        <v>2018</v>
      </c>
      <c r="E691" s="43">
        <v>43329</v>
      </c>
      <c r="F691" s="42">
        <v>62.08</v>
      </c>
      <c r="G691" s="42">
        <v>65.680000000000007</v>
      </c>
      <c r="H691" s="42">
        <v>61.46</v>
      </c>
      <c r="I691" s="42">
        <v>69.06</v>
      </c>
      <c r="J691" s="42">
        <v>71.94</v>
      </c>
      <c r="K691" s="42">
        <v>65.91</v>
      </c>
      <c r="L691" s="42">
        <v>71.61</v>
      </c>
      <c r="M691" s="42">
        <f t="shared" si="43"/>
        <v>3.8299999999999983</v>
      </c>
    </row>
    <row r="692" spans="2:13" x14ac:dyDescent="0.25">
      <c r="B692" s="42">
        <f t="shared" si="40"/>
        <v>20</v>
      </c>
      <c r="C692" s="42">
        <f t="shared" si="41"/>
        <v>8</v>
      </c>
      <c r="D692" s="42">
        <f t="shared" si="42"/>
        <v>2018</v>
      </c>
      <c r="E692" s="43">
        <v>43332</v>
      </c>
      <c r="F692" s="42">
        <v>62.11</v>
      </c>
      <c r="G692" s="42">
        <v>66.180000000000007</v>
      </c>
      <c r="H692" s="42">
        <v>61.55</v>
      </c>
      <c r="I692" s="42">
        <v>69.59</v>
      </c>
      <c r="J692" s="42">
        <v>72.12</v>
      </c>
      <c r="K692" s="42">
        <v>66.430000000000007</v>
      </c>
      <c r="L692" s="42">
        <v>72.63</v>
      </c>
      <c r="M692" s="42">
        <f t="shared" si="43"/>
        <v>4.3200000000000074</v>
      </c>
    </row>
    <row r="693" spans="2:13" x14ac:dyDescent="0.25">
      <c r="B693" s="42">
        <f t="shared" si="40"/>
        <v>21</v>
      </c>
      <c r="C693" s="42">
        <f t="shared" si="41"/>
        <v>8</v>
      </c>
      <c r="D693" s="42">
        <f t="shared" si="42"/>
        <v>2018</v>
      </c>
      <c r="E693" s="43">
        <v>43333</v>
      </c>
      <c r="F693" s="42">
        <v>62.39</v>
      </c>
      <c r="G693" s="42">
        <v>66.680000000000007</v>
      </c>
      <c r="H693" s="42">
        <v>62.16</v>
      </c>
      <c r="I693" s="42">
        <v>70.040000000000006</v>
      </c>
      <c r="J693" s="42">
        <v>72.53</v>
      </c>
      <c r="K693" s="42">
        <v>67.349999999999994</v>
      </c>
      <c r="L693" s="42">
        <v>73.349999999999994</v>
      </c>
      <c r="M693" s="42">
        <f t="shared" si="43"/>
        <v>4.9599999999999937</v>
      </c>
    </row>
    <row r="694" spans="2:13" x14ac:dyDescent="0.25">
      <c r="B694" s="42">
        <f t="shared" si="40"/>
        <v>22</v>
      </c>
      <c r="C694" s="42">
        <f t="shared" si="41"/>
        <v>8</v>
      </c>
      <c r="D694" s="42">
        <f t="shared" si="42"/>
        <v>2018</v>
      </c>
      <c r="E694" s="43">
        <v>43334</v>
      </c>
      <c r="F694" s="42">
        <v>62.39</v>
      </c>
      <c r="G694" s="42">
        <v>68.27</v>
      </c>
      <c r="H694" s="42">
        <v>63.98</v>
      </c>
      <c r="I694" s="42">
        <v>71.77</v>
      </c>
      <c r="J694" s="42">
        <v>74.34</v>
      </c>
      <c r="K694" s="42">
        <v>69.11</v>
      </c>
      <c r="L694" s="42">
        <v>74.11</v>
      </c>
      <c r="M694" s="42">
        <f t="shared" si="43"/>
        <v>6.7199999999999989</v>
      </c>
    </row>
    <row r="695" spans="2:13" x14ac:dyDescent="0.25">
      <c r="B695" s="42">
        <f t="shared" si="40"/>
        <v>23</v>
      </c>
      <c r="C695" s="42">
        <f t="shared" si="41"/>
        <v>8</v>
      </c>
      <c r="D695" s="42">
        <f t="shared" si="42"/>
        <v>2018</v>
      </c>
      <c r="E695" s="43">
        <v>43335</v>
      </c>
      <c r="F695" s="42">
        <v>64.62</v>
      </c>
      <c r="G695" s="42">
        <v>68.17</v>
      </c>
      <c r="H695" s="42">
        <v>63.97</v>
      </c>
      <c r="I695" s="42">
        <v>71.7</v>
      </c>
      <c r="J695" s="42">
        <v>74.69</v>
      </c>
      <c r="K695" s="42">
        <v>68.680000000000007</v>
      </c>
      <c r="L695" s="42">
        <v>73.430000000000007</v>
      </c>
      <c r="M695" s="42">
        <f t="shared" si="43"/>
        <v>4.0600000000000023</v>
      </c>
    </row>
    <row r="696" spans="2:13" x14ac:dyDescent="0.25">
      <c r="B696" s="42">
        <f t="shared" si="40"/>
        <v>24</v>
      </c>
      <c r="C696" s="42">
        <f t="shared" si="41"/>
        <v>8</v>
      </c>
      <c r="D696" s="42">
        <f t="shared" si="42"/>
        <v>2018</v>
      </c>
      <c r="E696" s="43">
        <v>43336</v>
      </c>
      <c r="F696" s="42">
        <v>65.52</v>
      </c>
      <c r="G696" s="42">
        <v>68.959999999999994</v>
      </c>
      <c r="H696" s="42">
        <v>64.59</v>
      </c>
      <c r="I696" s="42">
        <v>72.5</v>
      </c>
      <c r="J696" s="42">
        <v>76.12</v>
      </c>
      <c r="K696" s="42">
        <v>69.92</v>
      </c>
      <c r="L696" s="42">
        <v>74.42</v>
      </c>
      <c r="M696" s="42">
        <f t="shared" si="43"/>
        <v>4.4000000000000057</v>
      </c>
    </row>
    <row r="697" spans="2:13" x14ac:dyDescent="0.25">
      <c r="B697" s="42">
        <f t="shared" si="40"/>
        <v>27</v>
      </c>
      <c r="C697" s="42">
        <f t="shared" si="41"/>
        <v>8</v>
      </c>
      <c r="D697" s="42">
        <f t="shared" si="42"/>
        <v>2018</v>
      </c>
      <c r="E697" s="43">
        <v>43339</v>
      </c>
      <c r="F697" s="42">
        <v>65.52</v>
      </c>
      <c r="G697" s="42">
        <v>68.89</v>
      </c>
      <c r="H697" s="42">
        <v>64.84</v>
      </c>
      <c r="I697" s="42">
        <v>72.540000000000006</v>
      </c>
      <c r="J697" s="42">
        <v>76.12</v>
      </c>
      <c r="K697" s="42">
        <v>68.88</v>
      </c>
      <c r="L697" s="42">
        <v>74.13</v>
      </c>
      <c r="M697" s="42">
        <f t="shared" si="43"/>
        <v>3.3599999999999994</v>
      </c>
    </row>
    <row r="698" spans="2:13" x14ac:dyDescent="0.25">
      <c r="B698" s="42">
        <f t="shared" si="40"/>
        <v>28</v>
      </c>
      <c r="C698" s="42">
        <f t="shared" si="41"/>
        <v>8</v>
      </c>
      <c r="D698" s="42">
        <f t="shared" si="42"/>
        <v>2018</v>
      </c>
      <c r="E698" s="43">
        <v>43340</v>
      </c>
      <c r="F698" s="42">
        <v>65.22</v>
      </c>
      <c r="G698" s="42">
        <v>68.16</v>
      </c>
      <c r="H698" s="42">
        <v>63.96</v>
      </c>
      <c r="I698" s="42">
        <v>71.930000000000007</v>
      </c>
      <c r="J698" s="42">
        <v>76.58</v>
      </c>
      <c r="K698" s="42">
        <v>68.569999999999993</v>
      </c>
      <c r="L698" s="42">
        <v>74.319999999999993</v>
      </c>
      <c r="M698" s="42">
        <f t="shared" si="43"/>
        <v>3.3499999999999943</v>
      </c>
    </row>
    <row r="699" spans="2:13" x14ac:dyDescent="0.25">
      <c r="B699" s="42">
        <f t="shared" si="40"/>
        <v>29</v>
      </c>
      <c r="C699" s="42">
        <f t="shared" si="41"/>
        <v>8</v>
      </c>
      <c r="D699" s="42">
        <f t="shared" si="42"/>
        <v>2018</v>
      </c>
      <c r="E699" s="43">
        <v>43341</v>
      </c>
      <c r="F699" s="42">
        <v>65.62</v>
      </c>
      <c r="G699" s="42">
        <v>69.13</v>
      </c>
      <c r="H699" s="42">
        <v>65.08</v>
      </c>
      <c r="I699" s="42">
        <v>72.94</v>
      </c>
      <c r="J699" s="42">
        <v>76.44</v>
      </c>
      <c r="K699" s="42">
        <v>69.510000000000005</v>
      </c>
      <c r="L699" s="42">
        <v>75.260000000000005</v>
      </c>
      <c r="M699" s="42">
        <f t="shared" si="43"/>
        <v>3.8900000000000006</v>
      </c>
    </row>
    <row r="700" spans="2:13" x14ac:dyDescent="0.25">
      <c r="B700" s="42">
        <f t="shared" si="40"/>
        <v>30</v>
      </c>
      <c r="C700" s="42">
        <f t="shared" si="41"/>
        <v>8</v>
      </c>
      <c r="D700" s="42">
        <f t="shared" si="42"/>
        <v>2018</v>
      </c>
      <c r="E700" s="43">
        <v>43342</v>
      </c>
      <c r="F700" s="42">
        <v>66.45</v>
      </c>
      <c r="G700" s="42">
        <v>69.83</v>
      </c>
      <c r="H700" s="42">
        <v>65.650000000000006</v>
      </c>
      <c r="I700" s="42">
        <v>73.56</v>
      </c>
      <c r="J700" s="42">
        <v>77.459999999999994</v>
      </c>
      <c r="K700" s="42">
        <v>70.25</v>
      </c>
      <c r="L700" s="42">
        <v>76.150000000000006</v>
      </c>
      <c r="M700" s="42">
        <f t="shared" si="43"/>
        <v>3.7999999999999972</v>
      </c>
    </row>
    <row r="701" spans="2:13" x14ac:dyDescent="0.25">
      <c r="B701" s="42">
        <f t="shared" si="40"/>
        <v>31</v>
      </c>
      <c r="C701" s="42">
        <f t="shared" si="41"/>
        <v>8</v>
      </c>
      <c r="D701" s="42">
        <f t="shared" si="42"/>
        <v>2018</v>
      </c>
      <c r="E701" s="43">
        <v>43343</v>
      </c>
      <c r="F701" s="42">
        <v>66.290000000000006</v>
      </c>
      <c r="G701" s="42">
        <v>69.42</v>
      </c>
      <c r="H701" s="42">
        <v>65.41</v>
      </c>
      <c r="I701" s="42">
        <v>73.209999999999994</v>
      </c>
      <c r="J701" s="42">
        <v>77.66</v>
      </c>
      <c r="K701" s="42">
        <v>69.81</v>
      </c>
      <c r="L701" s="42">
        <v>75.709999999999994</v>
      </c>
      <c r="M701" s="42">
        <f t="shared" si="43"/>
        <v>3.519999999999996</v>
      </c>
    </row>
    <row r="702" spans="2:13" x14ac:dyDescent="0.25">
      <c r="B702" s="42">
        <f t="shared" si="40"/>
        <v>3</v>
      </c>
      <c r="C702" s="42">
        <f t="shared" si="41"/>
        <v>9</v>
      </c>
      <c r="D702" s="42">
        <f t="shared" si="42"/>
        <v>2018</v>
      </c>
      <c r="E702" s="43">
        <v>43346</v>
      </c>
      <c r="F702" s="42">
        <v>66.290000000000006</v>
      </c>
      <c r="G702" s="42">
        <v>69.42</v>
      </c>
      <c r="H702" s="42">
        <v>65.41</v>
      </c>
      <c r="I702" s="42">
        <v>73.209999999999994</v>
      </c>
      <c r="J702" s="42">
        <v>78.349999999999994</v>
      </c>
      <c r="K702" s="42">
        <v>69.81</v>
      </c>
      <c r="L702" s="42">
        <v>75.709999999999994</v>
      </c>
      <c r="M702" s="42">
        <f t="shared" si="43"/>
        <v>3.519999999999996</v>
      </c>
    </row>
    <row r="703" spans="2:13" x14ac:dyDescent="0.25">
      <c r="B703" s="42">
        <f t="shared" si="40"/>
        <v>4</v>
      </c>
      <c r="C703" s="42">
        <f t="shared" si="41"/>
        <v>9</v>
      </c>
      <c r="D703" s="42">
        <f t="shared" si="42"/>
        <v>2018</v>
      </c>
      <c r="E703" s="43">
        <v>43347</v>
      </c>
      <c r="F703" s="42">
        <v>66.59</v>
      </c>
      <c r="G703" s="42">
        <v>71.599999999999994</v>
      </c>
      <c r="H703" s="42">
        <v>66.42</v>
      </c>
      <c r="I703" s="42">
        <v>75.349999999999994</v>
      </c>
      <c r="J703" s="42">
        <v>78.44</v>
      </c>
      <c r="K703" s="42">
        <v>69.92</v>
      </c>
      <c r="L703" s="42">
        <v>76.47</v>
      </c>
      <c r="M703" s="42">
        <f t="shared" si="43"/>
        <v>3.3299999999999983</v>
      </c>
    </row>
    <row r="704" spans="2:13" x14ac:dyDescent="0.25">
      <c r="B704" s="42">
        <f t="shared" si="40"/>
        <v>5</v>
      </c>
      <c r="C704" s="42">
        <f t="shared" si="41"/>
        <v>9</v>
      </c>
      <c r="D704" s="42">
        <f t="shared" si="42"/>
        <v>2018</v>
      </c>
      <c r="E704" s="43">
        <v>43348</v>
      </c>
      <c r="F704" s="42">
        <v>65.58</v>
      </c>
      <c r="G704" s="42">
        <v>70.69</v>
      </c>
      <c r="H704" s="42">
        <v>64.81</v>
      </c>
      <c r="I704" s="42">
        <v>74.52</v>
      </c>
      <c r="J704" s="42">
        <v>77.650000000000006</v>
      </c>
      <c r="K704" s="42">
        <v>68.739999999999995</v>
      </c>
      <c r="L704" s="42">
        <v>75.39</v>
      </c>
      <c r="M704" s="42">
        <f t="shared" si="43"/>
        <v>3.1599999999999966</v>
      </c>
    </row>
    <row r="705" spans="2:13" x14ac:dyDescent="0.25">
      <c r="B705" s="42">
        <f t="shared" si="40"/>
        <v>6</v>
      </c>
      <c r="C705" s="42">
        <f t="shared" si="41"/>
        <v>9</v>
      </c>
      <c r="D705" s="42">
        <f t="shared" si="42"/>
        <v>2018</v>
      </c>
      <c r="E705" s="43">
        <v>43349</v>
      </c>
      <c r="F705" s="42">
        <v>65.23</v>
      </c>
      <c r="G705" s="42">
        <v>70.400000000000006</v>
      </c>
      <c r="H705" s="42">
        <v>64.63</v>
      </c>
      <c r="I705" s="42">
        <v>74.22</v>
      </c>
      <c r="J705" s="42">
        <v>76.400000000000006</v>
      </c>
      <c r="K705" s="42">
        <v>67.78</v>
      </c>
      <c r="L705" s="42">
        <v>74.78</v>
      </c>
      <c r="M705" s="42">
        <f t="shared" si="43"/>
        <v>2.5499999999999972</v>
      </c>
    </row>
    <row r="706" spans="2:13" x14ac:dyDescent="0.25">
      <c r="B706" s="42">
        <f t="shared" si="40"/>
        <v>7</v>
      </c>
      <c r="C706" s="42">
        <f t="shared" si="41"/>
        <v>9</v>
      </c>
      <c r="D706" s="42">
        <f t="shared" si="42"/>
        <v>2018</v>
      </c>
      <c r="E706" s="43">
        <v>43350</v>
      </c>
      <c r="F706" s="42">
        <v>66.010000000000005</v>
      </c>
      <c r="G706" s="42">
        <v>70.63</v>
      </c>
      <c r="H706" s="42">
        <v>64.84</v>
      </c>
      <c r="I706" s="42">
        <v>74.44</v>
      </c>
      <c r="J706" s="42">
        <v>76.489999999999995</v>
      </c>
      <c r="K706" s="42">
        <v>67.78</v>
      </c>
      <c r="L706" s="42">
        <v>74.78</v>
      </c>
      <c r="M706" s="42">
        <f t="shared" si="43"/>
        <v>1.769999999999996</v>
      </c>
    </row>
    <row r="707" spans="2:13" x14ac:dyDescent="0.25">
      <c r="B707" s="42">
        <f t="shared" si="40"/>
        <v>10</v>
      </c>
      <c r="C707" s="42">
        <f t="shared" si="41"/>
        <v>9</v>
      </c>
      <c r="D707" s="42">
        <f t="shared" si="42"/>
        <v>2018</v>
      </c>
      <c r="E707" s="43">
        <v>43353</v>
      </c>
      <c r="F707" s="42">
        <v>66.39</v>
      </c>
      <c r="G707" s="42">
        <v>70.83</v>
      </c>
      <c r="H707" s="42">
        <v>65.41</v>
      </c>
      <c r="I707" s="42">
        <v>74.680000000000007</v>
      </c>
      <c r="J707" s="42">
        <v>77.45</v>
      </c>
      <c r="K707" s="42">
        <v>67.59</v>
      </c>
      <c r="L707" s="42">
        <v>75.59</v>
      </c>
      <c r="M707" s="42">
        <f t="shared" si="43"/>
        <v>1.2000000000000028</v>
      </c>
    </row>
    <row r="708" spans="2:13" x14ac:dyDescent="0.25">
      <c r="B708" s="42">
        <f t="shared" si="40"/>
        <v>11</v>
      </c>
      <c r="C708" s="42">
        <f t="shared" si="41"/>
        <v>9</v>
      </c>
      <c r="D708" s="42">
        <f t="shared" si="42"/>
        <v>2018</v>
      </c>
      <c r="E708" s="43">
        <v>43354</v>
      </c>
      <c r="F708" s="42">
        <v>67.650000000000006</v>
      </c>
      <c r="G708" s="42">
        <v>73.19</v>
      </c>
      <c r="H708" s="42">
        <v>67.42</v>
      </c>
      <c r="I708" s="42">
        <v>76.97</v>
      </c>
      <c r="J708" s="42">
        <v>78.64</v>
      </c>
      <c r="K708" s="42">
        <v>69.25</v>
      </c>
      <c r="L708" s="42">
        <v>77.150000000000006</v>
      </c>
      <c r="M708" s="42">
        <f t="shared" si="43"/>
        <v>1.5999999999999943</v>
      </c>
    </row>
    <row r="709" spans="2:13" x14ac:dyDescent="0.25">
      <c r="B709" s="42">
        <f t="shared" si="40"/>
        <v>12</v>
      </c>
      <c r="C709" s="42">
        <f t="shared" si="41"/>
        <v>9</v>
      </c>
      <c r="D709" s="42">
        <f t="shared" si="42"/>
        <v>2018</v>
      </c>
      <c r="E709" s="43">
        <v>43355</v>
      </c>
      <c r="F709" s="42">
        <v>68.56</v>
      </c>
      <c r="G709" s="42">
        <v>73.92</v>
      </c>
      <c r="H709" s="42">
        <v>68.08</v>
      </c>
      <c r="I709" s="42">
        <v>77.7</v>
      </c>
      <c r="J709" s="42">
        <v>79.92</v>
      </c>
      <c r="K709" s="42">
        <v>70.37</v>
      </c>
      <c r="L709" s="42">
        <v>77.319999999999993</v>
      </c>
      <c r="M709" s="42">
        <f t="shared" si="43"/>
        <v>1.8100000000000023</v>
      </c>
    </row>
    <row r="710" spans="2:13" x14ac:dyDescent="0.25">
      <c r="B710" s="42">
        <f t="shared" si="40"/>
        <v>13</v>
      </c>
      <c r="C710" s="42">
        <f t="shared" si="41"/>
        <v>9</v>
      </c>
      <c r="D710" s="42">
        <f t="shared" si="42"/>
        <v>2018</v>
      </c>
      <c r="E710" s="43">
        <v>43356</v>
      </c>
      <c r="F710" s="42">
        <v>67.45</v>
      </c>
      <c r="G710" s="42">
        <v>72.81</v>
      </c>
      <c r="H710" s="42">
        <v>66.930000000000007</v>
      </c>
      <c r="I710" s="42">
        <v>76.56</v>
      </c>
      <c r="J710" s="42">
        <v>78.22</v>
      </c>
      <c r="K710" s="42">
        <v>68.599999999999994</v>
      </c>
      <c r="L710" s="42">
        <v>76.5</v>
      </c>
      <c r="M710" s="42">
        <f t="shared" si="43"/>
        <v>1.1499999999999915</v>
      </c>
    </row>
    <row r="711" spans="2:13" x14ac:dyDescent="0.25">
      <c r="B711" s="42">
        <f t="shared" ref="B711:B774" si="44">DAY(E711)</f>
        <v>14</v>
      </c>
      <c r="C711" s="42">
        <f t="shared" ref="C711:C774" si="45">MONTH(E711)</f>
        <v>9</v>
      </c>
      <c r="D711" s="42">
        <f t="shared" ref="D711:D774" si="46">YEAR(E711)</f>
        <v>2018</v>
      </c>
      <c r="E711" s="43">
        <v>43357</v>
      </c>
      <c r="F711" s="42">
        <v>67.23</v>
      </c>
      <c r="G711" s="42">
        <v>72.8</v>
      </c>
      <c r="H711" s="42">
        <v>66.95</v>
      </c>
      <c r="I711" s="42">
        <v>76.489999999999995</v>
      </c>
      <c r="J711" s="42">
        <v>78.17</v>
      </c>
      <c r="K711" s="42">
        <v>68.989999999999995</v>
      </c>
      <c r="L711" s="42">
        <v>76.540000000000006</v>
      </c>
      <c r="M711" s="42">
        <f t="shared" ref="M711:M774" si="47">K711-F711</f>
        <v>1.7599999999999909</v>
      </c>
    </row>
    <row r="712" spans="2:13" x14ac:dyDescent="0.25">
      <c r="B712" s="42">
        <f t="shared" si="44"/>
        <v>17</v>
      </c>
      <c r="C712" s="42">
        <f t="shared" si="45"/>
        <v>9</v>
      </c>
      <c r="D712" s="42">
        <f t="shared" si="46"/>
        <v>2018</v>
      </c>
      <c r="E712" s="43">
        <v>43360</v>
      </c>
      <c r="F712" s="42">
        <v>68.09</v>
      </c>
      <c r="G712" s="42">
        <v>73.790000000000006</v>
      </c>
      <c r="H712" s="42">
        <v>67.91</v>
      </c>
      <c r="I712" s="42">
        <v>77.27</v>
      </c>
      <c r="J712" s="42">
        <v>78.400000000000006</v>
      </c>
      <c r="K712" s="42">
        <v>68.91</v>
      </c>
      <c r="L712" s="42">
        <v>76.61</v>
      </c>
      <c r="M712" s="42">
        <f t="shared" si="47"/>
        <v>0.81999999999999318</v>
      </c>
    </row>
    <row r="713" spans="2:13" x14ac:dyDescent="0.25">
      <c r="B713" s="42">
        <f t="shared" si="44"/>
        <v>18</v>
      </c>
      <c r="C713" s="42">
        <f t="shared" si="45"/>
        <v>9</v>
      </c>
      <c r="D713" s="42">
        <f t="shared" si="46"/>
        <v>2018</v>
      </c>
      <c r="E713" s="43">
        <v>43361</v>
      </c>
      <c r="F713" s="42">
        <v>69.349999999999994</v>
      </c>
      <c r="G713" s="42">
        <v>75.28</v>
      </c>
      <c r="H713" s="42">
        <v>69.569999999999993</v>
      </c>
      <c r="I713" s="42">
        <v>78.69</v>
      </c>
      <c r="J713" s="42">
        <v>78.97</v>
      </c>
      <c r="K713" s="42">
        <v>69.849999999999994</v>
      </c>
      <c r="L713" s="42">
        <v>77.5</v>
      </c>
      <c r="M713" s="42">
        <f t="shared" si="47"/>
        <v>0.5</v>
      </c>
    </row>
    <row r="714" spans="2:13" x14ac:dyDescent="0.25">
      <c r="B714" s="42">
        <f t="shared" si="44"/>
        <v>19</v>
      </c>
      <c r="C714" s="42">
        <f t="shared" si="45"/>
        <v>9</v>
      </c>
      <c r="D714" s="42">
        <f t="shared" si="46"/>
        <v>2018</v>
      </c>
      <c r="E714" s="43">
        <v>43362</v>
      </c>
      <c r="F714" s="42">
        <v>70.2</v>
      </c>
      <c r="G714" s="42">
        <v>75.8</v>
      </c>
      <c r="H714" s="42">
        <v>69.989999999999995</v>
      </c>
      <c r="I714" s="42">
        <v>79.17</v>
      </c>
      <c r="J714" s="42">
        <v>79.3</v>
      </c>
      <c r="K714" s="42">
        <v>71.12</v>
      </c>
      <c r="L714" s="42">
        <v>78.37</v>
      </c>
      <c r="M714" s="42">
        <f t="shared" si="47"/>
        <v>0.92000000000000171</v>
      </c>
    </row>
    <row r="715" spans="2:13" x14ac:dyDescent="0.25">
      <c r="B715" s="42">
        <f t="shared" si="44"/>
        <v>20</v>
      </c>
      <c r="C715" s="42">
        <f t="shared" si="45"/>
        <v>9</v>
      </c>
      <c r="D715" s="42">
        <f t="shared" si="46"/>
        <v>2018</v>
      </c>
      <c r="E715" s="43">
        <v>43363</v>
      </c>
      <c r="F715" s="42">
        <v>68.88</v>
      </c>
      <c r="G715" s="42">
        <v>74.42</v>
      </c>
      <c r="H715" s="42">
        <v>68.92</v>
      </c>
      <c r="I715" s="42">
        <v>77.91</v>
      </c>
      <c r="J715" s="42">
        <v>78.92</v>
      </c>
      <c r="K715" s="42">
        <v>70.84</v>
      </c>
      <c r="L715" s="42">
        <v>77.64</v>
      </c>
      <c r="M715" s="42">
        <f t="shared" si="47"/>
        <v>1.960000000000008</v>
      </c>
    </row>
    <row r="716" spans="2:13" x14ac:dyDescent="0.25">
      <c r="B716" s="42">
        <f t="shared" si="44"/>
        <v>21</v>
      </c>
      <c r="C716" s="42">
        <f t="shared" si="45"/>
        <v>9</v>
      </c>
      <c r="D716" s="42">
        <f t="shared" si="46"/>
        <v>2018</v>
      </c>
      <c r="E716" s="43">
        <v>43364</v>
      </c>
      <c r="F716" s="42">
        <v>69.53</v>
      </c>
      <c r="G716" s="42">
        <v>75.14</v>
      </c>
      <c r="H716" s="42">
        <v>69.599999999999994</v>
      </c>
      <c r="I716" s="42">
        <v>78.44</v>
      </c>
      <c r="J716" s="42">
        <v>78.88</v>
      </c>
      <c r="K716" s="42">
        <v>72.06</v>
      </c>
      <c r="L716" s="42">
        <v>78.459999999999994</v>
      </c>
      <c r="M716" s="42">
        <f t="shared" si="47"/>
        <v>2.5300000000000011</v>
      </c>
    </row>
    <row r="717" spans="2:13" x14ac:dyDescent="0.25">
      <c r="B717" s="42">
        <f t="shared" si="44"/>
        <v>24</v>
      </c>
      <c r="C717" s="42">
        <f t="shared" si="45"/>
        <v>9</v>
      </c>
      <c r="D717" s="42">
        <f t="shared" si="46"/>
        <v>2018</v>
      </c>
      <c r="E717" s="43">
        <v>43367</v>
      </c>
      <c r="F717" s="42">
        <v>71.349999999999994</v>
      </c>
      <c r="G717" s="42">
        <v>77.650000000000006</v>
      </c>
      <c r="H717" s="42">
        <v>71.8</v>
      </c>
      <c r="I717" s="42">
        <v>80.989999999999995</v>
      </c>
      <c r="J717" s="42">
        <v>80.92</v>
      </c>
      <c r="K717" s="42">
        <v>73.28</v>
      </c>
      <c r="L717" s="42">
        <v>80.08</v>
      </c>
      <c r="M717" s="42">
        <f t="shared" si="47"/>
        <v>1.9300000000000068</v>
      </c>
    </row>
    <row r="718" spans="2:13" x14ac:dyDescent="0.25">
      <c r="B718" s="42">
        <f t="shared" si="44"/>
        <v>25</v>
      </c>
      <c r="C718" s="42">
        <f t="shared" si="45"/>
        <v>9</v>
      </c>
      <c r="D718" s="42">
        <f t="shared" si="46"/>
        <v>2018</v>
      </c>
      <c r="E718" s="43">
        <v>43368</v>
      </c>
      <c r="F718" s="42">
        <v>72.400000000000006</v>
      </c>
      <c r="G718" s="42">
        <v>78.53</v>
      </c>
      <c r="H718" s="42">
        <v>72.47</v>
      </c>
      <c r="I718" s="42">
        <v>81.81</v>
      </c>
      <c r="J718" s="42">
        <v>82.38</v>
      </c>
      <c r="K718" s="42">
        <v>72.680000000000007</v>
      </c>
      <c r="L718" s="42">
        <v>80.680000000000007</v>
      </c>
      <c r="M718" s="42">
        <f t="shared" si="47"/>
        <v>0.28000000000000114</v>
      </c>
    </row>
    <row r="719" spans="2:13" x14ac:dyDescent="0.25">
      <c r="B719" s="42">
        <f t="shared" si="44"/>
        <v>26</v>
      </c>
      <c r="C719" s="42">
        <f t="shared" si="45"/>
        <v>9</v>
      </c>
      <c r="D719" s="42">
        <f t="shared" si="46"/>
        <v>2018</v>
      </c>
      <c r="E719" s="43">
        <v>43369</v>
      </c>
      <c r="F719" s="42">
        <v>72.319999999999993</v>
      </c>
      <c r="G719" s="42">
        <v>78.150000000000006</v>
      </c>
      <c r="H719" s="42">
        <v>72.73</v>
      </c>
      <c r="I719" s="42">
        <v>81.430000000000007</v>
      </c>
      <c r="J719" s="42">
        <v>81.63</v>
      </c>
      <c r="K719" s="42">
        <v>71.59</v>
      </c>
      <c r="L719" s="42">
        <v>79.09</v>
      </c>
      <c r="M719" s="42">
        <f t="shared" si="47"/>
        <v>-0.72999999999998977</v>
      </c>
    </row>
    <row r="720" spans="2:13" x14ac:dyDescent="0.25">
      <c r="B720" s="42">
        <f t="shared" si="44"/>
        <v>27</v>
      </c>
      <c r="C720" s="42">
        <f t="shared" si="45"/>
        <v>9</v>
      </c>
      <c r="D720" s="42">
        <f t="shared" si="46"/>
        <v>2018</v>
      </c>
      <c r="E720" s="43">
        <v>43370</v>
      </c>
      <c r="F720" s="42">
        <v>73.040000000000006</v>
      </c>
      <c r="G720" s="42">
        <v>79.34</v>
      </c>
      <c r="H720" s="42">
        <v>73.77</v>
      </c>
      <c r="I720" s="42">
        <v>82.51</v>
      </c>
      <c r="J720" s="42">
        <v>81.61</v>
      </c>
      <c r="K720" s="42">
        <v>72.12</v>
      </c>
      <c r="L720" s="42">
        <v>79.67</v>
      </c>
      <c r="M720" s="42">
        <f t="shared" si="47"/>
        <v>-0.92000000000000171</v>
      </c>
    </row>
    <row r="721" spans="2:13" x14ac:dyDescent="0.25">
      <c r="B721" s="42">
        <f t="shared" si="44"/>
        <v>28</v>
      </c>
      <c r="C721" s="42">
        <f t="shared" si="45"/>
        <v>9</v>
      </c>
      <c r="D721" s="42">
        <f t="shared" si="46"/>
        <v>2018</v>
      </c>
      <c r="E721" s="43">
        <v>43371</v>
      </c>
      <c r="F721" s="42">
        <v>74.23</v>
      </c>
      <c r="G721" s="42">
        <v>79.959999999999994</v>
      </c>
      <c r="H721" s="42">
        <v>74.209999999999994</v>
      </c>
      <c r="I721" s="42">
        <v>83.26</v>
      </c>
      <c r="J721" s="42">
        <v>83.41</v>
      </c>
      <c r="K721" s="42">
        <v>73.25</v>
      </c>
      <c r="L721" s="42">
        <v>81.2</v>
      </c>
      <c r="M721" s="42">
        <f t="shared" si="47"/>
        <v>-0.98000000000000398</v>
      </c>
    </row>
    <row r="722" spans="2:13" x14ac:dyDescent="0.25">
      <c r="B722" s="42">
        <f t="shared" si="44"/>
        <v>1</v>
      </c>
      <c r="C722" s="42">
        <f t="shared" si="45"/>
        <v>10</v>
      </c>
      <c r="D722" s="42">
        <f t="shared" si="46"/>
        <v>2018</v>
      </c>
      <c r="E722" s="43">
        <v>43374</v>
      </c>
      <c r="F722" s="42">
        <v>76.34</v>
      </c>
      <c r="G722" s="42">
        <v>84.2</v>
      </c>
      <c r="H722" s="42">
        <v>78.209999999999994</v>
      </c>
      <c r="I722" s="42">
        <v>87.37</v>
      </c>
      <c r="J722" s="42">
        <v>84.29</v>
      </c>
      <c r="K722" s="42">
        <v>75.319999999999993</v>
      </c>
      <c r="L722" s="42">
        <v>83.37</v>
      </c>
      <c r="M722" s="42">
        <f t="shared" si="47"/>
        <v>-1.0200000000000102</v>
      </c>
    </row>
    <row r="723" spans="2:13" x14ac:dyDescent="0.25">
      <c r="B723" s="42">
        <f t="shared" si="44"/>
        <v>2</v>
      </c>
      <c r="C723" s="42">
        <f t="shared" si="45"/>
        <v>10</v>
      </c>
      <c r="D723" s="42">
        <f t="shared" si="46"/>
        <v>2018</v>
      </c>
      <c r="E723" s="43">
        <v>43375</v>
      </c>
      <c r="F723" s="42">
        <v>76.930000000000007</v>
      </c>
      <c r="G723" s="42">
        <v>83.87</v>
      </c>
      <c r="H723" s="42">
        <v>77.790000000000006</v>
      </c>
      <c r="I723" s="42">
        <v>86.98</v>
      </c>
      <c r="J723" s="42">
        <v>85.44</v>
      </c>
      <c r="K723" s="42">
        <v>75.239999999999995</v>
      </c>
      <c r="L723" s="42">
        <v>83.54</v>
      </c>
      <c r="M723" s="42">
        <f t="shared" si="47"/>
        <v>-1.6900000000000119</v>
      </c>
    </row>
    <row r="724" spans="2:13" x14ac:dyDescent="0.25">
      <c r="B724" s="42">
        <f t="shared" si="44"/>
        <v>3</v>
      </c>
      <c r="C724" s="42">
        <f t="shared" si="45"/>
        <v>10</v>
      </c>
      <c r="D724" s="42">
        <f t="shared" si="46"/>
        <v>2018</v>
      </c>
      <c r="E724" s="43">
        <v>43376</v>
      </c>
      <c r="F724" s="42">
        <v>77.73</v>
      </c>
      <c r="G724" s="42">
        <v>85.17</v>
      </c>
      <c r="H724" s="42">
        <v>79.28</v>
      </c>
      <c r="I724" s="42">
        <v>88.34</v>
      </c>
      <c r="J724" s="42">
        <v>85.25</v>
      </c>
      <c r="K724" s="42">
        <v>76.430000000000007</v>
      </c>
      <c r="L724" s="42">
        <v>84.88</v>
      </c>
      <c r="M724" s="42">
        <f t="shared" si="47"/>
        <v>-1.2999999999999972</v>
      </c>
    </row>
    <row r="725" spans="2:13" x14ac:dyDescent="0.25">
      <c r="B725" s="42">
        <f t="shared" si="44"/>
        <v>4</v>
      </c>
      <c r="C725" s="42">
        <f t="shared" si="45"/>
        <v>10</v>
      </c>
      <c r="D725" s="42">
        <f t="shared" si="46"/>
        <v>2018</v>
      </c>
      <c r="E725" s="43">
        <v>43377</v>
      </c>
      <c r="F725" s="42">
        <v>77.209999999999994</v>
      </c>
      <c r="G725" s="42">
        <v>83.36</v>
      </c>
      <c r="H725" s="42">
        <v>77.78</v>
      </c>
      <c r="I725" s="42">
        <v>86.6</v>
      </c>
      <c r="J725" s="42">
        <v>85.83</v>
      </c>
      <c r="K725" s="42">
        <v>74.34</v>
      </c>
      <c r="L725" s="42">
        <v>83.04</v>
      </c>
      <c r="M725" s="42">
        <f t="shared" si="47"/>
        <v>-2.8699999999999903</v>
      </c>
    </row>
    <row r="726" spans="2:13" x14ac:dyDescent="0.25">
      <c r="B726" s="42">
        <f t="shared" si="44"/>
        <v>5</v>
      </c>
      <c r="C726" s="42">
        <f t="shared" si="45"/>
        <v>10</v>
      </c>
      <c r="D726" s="42">
        <f t="shared" si="46"/>
        <v>2018</v>
      </c>
      <c r="E726" s="43">
        <v>43378</v>
      </c>
      <c r="F726" s="42">
        <v>77</v>
      </c>
      <c r="G726" s="42">
        <v>83.38</v>
      </c>
      <c r="H726" s="42">
        <v>77.959999999999994</v>
      </c>
      <c r="I726" s="42">
        <v>86.5</v>
      </c>
      <c r="J726" s="42">
        <v>85.11</v>
      </c>
      <c r="K726" s="42">
        <v>74.34</v>
      </c>
      <c r="L726" s="42">
        <v>83.04</v>
      </c>
      <c r="M726" s="42">
        <f t="shared" si="47"/>
        <v>-2.6599999999999966</v>
      </c>
    </row>
    <row r="727" spans="2:13" x14ac:dyDescent="0.25">
      <c r="B727" s="42">
        <f t="shared" si="44"/>
        <v>8</v>
      </c>
      <c r="C727" s="42">
        <f t="shared" si="45"/>
        <v>10</v>
      </c>
      <c r="D727" s="42">
        <f t="shared" si="46"/>
        <v>2018</v>
      </c>
      <c r="E727" s="43">
        <v>43381</v>
      </c>
      <c r="F727" s="42">
        <v>76.55</v>
      </c>
      <c r="G727" s="42">
        <v>83.34</v>
      </c>
      <c r="H727" s="42">
        <v>77.989999999999995</v>
      </c>
      <c r="I727" s="42">
        <v>86.41</v>
      </c>
      <c r="J727" s="42">
        <v>83.74</v>
      </c>
      <c r="K727" s="42">
        <v>74.290000000000006</v>
      </c>
      <c r="L727" s="42">
        <v>82.79</v>
      </c>
      <c r="M727" s="42">
        <f t="shared" si="47"/>
        <v>-2.2599999999999909</v>
      </c>
    </row>
    <row r="728" spans="2:13" x14ac:dyDescent="0.25">
      <c r="B728" s="42">
        <f t="shared" si="44"/>
        <v>9</v>
      </c>
      <c r="C728" s="42">
        <f t="shared" si="45"/>
        <v>10</v>
      </c>
      <c r="D728" s="42">
        <f t="shared" si="46"/>
        <v>2018</v>
      </c>
      <c r="E728" s="43">
        <v>43382</v>
      </c>
      <c r="F728" s="42">
        <v>77.36</v>
      </c>
      <c r="G728" s="42">
        <v>83.81</v>
      </c>
      <c r="H728" s="42">
        <v>78.48</v>
      </c>
      <c r="I728" s="42">
        <v>87.03</v>
      </c>
      <c r="J728" s="42">
        <v>84.87</v>
      </c>
      <c r="K728" s="42">
        <v>74.959999999999994</v>
      </c>
      <c r="L728" s="42">
        <v>83.61</v>
      </c>
      <c r="M728" s="42">
        <f t="shared" si="47"/>
        <v>-2.4000000000000057</v>
      </c>
    </row>
    <row r="729" spans="2:13" x14ac:dyDescent="0.25">
      <c r="B729" s="42">
        <f t="shared" si="44"/>
        <v>10</v>
      </c>
      <c r="C729" s="42">
        <f t="shared" si="45"/>
        <v>10</v>
      </c>
      <c r="D729" s="42">
        <f t="shared" si="46"/>
        <v>2018</v>
      </c>
      <c r="E729" s="43">
        <v>43383</v>
      </c>
      <c r="F729" s="42">
        <v>75.77</v>
      </c>
      <c r="G729" s="42">
        <v>81.760000000000005</v>
      </c>
      <c r="H729" s="42">
        <v>77.23</v>
      </c>
      <c r="I729" s="42">
        <v>84.95</v>
      </c>
      <c r="J729" s="42">
        <v>83.71</v>
      </c>
      <c r="K729" s="42">
        <v>73.17</v>
      </c>
      <c r="L729" s="42">
        <v>81.819999999999993</v>
      </c>
      <c r="M729" s="42">
        <f t="shared" si="47"/>
        <v>-2.5999999999999943</v>
      </c>
    </row>
    <row r="730" spans="2:13" x14ac:dyDescent="0.25">
      <c r="B730" s="42">
        <f t="shared" si="44"/>
        <v>11</v>
      </c>
      <c r="C730" s="42">
        <f t="shared" si="45"/>
        <v>10</v>
      </c>
      <c r="D730" s="42">
        <f t="shared" si="46"/>
        <v>2018</v>
      </c>
      <c r="E730" s="43">
        <v>43384</v>
      </c>
      <c r="F730" s="42">
        <v>73.67</v>
      </c>
      <c r="G730" s="42">
        <v>79.69</v>
      </c>
      <c r="H730" s="42">
        <v>74.459999999999994</v>
      </c>
      <c r="I730" s="42">
        <v>82.79</v>
      </c>
      <c r="J730" s="42">
        <v>80.959999999999994</v>
      </c>
      <c r="K730" s="42">
        <v>70.98</v>
      </c>
      <c r="L730" s="42">
        <v>79.430000000000007</v>
      </c>
      <c r="M730" s="42">
        <f t="shared" si="47"/>
        <v>-2.6899999999999977</v>
      </c>
    </row>
    <row r="731" spans="2:13" x14ac:dyDescent="0.25">
      <c r="B731" s="42">
        <f t="shared" si="44"/>
        <v>12</v>
      </c>
      <c r="C731" s="42">
        <f t="shared" si="45"/>
        <v>10</v>
      </c>
      <c r="D731" s="42">
        <f t="shared" si="46"/>
        <v>2018</v>
      </c>
      <c r="E731" s="43">
        <v>43385</v>
      </c>
      <c r="F731" s="42">
        <v>73.569999999999993</v>
      </c>
      <c r="G731" s="42">
        <v>80.06</v>
      </c>
      <c r="H731" s="42">
        <v>75.010000000000005</v>
      </c>
      <c r="I731" s="42">
        <v>83.18</v>
      </c>
      <c r="J731" s="42">
        <v>80.75</v>
      </c>
      <c r="K731" s="42">
        <v>71.34</v>
      </c>
      <c r="L731" s="42">
        <v>78.239999999999995</v>
      </c>
      <c r="M731" s="42">
        <f t="shared" si="47"/>
        <v>-2.2299999999999898</v>
      </c>
    </row>
    <row r="732" spans="2:13" x14ac:dyDescent="0.25">
      <c r="B732" s="42">
        <f t="shared" si="44"/>
        <v>15</v>
      </c>
      <c r="C732" s="42">
        <f t="shared" si="45"/>
        <v>10</v>
      </c>
      <c r="D732" s="42">
        <f t="shared" si="46"/>
        <v>2018</v>
      </c>
      <c r="E732" s="43">
        <v>43388</v>
      </c>
      <c r="F732" s="42">
        <v>74.28</v>
      </c>
      <c r="G732" s="42">
        <v>80.8</v>
      </c>
      <c r="H732" s="42">
        <v>75.83</v>
      </c>
      <c r="I732" s="42">
        <v>83.8</v>
      </c>
      <c r="J732" s="42">
        <v>80.790000000000006</v>
      </c>
      <c r="K732" s="42">
        <v>71.8</v>
      </c>
      <c r="L732" s="42">
        <v>79.349999999999994</v>
      </c>
      <c r="M732" s="42">
        <f t="shared" si="47"/>
        <v>-2.480000000000004</v>
      </c>
    </row>
    <row r="733" spans="2:13" x14ac:dyDescent="0.25">
      <c r="B733" s="42">
        <f t="shared" si="44"/>
        <v>16</v>
      </c>
      <c r="C733" s="42">
        <f t="shared" si="45"/>
        <v>10</v>
      </c>
      <c r="D733" s="42">
        <f t="shared" si="46"/>
        <v>2018</v>
      </c>
      <c r="E733" s="43">
        <v>43389</v>
      </c>
      <c r="F733" s="42">
        <v>74.55</v>
      </c>
      <c r="G733" s="42">
        <v>81.290000000000006</v>
      </c>
      <c r="H733" s="42">
        <v>76.400000000000006</v>
      </c>
      <c r="I733" s="42">
        <v>84.3</v>
      </c>
      <c r="J733" s="42">
        <v>80.7</v>
      </c>
      <c r="K733" s="42">
        <v>71.94</v>
      </c>
      <c r="L733" s="42">
        <v>79.84</v>
      </c>
      <c r="M733" s="42">
        <f t="shared" si="47"/>
        <v>-2.6099999999999994</v>
      </c>
    </row>
    <row r="734" spans="2:13" x14ac:dyDescent="0.25">
      <c r="B734" s="42">
        <f t="shared" si="44"/>
        <v>17</v>
      </c>
      <c r="C734" s="42">
        <f t="shared" si="45"/>
        <v>10</v>
      </c>
      <c r="D734" s="42">
        <f t="shared" si="46"/>
        <v>2018</v>
      </c>
      <c r="E734" s="43">
        <v>43390</v>
      </c>
      <c r="F734" s="42">
        <v>73.709999999999994</v>
      </c>
      <c r="G734" s="42">
        <v>79.63</v>
      </c>
      <c r="H734" s="42">
        <v>74.92</v>
      </c>
      <c r="I734" s="42">
        <v>82.7</v>
      </c>
      <c r="J734" s="42">
        <v>79.97</v>
      </c>
      <c r="K734" s="42">
        <v>69.8</v>
      </c>
      <c r="L734" s="42">
        <v>77.650000000000006</v>
      </c>
      <c r="M734" s="42">
        <f t="shared" si="47"/>
        <v>-3.9099999999999966</v>
      </c>
    </row>
    <row r="735" spans="2:13" x14ac:dyDescent="0.25">
      <c r="B735" s="42">
        <f t="shared" si="44"/>
        <v>18</v>
      </c>
      <c r="C735" s="42">
        <f t="shared" si="45"/>
        <v>10</v>
      </c>
      <c r="D735" s="42">
        <f t="shared" si="46"/>
        <v>2018</v>
      </c>
      <c r="E735" s="43">
        <v>43391</v>
      </c>
      <c r="F735" s="42">
        <v>73.680000000000007</v>
      </c>
      <c r="G735" s="42">
        <v>79.06</v>
      </c>
      <c r="H735" s="42">
        <v>74.88</v>
      </c>
      <c r="I735" s="42">
        <v>82.1</v>
      </c>
      <c r="J735" s="42">
        <v>79.73</v>
      </c>
      <c r="K735" s="42">
        <v>68.650000000000006</v>
      </c>
      <c r="L735" s="42">
        <v>76.900000000000006</v>
      </c>
      <c r="M735" s="42">
        <f t="shared" si="47"/>
        <v>-5.0300000000000011</v>
      </c>
    </row>
    <row r="736" spans="2:13" x14ac:dyDescent="0.25">
      <c r="B736" s="42">
        <f t="shared" si="44"/>
        <v>19</v>
      </c>
      <c r="C736" s="42">
        <f t="shared" si="45"/>
        <v>10</v>
      </c>
      <c r="D736" s="42">
        <f t="shared" si="46"/>
        <v>2018</v>
      </c>
      <c r="E736" s="43">
        <v>43392</v>
      </c>
      <c r="F736" s="42">
        <v>74.17</v>
      </c>
      <c r="G736" s="42">
        <v>79.75</v>
      </c>
      <c r="H736" s="42">
        <v>75.569999999999993</v>
      </c>
      <c r="I736" s="42">
        <v>82.77</v>
      </c>
      <c r="J736" s="42">
        <v>80.150000000000006</v>
      </c>
      <c r="K736" s="42">
        <v>69.12</v>
      </c>
      <c r="L736" s="42">
        <v>77.37</v>
      </c>
      <c r="M736" s="42">
        <f t="shared" si="47"/>
        <v>-5.0499999999999972</v>
      </c>
    </row>
    <row r="737" spans="2:13" x14ac:dyDescent="0.25">
      <c r="B737" s="42">
        <f t="shared" si="44"/>
        <v>22</v>
      </c>
      <c r="C737" s="42">
        <f t="shared" si="45"/>
        <v>10</v>
      </c>
      <c r="D737" s="42">
        <f t="shared" si="46"/>
        <v>2018</v>
      </c>
      <c r="E737" s="43">
        <v>43395</v>
      </c>
      <c r="F737" s="42">
        <v>74.06</v>
      </c>
      <c r="G737" s="42">
        <v>79.58</v>
      </c>
      <c r="H737" s="42">
        <v>75.48</v>
      </c>
      <c r="I737" s="42">
        <v>82.58</v>
      </c>
      <c r="J737" s="42">
        <v>79.81</v>
      </c>
      <c r="K737" s="42">
        <v>69.17</v>
      </c>
      <c r="L737" s="42">
        <v>77.47</v>
      </c>
      <c r="M737" s="42">
        <f t="shared" si="47"/>
        <v>-4.8900000000000006</v>
      </c>
    </row>
    <row r="738" spans="2:13" x14ac:dyDescent="0.25">
      <c r="B738" s="42">
        <f t="shared" si="44"/>
        <v>23</v>
      </c>
      <c r="C738" s="42">
        <f t="shared" si="45"/>
        <v>10</v>
      </c>
      <c r="D738" s="42">
        <f t="shared" si="46"/>
        <v>2018</v>
      </c>
      <c r="E738" s="43">
        <v>43396</v>
      </c>
      <c r="F738" s="42">
        <v>71.430000000000007</v>
      </c>
      <c r="G738" s="42">
        <v>75.59</v>
      </c>
      <c r="H738" s="42">
        <v>71.459999999999994</v>
      </c>
      <c r="I738" s="42">
        <v>78.599999999999994</v>
      </c>
      <c r="J738" s="42">
        <v>77.400000000000006</v>
      </c>
      <c r="K738" s="42">
        <v>66.28</v>
      </c>
      <c r="L738" s="42">
        <v>74.48</v>
      </c>
      <c r="M738" s="42">
        <f t="shared" si="47"/>
        <v>-5.1500000000000057</v>
      </c>
    </row>
    <row r="739" spans="2:13" x14ac:dyDescent="0.25">
      <c r="B739" s="42">
        <f t="shared" si="44"/>
        <v>24</v>
      </c>
      <c r="C739" s="42">
        <f t="shared" si="45"/>
        <v>10</v>
      </c>
      <c r="D739" s="42">
        <f t="shared" si="46"/>
        <v>2018</v>
      </c>
      <c r="E739" s="43">
        <v>43397</v>
      </c>
      <c r="F739" s="42">
        <v>70.66</v>
      </c>
      <c r="G739" s="42">
        <v>75.430000000000007</v>
      </c>
      <c r="H739" s="42">
        <v>71.41</v>
      </c>
      <c r="I739" s="42">
        <v>78.400000000000006</v>
      </c>
      <c r="J739" s="42">
        <v>76.98</v>
      </c>
      <c r="K739" s="42">
        <v>66.72</v>
      </c>
      <c r="L739" s="42">
        <v>74.67</v>
      </c>
      <c r="M739" s="42">
        <f t="shared" si="47"/>
        <v>-3.9399999999999977</v>
      </c>
    </row>
    <row r="740" spans="2:13" x14ac:dyDescent="0.25">
      <c r="B740" s="42">
        <f t="shared" si="44"/>
        <v>25</v>
      </c>
      <c r="C740" s="42">
        <f t="shared" si="45"/>
        <v>10</v>
      </c>
      <c r="D740" s="42">
        <f t="shared" si="46"/>
        <v>2018</v>
      </c>
      <c r="E740" s="43">
        <v>43398</v>
      </c>
      <c r="F740" s="42">
        <v>71.400000000000006</v>
      </c>
      <c r="G740" s="42">
        <v>75.849999999999994</v>
      </c>
      <c r="H740" s="42">
        <v>72.41</v>
      </c>
      <c r="I740" s="42">
        <v>78.930000000000007</v>
      </c>
      <c r="J740" s="42">
        <v>76.989999999999995</v>
      </c>
      <c r="K740" s="42">
        <v>67.28</v>
      </c>
      <c r="L740" s="42">
        <v>74.78</v>
      </c>
      <c r="M740" s="42">
        <f t="shared" si="47"/>
        <v>-4.1200000000000045</v>
      </c>
    </row>
    <row r="741" spans="2:13" x14ac:dyDescent="0.25">
      <c r="B741" s="42">
        <f t="shared" si="44"/>
        <v>26</v>
      </c>
      <c r="C741" s="42">
        <f t="shared" si="45"/>
        <v>10</v>
      </c>
      <c r="D741" s="42">
        <f t="shared" si="46"/>
        <v>2018</v>
      </c>
      <c r="E741" s="43">
        <v>43399</v>
      </c>
      <c r="F741" s="42">
        <v>71.91</v>
      </c>
      <c r="G741" s="42">
        <v>76.53</v>
      </c>
      <c r="H741" s="42">
        <v>73.400000000000006</v>
      </c>
      <c r="I741" s="42">
        <v>79.650000000000006</v>
      </c>
      <c r="J741" s="42">
        <v>77.180000000000007</v>
      </c>
      <c r="K741" s="42">
        <v>67.64</v>
      </c>
      <c r="L741" s="42">
        <v>75.239999999999995</v>
      </c>
      <c r="M741" s="42">
        <f t="shared" si="47"/>
        <v>-4.269999999999996</v>
      </c>
    </row>
    <row r="742" spans="2:13" x14ac:dyDescent="0.25">
      <c r="B742" s="42">
        <f t="shared" si="44"/>
        <v>29</v>
      </c>
      <c r="C742" s="42">
        <f t="shared" si="45"/>
        <v>10</v>
      </c>
      <c r="D742" s="42">
        <f t="shared" si="46"/>
        <v>2018</v>
      </c>
      <c r="E742" s="43">
        <v>43402</v>
      </c>
      <c r="F742" s="42">
        <v>71.61</v>
      </c>
      <c r="G742" s="42">
        <v>76.48</v>
      </c>
      <c r="H742" s="42">
        <v>73.03</v>
      </c>
      <c r="I742" s="42">
        <v>79.430000000000007</v>
      </c>
      <c r="J742" s="42">
        <v>77.55</v>
      </c>
      <c r="K742" s="42">
        <v>67.040000000000006</v>
      </c>
      <c r="L742" s="42">
        <v>75.290000000000006</v>
      </c>
      <c r="M742" s="42">
        <f t="shared" si="47"/>
        <v>-4.5699999999999932</v>
      </c>
    </row>
    <row r="743" spans="2:13" x14ac:dyDescent="0.25">
      <c r="B743" s="42">
        <f t="shared" si="44"/>
        <v>30</v>
      </c>
      <c r="C743" s="42">
        <f t="shared" si="45"/>
        <v>10</v>
      </c>
      <c r="D743" s="42">
        <f t="shared" si="46"/>
        <v>2018</v>
      </c>
      <c r="E743" s="43">
        <v>43403</v>
      </c>
      <c r="F743" s="42">
        <v>70.41</v>
      </c>
      <c r="G743" s="42">
        <v>75.33</v>
      </c>
      <c r="H743" s="42">
        <v>71.83</v>
      </c>
      <c r="I743" s="42">
        <v>78.33</v>
      </c>
      <c r="J743" s="42">
        <v>76.23</v>
      </c>
      <c r="K743" s="42">
        <v>66.209999999999994</v>
      </c>
      <c r="L743" s="42">
        <v>74.209999999999994</v>
      </c>
      <c r="M743" s="42">
        <f t="shared" si="47"/>
        <v>-4.2000000000000028</v>
      </c>
    </row>
    <row r="744" spans="2:13" x14ac:dyDescent="0.25">
      <c r="B744" s="42">
        <f t="shared" si="44"/>
        <v>31</v>
      </c>
      <c r="C744" s="42">
        <f t="shared" si="45"/>
        <v>10</v>
      </c>
      <c r="D744" s="42">
        <f t="shared" si="46"/>
        <v>2018</v>
      </c>
      <c r="E744" s="43">
        <v>43404</v>
      </c>
      <c r="F744" s="42">
        <v>70.17</v>
      </c>
      <c r="G744" s="42">
        <v>74.44</v>
      </c>
      <c r="H744" s="42">
        <v>71.28</v>
      </c>
      <c r="I744" s="42">
        <v>77.36</v>
      </c>
      <c r="J744" s="42">
        <v>75.72</v>
      </c>
      <c r="K744" s="42">
        <v>65.319999999999993</v>
      </c>
      <c r="L744" s="42">
        <v>73.52</v>
      </c>
      <c r="M744" s="42">
        <f t="shared" si="47"/>
        <v>-4.8500000000000085</v>
      </c>
    </row>
    <row r="745" spans="2:13" x14ac:dyDescent="0.25">
      <c r="B745" s="42">
        <f t="shared" si="44"/>
        <v>1</v>
      </c>
      <c r="C745" s="42">
        <f t="shared" si="45"/>
        <v>11</v>
      </c>
      <c r="D745" s="42">
        <f t="shared" si="46"/>
        <v>2018</v>
      </c>
      <c r="E745" s="43">
        <v>43405</v>
      </c>
      <c r="F745" s="42">
        <v>67.06</v>
      </c>
      <c r="G745" s="42">
        <v>72.5</v>
      </c>
      <c r="H745" s="42">
        <v>69.540000000000006</v>
      </c>
      <c r="I745" s="42">
        <v>75.41</v>
      </c>
      <c r="J745" s="42">
        <v>72.849999999999994</v>
      </c>
      <c r="K745" s="42">
        <v>63.69</v>
      </c>
      <c r="L745" s="42">
        <v>71.64</v>
      </c>
      <c r="M745" s="42">
        <f t="shared" si="47"/>
        <v>-3.3700000000000045</v>
      </c>
    </row>
    <row r="746" spans="2:13" x14ac:dyDescent="0.25">
      <c r="B746" s="42">
        <f t="shared" si="44"/>
        <v>2</v>
      </c>
      <c r="C746" s="42">
        <f t="shared" si="45"/>
        <v>11</v>
      </c>
      <c r="D746" s="42">
        <f t="shared" si="46"/>
        <v>2018</v>
      </c>
      <c r="E746" s="43">
        <v>43406</v>
      </c>
      <c r="F746" s="42">
        <v>66.7</v>
      </c>
      <c r="G746" s="42">
        <v>72.36</v>
      </c>
      <c r="H746" s="42">
        <v>69.39</v>
      </c>
      <c r="I746" s="42">
        <v>75.3</v>
      </c>
      <c r="J746" s="42">
        <v>72.67</v>
      </c>
      <c r="K746" s="42">
        <v>63.17</v>
      </c>
      <c r="L746" s="42">
        <v>71.22</v>
      </c>
      <c r="M746" s="42">
        <f t="shared" si="47"/>
        <v>-3.5300000000000011</v>
      </c>
    </row>
    <row r="747" spans="2:13" x14ac:dyDescent="0.25">
      <c r="B747" s="42">
        <f t="shared" si="44"/>
        <v>5</v>
      </c>
      <c r="C747" s="42">
        <f t="shared" si="45"/>
        <v>11</v>
      </c>
      <c r="D747" s="42">
        <f t="shared" si="46"/>
        <v>2018</v>
      </c>
      <c r="E747" s="43">
        <v>43409</v>
      </c>
      <c r="F747" s="42">
        <v>67.040000000000006</v>
      </c>
      <c r="G747" s="42">
        <v>72.59</v>
      </c>
      <c r="H747" s="42">
        <v>69.83</v>
      </c>
      <c r="I747" s="42">
        <v>75.510000000000005</v>
      </c>
      <c r="J747" s="42">
        <v>73.47</v>
      </c>
      <c r="K747" s="42">
        <v>63.11</v>
      </c>
      <c r="L747" s="42">
        <v>71.41</v>
      </c>
      <c r="M747" s="42">
        <f t="shared" si="47"/>
        <v>-3.9300000000000068</v>
      </c>
    </row>
    <row r="748" spans="2:13" x14ac:dyDescent="0.25">
      <c r="B748" s="42">
        <f t="shared" si="44"/>
        <v>6</v>
      </c>
      <c r="C748" s="42">
        <f t="shared" si="45"/>
        <v>11</v>
      </c>
      <c r="D748" s="42">
        <f t="shared" si="46"/>
        <v>2018</v>
      </c>
      <c r="E748" s="43">
        <v>43410</v>
      </c>
      <c r="F748" s="42">
        <v>67.040000000000006</v>
      </c>
      <c r="G748" s="42">
        <v>71.44</v>
      </c>
      <c r="H748" s="42">
        <v>68.44</v>
      </c>
      <c r="I748" s="42">
        <v>74.41</v>
      </c>
      <c r="J748" s="42">
        <v>71.599999999999994</v>
      </c>
      <c r="K748" s="42">
        <v>62.21</v>
      </c>
      <c r="L748" s="42">
        <v>70.209999999999994</v>
      </c>
      <c r="M748" s="42">
        <f t="shared" si="47"/>
        <v>-4.8300000000000054</v>
      </c>
    </row>
    <row r="749" spans="2:13" x14ac:dyDescent="0.25">
      <c r="B749" s="42">
        <f t="shared" si="44"/>
        <v>7</v>
      </c>
      <c r="C749" s="42">
        <f t="shared" si="45"/>
        <v>11</v>
      </c>
      <c r="D749" s="42">
        <f t="shared" si="46"/>
        <v>2018</v>
      </c>
      <c r="E749" s="43">
        <v>43411</v>
      </c>
      <c r="F749" s="42">
        <v>65.819999999999993</v>
      </c>
      <c r="G749" s="42">
        <v>71.37</v>
      </c>
      <c r="H749" s="42">
        <v>68.94</v>
      </c>
      <c r="I749" s="42">
        <v>74.33</v>
      </c>
      <c r="J749" s="42">
        <v>71.56</v>
      </c>
      <c r="K749" s="42">
        <v>61.7</v>
      </c>
      <c r="L749" s="42">
        <v>69.75</v>
      </c>
      <c r="M749" s="42">
        <f t="shared" si="47"/>
        <v>-4.1199999999999903</v>
      </c>
    </row>
    <row r="750" spans="2:13" x14ac:dyDescent="0.25">
      <c r="B750" s="42">
        <f t="shared" si="44"/>
        <v>8</v>
      </c>
      <c r="C750" s="42">
        <f t="shared" si="45"/>
        <v>11</v>
      </c>
      <c r="D750" s="42">
        <f t="shared" si="46"/>
        <v>2018</v>
      </c>
      <c r="E750" s="43">
        <v>43412</v>
      </c>
      <c r="F750" s="42">
        <v>65.150000000000006</v>
      </c>
      <c r="G750" s="42">
        <v>70.45</v>
      </c>
      <c r="H750" s="42">
        <v>67.83</v>
      </c>
      <c r="I750" s="42">
        <v>73.33</v>
      </c>
      <c r="J750" s="42">
        <v>71.430000000000007</v>
      </c>
      <c r="K750" s="42">
        <v>60.69</v>
      </c>
      <c r="L750" s="42">
        <v>68.84</v>
      </c>
      <c r="M750" s="42">
        <f t="shared" si="47"/>
        <v>-4.460000000000008</v>
      </c>
    </row>
    <row r="751" spans="2:13" x14ac:dyDescent="0.25">
      <c r="B751" s="42">
        <f t="shared" si="44"/>
        <v>9</v>
      </c>
      <c r="C751" s="42">
        <f t="shared" si="45"/>
        <v>11</v>
      </c>
      <c r="D751" s="42">
        <f t="shared" si="46"/>
        <v>2018</v>
      </c>
      <c r="E751" s="43">
        <v>43413</v>
      </c>
      <c r="F751" s="42">
        <v>64.05</v>
      </c>
      <c r="G751" s="42">
        <v>69.63</v>
      </c>
      <c r="H751" s="42">
        <v>66.98</v>
      </c>
      <c r="I751" s="42">
        <v>72.48</v>
      </c>
      <c r="J751" s="42">
        <v>70.03</v>
      </c>
      <c r="K751" s="42">
        <v>60.19</v>
      </c>
      <c r="L751" s="42">
        <v>68.14</v>
      </c>
      <c r="M751" s="42">
        <f t="shared" si="47"/>
        <v>-3.8599999999999994</v>
      </c>
    </row>
    <row r="752" spans="2:13" x14ac:dyDescent="0.25">
      <c r="B752" s="42">
        <f t="shared" si="44"/>
        <v>12</v>
      </c>
      <c r="C752" s="42">
        <f t="shared" si="45"/>
        <v>11</v>
      </c>
      <c r="D752" s="42">
        <f t="shared" si="46"/>
        <v>2018</v>
      </c>
      <c r="E752" s="43">
        <v>43416</v>
      </c>
      <c r="F752" s="42">
        <v>64.42</v>
      </c>
      <c r="G752" s="42">
        <v>69.22</v>
      </c>
      <c r="H752" s="42">
        <v>66.8</v>
      </c>
      <c r="I752" s="42">
        <v>72.040000000000006</v>
      </c>
      <c r="J752" s="42">
        <v>70.819999999999993</v>
      </c>
      <c r="K752" s="42">
        <v>59.93</v>
      </c>
      <c r="L752" s="42">
        <v>68.180000000000007</v>
      </c>
      <c r="M752" s="42">
        <f t="shared" si="47"/>
        <v>-4.490000000000002</v>
      </c>
    </row>
    <row r="753" spans="2:13" x14ac:dyDescent="0.25">
      <c r="B753" s="42">
        <f t="shared" si="44"/>
        <v>13</v>
      </c>
      <c r="C753" s="42">
        <f t="shared" si="45"/>
        <v>11</v>
      </c>
      <c r="D753" s="42">
        <f t="shared" si="46"/>
        <v>2018</v>
      </c>
      <c r="E753" s="43">
        <v>43417</v>
      </c>
      <c r="F753" s="42">
        <v>60.53</v>
      </c>
      <c r="G753" s="42">
        <v>64.849999999999994</v>
      </c>
      <c r="H753" s="42">
        <v>62.21</v>
      </c>
      <c r="I753" s="42">
        <v>67.7</v>
      </c>
      <c r="J753" s="42">
        <v>66.849999999999994</v>
      </c>
      <c r="K753" s="42">
        <v>55.69</v>
      </c>
      <c r="L753" s="42">
        <v>63.94</v>
      </c>
      <c r="M753" s="42">
        <f t="shared" si="47"/>
        <v>-4.8400000000000034</v>
      </c>
    </row>
    <row r="754" spans="2:13" x14ac:dyDescent="0.25">
      <c r="B754" s="42">
        <f t="shared" si="44"/>
        <v>14</v>
      </c>
      <c r="C754" s="42">
        <f t="shared" si="45"/>
        <v>11</v>
      </c>
      <c r="D754" s="42">
        <f t="shared" si="46"/>
        <v>2018</v>
      </c>
      <c r="E754" s="43">
        <v>43418</v>
      </c>
      <c r="F754" s="42">
        <v>60.35</v>
      </c>
      <c r="G754" s="42">
        <v>65.59</v>
      </c>
      <c r="H754" s="42">
        <v>63.08</v>
      </c>
      <c r="I754" s="42">
        <v>68.48</v>
      </c>
      <c r="J754" s="42">
        <v>66.430000000000007</v>
      </c>
      <c r="K754" s="42">
        <v>56.26</v>
      </c>
      <c r="L754" s="42">
        <v>64.709999999999994</v>
      </c>
      <c r="M754" s="42">
        <f t="shared" si="47"/>
        <v>-4.0900000000000034</v>
      </c>
    </row>
    <row r="755" spans="2:13" x14ac:dyDescent="0.25">
      <c r="B755" s="42">
        <f t="shared" si="44"/>
        <v>15</v>
      </c>
      <c r="C755" s="42">
        <f t="shared" si="45"/>
        <v>11</v>
      </c>
      <c r="D755" s="42">
        <f t="shared" si="46"/>
        <v>2018</v>
      </c>
      <c r="E755" s="43">
        <v>43419</v>
      </c>
      <c r="F755" s="42">
        <v>60.58</v>
      </c>
      <c r="G755" s="42">
        <v>65.64</v>
      </c>
      <c r="H755" s="42">
        <v>62.96</v>
      </c>
      <c r="I755" s="42">
        <v>68.63</v>
      </c>
      <c r="J755" s="42">
        <v>67.09</v>
      </c>
      <c r="K755" s="42">
        <v>56.48</v>
      </c>
      <c r="L755" s="42">
        <v>64.78</v>
      </c>
      <c r="M755" s="42">
        <f t="shared" si="47"/>
        <v>-4.1000000000000014</v>
      </c>
    </row>
    <row r="756" spans="2:13" x14ac:dyDescent="0.25">
      <c r="B756" s="42">
        <f t="shared" si="44"/>
        <v>16</v>
      </c>
      <c r="C756" s="42">
        <f t="shared" si="45"/>
        <v>11</v>
      </c>
      <c r="D756" s="42">
        <f t="shared" si="46"/>
        <v>2018</v>
      </c>
      <c r="E756" s="43">
        <v>43420</v>
      </c>
      <c r="F756" s="42">
        <v>60.35</v>
      </c>
      <c r="G756" s="42">
        <v>65.400000000000006</v>
      </c>
      <c r="H756" s="42">
        <v>62.8</v>
      </c>
      <c r="I756" s="42">
        <v>68.510000000000005</v>
      </c>
      <c r="J756" s="42">
        <v>67.12</v>
      </c>
      <c r="K756" s="42">
        <v>56.46</v>
      </c>
      <c r="L756" s="42">
        <v>64.91</v>
      </c>
      <c r="M756" s="42">
        <f t="shared" si="47"/>
        <v>-3.8900000000000006</v>
      </c>
    </row>
    <row r="757" spans="2:13" x14ac:dyDescent="0.25">
      <c r="B757" s="42">
        <f t="shared" si="44"/>
        <v>19</v>
      </c>
      <c r="C757" s="42">
        <f t="shared" si="45"/>
        <v>11</v>
      </c>
      <c r="D757" s="42">
        <f t="shared" si="46"/>
        <v>2018</v>
      </c>
      <c r="E757" s="43">
        <v>43423</v>
      </c>
      <c r="F757" s="42">
        <v>60.64</v>
      </c>
      <c r="G757" s="42">
        <v>65.739999999999995</v>
      </c>
      <c r="H757" s="42">
        <v>63.13</v>
      </c>
      <c r="I757" s="42">
        <v>68.81</v>
      </c>
      <c r="J757" s="42">
        <v>66.11</v>
      </c>
      <c r="K757" s="42">
        <v>56.76</v>
      </c>
      <c r="L757" s="42">
        <v>65.209999999999994</v>
      </c>
      <c r="M757" s="42">
        <f t="shared" si="47"/>
        <v>-3.8800000000000026</v>
      </c>
    </row>
    <row r="758" spans="2:13" x14ac:dyDescent="0.25">
      <c r="B758" s="42">
        <f t="shared" si="44"/>
        <v>20</v>
      </c>
      <c r="C758" s="42">
        <f t="shared" si="45"/>
        <v>11</v>
      </c>
      <c r="D758" s="42">
        <f t="shared" si="46"/>
        <v>2018</v>
      </c>
      <c r="E758" s="43">
        <v>43424</v>
      </c>
      <c r="F758" s="42">
        <v>57.65</v>
      </c>
      <c r="G758" s="42">
        <v>61.63</v>
      </c>
      <c r="H758" s="42">
        <v>60.89</v>
      </c>
      <c r="I758" s="42">
        <v>64.62</v>
      </c>
      <c r="J758" s="42">
        <v>63.72</v>
      </c>
      <c r="K758" s="42">
        <v>53.23</v>
      </c>
      <c r="L758" s="42">
        <v>61.18</v>
      </c>
      <c r="M758" s="42">
        <f t="shared" si="47"/>
        <v>-4.4200000000000017</v>
      </c>
    </row>
    <row r="759" spans="2:13" x14ac:dyDescent="0.25">
      <c r="B759" s="42">
        <f t="shared" si="44"/>
        <v>21</v>
      </c>
      <c r="C759" s="42">
        <f t="shared" si="45"/>
        <v>11</v>
      </c>
      <c r="D759" s="42">
        <f t="shared" si="46"/>
        <v>2018</v>
      </c>
      <c r="E759" s="43">
        <v>43425</v>
      </c>
      <c r="F759" s="42">
        <v>57.85</v>
      </c>
      <c r="G759" s="42">
        <v>62.6</v>
      </c>
      <c r="H759" s="42">
        <v>60.01</v>
      </c>
      <c r="I759" s="42">
        <v>65.58</v>
      </c>
      <c r="J759" s="42">
        <v>63.29</v>
      </c>
      <c r="K759" s="42">
        <v>54.38</v>
      </c>
      <c r="L759" s="42">
        <v>61.63</v>
      </c>
      <c r="M759" s="42">
        <f t="shared" si="47"/>
        <v>-3.4699999999999989</v>
      </c>
    </row>
    <row r="760" spans="2:13" x14ac:dyDescent="0.25">
      <c r="B760" s="42">
        <f t="shared" si="44"/>
        <v>22</v>
      </c>
      <c r="C760" s="42">
        <f t="shared" si="45"/>
        <v>11</v>
      </c>
      <c r="D760" s="42">
        <f t="shared" si="46"/>
        <v>2018</v>
      </c>
      <c r="E760" s="43">
        <v>43426</v>
      </c>
      <c r="F760" s="42">
        <v>57.85</v>
      </c>
      <c r="G760" s="42">
        <v>62.6</v>
      </c>
      <c r="H760" s="42">
        <v>60.01</v>
      </c>
      <c r="I760" s="42">
        <v>65.58</v>
      </c>
      <c r="J760" s="42">
        <v>62.87</v>
      </c>
      <c r="K760" s="42">
        <v>54.38</v>
      </c>
      <c r="L760" s="42">
        <v>61.63</v>
      </c>
      <c r="M760" s="42">
        <f t="shared" si="47"/>
        <v>-3.4699999999999989</v>
      </c>
    </row>
    <row r="761" spans="2:13" x14ac:dyDescent="0.25">
      <c r="B761" s="42">
        <f t="shared" si="44"/>
        <v>23</v>
      </c>
      <c r="C761" s="42">
        <f t="shared" si="45"/>
        <v>11</v>
      </c>
      <c r="D761" s="42">
        <f t="shared" si="46"/>
        <v>2018</v>
      </c>
      <c r="E761" s="43">
        <v>43427</v>
      </c>
      <c r="F761" s="42">
        <v>57.85</v>
      </c>
      <c r="G761" s="42">
        <v>58.39</v>
      </c>
      <c r="H761" s="42">
        <v>58.12</v>
      </c>
      <c r="I761" s="42">
        <v>61.4</v>
      </c>
      <c r="J761" s="42">
        <v>58.88</v>
      </c>
      <c r="K761" s="42">
        <v>54.38</v>
      </c>
      <c r="L761" s="42">
        <v>61.63</v>
      </c>
      <c r="M761" s="42">
        <f t="shared" si="47"/>
        <v>-3.4699999999999989</v>
      </c>
    </row>
    <row r="762" spans="2:13" x14ac:dyDescent="0.25">
      <c r="B762" s="42">
        <f t="shared" si="44"/>
        <v>26</v>
      </c>
      <c r="C762" s="42">
        <f t="shared" si="45"/>
        <v>11</v>
      </c>
      <c r="D762" s="42">
        <f t="shared" si="46"/>
        <v>2018</v>
      </c>
      <c r="E762" s="43">
        <v>43430</v>
      </c>
      <c r="F762" s="42">
        <v>54.88</v>
      </c>
      <c r="G762" s="42">
        <v>59.5</v>
      </c>
      <c r="H762" s="42">
        <v>57.67</v>
      </c>
      <c r="I762" s="42">
        <v>62.57</v>
      </c>
      <c r="J762" s="42">
        <v>60.78</v>
      </c>
      <c r="K762" s="42">
        <v>51.63</v>
      </c>
      <c r="L762" s="42">
        <v>58.18</v>
      </c>
      <c r="M762" s="42">
        <f t="shared" si="47"/>
        <v>-3.25</v>
      </c>
    </row>
    <row r="763" spans="2:13" x14ac:dyDescent="0.25">
      <c r="B763" s="42">
        <f t="shared" si="44"/>
        <v>27</v>
      </c>
      <c r="C763" s="42">
        <f t="shared" si="45"/>
        <v>11</v>
      </c>
      <c r="D763" s="42">
        <f t="shared" si="46"/>
        <v>2018</v>
      </c>
      <c r="E763" s="43">
        <v>43431</v>
      </c>
      <c r="F763" s="42">
        <v>54.68</v>
      </c>
      <c r="G763" s="42">
        <v>59.86</v>
      </c>
      <c r="H763" s="42">
        <v>57.59</v>
      </c>
      <c r="I763" s="42">
        <v>62.88</v>
      </c>
      <c r="J763" s="42">
        <v>60.58</v>
      </c>
      <c r="K763" s="42">
        <v>51.58</v>
      </c>
      <c r="L763" s="42">
        <v>58.38</v>
      </c>
      <c r="M763" s="42">
        <f t="shared" si="47"/>
        <v>-3.1000000000000014</v>
      </c>
    </row>
    <row r="764" spans="2:13" x14ac:dyDescent="0.25">
      <c r="B764" s="42">
        <f t="shared" si="44"/>
        <v>28</v>
      </c>
      <c r="C764" s="42">
        <f t="shared" si="45"/>
        <v>11</v>
      </c>
      <c r="D764" s="42">
        <f t="shared" si="46"/>
        <v>2018</v>
      </c>
      <c r="E764" s="43">
        <v>43432</v>
      </c>
      <c r="F764" s="42">
        <v>53.43</v>
      </c>
      <c r="G764" s="42">
        <v>58.19</v>
      </c>
      <c r="H764" s="42">
        <v>55.93</v>
      </c>
      <c r="I764" s="42">
        <v>61.17</v>
      </c>
      <c r="J764" s="42">
        <v>59.57</v>
      </c>
      <c r="K764" s="42">
        <v>50.31</v>
      </c>
      <c r="L764" s="42">
        <v>57.21</v>
      </c>
      <c r="M764" s="42">
        <f t="shared" si="47"/>
        <v>-3.1199999999999974</v>
      </c>
    </row>
    <row r="765" spans="2:13" x14ac:dyDescent="0.25">
      <c r="B765" s="42">
        <f t="shared" si="44"/>
        <v>29</v>
      </c>
      <c r="C765" s="42">
        <f t="shared" si="45"/>
        <v>11</v>
      </c>
      <c r="D765" s="42">
        <f t="shared" si="46"/>
        <v>2018</v>
      </c>
      <c r="E765" s="43">
        <v>43433</v>
      </c>
      <c r="F765" s="42">
        <v>53.66</v>
      </c>
      <c r="G765" s="42">
        <v>58.95</v>
      </c>
      <c r="H765" s="42">
        <v>56.32</v>
      </c>
      <c r="I765" s="42">
        <v>61.95</v>
      </c>
      <c r="J765" s="42">
        <v>59.65</v>
      </c>
      <c r="K765" s="42">
        <v>51.45</v>
      </c>
      <c r="L765" s="42">
        <v>58.1</v>
      </c>
      <c r="M765" s="42">
        <f t="shared" si="47"/>
        <v>-2.2099999999999937</v>
      </c>
    </row>
    <row r="766" spans="2:13" x14ac:dyDescent="0.25">
      <c r="B766" s="42">
        <f t="shared" si="44"/>
        <v>30</v>
      </c>
      <c r="C766" s="42">
        <f t="shared" si="45"/>
        <v>11</v>
      </c>
      <c r="D766" s="42">
        <f t="shared" si="46"/>
        <v>2018</v>
      </c>
      <c r="E766" s="43">
        <v>43434</v>
      </c>
      <c r="F766" s="42">
        <v>53.14</v>
      </c>
      <c r="G766" s="42">
        <v>58.35</v>
      </c>
      <c r="H766" s="42">
        <v>55.86</v>
      </c>
      <c r="I766" s="42">
        <v>61.34</v>
      </c>
      <c r="J766" s="42">
        <v>58.14</v>
      </c>
      <c r="K766" s="42">
        <v>50.93</v>
      </c>
      <c r="L766" s="42">
        <v>57.63</v>
      </c>
      <c r="M766" s="42">
        <f t="shared" si="47"/>
        <v>-2.2100000000000009</v>
      </c>
    </row>
    <row r="767" spans="2:13" x14ac:dyDescent="0.25">
      <c r="B767" s="42">
        <f t="shared" si="44"/>
        <v>3</v>
      </c>
      <c r="C767" s="42">
        <f t="shared" si="45"/>
        <v>12</v>
      </c>
      <c r="D767" s="42">
        <f t="shared" si="46"/>
        <v>2018</v>
      </c>
      <c r="E767" s="43">
        <v>43437</v>
      </c>
      <c r="F767" s="42">
        <v>54.09</v>
      </c>
      <c r="G767" s="42">
        <v>59.03</v>
      </c>
      <c r="H767" s="42">
        <v>56.18</v>
      </c>
      <c r="I767" s="42">
        <v>62.11</v>
      </c>
      <c r="J767" s="42">
        <v>61.35</v>
      </c>
      <c r="K767" s="42">
        <v>52.98</v>
      </c>
      <c r="L767" s="42">
        <v>59.68</v>
      </c>
      <c r="M767" s="42">
        <f t="shared" si="47"/>
        <v>-1.1100000000000065</v>
      </c>
    </row>
    <row r="768" spans="2:13" x14ac:dyDescent="0.25">
      <c r="B768" s="42">
        <f t="shared" si="44"/>
        <v>4</v>
      </c>
      <c r="C768" s="42">
        <f t="shared" si="45"/>
        <v>12</v>
      </c>
      <c r="D768" s="42">
        <f t="shared" si="46"/>
        <v>2018</v>
      </c>
      <c r="E768" s="43">
        <v>43438</v>
      </c>
      <c r="F768" s="42">
        <v>54.82</v>
      </c>
      <c r="G768" s="42">
        <v>59.26</v>
      </c>
      <c r="H768" s="42">
        <v>56.71</v>
      </c>
      <c r="I768" s="42">
        <v>62.25</v>
      </c>
      <c r="J768" s="42">
        <v>62.12</v>
      </c>
      <c r="K768" s="42">
        <v>53.26</v>
      </c>
      <c r="L768" s="42">
        <v>60.16</v>
      </c>
      <c r="M768" s="42">
        <f t="shared" si="47"/>
        <v>-1.5600000000000023</v>
      </c>
    </row>
    <row r="769" spans="2:13" x14ac:dyDescent="0.25">
      <c r="B769" s="42">
        <f t="shared" si="44"/>
        <v>5</v>
      </c>
      <c r="C769" s="42">
        <f t="shared" si="45"/>
        <v>12</v>
      </c>
      <c r="D769" s="42">
        <f t="shared" si="46"/>
        <v>2018</v>
      </c>
      <c r="E769" s="43">
        <v>43439</v>
      </c>
      <c r="F769" s="42">
        <v>54.71</v>
      </c>
      <c r="G769" s="42">
        <v>58.98</v>
      </c>
      <c r="H769" s="42">
        <v>56.24</v>
      </c>
      <c r="I769" s="42">
        <v>62.01</v>
      </c>
      <c r="J769" s="42">
        <v>62.38</v>
      </c>
      <c r="K769" s="42">
        <v>52.92</v>
      </c>
      <c r="L769" s="42">
        <v>59.87</v>
      </c>
      <c r="M769" s="42">
        <f t="shared" si="47"/>
        <v>-1.7899999999999991</v>
      </c>
    </row>
    <row r="770" spans="2:13" x14ac:dyDescent="0.25">
      <c r="B770" s="42">
        <f t="shared" si="44"/>
        <v>6</v>
      </c>
      <c r="C770" s="42">
        <f t="shared" si="45"/>
        <v>12</v>
      </c>
      <c r="D770" s="42">
        <f t="shared" si="46"/>
        <v>2018</v>
      </c>
      <c r="E770" s="43">
        <v>43440</v>
      </c>
      <c r="F770" s="42">
        <v>51.92</v>
      </c>
      <c r="G770" s="42">
        <v>57.4</v>
      </c>
      <c r="H770" s="42">
        <v>54.41</v>
      </c>
      <c r="I770" s="42">
        <v>60.41</v>
      </c>
      <c r="J770" s="42">
        <v>58.86</v>
      </c>
      <c r="K770" s="42">
        <v>51.49</v>
      </c>
      <c r="L770" s="42">
        <v>58.24</v>
      </c>
      <c r="M770" s="42">
        <f t="shared" si="47"/>
        <v>-0.42999999999999972</v>
      </c>
    </row>
    <row r="771" spans="2:13" x14ac:dyDescent="0.25">
      <c r="B771" s="42">
        <f t="shared" si="44"/>
        <v>7</v>
      </c>
      <c r="C771" s="42">
        <f t="shared" si="45"/>
        <v>12</v>
      </c>
      <c r="D771" s="42">
        <f t="shared" si="46"/>
        <v>2018</v>
      </c>
      <c r="E771" s="43">
        <v>43441</v>
      </c>
      <c r="F771" s="42">
        <v>53.99</v>
      </c>
      <c r="G771" s="42">
        <v>58.55</v>
      </c>
      <c r="H771" s="42">
        <v>55.82</v>
      </c>
      <c r="I771" s="42">
        <v>61.59</v>
      </c>
      <c r="J771" s="42">
        <v>62.87</v>
      </c>
      <c r="K771" s="42">
        <v>52.61</v>
      </c>
      <c r="L771" s="42">
        <v>59.71</v>
      </c>
      <c r="M771" s="42">
        <f t="shared" si="47"/>
        <v>-1.3800000000000026</v>
      </c>
    </row>
    <row r="772" spans="2:13" x14ac:dyDescent="0.25">
      <c r="B772" s="42">
        <f t="shared" si="44"/>
        <v>10</v>
      </c>
      <c r="C772" s="42">
        <f t="shared" si="45"/>
        <v>12</v>
      </c>
      <c r="D772" s="42">
        <f t="shared" si="46"/>
        <v>2018</v>
      </c>
      <c r="E772" s="43">
        <v>43444</v>
      </c>
      <c r="F772" s="42">
        <v>52.61</v>
      </c>
      <c r="G772" s="42">
        <v>57.03</v>
      </c>
      <c r="H772" s="42">
        <v>53.97</v>
      </c>
      <c r="I772" s="42">
        <v>60.06</v>
      </c>
      <c r="J772" s="42">
        <v>60.96</v>
      </c>
      <c r="K772" s="42">
        <v>51</v>
      </c>
      <c r="L772" s="42">
        <v>58.3</v>
      </c>
      <c r="M772" s="42">
        <f t="shared" si="47"/>
        <v>-1.6099999999999994</v>
      </c>
    </row>
    <row r="773" spans="2:13" x14ac:dyDescent="0.25">
      <c r="B773" s="42">
        <f t="shared" si="44"/>
        <v>11</v>
      </c>
      <c r="C773" s="42">
        <f t="shared" si="45"/>
        <v>12</v>
      </c>
      <c r="D773" s="42">
        <f t="shared" si="46"/>
        <v>2018</v>
      </c>
      <c r="E773" s="43">
        <v>43445</v>
      </c>
      <c r="F773" s="42">
        <v>52.34</v>
      </c>
      <c r="G773" s="42">
        <v>57.32</v>
      </c>
      <c r="H773" s="42">
        <v>54.24</v>
      </c>
      <c r="I773" s="42">
        <v>60.39</v>
      </c>
      <c r="J773" s="42">
        <v>60.91</v>
      </c>
      <c r="K773" s="42">
        <v>51.65</v>
      </c>
      <c r="L773" s="42">
        <v>58.5</v>
      </c>
      <c r="M773" s="42">
        <f t="shared" si="47"/>
        <v>-0.69000000000000483</v>
      </c>
    </row>
    <row r="774" spans="2:13" x14ac:dyDescent="0.25">
      <c r="B774" s="42">
        <f t="shared" si="44"/>
        <v>12</v>
      </c>
      <c r="C774" s="42">
        <f t="shared" si="45"/>
        <v>12</v>
      </c>
      <c r="D774" s="42">
        <f t="shared" si="46"/>
        <v>2018</v>
      </c>
      <c r="E774" s="43">
        <v>43446</v>
      </c>
      <c r="F774" s="42">
        <v>52</v>
      </c>
      <c r="G774" s="42">
        <v>56.98</v>
      </c>
      <c r="H774" s="42">
        <v>53.87</v>
      </c>
      <c r="I774" s="42">
        <v>60.07</v>
      </c>
      <c r="J774" s="42">
        <v>61.29</v>
      </c>
      <c r="K774" s="42">
        <v>51.18</v>
      </c>
      <c r="L774" s="42">
        <v>58.03</v>
      </c>
      <c r="M774" s="42">
        <f t="shared" si="47"/>
        <v>-0.82000000000000028</v>
      </c>
    </row>
    <row r="775" spans="2:13" x14ac:dyDescent="0.25">
      <c r="B775" s="42">
        <f t="shared" ref="B775:B838" si="48">DAY(E775)</f>
        <v>13</v>
      </c>
      <c r="C775" s="42">
        <f t="shared" ref="C775:C838" si="49">MONTH(E775)</f>
        <v>12</v>
      </c>
      <c r="D775" s="42">
        <f t="shared" ref="D775:D838" si="50">YEAR(E775)</f>
        <v>2018</v>
      </c>
      <c r="E775" s="43">
        <v>43447</v>
      </c>
      <c r="F775" s="42">
        <v>52.28</v>
      </c>
      <c r="G775" s="42">
        <v>58.56</v>
      </c>
      <c r="H775" s="42">
        <v>54.85</v>
      </c>
      <c r="I775" s="42">
        <v>61.66</v>
      </c>
      <c r="J775" s="42">
        <v>60.63</v>
      </c>
      <c r="K775" s="42">
        <v>52.58</v>
      </c>
      <c r="L775" s="42">
        <v>59.43</v>
      </c>
      <c r="M775" s="42">
        <f t="shared" ref="M775:M838" si="51">K775-F775</f>
        <v>0.29999999999999716</v>
      </c>
    </row>
    <row r="776" spans="2:13" x14ac:dyDescent="0.25">
      <c r="B776" s="42">
        <f t="shared" si="48"/>
        <v>14</v>
      </c>
      <c r="C776" s="42">
        <f t="shared" si="49"/>
        <v>12</v>
      </c>
      <c r="D776" s="42">
        <f t="shared" si="50"/>
        <v>2018</v>
      </c>
      <c r="E776" s="43">
        <v>43448</v>
      </c>
      <c r="F776" s="42">
        <v>51.83</v>
      </c>
      <c r="G776" s="42">
        <v>57.3</v>
      </c>
      <c r="H776" s="42">
        <v>54.05</v>
      </c>
      <c r="I776" s="42">
        <v>60.34</v>
      </c>
      <c r="J776" s="42">
        <v>60.34</v>
      </c>
      <c r="K776" s="42">
        <v>51.2</v>
      </c>
      <c r="L776" s="42">
        <v>58.05</v>
      </c>
      <c r="M776" s="42">
        <f t="shared" si="51"/>
        <v>-0.62999999999999545</v>
      </c>
    </row>
    <row r="777" spans="2:13" x14ac:dyDescent="0.25">
      <c r="B777" s="42">
        <f t="shared" si="48"/>
        <v>17</v>
      </c>
      <c r="C777" s="42">
        <f t="shared" si="49"/>
        <v>12</v>
      </c>
      <c r="D777" s="42">
        <f t="shared" si="50"/>
        <v>2018</v>
      </c>
      <c r="E777" s="43">
        <v>43451</v>
      </c>
      <c r="F777" s="42">
        <v>50.75</v>
      </c>
      <c r="G777" s="42">
        <v>56.11</v>
      </c>
      <c r="H777" s="42">
        <v>53.29</v>
      </c>
      <c r="I777" s="42">
        <v>59.16</v>
      </c>
      <c r="J777" s="42">
        <v>59.65</v>
      </c>
      <c r="K777" s="42">
        <v>49.88</v>
      </c>
      <c r="L777" s="42">
        <v>56.28</v>
      </c>
      <c r="M777" s="42">
        <f t="shared" si="51"/>
        <v>-0.86999999999999744</v>
      </c>
    </row>
    <row r="778" spans="2:13" x14ac:dyDescent="0.25">
      <c r="B778" s="42">
        <f t="shared" si="48"/>
        <v>18</v>
      </c>
      <c r="C778" s="42">
        <f t="shared" si="49"/>
        <v>12</v>
      </c>
      <c r="D778" s="42">
        <f t="shared" si="50"/>
        <v>2018</v>
      </c>
      <c r="E778" s="43">
        <v>43452</v>
      </c>
      <c r="F778" s="42">
        <v>47.93</v>
      </c>
      <c r="G778" s="42">
        <v>52.71</v>
      </c>
      <c r="H778" s="42">
        <v>50.12</v>
      </c>
      <c r="I778" s="42">
        <v>55.9</v>
      </c>
      <c r="J778" s="42">
        <v>57.03</v>
      </c>
      <c r="K778" s="42">
        <v>46.25</v>
      </c>
      <c r="L778" s="42">
        <v>52.85</v>
      </c>
      <c r="M778" s="42">
        <f t="shared" si="51"/>
        <v>-1.6799999999999997</v>
      </c>
    </row>
    <row r="779" spans="2:13" x14ac:dyDescent="0.25">
      <c r="B779" s="42">
        <f t="shared" si="48"/>
        <v>19</v>
      </c>
      <c r="C779" s="42">
        <f t="shared" si="49"/>
        <v>12</v>
      </c>
      <c r="D779" s="42">
        <f t="shared" si="50"/>
        <v>2018</v>
      </c>
      <c r="E779" s="43">
        <v>43453</v>
      </c>
      <c r="F779" s="42">
        <v>48.65</v>
      </c>
      <c r="G779" s="42">
        <v>53.78</v>
      </c>
      <c r="H779" s="42">
        <v>50.82</v>
      </c>
      <c r="I779" s="42">
        <v>56.85</v>
      </c>
      <c r="J779" s="42">
        <v>57.62</v>
      </c>
      <c r="K779" s="42">
        <v>47.2</v>
      </c>
      <c r="L779" s="42">
        <v>53.8</v>
      </c>
      <c r="M779" s="42">
        <f t="shared" si="51"/>
        <v>-1.4499999999999957</v>
      </c>
    </row>
    <row r="780" spans="2:13" x14ac:dyDescent="0.25">
      <c r="B780" s="42">
        <f t="shared" si="48"/>
        <v>20</v>
      </c>
      <c r="C780" s="42">
        <f t="shared" si="49"/>
        <v>12</v>
      </c>
      <c r="D780" s="42">
        <f t="shared" si="50"/>
        <v>2018</v>
      </c>
      <c r="E780" s="43">
        <v>43454</v>
      </c>
      <c r="F780" s="42">
        <v>46.91</v>
      </c>
      <c r="G780" s="42">
        <v>52.35</v>
      </c>
      <c r="H780" s="42">
        <v>49.69</v>
      </c>
      <c r="I780" s="42">
        <v>55.32</v>
      </c>
      <c r="J780" s="42">
        <v>54.79</v>
      </c>
      <c r="K780" s="42">
        <v>45.64</v>
      </c>
      <c r="L780" s="42">
        <v>51.79</v>
      </c>
      <c r="M780" s="42">
        <f t="shared" si="51"/>
        <v>-1.269999999999996</v>
      </c>
    </row>
    <row r="781" spans="2:13" x14ac:dyDescent="0.25">
      <c r="B781" s="42">
        <f t="shared" si="48"/>
        <v>21</v>
      </c>
      <c r="C781" s="42">
        <f t="shared" si="49"/>
        <v>12</v>
      </c>
      <c r="D781" s="42">
        <f t="shared" si="50"/>
        <v>2018</v>
      </c>
      <c r="E781" s="43">
        <v>43455</v>
      </c>
      <c r="F781" s="42">
        <v>45.96</v>
      </c>
      <c r="G781" s="42">
        <v>51.88</v>
      </c>
      <c r="H781" s="42">
        <v>49.2</v>
      </c>
      <c r="I781" s="42">
        <v>54.77</v>
      </c>
      <c r="J781" s="42">
        <v>52.81</v>
      </c>
      <c r="K781" s="42">
        <v>45.41</v>
      </c>
      <c r="L781" s="42">
        <v>51.41</v>
      </c>
      <c r="M781" s="42">
        <f t="shared" si="51"/>
        <v>-0.55000000000000426</v>
      </c>
    </row>
    <row r="782" spans="2:13" x14ac:dyDescent="0.25">
      <c r="B782" s="42">
        <f t="shared" si="48"/>
        <v>24</v>
      </c>
      <c r="C782" s="42">
        <f t="shared" si="49"/>
        <v>12</v>
      </c>
      <c r="D782" s="42">
        <f t="shared" si="50"/>
        <v>2018</v>
      </c>
      <c r="E782" s="43">
        <v>43458</v>
      </c>
      <c r="F782" s="42">
        <v>45.96</v>
      </c>
      <c r="G782" s="42">
        <v>48.8</v>
      </c>
      <c r="H782" s="42">
        <v>47.36</v>
      </c>
      <c r="I782" s="42">
        <v>51.68</v>
      </c>
      <c r="J782" s="42">
        <v>52.81</v>
      </c>
      <c r="K782" s="42">
        <v>45.41</v>
      </c>
      <c r="L782" s="42">
        <v>51.41</v>
      </c>
      <c r="M782" s="42">
        <f t="shared" si="51"/>
        <v>-0.55000000000000426</v>
      </c>
    </row>
    <row r="783" spans="2:13" x14ac:dyDescent="0.25">
      <c r="B783" s="42">
        <f t="shared" si="48"/>
        <v>25</v>
      </c>
      <c r="C783" s="42">
        <f t="shared" si="49"/>
        <v>12</v>
      </c>
      <c r="D783" s="42">
        <f t="shared" si="50"/>
        <v>2018</v>
      </c>
      <c r="E783" s="43">
        <v>43459</v>
      </c>
      <c r="F783" s="42">
        <v>45.96</v>
      </c>
      <c r="G783" s="42">
        <v>48.8</v>
      </c>
      <c r="H783" s="42">
        <v>47.36</v>
      </c>
      <c r="I783" s="42">
        <v>51.68</v>
      </c>
      <c r="J783" s="42">
        <v>52.81</v>
      </c>
      <c r="K783" s="42">
        <v>45.41</v>
      </c>
      <c r="L783" s="42">
        <v>51.41</v>
      </c>
      <c r="M783" s="42">
        <f t="shared" si="51"/>
        <v>-0.55000000000000426</v>
      </c>
    </row>
    <row r="784" spans="2:13" x14ac:dyDescent="0.25">
      <c r="B784" s="42">
        <f t="shared" si="48"/>
        <v>26</v>
      </c>
      <c r="C784" s="42">
        <f t="shared" si="49"/>
        <v>12</v>
      </c>
      <c r="D784" s="42">
        <f t="shared" si="50"/>
        <v>2018</v>
      </c>
      <c r="E784" s="43">
        <v>43460</v>
      </c>
      <c r="F784" s="42">
        <v>45.96</v>
      </c>
      <c r="G784" s="42">
        <v>52.68</v>
      </c>
      <c r="H784" s="42">
        <v>48.17</v>
      </c>
      <c r="I784" s="42">
        <v>55.66</v>
      </c>
      <c r="J784" s="42">
        <v>52.81</v>
      </c>
      <c r="K784" s="42">
        <v>46.22</v>
      </c>
      <c r="L784" s="42">
        <v>51.87</v>
      </c>
      <c r="M784" s="42">
        <f t="shared" si="51"/>
        <v>0.25999999999999801</v>
      </c>
    </row>
    <row r="785" spans="2:13" x14ac:dyDescent="0.25">
      <c r="B785" s="42">
        <f t="shared" si="48"/>
        <v>27</v>
      </c>
      <c r="C785" s="42">
        <f t="shared" si="49"/>
        <v>12</v>
      </c>
      <c r="D785" s="42">
        <f t="shared" si="50"/>
        <v>2018</v>
      </c>
      <c r="E785" s="43">
        <v>43461</v>
      </c>
      <c r="F785" s="42">
        <v>45.18</v>
      </c>
      <c r="G785" s="42">
        <v>50.89</v>
      </c>
      <c r="H785" s="42">
        <v>48.57</v>
      </c>
      <c r="I785" s="42">
        <v>53.83</v>
      </c>
      <c r="J785" s="42">
        <v>53.13</v>
      </c>
      <c r="K785" s="42">
        <v>44.61</v>
      </c>
      <c r="L785" s="42">
        <v>50.26</v>
      </c>
      <c r="M785" s="42">
        <f t="shared" si="51"/>
        <v>-0.57000000000000028</v>
      </c>
    </row>
    <row r="786" spans="2:13" x14ac:dyDescent="0.25">
      <c r="B786" s="42">
        <f t="shared" si="48"/>
        <v>28</v>
      </c>
      <c r="C786" s="42">
        <f t="shared" si="49"/>
        <v>12</v>
      </c>
      <c r="D786" s="42">
        <f t="shared" si="50"/>
        <v>2018</v>
      </c>
      <c r="E786" s="43">
        <v>43462</v>
      </c>
      <c r="F786" s="42">
        <v>44.69</v>
      </c>
      <c r="G786" s="42">
        <v>51.15</v>
      </c>
      <c r="H786" s="42">
        <v>48.43</v>
      </c>
      <c r="I786" s="42">
        <v>54.09</v>
      </c>
      <c r="J786" s="42">
        <v>51.29</v>
      </c>
      <c r="K786" s="42">
        <v>45.33</v>
      </c>
      <c r="L786" s="42">
        <v>49.93</v>
      </c>
      <c r="M786" s="42">
        <f t="shared" si="51"/>
        <v>0.64000000000000057</v>
      </c>
    </row>
    <row r="787" spans="2:13" x14ac:dyDescent="0.25">
      <c r="B787" s="42">
        <f t="shared" si="48"/>
        <v>31</v>
      </c>
      <c r="C787" s="42">
        <f t="shared" si="49"/>
        <v>12</v>
      </c>
      <c r="D787" s="42">
        <f t="shared" si="50"/>
        <v>2018</v>
      </c>
      <c r="E787" s="43">
        <v>43465</v>
      </c>
      <c r="F787" s="42">
        <v>44.69</v>
      </c>
      <c r="G787" s="42">
        <v>51.92</v>
      </c>
      <c r="H787" s="42">
        <v>48.94</v>
      </c>
      <c r="I787" s="42">
        <v>54.86</v>
      </c>
      <c r="J787" s="42">
        <v>51.29</v>
      </c>
      <c r="K787" s="42">
        <v>45.33</v>
      </c>
      <c r="L787" s="42">
        <v>49.93</v>
      </c>
      <c r="M787" s="42">
        <f t="shared" si="51"/>
        <v>0.64000000000000057</v>
      </c>
    </row>
    <row r="788" spans="2:13" x14ac:dyDescent="0.25">
      <c r="B788" s="42">
        <f t="shared" si="48"/>
        <v>1</v>
      </c>
      <c r="C788" s="42">
        <f t="shared" si="49"/>
        <v>1</v>
      </c>
      <c r="D788" s="42">
        <f t="shared" si="50"/>
        <v>2019</v>
      </c>
      <c r="E788" s="43">
        <v>43466</v>
      </c>
      <c r="F788" s="42">
        <v>44.69</v>
      </c>
      <c r="G788" s="42">
        <v>51.92</v>
      </c>
      <c r="H788" s="42">
        <v>48.94</v>
      </c>
      <c r="I788" s="42">
        <v>54.86</v>
      </c>
      <c r="J788" s="42">
        <v>51.29</v>
      </c>
      <c r="K788" s="42">
        <v>45.33</v>
      </c>
      <c r="L788" s="42">
        <v>49.93</v>
      </c>
      <c r="M788" s="42">
        <f t="shared" si="51"/>
        <v>0.64000000000000057</v>
      </c>
    </row>
    <row r="789" spans="2:13" x14ac:dyDescent="0.25">
      <c r="B789" s="42">
        <f t="shared" si="48"/>
        <v>2</v>
      </c>
      <c r="C789" s="42">
        <f t="shared" si="49"/>
        <v>1</v>
      </c>
      <c r="D789" s="42">
        <f t="shared" si="50"/>
        <v>2019</v>
      </c>
      <c r="E789" s="43">
        <v>43467</v>
      </c>
      <c r="F789" s="42">
        <v>43.65</v>
      </c>
      <c r="G789" s="42">
        <v>51.78</v>
      </c>
      <c r="H789" s="42">
        <v>48.77</v>
      </c>
      <c r="I789" s="42">
        <v>54.94</v>
      </c>
      <c r="J789" s="42">
        <v>55.69</v>
      </c>
      <c r="K789" s="42">
        <v>46.54</v>
      </c>
      <c r="L789" s="42">
        <v>51.69</v>
      </c>
      <c r="M789" s="42">
        <f t="shared" si="51"/>
        <v>2.8900000000000006</v>
      </c>
    </row>
    <row r="790" spans="2:13" x14ac:dyDescent="0.25">
      <c r="B790" s="42">
        <f t="shared" si="48"/>
        <v>3</v>
      </c>
      <c r="C790" s="42">
        <f t="shared" si="49"/>
        <v>1</v>
      </c>
      <c r="D790" s="42">
        <f t="shared" si="50"/>
        <v>2019</v>
      </c>
      <c r="E790" s="43">
        <v>43468</v>
      </c>
      <c r="F790" s="42">
        <v>45.48</v>
      </c>
      <c r="G790" s="42">
        <v>51.91</v>
      </c>
      <c r="H790" s="42">
        <v>49.04</v>
      </c>
      <c r="I790" s="42">
        <v>55.19</v>
      </c>
      <c r="J790" s="42">
        <v>54.87</v>
      </c>
      <c r="K790" s="42">
        <v>47.09</v>
      </c>
      <c r="L790" s="42">
        <v>52.99</v>
      </c>
      <c r="M790" s="42">
        <f t="shared" si="51"/>
        <v>1.6100000000000065</v>
      </c>
    </row>
    <row r="791" spans="2:13" x14ac:dyDescent="0.25">
      <c r="B791" s="42">
        <f t="shared" si="48"/>
        <v>4</v>
      </c>
      <c r="C791" s="42">
        <f t="shared" si="49"/>
        <v>1</v>
      </c>
      <c r="D791" s="42">
        <f t="shared" si="50"/>
        <v>2019</v>
      </c>
      <c r="E791" s="43">
        <v>43469</v>
      </c>
      <c r="F791" s="42">
        <v>47.02</v>
      </c>
      <c r="G791" s="42">
        <v>52.99</v>
      </c>
      <c r="H791" s="42">
        <v>50.03</v>
      </c>
      <c r="I791" s="42">
        <v>56.35</v>
      </c>
      <c r="J791" s="42">
        <v>56.74</v>
      </c>
      <c r="K791" s="42">
        <v>47.96</v>
      </c>
      <c r="L791" s="42">
        <v>54.16</v>
      </c>
      <c r="M791" s="42">
        <f t="shared" si="51"/>
        <v>0.93999999999999773</v>
      </c>
    </row>
    <row r="792" spans="2:13" x14ac:dyDescent="0.25">
      <c r="B792" s="42">
        <f t="shared" si="48"/>
        <v>7</v>
      </c>
      <c r="C792" s="42">
        <f t="shared" si="49"/>
        <v>1</v>
      </c>
      <c r="D792" s="42">
        <f t="shared" si="50"/>
        <v>2019</v>
      </c>
      <c r="E792" s="43">
        <v>43472</v>
      </c>
      <c r="F792" s="42">
        <v>48.11</v>
      </c>
      <c r="G792" s="42">
        <v>53.73</v>
      </c>
      <c r="H792" s="42">
        <v>50.77</v>
      </c>
      <c r="I792" s="42">
        <v>57.04</v>
      </c>
      <c r="J792" s="42">
        <v>58.28</v>
      </c>
      <c r="K792" s="42">
        <v>48.52</v>
      </c>
      <c r="L792" s="42">
        <v>54.92</v>
      </c>
      <c r="M792" s="42">
        <f t="shared" si="51"/>
        <v>0.41000000000000369</v>
      </c>
    </row>
    <row r="793" spans="2:13" x14ac:dyDescent="0.25">
      <c r="B793" s="42">
        <f t="shared" si="48"/>
        <v>8</v>
      </c>
      <c r="C793" s="42">
        <f t="shared" si="49"/>
        <v>1</v>
      </c>
      <c r="D793" s="42">
        <f t="shared" si="50"/>
        <v>2019</v>
      </c>
      <c r="E793" s="43">
        <v>43473</v>
      </c>
      <c r="F793" s="42">
        <v>48.74</v>
      </c>
      <c r="G793" s="42">
        <v>55.21</v>
      </c>
      <c r="H793" s="42">
        <v>52.2</v>
      </c>
      <c r="I793" s="42">
        <v>58.43</v>
      </c>
      <c r="J793" s="42">
        <v>58.23</v>
      </c>
      <c r="K793" s="42">
        <v>49.78</v>
      </c>
      <c r="L793" s="42">
        <v>56.43</v>
      </c>
      <c r="M793" s="42">
        <f t="shared" si="51"/>
        <v>1.0399999999999991</v>
      </c>
    </row>
    <row r="794" spans="2:13" x14ac:dyDescent="0.25">
      <c r="B794" s="42">
        <f t="shared" si="48"/>
        <v>9</v>
      </c>
      <c r="C794" s="42">
        <f t="shared" si="49"/>
        <v>1</v>
      </c>
      <c r="D794" s="42">
        <f t="shared" si="50"/>
        <v>2019</v>
      </c>
      <c r="E794" s="43">
        <v>43474</v>
      </c>
      <c r="F794" s="42">
        <v>51.61</v>
      </c>
      <c r="G794" s="42">
        <v>58.14</v>
      </c>
      <c r="H794" s="42">
        <v>55.33</v>
      </c>
      <c r="I794" s="42">
        <v>61.34</v>
      </c>
      <c r="J794" s="42">
        <v>60.68</v>
      </c>
      <c r="K794" s="42">
        <v>52.36</v>
      </c>
      <c r="L794" s="42">
        <v>59.21</v>
      </c>
      <c r="M794" s="42">
        <f t="shared" si="51"/>
        <v>0.75</v>
      </c>
    </row>
    <row r="795" spans="2:13" x14ac:dyDescent="0.25">
      <c r="B795" s="42">
        <f t="shared" si="48"/>
        <v>10</v>
      </c>
      <c r="C795" s="42">
        <f t="shared" si="49"/>
        <v>1</v>
      </c>
      <c r="D795" s="42">
        <f t="shared" si="50"/>
        <v>2019</v>
      </c>
      <c r="E795" s="43">
        <v>43475</v>
      </c>
      <c r="F795" s="42">
        <v>52.4</v>
      </c>
      <c r="G795" s="42">
        <v>58.59</v>
      </c>
      <c r="H795" s="42">
        <v>55.67</v>
      </c>
      <c r="I795" s="42">
        <v>61.75</v>
      </c>
      <c r="J795" s="42">
        <v>61.41</v>
      </c>
      <c r="K795" s="42">
        <v>52.59</v>
      </c>
      <c r="L795" s="42">
        <v>59.54</v>
      </c>
      <c r="M795" s="42">
        <f t="shared" si="51"/>
        <v>0.19000000000000483</v>
      </c>
    </row>
    <row r="796" spans="2:13" x14ac:dyDescent="0.25">
      <c r="B796" s="42">
        <f t="shared" si="48"/>
        <v>11</v>
      </c>
      <c r="C796" s="42">
        <f t="shared" si="49"/>
        <v>1</v>
      </c>
      <c r="D796" s="42">
        <f t="shared" si="50"/>
        <v>2019</v>
      </c>
      <c r="E796" s="43">
        <v>43476</v>
      </c>
      <c r="F796" s="42">
        <v>51.65</v>
      </c>
      <c r="G796" s="42">
        <v>57.36</v>
      </c>
      <c r="H796" s="42">
        <v>54.56</v>
      </c>
      <c r="I796" s="42">
        <v>60.55</v>
      </c>
      <c r="J796" s="42">
        <v>60.72</v>
      </c>
      <c r="K796" s="42">
        <v>51.59</v>
      </c>
      <c r="L796" s="42">
        <v>58.54</v>
      </c>
      <c r="M796" s="42">
        <f t="shared" si="51"/>
        <v>-5.9999999999995168E-2</v>
      </c>
    </row>
    <row r="797" spans="2:13" x14ac:dyDescent="0.25">
      <c r="B797" s="42">
        <f t="shared" si="48"/>
        <v>14</v>
      </c>
      <c r="C797" s="42">
        <f t="shared" si="49"/>
        <v>1</v>
      </c>
      <c r="D797" s="42">
        <f t="shared" si="50"/>
        <v>2019</v>
      </c>
      <c r="E797" s="43">
        <v>43479</v>
      </c>
      <c r="F797" s="42">
        <v>50.61</v>
      </c>
      <c r="G797" s="42">
        <v>56.37</v>
      </c>
      <c r="H797" s="42">
        <v>54.06</v>
      </c>
      <c r="I797" s="42">
        <v>59.48</v>
      </c>
      <c r="J797" s="42">
        <v>60.33</v>
      </c>
      <c r="K797" s="42">
        <v>50.51</v>
      </c>
      <c r="L797" s="42">
        <v>57.41</v>
      </c>
      <c r="M797" s="42">
        <f t="shared" si="51"/>
        <v>-0.10000000000000142</v>
      </c>
    </row>
    <row r="798" spans="2:13" x14ac:dyDescent="0.25">
      <c r="B798" s="42">
        <f t="shared" si="48"/>
        <v>15</v>
      </c>
      <c r="C798" s="42">
        <f t="shared" si="49"/>
        <v>1</v>
      </c>
      <c r="D798" s="42">
        <f t="shared" si="50"/>
        <v>2019</v>
      </c>
      <c r="E798" s="43">
        <v>43480</v>
      </c>
      <c r="F798" s="42">
        <v>51.2</v>
      </c>
      <c r="G798" s="42">
        <v>57.83</v>
      </c>
      <c r="H798" s="42">
        <v>54.67</v>
      </c>
      <c r="I798" s="42">
        <v>60.9</v>
      </c>
      <c r="J798" s="42">
        <v>59.96</v>
      </c>
      <c r="K798" s="42">
        <v>52.11</v>
      </c>
      <c r="L798" s="42">
        <v>58.66</v>
      </c>
      <c r="M798" s="42">
        <f t="shared" si="51"/>
        <v>0.90999999999999659</v>
      </c>
    </row>
    <row r="799" spans="2:13" x14ac:dyDescent="0.25">
      <c r="B799" s="42">
        <f t="shared" si="48"/>
        <v>16</v>
      </c>
      <c r="C799" s="42">
        <f t="shared" si="49"/>
        <v>1</v>
      </c>
      <c r="D799" s="42">
        <f t="shared" si="50"/>
        <v>2019</v>
      </c>
      <c r="E799" s="43">
        <v>43481</v>
      </c>
      <c r="F799" s="42">
        <v>52.06</v>
      </c>
      <c r="G799" s="42">
        <v>58.72</v>
      </c>
      <c r="H799" s="42">
        <v>55.23</v>
      </c>
      <c r="I799" s="42">
        <v>61.83</v>
      </c>
      <c r="J799" s="42">
        <v>61</v>
      </c>
      <c r="K799" s="42">
        <v>52.31</v>
      </c>
      <c r="L799" s="42">
        <v>59.06</v>
      </c>
      <c r="M799" s="42">
        <f t="shared" si="51"/>
        <v>0.25</v>
      </c>
    </row>
    <row r="800" spans="2:13" x14ac:dyDescent="0.25">
      <c r="B800" s="42">
        <f t="shared" si="48"/>
        <v>17</v>
      </c>
      <c r="C800" s="42">
        <f t="shared" si="49"/>
        <v>1</v>
      </c>
      <c r="D800" s="42">
        <f t="shared" si="50"/>
        <v>2019</v>
      </c>
      <c r="E800" s="43">
        <v>43482</v>
      </c>
      <c r="F800" s="42">
        <v>52.02</v>
      </c>
      <c r="G800" s="42">
        <v>58.74</v>
      </c>
      <c r="H800" s="42">
        <v>55.37</v>
      </c>
      <c r="I800" s="42">
        <v>61.84</v>
      </c>
      <c r="J800" s="42">
        <v>60.97</v>
      </c>
      <c r="K800" s="42">
        <v>52.07</v>
      </c>
      <c r="L800" s="42">
        <v>59.12</v>
      </c>
      <c r="M800" s="42">
        <f t="shared" si="51"/>
        <v>4.9999999999997158E-2</v>
      </c>
    </row>
    <row r="801" spans="2:13" x14ac:dyDescent="0.25">
      <c r="B801" s="42">
        <f t="shared" si="48"/>
        <v>18</v>
      </c>
      <c r="C801" s="42">
        <f t="shared" si="49"/>
        <v>1</v>
      </c>
      <c r="D801" s="42">
        <f t="shared" si="50"/>
        <v>2019</v>
      </c>
      <c r="E801" s="43">
        <v>43483</v>
      </c>
      <c r="F801" s="42">
        <v>54.14</v>
      </c>
      <c r="G801" s="42">
        <v>61.06</v>
      </c>
      <c r="H801" s="42">
        <v>57.59</v>
      </c>
      <c r="I801" s="42">
        <v>64.02</v>
      </c>
      <c r="J801" s="42">
        <v>62.83</v>
      </c>
      <c r="K801" s="42">
        <v>53.8</v>
      </c>
      <c r="L801" s="42">
        <v>60.85</v>
      </c>
      <c r="M801" s="42">
        <f t="shared" si="51"/>
        <v>-0.34000000000000341</v>
      </c>
    </row>
    <row r="802" spans="2:13" x14ac:dyDescent="0.25">
      <c r="B802" s="42">
        <f t="shared" si="48"/>
        <v>21</v>
      </c>
      <c r="C802" s="42">
        <f t="shared" si="49"/>
        <v>1</v>
      </c>
      <c r="D802" s="42">
        <f t="shared" si="50"/>
        <v>2019</v>
      </c>
      <c r="E802" s="43">
        <v>43486</v>
      </c>
      <c r="F802" s="42">
        <v>54.14</v>
      </c>
      <c r="G802" s="42">
        <v>61.06</v>
      </c>
      <c r="H802" s="42">
        <v>57.59</v>
      </c>
      <c r="I802" s="42">
        <v>64.02</v>
      </c>
      <c r="J802" s="42">
        <v>62.63</v>
      </c>
      <c r="K802" s="42">
        <v>53.8</v>
      </c>
      <c r="L802" s="42">
        <v>60.85</v>
      </c>
      <c r="M802" s="42">
        <f t="shared" si="51"/>
        <v>-0.34000000000000341</v>
      </c>
    </row>
    <row r="803" spans="2:13" x14ac:dyDescent="0.25">
      <c r="B803" s="42">
        <f t="shared" si="48"/>
        <v>22</v>
      </c>
      <c r="C803" s="42">
        <f t="shared" si="49"/>
        <v>1</v>
      </c>
      <c r="D803" s="42">
        <f t="shared" si="50"/>
        <v>2019</v>
      </c>
      <c r="E803" s="43">
        <v>43487</v>
      </c>
      <c r="F803" s="42">
        <v>53.45</v>
      </c>
      <c r="G803" s="42">
        <v>60.13</v>
      </c>
      <c r="H803" s="42">
        <v>56.73</v>
      </c>
      <c r="I803" s="42">
        <v>63.04</v>
      </c>
      <c r="J803" s="42">
        <v>61.19</v>
      </c>
      <c r="K803" s="42">
        <v>52.57</v>
      </c>
      <c r="L803" s="42">
        <v>60.07</v>
      </c>
      <c r="M803" s="42">
        <f t="shared" si="51"/>
        <v>-0.88000000000000256</v>
      </c>
    </row>
    <row r="804" spans="2:13" x14ac:dyDescent="0.25">
      <c r="B804" s="42">
        <f t="shared" si="48"/>
        <v>23</v>
      </c>
      <c r="C804" s="42">
        <f t="shared" si="49"/>
        <v>1</v>
      </c>
      <c r="D804" s="42">
        <f t="shared" si="50"/>
        <v>2019</v>
      </c>
      <c r="E804" s="43">
        <v>43488</v>
      </c>
      <c r="F804" s="42">
        <v>53.66</v>
      </c>
      <c r="G804" s="42">
        <v>60.86</v>
      </c>
      <c r="H804" s="42">
        <v>57.36</v>
      </c>
      <c r="I804" s="42">
        <v>63.64</v>
      </c>
      <c r="J804" s="42">
        <v>61.18</v>
      </c>
      <c r="K804" s="42">
        <v>52.42</v>
      </c>
      <c r="L804" s="42">
        <v>59.92</v>
      </c>
      <c r="M804" s="42">
        <f t="shared" si="51"/>
        <v>-1.2399999999999949</v>
      </c>
    </row>
    <row r="805" spans="2:13" x14ac:dyDescent="0.25">
      <c r="B805" s="42">
        <f t="shared" si="48"/>
        <v>24</v>
      </c>
      <c r="C805" s="42">
        <f t="shared" si="49"/>
        <v>1</v>
      </c>
      <c r="D805" s="42">
        <f t="shared" si="50"/>
        <v>2019</v>
      </c>
      <c r="E805" s="43">
        <v>43489</v>
      </c>
      <c r="F805" s="42">
        <v>53.59</v>
      </c>
      <c r="G805" s="42">
        <v>61.2</v>
      </c>
      <c r="H805" s="42">
        <v>57.46</v>
      </c>
      <c r="I805" s="42">
        <v>63.92</v>
      </c>
      <c r="J805" s="42">
        <v>61.03</v>
      </c>
      <c r="K805" s="42">
        <v>52.89</v>
      </c>
      <c r="L805" s="42">
        <v>60.79</v>
      </c>
      <c r="M805" s="42">
        <f t="shared" si="51"/>
        <v>-0.70000000000000284</v>
      </c>
    </row>
    <row r="806" spans="2:13" x14ac:dyDescent="0.25">
      <c r="B806" s="42">
        <f t="shared" si="48"/>
        <v>25</v>
      </c>
      <c r="C806" s="42">
        <f t="shared" si="49"/>
        <v>1</v>
      </c>
      <c r="D806" s="42">
        <f t="shared" si="50"/>
        <v>2019</v>
      </c>
      <c r="E806" s="43">
        <v>43490</v>
      </c>
      <c r="F806" s="42">
        <v>54.12</v>
      </c>
      <c r="G806" s="42">
        <v>62.31</v>
      </c>
      <c r="H806" s="42">
        <v>58.57</v>
      </c>
      <c r="I806" s="42">
        <v>64.92</v>
      </c>
      <c r="J806" s="42">
        <v>61.59</v>
      </c>
      <c r="K806" s="42">
        <v>53.45</v>
      </c>
      <c r="L806" s="42">
        <v>61.65</v>
      </c>
      <c r="M806" s="42">
        <f t="shared" si="51"/>
        <v>-0.6699999999999946</v>
      </c>
    </row>
    <row r="807" spans="2:13" x14ac:dyDescent="0.25">
      <c r="B807" s="42">
        <f t="shared" si="48"/>
        <v>28</v>
      </c>
      <c r="C807" s="42">
        <f t="shared" si="49"/>
        <v>1</v>
      </c>
      <c r="D807" s="42">
        <f t="shared" si="50"/>
        <v>2019</v>
      </c>
      <c r="E807" s="43">
        <v>43493</v>
      </c>
      <c r="F807" s="42">
        <v>52.18</v>
      </c>
      <c r="G807" s="42">
        <v>59.32</v>
      </c>
      <c r="H807" s="42">
        <v>56.03</v>
      </c>
      <c r="I807" s="42">
        <v>62.13</v>
      </c>
      <c r="J807" s="42">
        <v>59.77</v>
      </c>
      <c r="K807" s="42">
        <v>51.99</v>
      </c>
      <c r="L807" s="42">
        <v>58.39</v>
      </c>
      <c r="M807" s="42">
        <f t="shared" si="51"/>
        <v>-0.18999999999999773</v>
      </c>
    </row>
    <row r="808" spans="2:13" x14ac:dyDescent="0.25">
      <c r="B808" s="42">
        <f t="shared" si="48"/>
        <v>29</v>
      </c>
      <c r="C808" s="42">
        <f t="shared" si="49"/>
        <v>1</v>
      </c>
      <c r="D808" s="42">
        <f t="shared" si="50"/>
        <v>2019</v>
      </c>
      <c r="E808" s="43">
        <v>43494</v>
      </c>
      <c r="F808" s="42">
        <v>54.21</v>
      </c>
      <c r="G808" s="42">
        <v>60.85</v>
      </c>
      <c r="H808" s="42">
        <v>58.15</v>
      </c>
      <c r="I808" s="42">
        <v>63.63</v>
      </c>
      <c r="J808" s="42">
        <v>61.45</v>
      </c>
      <c r="K808" s="42">
        <v>53.31</v>
      </c>
      <c r="L808" s="42">
        <v>59.76</v>
      </c>
      <c r="M808" s="42">
        <f t="shared" si="51"/>
        <v>-0.89999999999999858</v>
      </c>
    </row>
    <row r="809" spans="2:13" x14ac:dyDescent="0.25">
      <c r="B809" s="42">
        <f t="shared" si="48"/>
        <v>30</v>
      </c>
      <c r="C809" s="42">
        <f t="shared" si="49"/>
        <v>1</v>
      </c>
      <c r="D809" s="42">
        <f t="shared" si="50"/>
        <v>2019</v>
      </c>
      <c r="E809" s="43">
        <v>43495</v>
      </c>
      <c r="F809" s="42">
        <v>55.26</v>
      </c>
      <c r="G809" s="42">
        <v>61.62</v>
      </c>
      <c r="H809" s="42">
        <v>59.31</v>
      </c>
      <c r="I809" s="42">
        <v>64.36</v>
      </c>
      <c r="J809" s="42">
        <v>62.33</v>
      </c>
      <c r="K809" s="42">
        <v>54.23</v>
      </c>
      <c r="L809" s="42">
        <v>60.28</v>
      </c>
      <c r="M809" s="42">
        <f t="shared" si="51"/>
        <v>-1.0300000000000011</v>
      </c>
    </row>
    <row r="810" spans="2:13" x14ac:dyDescent="0.25">
      <c r="B810" s="42">
        <f t="shared" si="48"/>
        <v>31</v>
      </c>
      <c r="C810" s="42">
        <f t="shared" si="49"/>
        <v>1</v>
      </c>
      <c r="D810" s="42">
        <f t="shared" si="50"/>
        <v>2019</v>
      </c>
      <c r="E810" s="43">
        <v>43496</v>
      </c>
      <c r="F810" s="42">
        <v>55.03</v>
      </c>
      <c r="G810" s="42">
        <v>60.98</v>
      </c>
      <c r="H810" s="42">
        <v>58.96</v>
      </c>
      <c r="I810" s="42">
        <v>63.73</v>
      </c>
      <c r="J810" s="42">
        <v>62.21</v>
      </c>
      <c r="K810" s="42">
        <v>53.79</v>
      </c>
      <c r="L810" s="42">
        <v>59.59</v>
      </c>
      <c r="M810" s="42">
        <f t="shared" si="51"/>
        <v>-1.240000000000002</v>
      </c>
    </row>
    <row r="811" spans="2:13" x14ac:dyDescent="0.25">
      <c r="B811" s="42">
        <f t="shared" si="48"/>
        <v>1</v>
      </c>
      <c r="C811" s="42">
        <f t="shared" si="49"/>
        <v>2</v>
      </c>
      <c r="D811" s="42">
        <f t="shared" si="50"/>
        <v>2019</v>
      </c>
      <c r="E811" s="43">
        <v>43497</v>
      </c>
      <c r="F811" s="42">
        <v>54.71</v>
      </c>
      <c r="G811" s="42">
        <v>62.86</v>
      </c>
      <c r="H811" s="42">
        <v>58.25</v>
      </c>
      <c r="I811" s="42">
        <v>65.760000000000005</v>
      </c>
      <c r="J811" s="42">
        <v>62.17</v>
      </c>
      <c r="K811" s="42">
        <v>55.26</v>
      </c>
      <c r="L811" s="42">
        <v>61.56</v>
      </c>
      <c r="M811" s="42">
        <f t="shared" si="51"/>
        <v>0.54999999999999716</v>
      </c>
    </row>
    <row r="812" spans="2:13" x14ac:dyDescent="0.25">
      <c r="B812" s="42">
        <f t="shared" si="48"/>
        <v>4</v>
      </c>
      <c r="C812" s="42">
        <f t="shared" si="49"/>
        <v>2</v>
      </c>
      <c r="D812" s="42">
        <f t="shared" si="50"/>
        <v>2019</v>
      </c>
      <c r="E812" s="43">
        <v>43500</v>
      </c>
      <c r="F812" s="42">
        <v>54.96</v>
      </c>
      <c r="G812" s="42">
        <v>62.26</v>
      </c>
      <c r="H812" s="42">
        <v>57.89</v>
      </c>
      <c r="I812" s="42">
        <v>65.260000000000005</v>
      </c>
      <c r="J812" s="42">
        <v>62.47</v>
      </c>
      <c r="K812" s="42">
        <v>54.56</v>
      </c>
      <c r="L812" s="42">
        <v>61.51</v>
      </c>
      <c r="M812" s="42">
        <f t="shared" si="51"/>
        <v>-0.39999999999999858</v>
      </c>
    </row>
    <row r="813" spans="2:13" x14ac:dyDescent="0.25">
      <c r="B813" s="42">
        <f t="shared" si="48"/>
        <v>5</v>
      </c>
      <c r="C813" s="42">
        <f t="shared" si="49"/>
        <v>2</v>
      </c>
      <c r="D813" s="42">
        <f t="shared" si="50"/>
        <v>2019</v>
      </c>
      <c r="E813" s="43">
        <v>43501</v>
      </c>
      <c r="F813" s="42">
        <v>54.96</v>
      </c>
      <c r="G813" s="42">
        <v>61.53</v>
      </c>
      <c r="H813" s="42">
        <v>57.56</v>
      </c>
      <c r="I813" s="42">
        <v>64.5</v>
      </c>
      <c r="J813" s="42">
        <v>62.24</v>
      </c>
      <c r="K813" s="42">
        <v>53.66</v>
      </c>
      <c r="L813" s="42">
        <v>60.76</v>
      </c>
      <c r="M813" s="42">
        <f t="shared" si="51"/>
        <v>-1.3000000000000043</v>
      </c>
    </row>
    <row r="814" spans="2:13" x14ac:dyDescent="0.25">
      <c r="B814" s="42">
        <f t="shared" si="48"/>
        <v>6</v>
      </c>
      <c r="C814" s="42">
        <f t="shared" si="49"/>
        <v>2</v>
      </c>
      <c r="D814" s="42">
        <f t="shared" si="50"/>
        <v>2019</v>
      </c>
      <c r="E814" s="43">
        <v>43502</v>
      </c>
      <c r="F814" s="42">
        <v>54.96</v>
      </c>
      <c r="G814" s="42">
        <v>61.94</v>
      </c>
      <c r="H814" s="42">
        <v>57.85</v>
      </c>
      <c r="I814" s="42">
        <v>64.95</v>
      </c>
      <c r="J814" s="42">
        <v>62.61</v>
      </c>
      <c r="K814" s="42">
        <v>54.01</v>
      </c>
      <c r="L814" s="42">
        <v>61.46</v>
      </c>
      <c r="M814" s="42">
        <f t="shared" si="51"/>
        <v>-0.95000000000000284</v>
      </c>
    </row>
    <row r="815" spans="2:13" x14ac:dyDescent="0.25">
      <c r="B815" s="42">
        <f t="shared" si="48"/>
        <v>7</v>
      </c>
      <c r="C815" s="42">
        <f t="shared" si="49"/>
        <v>2</v>
      </c>
      <c r="D815" s="42">
        <f t="shared" si="50"/>
        <v>2019</v>
      </c>
      <c r="E815" s="43">
        <v>43503</v>
      </c>
      <c r="F815" s="42">
        <v>54.1</v>
      </c>
      <c r="G815" s="42">
        <v>61.07</v>
      </c>
      <c r="H815" s="42">
        <v>57.08</v>
      </c>
      <c r="I815" s="42">
        <v>64.11</v>
      </c>
      <c r="J815" s="42">
        <v>61.34</v>
      </c>
      <c r="K815" s="42">
        <v>52.64</v>
      </c>
      <c r="L815" s="42">
        <v>60.64</v>
      </c>
      <c r="M815" s="42">
        <f t="shared" si="51"/>
        <v>-1.4600000000000009</v>
      </c>
    </row>
    <row r="816" spans="2:13" x14ac:dyDescent="0.25">
      <c r="B816" s="42">
        <f t="shared" si="48"/>
        <v>8</v>
      </c>
      <c r="C816" s="42">
        <f t="shared" si="49"/>
        <v>2</v>
      </c>
      <c r="D816" s="42">
        <f t="shared" si="50"/>
        <v>2019</v>
      </c>
      <c r="E816" s="43">
        <v>43504</v>
      </c>
      <c r="F816" s="42">
        <v>54.6</v>
      </c>
      <c r="G816" s="42">
        <v>61.48</v>
      </c>
      <c r="H816" s="42">
        <v>57.6</v>
      </c>
      <c r="I816" s="42">
        <v>64.510000000000005</v>
      </c>
      <c r="J816" s="42">
        <v>61.97</v>
      </c>
      <c r="K816" s="42">
        <v>52.72</v>
      </c>
      <c r="L816" s="42">
        <v>60.82</v>
      </c>
      <c r="M816" s="42">
        <f t="shared" si="51"/>
        <v>-1.8800000000000026</v>
      </c>
    </row>
    <row r="817" spans="2:13" x14ac:dyDescent="0.25">
      <c r="B817" s="42">
        <f t="shared" si="48"/>
        <v>11</v>
      </c>
      <c r="C817" s="42">
        <f t="shared" si="49"/>
        <v>2</v>
      </c>
      <c r="D817" s="42">
        <f t="shared" si="50"/>
        <v>2019</v>
      </c>
      <c r="E817" s="43">
        <v>43507</v>
      </c>
      <c r="F817" s="42">
        <v>54.39</v>
      </c>
      <c r="G817" s="42">
        <v>61.39</v>
      </c>
      <c r="H817" s="42">
        <v>57.31</v>
      </c>
      <c r="I817" s="42">
        <v>64.349999999999994</v>
      </c>
      <c r="J817" s="42">
        <v>61.41</v>
      </c>
      <c r="K817" s="42">
        <v>52.41</v>
      </c>
      <c r="L817" s="42">
        <v>61.16</v>
      </c>
      <c r="M817" s="42">
        <f t="shared" si="51"/>
        <v>-1.980000000000004</v>
      </c>
    </row>
    <row r="818" spans="2:13" x14ac:dyDescent="0.25">
      <c r="B818" s="42">
        <f t="shared" si="48"/>
        <v>12</v>
      </c>
      <c r="C818" s="42">
        <f t="shared" si="49"/>
        <v>2</v>
      </c>
      <c r="D818" s="42">
        <f t="shared" si="50"/>
        <v>2019</v>
      </c>
      <c r="E818" s="43">
        <v>43508</v>
      </c>
      <c r="F818" s="42">
        <v>55.43</v>
      </c>
      <c r="G818" s="42">
        <v>62.15</v>
      </c>
      <c r="H818" s="42">
        <v>58.43</v>
      </c>
      <c r="I818" s="42">
        <v>65.14</v>
      </c>
      <c r="J818" s="42">
        <v>62.7</v>
      </c>
      <c r="K818" s="42">
        <v>53.1</v>
      </c>
      <c r="L818" s="42">
        <v>61.45</v>
      </c>
      <c r="M818" s="42">
        <f t="shared" si="51"/>
        <v>-2.3299999999999983</v>
      </c>
    </row>
    <row r="819" spans="2:13" x14ac:dyDescent="0.25">
      <c r="B819" s="42">
        <f t="shared" si="48"/>
        <v>13</v>
      </c>
      <c r="C819" s="42">
        <f t="shared" si="49"/>
        <v>2</v>
      </c>
      <c r="D819" s="42">
        <f t="shared" si="50"/>
        <v>2019</v>
      </c>
      <c r="E819" s="43">
        <v>43509</v>
      </c>
      <c r="F819" s="42">
        <v>56.58</v>
      </c>
      <c r="G819" s="42">
        <v>62.98</v>
      </c>
      <c r="H819" s="42">
        <v>59.5</v>
      </c>
      <c r="I819" s="42">
        <v>66.02</v>
      </c>
      <c r="J819" s="42">
        <v>63.84</v>
      </c>
      <c r="K819" s="42">
        <v>53.9</v>
      </c>
      <c r="L819" s="42">
        <v>62.5</v>
      </c>
      <c r="M819" s="42">
        <f t="shared" si="51"/>
        <v>-2.6799999999999997</v>
      </c>
    </row>
    <row r="820" spans="2:13" x14ac:dyDescent="0.25">
      <c r="B820" s="42">
        <f t="shared" si="48"/>
        <v>14</v>
      </c>
      <c r="C820" s="42">
        <f t="shared" si="49"/>
        <v>2</v>
      </c>
      <c r="D820" s="42">
        <f t="shared" si="50"/>
        <v>2019</v>
      </c>
      <c r="E820" s="43">
        <v>43510</v>
      </c>
      <c r="F820" s="42">
        <v>57.39</v>
      </c>
      <c r="G820" s="42">
        <v>64.12</v>
      </c>
      <c r="H820" s="42">
        <v>60.69</v>
      </c>
      <c r="I820" s="42">
        <v>67.11</v>
      </c>
      <c r="J820" s="42">
        <v>64.2</v>
      </c>
      <c r="K820" s="42">
        <v>54.41</v>
      </c>
      <c r="L820" s="42">
        <v>63.61</v>
      </c>
      <c r="M820" s="42">
        <f t="shared" si="51"/>
        <v>-2.980000000000004</v>
      </c>
    </row>
    <row r="821" spans="2:13" x14ac:dyDescent="0.25">
      <c r="B821" s="42">
        <f t="shared" si="48"/>
        <v>15</v>
      </c>
      <c r="C821" s="42">
        <f t="shared" si="49"/>
        <v>2</v>
      </c>
      <c r="D821" s="42">
        <f t="shared" si="50"/>
        <v>2019</v>
      </c>
      <c r="E821" s="43">
        <v>43511</v>
      </c>
      <c r="F821" s="42">
        <v>58.55</v>
      </c>
      <c r="G821" s="42">
        <v>65.319999999999993</v>
      </c>
      <c r="H821" s="42">
        <v>61.72</v>
      </c>
      <c r="I821" s="42">
        <v>68.400000000000006</v>
      </c>
      <c r="J821" s="42">
        <v>66.05</v>
      </c>
      <c r="K821" s="42">
        <v>55.59</v>
      </c>
      <c r="L821" s="42">
        <v>64.59</v>
      </c>
      <c r="M821" s="42">
        <f t="shared" si="51"/>
        <v>-2.9599999999999937</v>
      </c>
    </row>
    <row r="822" spans="2:13" x14ac:dyDescent="0.25">
      <c r="B822" s="42">
        <f t="shared" si="48"/>
        <v>18</v>
      </c>
      <c r="C822" s="42">
        <f t="shared" si="49"/>
        <v>2</v>
      </c>
      <c r="D822" s="42">
        <f t="shared" si="50"/>
        <v>2019</v>
      </c>
      <c r="E822" s="43">
        <v>43514</v>
      </c>
      <c r="F822" s="42">
        <v>58.55</v>
      </c>
      <c r="G822" s="42">
        <v>65.319999999999993</v>
      </c>
      <c r="H822" s="42">
        <v>61.72</v>
      </c>
      <c r="I822" s="42">
        <v>68.400000000000006</v>
      </c>
      <c r="J822" s="42">
        <v>66.61</v>
      </c>
      <c r="K822" s="42">
        <v>55.59</v>
      </c>
      <c r="L822" s="42">
        <v>64.59</v>
      </c>
      <c r="M822" s="42">
        <f t="shared" si="51"/>
        <v>-2.9599999999999937</v>
      </c>
    </row>
    <row r="823" spans="2:13" x14ac:dyDescent="0.25">
      <c r="B823" s="42">
        <f t="shared" si="48"/>
        <v>19</v>
      </c>
      <c r="C823" s="42">
        <f t="shared" si="49"/>
        <v>2</v>
      </c>
      <c r="D823" s="42">
        <f t="shared" si="50"/>
        <v>2019</v>
      </c>
      <c r="E823" s="43">
        <v>43515</v>
      </c>
      <c r="F823" s="42">
        <v>58.73</v>
      </c>
      <c r="G823" s="42">
        <v>65.709999999999994</v>
      </c>
      <c r="H823" s="42">
        <v>61.97</v>
      </c>
      <c r="I823" s="42">
        <v>68.680000000000007</v>
      </c>
      <c r="J823" s="42">
        <v>66.11</v>
      </c>
      <c r="K823" s="42">
        <v>56.09</v>
      </c>
      <c r="L823" s="42">
        <v>65.44</v>
      </c>
      <c r="M823" s="42">
        <f t="shared" si="51"/>
        <v>-2.6399999999999935</v>
      </c>
    </row>
    <row r="824" spans="2:13" x14ac:dyDescent="0.25">
      <c r="B824" s="42">
        <f t="shared" si="48"/>
        <v>20</v>
      </c>
      <c r="C824" s="42">
        <f t="shared" si="49"/>
        <v>2</v>
      </c>
      <c r="D824" s="42">
        <f t="shared" si="50"/>
        <v>2019</v>
      </c>
      <c r="E824" s="43">
        <v>43516</v>
      </c>
      <c r="F824" s="42">
        <v>59.68</v>
      </c>
      <c r="G824" s="42">
        <v>66.55</v>
      </c>
      <c r="H824" s="42">
        <v>62.95</v>
      </c>
      <c r="I824" s="42">
        <v>69.52</v>
      </c>
      <c r="J824" s="42">
        <v>67.040000000000006</v>
      </c>
      <c r="K824" s="42">
        <v>56.92</v>
      </c>
      <c r="L824" s="42">
        <v>66.22</v>
      </c>
      <c r="M824" s="42">
        <f t="shared" si="51"/>
        <v>-2.759999999999998</v>
      </c>
    </row>
    <row r="825" spans="2:13" x14ac:dyDescent="0.25">
      <c r="B825" s="42">
        <f t="shared" si="48"/>
        <v>21</v>
      </c>
      <c r="C825" s="42">
        <f t="shared" si="49"/>
        <v>2</v>
      </c>
      <c r="D825" s="42">
        <f t="shared" si="50"/>
        <v>2019</v>
      </c>
      <c r="E825" s="43">
        <v>43517</v>
      </c>
      <c r="F825" s="42">
        <v>59.67</v>
      </c>
      <c r="G825" s="42">
        <v>66.150000000000006</v>
      </c>
      <c r="H825" s="42">
        <v>62.48</v>
      </c>
      <c r="I825" s="42">
        <v>69.17</v>
      </c>
      <c r="J825" s="42">
        <v>67.11</v>
      </c>
      <c r="K825" s="42">
        <v>56.74</v>
      </c>
      <c r="L825" s="42">
        <v>65.64</v>
      </c>
      <c r="M825" s="42">
        <f t="shared" si="51"/>
        <v>-2.9299999999999997</v>
      </c>
    </row>
    <row r="826" spans="2:13" x14ac:dyDescent="0.25">
      <c r="B826" s="42">
        <f t="shared" si="48"/>
        <v>22</v>
      </c>
      <c r="C826" s="42">
        <f t="shared" si="49"/>
        <v>2</v>
      </c>
      <c r="D826" s="42">
        <f t="shared" si="50"/>
        <v>2019</v>
      </c>
      <c r="E826" s="43">
        <v>43518</v>
      </c>
      <c r="F826" s="42">
        <v>59.22</v>
      </c>
      <c r="G826" s="42">
        <v>66.02</v>
      </c>
      <c r="H826" s="42">
        <v>62.17</v>
      </c>
      <c r="I826" s="42">
        <v>69.06</v>
      </c>
      <c r="J826" s="42">
        <v>67.180000000000007</v>
      </c>
      <c r="K826" s="42">
        <v>57.03</v>
      </c>
      <c r="L826" s="42">
        <v>65.48</v>
      </c>
      <c r="M826" s="42">
        <f t="shared" si="51"/>
        <v>-2.1899999999999977</v>
      </c>
    </row>
    <row r="827" spans="2:13" x14ac:dyDescent="0.25">
      <c r="B827" s="42">
        <f t="shared" si="48"/>
        <v>25</v>
      </c>
      <c r="C827" s="42">
        <f t="shared" si="49"/>
        <v>2</v>
      </c>
      <c r="D827" s="42">
        <f t="shared" si="50"/>
        <v>2019</v>
      </c>
      <c r="E827" s="43">
        <v>43521</v>
      </c>
      <c r="F827" s="42">
        <v>57.05</v>
      </c>
      <c r="G827" s="42">
        <v>63.98</v>
      </c>
      <c r="H827" s="42">
        <v>59.79</v>
      </c>
      <c r="I827" s="42">
        <v>66.97</v>
      </c>
      <c r="J827" s="42">
        <v>64.91</v>
      </c>
      <c r="K827" s="42">
        <v>55.33</v>
      </c>
      <c r="L827" s="42">
        <v>63.78</v>
      </c>
      <c r="M827" s="42">
        <f t="shared" si="51"/>
        <v>-1.7199999999999989</v>
      </c>
    </row>
    <row r="828" spans="2:13" x14ac:dyDescent="0.25">
      <c r="B828" s="42">
        <f t="shared" si="48"/>
        <v>26</v>
      </c>
      <c r="C828" s="42">
        <f t="shared" si="49"/>
        <v>2</v>
      </c>
      <c r="D828" s="42">
        <f t="shared" si="50"/>
        <v>2019</v>
      </c>
      <c r="E828" s="43">
        <v>43522</v>
      </c>
      <c r="F828" s="42">
        <v>57.31</v>
      </c>
      <c r="G828" s="42">
        <v>64.34</v>
      </c>
      <c r="H828" s="42">
        <v>60.22</v>
      </c>
      <c r="I828" s="42">
        <v>67.39</v>
      </c>
      <c r="J828" s="42">
        <v>65.37</v>
      </c>
      <c r="K828" s="42">
        <v>55.5</v>
      </c>
      <c r="L828" s="42">
        <v>63.4</v>
      </c>
      <c r="M828" s="42">
        <f t="shared" si="51"/>
        <v>-1.8100000000000023</v>
      </c>
    </row>
    <row r="829" spans="2:13" x14ac:dyDescent="0.25">
      <c r="B829" s="42">
        <f t="shared" si="48"/>
        <v>27</v>
      </c>
      <c r="C829" s="42">
        <f t="shared" si="49"/>
        <v>2</v>
      </c>
      <c r="D829" s="42">
        <f t="shared" si="50"/>
        <v>2019</v>
      </c>
      <c r="E829" s="43">
        <v>43523</v>
      </c>
      <c r="F829" s="42">
        <v>58.4</v>
      </c>
      <c r="G829" s="42">
        <v>65.66</v>
      </c>
      <c r="H829" s="42">
        <v>61.57</v>
      </c>
      <c r="I829" s="42">
        <v>68.650000000000006</v>
      </c>
      <c r="J829" s="42">
        <v>66.48</v>
      </c>
      <c r="K829" s="42">
        <v>56.94</v>
      </c>
      <c r="L829" s="42">
        <v>64.790000000000006</v>
      </c>
      <c r="M829" s="42">
        <f t="shared" si="51"/>
        <v>-1.4600000000000009</v>
      </c>
    </row>
    <row r="830" spans="2:13" x14ac:dyDescent="0.25">
      <c r="B830" s="42">
        <f t="shared" si="48"/>
        <v>28</v>
      </c>
      <c r="C830" s="42">
        <f t="shared" si="49"/>
        <v>2</v>
      </c>
      <c r="D830" s="42">
        <f t="shared" si="50"/>
        <v>2019</v>
      </c>
      <c r="E830" s="43">
        <v>43524</v>
      </c>
      <c r="F830" s="42">
        <v>58.62</v>
      </c>
      <c r="G830" s="42">
        <v>65.5</v>
      </c>
      <c r="H830" s="42">
        <v>61.68</v>
      </c>
      <c r="I830" s="42">
        <v>68.489999999999995</v>
      </c>
      <c r="J830" s="42">
        <v>66.02</v>
      </c>
      <c r="K830" s="42">
        <v>57.22</v>
      </c>
      <c r="L830" s="42">
        <v>65.52</v>
      </c>
      <c r="M830" s="42">
        <f t="shared" si="51"/>
        <v>-1.3999999999999986</v>
      </c>
    </row>
    <row r="831" spans="2:13" x14ac:dyDescent="0.25">
      <c r="B831" s="42">
        <f t="shared" si="48"/>
        <v>1</v>
      </c>
      <c r="C831" s="42">
        <f t="shared" si="49"/>
        <v>3</v>
      </c>
      <c r="D831" s="42">
        <f t="shared" si="50"/>
        <v>2019</v>
      </c>
      <c r="E831" s="43">
        <v>43525</v>
      </c>
      <c r="F831" s="42">
        <v>58.96</v>
      </c>
      <c r="G831" s="42">
        <v>64.180000000000007</v>
      </c>
      <c r="H831" s="42">
        <v>60.94</v>
      </c>
      <c r="I831" s="42">
        <v>67.150000000000006</v>
      </c>
      <c r="J831" s="42">
        <v>65.22</v>
      </c>
      <c r="K831" s="42">
        <v>55.8</v>
      </c>
      <c r="L831" s="42">
        <v>63.7</v>
      </c>
      <c r="M831" s="42">
        <f t="shared" si="51"/>
        <v>-3.1600000000000037</v>
      </c>
    </row>
    <row r="832" spans="2:13" x14ac:dyDescent="0.25">
      <c r="B832" s="42">
        <f t="shared" si="48"/>
        <v>4</v>
      </c>
      <c r="C832" s="42">
        <f t="shared" si="49"/>
        <v>3</v>
      </c>
      <c r="D832" s="42">
        <f t="shared" si="50"/>
        <v>2019</v>
      </c>
      <c r="E832" s="43">
        <v>43528</v>
      </c>
      <c r="F832" s="42">
        <v>59.48</v>
      </c>
      <c r="G832" s="42">
        <v>64.959999999999994</v>
      </c>
      <c r="H832" s="42">
        <v>61.5</v>
      </c>
      <c r="I832" s="42">
        <v>67.89</v>
      </c>
      <c r="J832" s="42">
        <v>65.97</v>
      </c>
      <c r="K832" s="42">
        <v>56.59</v>
      </c>
      <c r="L832" s="42">
        <v>64.59</v>
      </c>
      <c r="M832" s="42">
        <f t="shared" si="51"/>
        <v>-2.8899999999999935</v>
      </c>
    </row>
    <row r="833" spans="2:13" x14ac:dyDescent="0.25">
      <c r="B833" s="42">
        <f t="shared" si="48"/>
        <v>5</v>
      </c>
      <c r="C833" s="42">
        <f t="shared" si="49"/>
        <v>3</v>
      </c>
      <c r="D833" s="42">
        <f t="shared" si="50"/>
        <v>2019</v>
      </c>
      <c r="E833" s="43">
        <v>43529</v>
      </c>
      <c r="F833" s="42">
        <v>59.34</v>
      </c>
      <c r="G833" s="42">
        <v>65.040000000000006</v>
      </c>
      <c r="H833" s="42">
        <v>61.59</v>
      </c>
      <c r="I833" s="42">
        <v>68.010000000000005</v>
      </c>
      <c r="J833" s="42">
        <v>65.84</v>
      </c>
      <c r="K833" s="42">
        <v>56.56</v>
      </c>
      <c r="L833" s="42">
        <v>64.56</v>
      </c>
      <c r="M833" s="42">
        <f t="shared" si="51"/>
        <v>-2.7800000000000011</v>
      </c>
    </row>
    <row r="834" spans="2:13" x14ac:dyDescent="0.25">
      <c r="B834" s="42">
        <f t="shared" si="48"/>
        <v>6</v>
      </c>
      <c r="C834" s="42">
        <f t="shared" si="49"/>
        <v>3</v>
      </c>
      <c r="D834" s="42">
        <f t="shared" si="50"/>
        <v>2019</v>
      </c>
      <c r="E834" s="43">
        <v>43530</v>
      </c>
      <c r="F834" s="42">
        <v>58.96</v>
      </c>
      <c r="G834" s="42">
        <v>65.010000000000005</v>
      </c>
      <c r="H834" s="42">
        <v>61.52</v>
      </c>
      <c r="I834" s="42">
        <v>68.010000000000005</v>
      </c>
      <c r="J834" s="42">
        <v>65.5</v>
      </c>
      <c r="K834" s="42">
        <v>56.22</v>
      </c>
      <c r="L834" s="42">
        <v>64.069999999999993</v>
      </c>
      <c r="M834" s="42">
        <f t="shared" si="51"/>
        <v>-2.740000000000002</v>
      </c>
    </row>
    <row r="835" spans="2:13" x14ac:dyDescent="0.25">
      <c r="B835" s="42">
        <f t="shared" si="48"/>
        <v>7</v>
      </c>
      <c r="C835" s="42">
        <f t="shared" si="49"/>
        <v>3</v>
      </c>
      <c r="D835" s="42">
        <f t="shared" si="50"/>
        <v>2019</v>
      </c>
      <c r="E835" s="43">
        <v>43531</v>
      </c>
      <c r="F835" s="42">
        <v>59.34</v>
      </c>
      <c r="G835" s="42">
        <v>65.47</v>
      </c>
      <c r="H835" s="42">
        <v>61.36</v>
      </c>
      <c r="I835" s="42">
        <v>68.459999999999994</v>
      </c>
      <c r="J835" s="42">
        <v>65.97</v>
      </c>
      <c r="K835" s="42">
        <v>56.66</v>
      </c>
      <c r="L835" s="42">
        <v>64.91</v>
      </c>
      <c r="M835" s="42">
        <f t="shared" si="51"/>
        <v>-2.6800000000000068</v>
      </c>
    </row>
    <row r="836" spans="2:13" x14ac:dyDescent="0.25">
      <c r="B836" s="42">
        <f t="shared" si="48"/>
        <v>8</v>
      </c>
      <c r="C836" s="42">
        <f t="shared" si="49"/>
        <v>3</v>
      </c>
      <c r="D836" s="42">
        <f t="shared" si="50"/>
        <v>2019</v>
      </c>
      <c r="E836" s="43">
        <v>43532</v>
      </c>
      <c r="F836" s="42">
        <v>58.49</v>
      </c>
      <c r="G836" s="42">
        <v>65.099999999999994</v>
      </c>
      <c r="H836" s="42">
        <v>60.67</v>
      </c>
      <c r="I836" s="42">
        <v>68.069999999999993</v>
      </c>
      <c r="J836" s="42">
        <v>64.81</v>
      </c>
      <c r="K836" s="42">
        <v>56.07</v>
      </c>
      <c r="L836" s="42">
        <v>64.319999999999993</v>
      </c>
      <c r="M836" s="42">
        <f t="shared" si="51"/>
        <v>-2.4200000000000017</v>
      </c>
    </row>
    <row r="837" spans="2:13" x14ac:dyDescent="0.25">
      <c r="B837" s="42">
        <f t="shared" si="48"/>
        <v>11</v>
      </c>
      <c r="C837" s="42">
        <f t="shared" si="49"/>
        <v>3</v>
      </c>
      <c r="D837" s="42">
        <f t="shared" si="50"/>
        <v>2019</v>
      </c>
      <c r="E837" s="43">
        <v>43535</v>
      </c>
      <c r="F837" s="42">
        <v>59.69</v>
      </c>
      <c r="G837" s="42">
        <v>65.97</v>
      </c>
      <c r="H837" s="42">
        <v>61.69</v>
      </c>
      <c r="I837" s="42">
        <v>68.930000000000007</v>
      </c>
      <c r="J837" s="42">
        <v>66.319999999999993</v>
      </c>
      <c r="K837" s="42">
        <v>56.79</v>
      </c>
      <c r="L837" s="42">
        <v>65.040000000000006</v>
      </c>
      <c r="M837" s="42">
        <f t="shared" si="51"/>
        <v>-2.8999999999999986</v>
      </c>
    </row>
    <row r="838" spans="2:13" x14ac:dyDescent="0.25">
      <c r="B838" s="42">
        <f t="shared" si="48"/>
        <v>12</v>
      </c>
      <c r="C838" s="42">
        <f t="shared" si="49"/>
        <v>3</v>
      </c>
      <c r="D838" s="42">
        <f t="shared" si="50"/>
        <v>2019</v>
      </c>
      <c r="E838" s="43">
        <v>43536</v>
      </c>
      <c r="F838" s="42">
        <v>59.76</v>
      </c>
      <c r="G838" s="42">
        <v>66.05</v>
      </c>
      <c r="H838" s="42">
        <v>61.81</v>
      </c>
      <c r="I838" s="42">
        <v>69.02</v>
      </c>
      <c r="J838" s="42">
        <v>66.64</v>
      </c>
      <c r="K838" s="42">
        <v>56.87</v>
      </c>
      <c r="L838" s="42">
        <v>65.17</v>
      </c>
      <c r="M838" s="42">
        <f t="shared" si="51"/>
        <v>-2.8900000000000006</v>
      </c>
    </row>
    <row r="839" spans="2:13" x14ac:dyDescent="0.25">
      <c r="B839" s="42">
        <f t="shared" ref="B839:B902" si="52">DAY(E839)</f>
        <v>13</v>
      </c>
      <c r="C839" s="42">
        <f t="shared" ref="C839:C902" si="53">MONTH(E839)</f>
        <v>3</v>
      </c>
      <c r="D839" s="42">
        <f t="shared" ref="D839:D902" si="54">YEAR(E839)</f>
        <v>2019</v>
      </c>
      <c r="E839" s="43">
        <v>43537</v>
      </c>
      <c r="F839" s="42">
        <v>60.3</v>
      </c>
      <c r="G839" s="42">
        <v>67.31</v>
      </c>
      <c r="H839" s="42">
        <v>62.3</v>
      </c>
      <c r="I839" s="42">
        <v>70.25</v>
      </c>
      <c r="J839" s="42">
        <v>67.17</v>
      </c>
      <c r="K839" s="42">
        <v>58.26</v>
      </c>
      <c r="L839" s="42">
        <v>66.56</v>
      </c>
      <c r="M839" s="42">
        <f t="shared" ref="M839:M902" si="55">K839-F839</f>
        <v>-2.0399999999999991</v>
      </c>
    </row>
    <row r="840" spans="2:13" x14ac:dyDescent="0.25">
      <c r="B840" s="42">
        <f t="shared" si="52"/>
        <v>14</v>
      </c>
      <c r="C840" s="42">
        <f t="shared" si="53"/>
        <v>3</v>
      </c>
      <c r="D840" s="42">
        <f t="shared" si="54"/>
        <v>2019</v>
      </c>
      <c r="E840" s="43">
        <v>43538</v>
      </c>
      <c r="F840" s="42">
        <v>60.4</v>
      </c>
      <c r="G840" s="42">
        <v>67.459999999999994</v>
      </c>
      <c r="H840" s="42">
        <v>62.22</v>
      </c>
      <c r="I840" s="42">
        <v>70.290000000000006</v>
      </c>
      <c r="J840" s="42">
        <v>67.28</v>
      </c>
      <c r="K840" s="42">
        <v>58.61</v>
      </c>
      <c r="L840" s="42">
        <v>66.86</v>
      </c>
      <c r="M840" s="42">
        <f t="shared" si="55"/>
        <v>-1.7899999999999991</v>
      </c>
    </row>
    <row r="841" spans="2:13" x14ac:dyDescent="0.25">
      <c r="B841" s="42">
        <f t="shared" si="52"/>
        <v>15</v>
      </c>
      <c r="C841" s="42">
        <f t="shared" si="53"/>
        <v>3</v>
      </c>
      <c r="D841" s="42">
        <f t="shared" si="54"/>
        <v>2019</v>
      </c>
      <c r="E841" s="43">
        <v>43539</v>
      </c>
      <c r="F841" s="42">
        <v>60.08</v>
      </c>
      <c r="G841" s="42">
        <v>67.099999999999994</v>
      </c>
      <c r="H841" s="42">
        <v>61.93</v>
      </c>
      <c r="I841" s="42">
        <v>69.959999999999994</v>
      </c>
      <c r="J841" s="42">
        <v>66.930000000000007</v>
      </c>
      <c r="K841" s="42">
        <v>58.52</v>
      </c>
      <c r="L841" s="42">
        <v>66.47</v>
      </c>
      <c r="M841" s="42">
        <f t="shared" si="55"/>
        <v>-1.5599999999999952</v>
      </c>
    </row>
    <row r="842" spans="2:13" x14ac:dyDescent="0.25">
      <c r="B842" s="42">
        <f t="shared" si="52"/>
        <v>18</v>
      </c>
      <c r="C842" s="42">
        <f t="shared" si="53"/>
        <v>3</v>
      </c>
      <c r="D842" s="42">
        <f t="shared" si="54"/>
        <v>2019</v>
      </c>
      <c r="E842" s="43">
        <v>43542</v>
      </c>
      <c r="F842" s="42">
        <v>60.34</v>
      </c>
      <c r="G842" s="42">
        <v>67.7</v>
      </c>
      <c r="H842" s="42">
        <v>62.29</v>
      </c>
      <c r="I842" s="42">
        <v>70.540000000000006</v>
      </c>
      <c r="J842" s="42">
        <v>67.400000000000006</v>
      </c>
      <c r="K842" s="42">
        <v>59.09</v>
      </c>
      <c r="L842" s="42">
        <v>67.040000000000006</v>
      </c>
      <c r="M842" s="42">
        <f t="shared" si="55"/>
        <v>-1.25</v>
      </c>
    </row>
    <row r="843" spans="2:13" x14ac:dyDescent="0.25">
      <c r="B843" s="42">
        <f t="shared" si="52"/>
        <v>19</v>
      </c>
      <c r="C843" s="42">
        <f t="shared" si="53"/>
        <v>3</v>
      </c>
      <c r="D843" s="42">
        <f t="shared" si="54"/>
        <v>2019</v>
      </c>
      <c r="E843" s="43">
        <v>43543</v>
      </c>
      <c r="F843" s="42">
        <v>60.44</v>
      </c>
      <c r="G843" s="42">
        <v>67.599999999999994</v>
      </c>
      <c r="H843" s="42">
        <v>62.08</v>
      </c>
      <c r="I843" s="42">
        <v>70.489999999999995</v>
      </c>
      <c r="J843" s="42">
        <v>67.67</v>
      </c>
      <c r="K843" s="42">
        <v>59.03</v>
      </c>
      <c r="L843" s="42">
        <v>67.03</v>
      </c>
      <c r="M843" s="42">
        <f t="shared" si="55"/>
        <v>-1.4099999999999966</v>
      </c>
    </row>
    <row r="844" spans="2:13" x14ac:dyDescent="0.25">
      <c r="B844" s="42">
        <f t="shared" si="52"/>
        <v>20</v>
      </c>
      <c r="C844" s="42">
        <f t="shared" si="53"/>
        <v>3</v>
      </c>
      <c r="D844" s="42">
        <f t="shared" si="54"/>
        <v>2019</v>
      </c>
      <c r="E844" s="43">
        <v>43544</v>
      </c>
      <c r="F844" s="42">
        <v>60.98</v>
      </c>
      <c r="G844" s="42">
        <v>68.39</v>
      </c>
      <c r="H844" s="42">
        <v>62.62</v>
      </c>
      <c r="I844" s="42">
        <v>71.319999999999993</v>
      </c>
      <c r="J844" s="42">
        <v>68.39</v>
      </c>
      <c r="K844" s="42">
        <v>59.83</v>
      </c>
      <c r="L844" s="42">
        <v>67.680000000000007</v>
      </c>
      <c r="M844" s="42">
        <f t="shared" si="55"/>
        <v>-1.1499999999999986</v>
      </c>
    </row>
    <row r="845" spans="2:13" x14ac:dyDescent="0.25">
      <c r="B845" s="42">
        <f t="shared" si="52"/>
        <v>21</v>
      </c>
      <c r="C845" s="42">
        <f t="shared" si="53"/>
        <v>3</v>
      </c>
      <c r="D845" s="42">
        <f t="shared" si="54"/>
        <v>2019</v>
      </c>
      <c r="E845" s="43">
        <v>43545</v>
      </c>
      <c r="F845" s="42">
        <v>60.88</v>
      </c>
      <c r="G845" s="42">
        <v>67.62</v>
      </c>
      <c r="H845" s="42">
        <v>62.38</v>
      </c>
      <c r="I845" s="42">
        <v>70.569999999999993</v>
      </c>
      <c r="J845" s="42">
        <v>68.150000000000006</v>
      </c>
      <c r="K845" s="42">
        <v>59.58</v>
      </c>
      <c r="L845" s="42">
        <v>67.33</v>
      </c>
      <c r="M845" s="42">
        <f t="shared" si="55"/>
        <v>-1.3000000000000043</v>
      </c>
    </row>
    <row r="846" spans="2:13" x14ac:dyDescent="0.25">
      <c r="B846" s="42">
        <f t="shared" si="52"/>
        <v>22</v>
      </c>
      <c r="C846" s="42">
        <f t="shared" si="53"/>
        <v>3</v>
      </c>
      <c r="D846" s="42">
        <f t="shared" si="54"/>
        <v>2019</v>
      </c>
      <c r="E846" s="43">
        <v>43546</v>
      </c>
      <c r="F846" s="42">
        <v>59.68</v>
      </c>
      <c r="G846" s="42">
        <v>66.44</v>
      </c>
      <c r="H846" s="42">
        <v>61.04</v>
      </c>
      <c r="I846" s="42">
        <v>69.38</v>
      </c>
      <c r="J846" s="42">
        <v>66.58</v>
      </c>
      <c r="K846" s="42">
        <v>58.94</v>
      </c>
      <c r="L846" s="42">
        <v>66.239999999999995</v>
      </c>
      <c r="M846" s="42">
        <f t="shared" si="55"/>
        <v>-0.74000000000000199</v>
      </c>
    </row>
    <row r="847" spans="2:13" x14ac:dyDescent="0.25">
      <c r="B847" s="42">
        <f t="shared" si="52"/>
        <v>25</v>
      </c>
      <c r="C847" s="42">
        <f t="shared" si="53"/>
        <v>3</v>
      </c>
      <c r="D847" s="42">
        <f t="shared" si="54"/>
        <v>2019</v>
      </c>
      <c r="E847" s="43">
        <v>43549</v>
      </c>
      <c r="F847" s="42">
        <v>59.72</v>
      </c>
      <c r="G847" s="42">
        <v>66.59</v>
      </c>
      <c r="H847" s="42">
        <v>61.85</v>
      </c>
      <c r="I847" s="42">
        <v>69.55</v>
      </c>
      <c r="J847" s="42">
        <v>67.260000000000005</v>
      </c>
      <c r="K847" s="42">
        <v>58.72</v>
      </c>
      <c r="L847" s="42">
        <v>65.92</v>
      </c>
      <c r="M847" s="42">
        <f t="shared" si="55"/>
        <v>-1</v>
      </c>
    </row>
    <row r="848" spans="2:13" x14ac:dyDescent="0.25">
      <c r="B848" s="42">
        <f t="shared" si="52"/>
        <v>26</v>
      </c>
      <c r="C848" s="42">
        <f t="shared" si="53"/>
        <v>3</v>
      </c>
      <c r="D848" s="42">
        <f t="shared" si="54"/>
        <v>2019</v>
      </c>
      <c r="E848" s="43">
        <v>43550</v>
      </c>
      <c r="F848" s="42">
        <v>60.56</v>
      </c>
      <c r="G848" s="42">
        <v>67.34</v>
      </c>
      <c r="H848" s="42">
        <v>62.15</v>
      </c>
      <c r="I848" s="42">
        <v>70.290000000000006</v>
      </c>
      <c r="J848" s="42">
        <v>67.900000000000006</v>
      </c>
      <c r="K848" s="42">
        <v>59.94</v>
      </c>
      <c r="L848" s="42">
        <v>66.64</v>
      </c>
      <c r="M848" s="42">
        <f t="shared" si="55"/>
        <v>-0.62000000000000455</v>
      </c>
    </row>
    <row r="849" spans="2:13" x14ac:dyDescent="0.25">
      <c r="B849" s="42">
        <f t="shared" si="52"/>
        <v>27</v>
      </c>
      <c r="C849" s="42">
        <f t="shared" si="53"/>
        <v>3</v>
      </c>
      <c r="D849" s="42">
        <f t="shared" si="54"/>
        <v>2019</v>
      </c>
      <c r="E849" s="43">
        <v>43551</v>
      </c>
      <c r="F849" s="42">
        <v>60.47</v>
      </c>
      <c r="G849" s="42">
        <v>66.87</v>
      </c>
      <c r="H849" s="42">
        <v>61.99</v>
      </c>
      <c r="I849" s="42">
        <v>69.86</v>
      </c>
      <c r="J849" s="42">
        <v>67.94</v>
      </c>
      <c r="K849" s="42">
        <v>59.41</v>
      </c>
      <c r="L849" s="42">
        <v>65.61</v>
      </c>
      <c r="M849" s="42">
        <f t="shared" si="55"/>
        <v>-1.0600000000000023</v>
      </c>
    </row>
    <row r="850" spans="2:13" x14ac:dyDescent="0.25">
      <c r="B850" s="42">
        <f t="shared" si="52"/>
        <v>28</v>
      </c>
      <c r="C850" s="42">
        <f t="shared" si="53"/>
        <v>3</v>
      </c>
      <c r="D850" s="42">
        <f t="shared" si="54"/>
        <v>2019</v>
      </c>
      <c r="E850" s="43">
        <v>43552</v>
      </c>
      <c r="F850" s="42">
        <v>60.05</v>
      </c>
      <c r="G850" s="42">
        <v>66.989999999999995</v>
      </c>
      <c r="H850" s="42">
        <v>62.03</v>
      </c>
      <c r="I850" s="42">
        <v>69.95</v>
      </c>
      <c r="J850" s="42">
        <v>67.19</v>
      </c>
      <c r="K850" s="42">
        <v>59.3</v>
      </c>
      <c r="L850" s="42">
        <v>65.5</v>
      </c>
      <c r="M850" s="42">
        <f t="shared" si="55"/>
        <v>-0.75</v>
      </c>
    </row>
    <row r="851" spans="2:13" x14ac:dyDescent="0.25">
      <c r="B851" s="42">
        <f t="shared" si="52"/>
        <v>29</v>
      </c>
      <c r="C851" s="42">
        <f t="shared" si="53"/>
        <v>3</v>
      </c>
      <c r="D851" s="42">
        <f t="shared" si="54"/>
        <v>2019</v>
      </c>
      <c r="E851" s="43">
        <v>43553</v>
      </c>
      <c r="F851" s="42">
        <v>61.28</v>
      </c>
      <c r="G851" s="42">
        <v>67.709999999999994</v>
      </c>
      <c r="H851" s="42">
        <v>62.37</v>
      </c>
      <c r="I851" s="42">
        <v>70.63</v>
      </c>
      <c r="J851" s="42">
        <v>68.25</v>
      </c>
      <c r="K851" s="42">
        <v>60.14</v>
      </c>
      <c r="L851" s="42">
        <v>66.39</v>
      </c>
      <c r="M851" s="42">
        <f t="shared" si="55"/>
        <v>-1.1400000000000006</v>
      </c>
    </row>
    <row r="852" spans="2:13" x14ac:dyDescent="0.25">
      <c r="B852" s="42">
        <f t="shared" si="52"/>
        <v>1</v>
      </c>
      <c r="C852" s="42">
        <f t="shared" si="53"/>
        <v>4</v>
      </c>
      <c r="D852" s="42">
        <f t="shared" si="54"/>
        <v>2019</v>
      </c>
      <c r="E852" s="43">
        <v>43556</v>
      </c>
      <c r="F852" s="42">
        <v>62.5</v>
      </c>
      <c r="G852" s="42">
        <v>69.75</v>
      </c>
      <c r="H852" s="42">
        <v>64.290000000000006</v>
      </c>
      <c r="I852" s="42">
        <v>72.56</v>
      </c>
      <c r="J852" s="42">
        <v>69.010000000000005</v>
      </c>
      <c r="K852" s="42">
        <v>61.59</v>
      </c>
      <c r="L852" s="42">
        <v>67.790000000000006</v>
      </c>
      <c r="M852" s="42">
        <f t="shared" si="55"/>
        <v>-0.90999999999999659</v>
      </c>
    </row>
    <row r="853" spans="2:13" x14ac:dyDescent="0.25">
      <c r="B853" s="42">
        <f t="shared" si="52"/>
        <v>2</v>
      </c>
      <c r="C853" s="42">
        <f t="shared" si="53"/>
        <v>4</v>
      </c>
      <c r="D853" s="42">
        <f t="shared" si="54"/>
        <v>2019</v>
      </c>
      <c r="E853" s="43">
        <v>43557</v>
      </c>
      <c r="F853" s="42">
        <v>63.09</v>
      </c>
      <c r="G853" s="42">
        <v>70.39</v>
      </c>
      <c r="H853" s="42">
        <v>64.72</v>
      </c>
      <c r="I853" s="42">
        <v>73.150000000000006</v>
      </c>
      <c r="J853" s="42">
        <v>69.58</v>
      </c>
      <c r="K853" s="42">
        <v>62.58</v>
      </c>
      <c r="L853" s="42">
        <v>68.680000000000007</v>
      </c>
      <c r="M853" s="42">
        <f t="shared" si="55"/>
        <v>-0.51000000000000512</v>
      </c>
    </row>
    <row r="854" spans="2:13" x14ac:dyDescent="0.25">
      <c r="B854" s="42">
        <f t="shared" si="52"/>
        <v>3</v>
      </c>
      <c r="C854" s="42">
        <f t="shared" si="53"/>
        <v>4</v>
      </c>
      <c r="D854" s="42">
        <f t="shared" si="54"/>
        <v>2019</v>
      </c>
      <c r="E854" s="43">
        <v>43558</v>
      </c>
      <c r="F854" s="42">
        <v>63.04</v>
      </c>
      <c r="G854" s="42">
        <v>69.819999999999993</v>
      </c>
      <c r="H854" s="42">
        <v>64.3</v>
      </c>
      <c r="I854" s="42">
        <v>72.650000000000006</v>
      </c>
      <c r="J854" s="42">
        <v>69.27</v>
      </c>
      <c r="K854" s="42">
        <v>62.46</v>
      </c>
      <c r="L854" s="42">
        <v>68.459999999999994</v>
      </c>
      <c r="M854" s="42">
        <f t="shared" si="55"/>
        <v>-0.57999999999999829</v>
      </c>
    </row>
    <row r="855" spans="2:13" x14ac:dyDescent="0.25">
      <c r="B855" s="42">
        <f t="shared" si="52"/>
        <v>4</v>
      </c>
      <c r="C855" s="42">
        <f t="shared" si="53"/>
        <v>4</v>
      </c>
      <c r="D855" s="42">
        <f t="shared" si="54"/>
        <v>2019</v>
      </c>
      <c r="E855" s="43">
        <v>43559</v>
      </c>
      <c r="F855" s="42">
        <v>63.01</v>
      </c>
      <c r="G855" s="42">
        <v>69.78</v>
      </c>
      <c r="H855" s="42">
        <v>64.349999999999994</v>
      </c>
      <c r="I855" s="42">
        <v>72.58</v>
      </c>
      <c r="J855" s="42">
        <v>69.760000000000005</v>
      </c>
      <c r="K855" s="42">
        <v>62.1</v>
      </c>
      <c r="L855" s="42">
        <v>68.099999999999994</v>
      </c>
      <c r="M855" s="42">
        <f t="shared" si="55"/>
        <v>-0.90999999999999659</v>
      </c>
    </row>
    <row r="856" spans="2:13" x14ac:dyDescent="0.25">
      <c r="B856" s="42">
        <f t="shared" si="52"/>
        <v>5</v>
      </c>
      <c r="C856" s="42">
        <f t="shared" si="53"/>
        <v>4</v>
      </c>
      <c r="D856" s="42">
        <f t="shared" si="54"/>
        <v>2019</v>
      </c>
      <c r="E856" s="43">
        <v>43560</v>
      </c>
      <c r="F856" s="42">
        <v>63.49</v>
      </c>
      <c r="G856" s="42">
        <v>70.349999999999994</v>
      </c>
      <c r="H856" s="42">
        <v>64.91</v>
      </c>
      <c r="I856" s="42">
        <v>73.25</v>
      </c>
      <c r="J856" s="42">
        <v>70.03</v>
      </c>
      <c r="K856" s="42">
        <v>63.08</v>
      </c>
      <c r="L856" s="42">
        <v>69.03</v>
      </c>
      <c r="M856" s="42">
        <f t="shared" si="55"/>
        <v>-0.41000000000000369</v>
      </c>
    </row>
    <row r="857" spans="2:13" x14ac:dyDescent="0.25">
      <c r="B857" s="42">
        <f t="shared" si="52"/>
        <v>8</v>
      </c>
      <c r="C857" s="42">
        <f t="shared" si="53"/>
        <v>4</v>
      </c>
      <c r="D857" s="42">
        <f t="shared" si="54"/>
        <v>2019</v>
      </c>
      <c r="E857" s="43">
        <v>43563</v>
      </c>
      <c r="F857" s="42">
        <v>64.56</v>
      </c>
      <c r="G857" s="42">
        <v>71.58</v>
      </c>
      <c r="H857" s="42">
        <v>65.849999999999994</v>
      </c>
      <c r="I857" s="42">
        <v>74.41</v>
      </c>
      <c r="J857" s="42">
        <v>71.05</v>
      </c>
      <c r="K857" s="42">
        <v>64.400000000000006</v>
      </c>
      <c r="L857" s="42">
        <v>70.3</v>
      </c>
      <c r="M857" s="42">
        <f t="shared" si="55"/>
        <v>-0.15999999999999659</v>
      </c>
    </row>
    <row r="858" spans="2:13" x14ac:dyDescent="0.25">
      <c r="B858" s="42">
        <f t="shared" si="52"/>
        <v>9</v>
      </c>
      <c r="C858" s="42">
        <f t="shared" si="53"/>
        <v>4</v>
      </c>
      <c r="D858" s="42">
        <f t="shared" si="54"/>
        <v>2019</v>
      </c>
      <c r="E858" s="43">
        <v>43564</v>
      </c>
      <c r="F858" s="42">
        <v>63.84</v>
      </c>
      <c r="G858" s="42">
        <v>70.58</v>
      </c>
      <c r="H858" s="42">
        <v>64.92</v>
      </c>
      <c r="I858" s="42">
        <v>73.52</v>
      </c>
      <c r="J858" s="42">
        <v>70.84</v>
      </c>
      <c r="K858" s="42">
        <v>63.98</v>
      </c>
      <c r="L858" s="42">
        <v>69.83</v>
      </c>
      <c r="M858" s="42">
        <f t="shared" si="55"/>
        <v>0.13999999999999346</v>
      </c>
    </row>
    <row r="859" spans="2:13" x14ac:dyDescent="0.25">
      <c r="B859" s="42">
        <f t="shared" si="52"/>
        <v>10</v>
      </c>
      <c r="C859" s="42">
        <f t="shared" si="53"/>
        <v>4</v>
      </c>
      <c r="D859" s="42">
        <f t="shared" si="54"/>
        <v>2019</v>
      </c>
      <c r="E859" s="43">
        <v>43565</v>
      </c>
      <c r="F859" s="42">
        <v>64.09</v>
      </c>
      <c r="G859" s="42">
        <v>70.819999999999993</v>
      </c>
      <c r="H859" s="42">
        <v>64.97</v>
      </c>
      <c r="I859" s="42">
        <v>73.86</v>
      </c>
      <c r="J859" s="42">
        <v>71.58</v>
      </c>
      <c r="K859" s="42">
        <v>64.61</v>
      </c>
      <c r="L859" s="42">
        <v>70.459999999999994</v>
      </c>
      <c r="M859" s="42">
        <f t="shared" si="55"/>
        <v>0.51999999999999602</v>
      </c>
    </row>
    <row r="860" spans="2:13" x14ac:dyDescent="0.25">
      <c r="B860" s="42">
        <f t="shared" si="52"/>
        <v>11</v>
      </c>
      <c r="C860" s="42">
        <f t="shared" si="53"/>
        <v>4</v>
      </c>
      <c r="D860" s="42">
        <f t="shared" si="54"/>
        <v>2019</v>
      </c>
      <c r="E860" s="43">
        <v>43566</v>
      </c>
      <c r="F860" s="42">
        <v>63.48</v>
      </c>
      <c r="G860" s="42">
        <v>69.47</v>
      </c>
      <c r="H860" s="42">
        <v>63.84</v>
      </c>
      <c r="I860" s="42">
        <v>72.61</v>
      </c>
      <c r="J860" s="42">
        <v>71.430000000000007</v>
      </c>
      <c r="K860" s="42">
        <v>63.58</v>
      </c>
      <c r="L860" s="42">
        <v>69.78</v>
      </c>
      <c r="M860" s="42">
        <f t="shared" si="55"/>
        <v>0.10000000000000142</v>
      </c>
    </row>
    <row r="861" spans="2:13" x14ac:dyDescent="0.25">
      <c r="B861" s="42">
        <f t="shared" si="52"/>
        <v>12</v>
      </c>
      <c r="C861" s="42">
        <f t="shared" si="53"/>
        <v>4</v>
      </c>
      <c r="D861" s="42">
        <f t="shared" si="54"/>
        <v>2019</v>
      </c>
      <c r="E861" s="43">
        <v>43567</v>
      </c>
      <c r="F861" s="42">
        <v>63.59</v>
      </c>
      <c r="G861" s="42">
        <v>69.69</v>
      </c>
      <c r="H861" s="42">
        <v>64.16</v>
      </c>
      <c r="I861" s="42">
        <v>72.89</v>
      </c>
      <c r="J861" s="42">
        <v>71.760000000000005</v>
      </c>
      <c r="K861" s="42">
        <v>63.89</v>
      </c>
      <c r="L861" s="42">
        <v>70.14</v>
      </c>
      <c r="M861" s="42">
        <f t="shared" si="55"/>
        <v>0.29999999999999716</v>
      </c>
    </row>
    <row r="862" spans="2:13" x14ac:dyDescent="0.25">
      <c r="B862" s="42">
        <f t="shared" si="52"/>
        <v>15</v>
      </c>
      <c r="C862" s="42">
        <f t="shared" si="53"/>
        <v>4</v>
      </c>
      <c r="D862" s="42">
        <f t="shared" si="54"/>
        <v>2019</v>
      </c>
      <c r="E862" s="43">
        <v>43570</v>
      </c>
      <c r="F862" s="42">
        <v>62.98</v>
      </c>
      <c r="G862" s="42">
        <v>69.81</v>
      </c>
      <c r="H862" s="42">
        <v>64.11</v>
      </c>
      <c r="I862" s="42">
        <v>72.95</v>
      </c>
      <c r="J862" s="42">
        <v>71.25</v>
      </c>
      <c r="K862" s="42">
        <v>63.4</v>
      </c>
      <c r="L862" s="42">
        <v>69.95</v>
      </c>
      <c r="M862" s="42">
        <f t="shared" si="55"/>
        <v>0.42000000000000171</v>
      </c>
    </row>
    <row r="863" spans="2:13" x14ac:dyDescent="0.25">
      <c r="B863" s="42">
        <f t="shared" si="52"/>
        <v>16</v>
      </c>
      <c r="C863" s="42">
        <f t="shared" si="53"/>
        <v>4</v>
      </c>
      <c r="D863" s="42">
        <f t="shared" si="54"/>
        <v>2019</v>
      </c>
      <c r="E863" s="43">
        <v>43571</v>
      </c>
      <c r="F863" s="42">
        <v>62.82</v>
      </c>
      <c r="G863" s="42">
        <v>70.36</v>
      </c>
      <c r="H863" s="42">
        <v>63.91</v>
      </c>
      <c r="I863" s="42">
        <v>73.44</v>
      </c>
      <c r="J863" s="42">
        <v>71.260000000000005</v>
      </c>
      <c r="K863" s="42">
        <v>64.05</v>
      </c>
      <c r="L863" s="42">
        <v>70.599999999999994</v>
      </c>
      <c r="M863" s="42">
        <f t="shared" si="55"/>
        <v>1.2299999999999969</v>
      </c>
    </row>
    <row r="864" spans="2:13" x14ac:dyDescent="0.25">
      <c r="B864" s="42">
        <f t="shared" si="52"/>
        <v>17</v>
      </c>
      <c r="C864" s="42">
        <f t="shared" si="53"/>
        <v>4</v>
      </c>
      <c r="D864" s="42">
        <f t="shared" si="54"/>
        <v>2019</v>
      </c>
      <c r="E864" s="43">
        <v>43572</v>
      </c>
      <c r="F864" s="42">
        <v>63.03</v>
      </c>
      <c r="G864" s="42">
        <v>69.33</v>
      </c>
      <c r="H864" s="42">
        <v>62.98</v>
      </c>
      <c r="I864" s="42">
        <v>72.569999999999993</v>
      </c>
      <c r="J864" s="42">
        <v>71.930000000000007</v>
      </c>
      <c r="K864" s="42">
        <v>63.76</v>
      </c>
      <c r="L864" s="42">
        <v>70.760000000000005</v>
      </c>
      <c r="M864" s="42">
        <f t="shared" si="55"/>
        <v>0.72999999999999687</v>
      </c>
    </row>
    <row r="865" spans="2:13" x14ac:dyDescent="0.25">
      <c r="B865" s="42">
        <f t="shared" si="52"/>
        <v>18</v>
      </c>
      <c r="C865" s="42">
        <f t="shared" si="53"/>
        <v>4</v>
      </c>
      <c r="D865" s="42">
        <f t="shared" si="54"/>
        <v>2019</v>
      </c>
      <c r="E865" s="43">
        <v>43573</v>
      </c>
      <c r="F865" s="42">
        <v>62.71</v>
      </c>
      <c r="G865" s="42">
        <v>70.150000000000006</v>
      </c>
      <c r="H865" s="42">
        <v>63.47</v>
      </c>
      <c r="I865" s="42">
        <v>73.319999999999993</v>
      </c>
      <c r="J865" s="42">
        <v>72.03</v>
      </c>
      <c r="K865" s="42">
        <v>64</v>
      </c>
      <c r="L865" s="42">
        <v>71</v>
      </c>
      <c r="M865" s="42">
        <f t="shared" si="55"/>
        <v>1.2899999999999991</v>
      </c>
    </row>
    <row r="866" spans="2:13" x14ac:dyDescent="0.25">
      <c r="B866" s="42">
        <f t="shared" si="52"/>
        <v>19</v>
      </c>
      <c r="C866" s="42">
        <f t="shared" si="53"/>
        <v>4</v>
      </c>
      <c r="D866" s="42">
        <f t="shared" si="54"/>
        <v>2019</v>
      </c>
      <c r="E866" s="43">
        <v>43574</v>
      </c>
      <c r="F866" s="42">
        <v>62.71</v>
      </c>
      <c r="G866" s="42">
        <v>70.150000000000006</v>
      </c>
      <c r="H866" s="42">
        <v>63.47</v>
      </c>
      <c r="I866" s="42">
        <v>73.319999999999993</v>
      </c>
      <c r="J866" s="42">
        <v>72.03</v>
      </c>
      <c r="K866" s="42">
        <v>64</v>
      </c>
      <c r="L866" s="42">
        <v>71</v>
      </c>
      <c r="M866" s="42">
        <f t="shared" si="55"/>
        <v>1.2899999999999991</v>
      </c>
    </row>
    <row r="867" spans="2:13" x14ac:dyDescent="0.25">
      <c r="B867" s="42">
        <f t="shared" si="52"/>
        <v>22</v>
      </c>
      <c r="C867" s="42">
        <f t="shared" si="53"/>
        <v>4</v>
      </c>
      <c r="D867" s="42">
        <f t="shared" si="54"/>
        <v>2019</v>
      </c>
      <c r="E867" s="43">
        <v>43577</v>
      </c>
      <c r="F867" s="42">
        <v>62.71</v>
      </c>
      <c r="G867" s="42">
        <v>72.06</v>
      </c>
      <c r="H867" s="42">
        <v>64.63</v>
      </c>
      <c r="I867" s="42">
        <v>75.239999999999995</v>
      </c>
      <c r="J867" s="42">
        <v>72.03</v>
      </c>
      <c r="K867" s="42">
        <v>65.7</v>
      </c>
      <c r="L867" s="42">
        <v>73.150000000000006</v>
      </c>
      <c r="M867" s="42">
        <f t="shared" si="55"/>
        <v>2.990000000000002</v>
      </c>
    </row>
    <row r="868" spans="2:13" x14ac:dyDescent="0.25">
      <c r="B868" s="42">
        <f t="shared" si="52"/>
        <v>23</v>
      </c>
      <c r="C868" s="42">
        <f t="shared" si="53"/>
        <v>4</v>
      </c>
      <c r="D868" s="42">
        <f t="shared" si="54"/>
        <v>2019</v>
      </c>
      <c r="E868" s="43">
        <v>43578</v>
      </c>
      <c r="F868" s="42">
        <v>65.510000000000005</v>
      </c>
      <c r="G868" s="42">
        <v>72.459999999999994</v>
      </c>
      <c r="H868" s="42">
        <v>65.849999999999994</v>
      </c>
      <c r="I868" s="42">
        <v>75.66</v>
      </c>
      <c r="J868" s="42">
        <v>74.53</v>
      </c>
      <c r="K868" s="42">
        <v>66.45</v>
      </c>
      <c r="L868" s="42">
        <v>73.900000000000006</v>
      </c>
      <c r="M868" s="42">
        <f t="shared" si="55"/>
        <v>0.93999999999999773</v>
      </c>
    </row>
    <row r="869" spans="2:13" x14ac:dyDescent="0.25">
      <c r="B869" s="42">
        <f t="shared" si="52"/>
        <v>24</v>
      </c>
      <c r="C869" s="42">
        <f t="shared" si="53"/>
        <v>4</v>
      </c>
      <c r="D869" s="42">
        <f t="shared" si="54"/>
        <v>2019</v>
      </c>
      <c r="E869" s="43">
        <v>43579</v>
      </c>
      <c r="F869" s="42">
        <v>65.47</v>
      </c>
      <c r="G869" s="42">
        <v>71.95</v>
      </c>
      <c r="H869" s="42">
        <v>66.17</v>
      </c>
      <c r="I869" s="42">
        <v>75.23</v>
      </c>
      <c r="J869" s="42">
        <v>74.52</v>
      </c>
      <c r="K869" s="42">
        <v>65.989999999999995</v>
      </c>
      <c r="L869" s="42">
        <v>73.540000000000006</v>
      </c>
      <c r="M869" s="42">
        <f t="shared" si="55"/>
        <v>0.51999999999999602</v>
      </c>
    </row>
    <row r="870" spans="2:13" x14ac:dyDescent="0.25">
      <c r="B870" s="42">
        <f t="shared" si="52"/>
        <v>25</v>
      </c>
      <c r="C870" s="42">
        <f t="shared" si="53"/>
        <v>4</v>
      </c>
      <c r="D870" s="42">
        <f t="shared" si="54"/>
        <v>2019</v>
      </c>
      <c r="E870" s="43">
        <v>43580</v>
      </c>
      <c r="F870" s="42">
        <v>65.61</v>
      </c>
      <c r="G870" s="42">
        <v>71.5</v>
      </c>
      <c r="H870" s="42">
        <v>65.900000000000006</v>
      </c>
      <c r="I870" s="42">
        <v>74.84</v>
      </c>
      <c r="J870" s="42">
        <v>75.099999999999994</v>
      </c>
      <c r="K870" s="42">
        <v>65.209999999999994</v>
      </c>
      <c r="L870" s="42">
        <v>72.209999999999994</v>
      </c>
      <c r="M870" s="42">
        <f t="shared" si="55"/>
        <v>-0.40000000000000568</v>
      </c>
    </row>
    <row r="871" spans="2:13" x14ac:dyDescent="0.25">
      <c r="B871" s="42">
        <f t="shared" si="52"/>
        <v>26</v>
      </c>
      <c r="C871" s="42">
        <f t="shared" si="53"/>
        <v>4</v>
      </c>
      <c r="D871" s="42">
        <f t="shared" si="54"/>
        <v>2019</v>
      </c>
      <c r="E871" s="43">
        <v>43581</v>
      </c>
      <c r="F871" s="42">
        <v>63.21</v>
      </c>
      <c r="G871" s="42">
        <v>69.23</v>
      </c>
      <c r="H871" s="42">
        <v>63.33</v>
      </c>
      <c r="I871" s="42">
        <v>72.53</v>
      </c>
      <c r="J871" s="42">
        <v>71.97</v>
      </c>
      <c r="K871" s="42">
        <v>63.3</v>
      </c>
      <c r="L871" s="42">
        <v>70.5</v>
      </c>
      <c r="M871" s="42">
        <f t="shared" si="55"/>
        <v>8.9999999999996305E-2</v>
      </c>
    </row>
    <row r="872" spans="2:13" x14ac:dyDescent="0.25">
      <c r="B872" s="42">
        <f t="shared" si="52"/>
        <v>29</v>
      </c>
      <c r="C872" s="42">
        <f t="shared" si="53"/>
        <v>4</v>
      </c>
      <c r="D872" s="42">
        <f t="shared" si="54"/>
        <v>2019</v>
      </c>
      <c r="E872" s="43">
        <v>43584</v>
      </c>
      <c r="F872" s="42">
        <v>63.03</v>
      </c>
      <c r="G872" s="42">
        <v>69.38</v>
      </c>
      <c r="H872" s="42">
        <v>63.47</v>
      </c>
      <c r="I872" s="42">
        <v>72.709999999999994</v>
      </c>
      <c r="J872" s="42">
        <v>72.05</v>
      </c>
      <c r="K872" s="42">
        <v>63.5</v>
      </c>
      <c r="L872" s="42">
        <v>70.7</v>
      </c>
      <c r="M872" s="42">
        <f t="shared" si="55"/>
        <v>0.46999999999999886</v>
      </c>
    </row>
    <row r="873" spans="2:13" x14ac:dyDescent="0.25">
      <c r="B873" s="42">
        <f t="shared" si="52"/>
        <v>30</v>
      </c>
      <c r="C873" s="42">
        <f t="shared" si="53"/>
        <v>4</v>
      </c>
      <c r="D873" s="42">
        <f t="shared" si="54"/>
        <v>2019</v>
      </c>
      <c r="E873" s="43">
        <v>43585</v>
      </c>
      <c r="F873" s="42">
        <v>63.62</v>
      </c>
      <c r="G873" s="42">
        <v>70.2</v>
      </c>
      <c r="H873" s="42">
        <v>64.22</v>
      </c>
      <c r="I873" s="42">
        <v>73.48</v>
      </c>
      <c r="J873" s="42">
        <v>72.8</v>
      </c>
      <c r="K873" s="42">
        <v>63.91</v>
      </c>
      <c r="L873" s="42">
        <v>71.16</v>
      </c>
      <c r="M873" s="42">
        <f t="shared" si="55"/>
        <v>0.28999999999999915</v>
      </c>
    </row>
    <row r="874" spans="2:13" x14ac:dyDescent="0.25">
      <c r="B874" s="42">
        <f t="shared" si="52"/>
        <v>1</v>
      </c>
      <c r="C874" s="42">
        <f t="shared" si="53"/>
        <v>5</v>
      </c>
      <c r="D874" s="42">
        <f t="shared" si="54"/>
        <v>2019</v>
      </c>
      <c r="E874" s="43">
        <v>43586</v>
      </c>
      <c r="F874" s="42">
        <v>63.62</v>
      </c>
      <c r="G874" s="42">
        <v>70.44</v>
      </c>
      <c r="H874" s="42">
        <v>65.239999999999995</v>
      </c>
      <c r="I874" s="42">
        <v>73.489999999999995</v>
      </c>
      <c r="J874" s="42">
        <v>71.78</v>
      </c>
      <c r="K874" s="42">
        <v>63.6</v>
      </c>
      <c r="L874" s="42">
        <v>70.849999999999994</v>
      </c>
      <c r="M874" s="42">
        <f t="shared" si="55"/>
        <v>-1.9999999999996021E-2</v>
      </c>
    </row>
    <row r="875" spans="2:13" x14ac:dyDescent="0.25">
      <c r="B875" s="42">
        <f t="shared" si="52"/>
        <v>2</v>
      </c>
      <c r="C875" s="42">
        <f t="shared" si="53"/>
        <v>5</v>
      </c>
      <c r="D875" s="42">
        <f t="shared" si="54"/>
        <v>2019</v>
      </c>
      <c r="E875" s="43">
        <v>43587</v>
      </c>
      <c r="F875" s="42">
        <v>62.98</v>
      </c>
      <c r="G875" s="42">
        <v>68.95</v>
      </c>
      <c r="H875" s="42">
        <v>63.85</v>
      </c>
      <c r="I875" s="42">
        <v>71.98</v>
      </c>
      <c r="J875" s="42">
        <v>70.06</v>
      </c>
      <c r="K875" s="42">
        <v>61.81</v>
      </c>
      <c r="L875" s="42">
        <v>69.31</v>
      </c>
      <c r="M875" s="42">
        <f t="shared" si="55"/>
        <v>-1.1699999999999946</v>
      </c>
    </row>
    <row r="876" spans="2:13" x14ac:dyDescent="0.25">
      <c r="B876" s="42">
        <f t="shared" si="52"/>
        <v>3</v>
      </c>
      <c r="C876" s="42">
        <f t="shared" si="53"/>
        <v>5</v>
      </c>
      <c r="D876" s="42">
        <f t="shared" si="54"/>
        <v>2019</v>
      </c>
      <c r="E876" s="43">
        <v>43588</v>
      </c>
      <c r="F876" s="42">
        <v>63.11</v>
      </c>
      <c r="G876" s="42">
        <v>69.459999999999994</v>
      </c>
      <c r="H876" s="42">
        <v>64.040000000000006</v>
      </c>
      <c r="I876" s="42">
        <v>72.47</v>
      </c>
      <c r="J876" s="42">
        <v>71.459999999999994</v>
      </c>
      <c r="K876" s="42">
        <v>61.94</v>
      </c>
      <c r="L876" s="42">
        <v>69.44</v>
      </c>
      <c r="M876" s="42">
        <f t="shared" si="55"/>
        <v>-1.1700000000000017</v>
      </c>
    </row>
    <row r="877" spans="2:13" x14ac:dyDescent="0.25">
      <c r="B877" s="42">
        <f t="shared" si="52"/>
        <v>6</v>
      </c>
      <c r="C877" s="42">
        <f t="shared" si="53"/>
        <v>5</v>
      </c>
      <c r="D877" s="42">
        <f t="shared" si="54"/>
        <v>2019</v>
      </c>
      <c r="E877" s="43">
        <v>43591</v>
      </c>
      <c r="F877" s="42">
        <v>63.11</v>
      </c>
      <c r="G877" s="42">
        <v>70.290000000000006</v>
      </c>
      <c r="H877" s="42">
        <v>64.33</v>
      </c>
      <c r="I877" s="42">
        <v>73.31</v>
      </c>
      <c r="J877" s="42">
        <v>71.459999999999994</v>
      </c>
      <c r="K877" s="42">
        <v>62.25</v>
      </c>
      <c r="L877" s="42">
        <v>70.349999999999994</v>
      </c>
      <c r="M877" s="42">
        <f t="shared" si="55"/>
        <v>-0.85999999999999943</v>
      </c>
    </row>
    <row r="878" spans="2:13" x14ac:dyDescent="0.25">
      <c r="B878" s="42">
        <f t="shared" si="52"/>
        <v>7</v>
      </c>
      <c r="C878" s="42">
        <f t="shared" si="53"/>
        <v>5</v>
      </c>
      <c r="D878" s="42">
        <f t="shared" si="54"/>
        <v>2019</v>
      </c>
      <c r="E878" s="43">
        <v>43592</v>
      </c>
      <c r="F878" s="42">
        <v>62.28</v>
      </c>
      <c r="G878" s="42">
        <v>68.709999999999994</v>
      </c>
      <c r="H878" s="42">
        <v>62.8</v>
      </c>
      <c r="I878" s="42">
        <v>71.63</v>
      </c>
      <c r="J878" s="42">
        <v>70.33</v>
      </c>
      <c r="K878" s="42">
        <v>61.4</v>
      </c>
      <c r="L878" s="42">
        <v>69.2</v>
      </c>
      <c r="M878" s="42">
        <f t="shared" si="55"/>
        <v>-0.88000000000000256</v>
      </c>
    </row>
    <row r="879" spans="2:13" x14ac:dyDescent="0.25">
      <c r="B879" s="42">
        <f t="shared" si="52"/>
        <v>8</v>
      </c>
      <c r="C879" s="42">
        <f t="shared" si="53"/>
        <v>5</v>
      </c>
      <c r="D879" s="42">
        <f t="shared" si="54"/>
        <v>2019</v>
      </c>
      <c r="E879" s="43">
        <v>43593</v>
      </c>
      <c r="F879" s="42">
        <v>62.76</v>
      </c>
      <c r="G879" s="42">
        <v>69.14</v>
      </c>
      <c r="H879" s="42">
        <v>63.21</v>
      </c>
      <c r="I879" s="42">
        <v>72.11</v>
      </c>
      <c r="J879" s="42">
        <v>70.77</v>
      </c>
      <c r="K879" s="42">
        <v>62.12</v>
      </c>
      <c r="L879" s="42">
        <v>69.67</v>
      </c>
      <c r="M879" s="42">
        <f t="shared" si="55"/>
        <v>-0.64000000000000057</v>
      </c>
    </row>
    <row r="880" spans="2:13" x14ac:dyDescent="0.25">
      <c r="B880" s="42">
        <f t="shared" si="52"/>
        <v>9</v>
      </c>
      <c r="C880" s="42">
        <f t="shared" si="53"/>
        <v>5</v>
      </c>
      <c r="D880" s="42">
        <f t="shared" si="54"/>
        <v>2019</v>
      </c>
      <c r="E880" s="43">
        <v>43594</v>
      </c>
      <c r="F880" s="42">
        <v>62.38</v>
      </c>
      <c r="G880" s="42">
        <v>68.78</v>
      </c>
      <c r="H880" s="42">
        <v>63.06</v>
      </c>
      <c r="I880" s="42">
        <v>71.8</v>
      </c>
      <c r="J880" s="42">
        <v>69.84</v>
      </c>
      <c r="K880" s="42">
        <v>61.7</v>
      </c>
      <c r="L880" s="42">
        <v>69.099999999999994</v>
      </c>
      <c r="M880" s="42">
        <f t="shared" si="55"/>
        <v>-0.67999999999999972</v>
      </c>
    </row>
    <row r="881" spans="2:13" x14ac:dyDescent="0.25">
      <c r="B881" s="42">
        <f t="shared" si="52"/>
        <v>10</v>
      </c>
      <c r="C881" s="42">
        <f t="shared" si="53"/>
        <v>5</v>
      </c>
      <c r="D881" s="42">
        <f t="shared" si="54"/>
        <v>2019</v>
      </c>
      <c r="E881" s="43">
        <v>43595</v>
      </c>
      <c r="F881" s="42">
        <v>62.99</v>
      </c>
      <c r="G881" s="42">
        <v>69.650000000000006</v>
      </c>
      <c r="H881" s="42">
        <v>63.66</v>
      </c>
      <c r="I881" s="42">
        <v>72.67</v>
      </c>
      <c r="J881" s="42">
        <v>70.959999999999994</v>
      </c>
      <c r="K881" s="42">
        <v>61.66</v>
      </c>
      <c r="L881" s="42">
        <v>69.61</v>
      </c>
      <c r="M881" s="42">
        <f t="shared" si="55"/>
        <v>-1.3300000000000054</v>
      </c>
    </row>
    <row r="882" spans="2:13" x14ac:dyDescent="0.25">
      <c r="B882" s="42">
        <f t="shared" si="52"/>
        <v>13</v>
      </c>
      <c r="C882" s="42">
        <f t="shared" si="53"/>
        <v>5</v>
      </c>
      <c r="D882" s="42">
        <f t="shared" si="54"/>
        <v>2019</v>
      </c>
      <c r="E882" s="43">
        <v>43598</v>
      </c>
      <c r="F882" s="42">
        <v>62.86</v>
      </c>
      <c r="G882" s="42">
        <v>69.239999999999995</v>
      </c>
      <c r="H882" s="42">
        <v>63.45</v>
      </c>
      <c r="I882" s="42">
        <v>72.25</v>
      </c>
      <c r="J882" s="42">
        <v>71.05</v>
      </c>
      <c r="K882" s="42">
        <v>61.04</v>
      </c>
      <c r="L882" s="42">
        <v>69.19</v>
      </c>
      <c r="M882" s="42">
        <f t="shared" si="55"/>
        <v>-1.8200000000000003</v>
      </c>
    </row>
    <row r="883" spans="2:13" x14ac:dyDescent="0.25">
      <c r="B883" s="42">
        <f t="shared" si="52"/>
        <v>14</v>
      </c>
      <c r="C883" s="42">
        <f t="shared" si="53"/>
        <v>5</v>
      </c>
      <c r="D883" s="42">
        <f t="shared" si="54"/>
        <v>2019</v>
      </c>
      <c r="E883" s="43">
        <v>43599</v>
      </c>
      <c r="F883" s="42">
        <v>62.59</v>
      </c>
      <c r="G883" s="42">
        <v>69.58</v>
      </c>
      <c r="H883" s="42">
        <v>62.71</v>
      </c>
      <c r="I883" s="42">
        <v>72.680000000000007</v>
      </c>
      <c r="J883" s="42">
        <v>71.53</v>
      </c>
      <c r="K883" s="42">
        <v>61.78</v>
      </c>
      <c r="L883" s="42">
        <v>70.08</v>
      </c>
      <c r="M883" s="42">
        <f t="shared" si="55"/>
        <v>-0.81000000000000227</v>
      </c>
    </row>
    <row r="884" spans="2:13" x14ac:dyDescent="0.25">
      <c r="B884" s="42">
        <f t="shared" si="52"/>
        <v>15</v>
      </c>
      <c r="C884" s="42">
        <f t="shared" si="53"/>
        <v>5</v>
      </c>
      <c r="D884" s="42">
        <f t="shared" si="54"/>
        <v>2019</v>
      </c>
      <c r="E884" s="43">
        <v>43600</v>
      </c>
      <c r="F884" s="42">
        <v>63.35</v>
      </c>
      <c r="G884" s="42">
        <v>70.540000000000006</v>
      </c>
      <c r="H884" s="42">
        <v>63.49</v>
      </c>
      <c r="I884" s="42">
        <v>73.67</v>
      </c>
      <c r="J884" s="42">
        <v>72.31</v>
      </c>
      <c r="K884" s="42">
        <v>62.02</v>
      </c>
      <c r="L884" s="42">
        <v>70.569999999999993</v>
      </c>
      <c r="M884" s="42">
        <f t="shared" si="55"/>
        <v>-1.3299999999999983</v>
      </c>
    </row>
    <row r="885" spans="2:13" x14ac:dyDescent="0.25">
      <c r="B885" s="42">
        <f t="shared" si="52"/>
        <v>16</v>
      </c>
      <c r="C885" s="42">
        <f t="shared" si="53"/>
        <v>5</v>
      </c>
      <c r="D885" s="42">
        <f t="shared" si="54"/>
        <v>2019</v>
      </c>
      <c r="E885" s="43">
        <v>43601</v>
      </c>
      <c r="F885" s="42">
        <v>64.63</v>
      </c>
      <c r="G885" s="42">
        <v>71.36</v>
      </c>
      <c r="H885" s="42">
        <v>64.69</v>
      </c>
      <c r="I885" s="42">
        <v>74.48</v>
      </c>
      <c r="J885" s="42">
        <v>73.42</v>
      </c>
      <c r="K885" s="42">
        <v>62.87</v>
      </c>
      <c r="L885" s="42">
        <v>71.77</v>
      </c>
      <c r="M885" s="42">
        <f t="shared" si="55"/>
        <v>-1.759999999999998</v>
      </c>
    </row>
    <row r="886" spans="2:13" x14ac:dyDescent="0.25">
      <c r="B886" s="42">
        <f t="shared" si="52"/>
        <v>17</v>
      </c>
      <c r="C886" s="42">
        <f t="shared" si="53"/>
        <v>5</v>
      </c>
      <c r="D886" s="42">
        <f t="shared" si="54"/>
        <v>2019</v>
      </c>
      <c r="E886" s="43">
        <v>43602</v>
      </c>
      <c r="F886" s="42">
        <v>64.569999999999993</v>
      </c>
      <c r="G886" s="42">
        <v>71.209999999999994</v>
      </c>
      <c r="H886" s="42">
        <v>64.37</v>
      </c>
      <c r="I886" s="42">
        <v>74.260000000000005</v>
      </c>
      <c r="J886" s="42">
        <v>72.75</v>
      </c>
      <c r="K886" s="42">
        <v>62.76</v>
      </c>
      <c r="L886" s="42">
        <v>70.81</v>
      </c>
      <c r="M886" s="42">
        <f t="shared" si="55"/>
        <v>-1.8099999999999952</v>
      </c>
    </row>
    <row r="887" spans="2:13" x14ac:dyDescent="0.25">
      <c r="B887" s="42">
        <f t="shared" si="52"/>
        <v>20</v>
      </c>
      <c r="C887" s="42">
        <f t="shared" si="53"/>
        <v>5</v>
      </c>
      <c r="D887" s="42">
        <f t="shared" si="54"/>
        <v>2019</v>
      </c>
      <c r="E887" s="43">
        <v>43605</v>
      </c>
      <c r="F887" s="42">
        <v>63.1</v>
      </c>
      <c r="G887" s="42">
        <v>71.510000000000005</v>
      </c>
      <c r="H887" s="42">
        <v>64.63</v>
      </c>
      <c r="I887" s="42">
        <v>74.39</v>
      </c>
      <c r="J887" s="42">
        <v>72.59</v>
      </c>
      <c r="K887" s="42">
        <v>63.1</v>
      </c>
      <c r="L887" s="42">
        <v>71.099999999999994</v>
      </c>
      <c r="M887" s="42">
        <f t="shared" si="55"/>
        <v>0</v>
      </c>
    </row>
    <row r="888" spans="2:13" x14ac:dyDescent="0.25">
      <c r="B888" s="42">
        <f t="shared" si="52"/>
        <v>21</v>
      </c>
      <c r="C888" s="42">
        <f t="shared" si="53"/>
        <v>5</v>
      </c>
      <c r="D888" s="42">
        <f t="shared" si="54"/>
        <v>2019</v>
      </c>
      <c r="E888" s="43">
        <v>43606</v>
      </c>
      <c r="F888" s="42">
        <v>64.08</v>
      </c>
      <c r="G888" s="42">
        <v>71.69</v>
      </c>
      <c r="H888" s="42">
        <v>64.83</v>
      </c>
      <c r="I888" s="42">
        <v>74.5</v>
      </c>
      <c r="J888" s="42">
        <v>72.150000000000006</v>
      </c>
      <c r="K888" s="42">
        <v>62.99</v>
      </c>
      <c r="L888" s="42">
        <v>70.989999999999995</v>
      </c>
      <c r="M888" s="42">
        <f t="shared" si="55"/>
        <v>-1.0899999999999963</v>
      </c>
    </row>
    <row r="889" spans="2:13" x14ac:dyDescent="0.25">
      <c r="B889" s="42">
        <f t="shared" si="52"/>
        <v>22</v>
      </c>
      <c r="C889" s="42">
        <f t="shared" si="53"/>
        <v>5</v>
      </c>
      <c r="D889" s="42">
        <f t="shared" si="54"/>
        <v>2019</v>
      </c>
      <c r="E889" s="43">
        <v>43607</v>
      </c>
      <c r="F889" s="42">
        <v>62.81</v>
      </c>
      <c r="G889" s="42">
        <v>69.81</v>
      </c>
      <c r="H889" s="42">
        <v>62.62</v>
      </c>
      <c r="I889" s="42">
        <v>72.69</v>
      </c>
      <c r="J889" s="42">
        <v>71.08</v>
      </c>
      <c r="K889" s="42">
        <v>61.25</v>
      </c>
      <c r="L889" s="42">
        <v>69.349999999999994</v>
      </c>
      <c r="M889" s="42">
        <f t="shared" si="55"/>
        <v>-1.5600000000000023</v>
      </c>
    </row>
    <row r="890" spans="2:13" x14ac:dyDescent="0.25">
      <c r="B890" s="42">
        <f t="shared" si="52"/>
        <v>23</v>
      </c>
      <c r="C890" s="42">
        <f t="shared" si="53"/>
        <v>5</v>
      </c>
      <c r="D890" s="42">
        <f t="shared" si="54"/>
        <v>2019</v>
      </c>
      <c r="E890" s="43">
        <v>43608</v>
      </c>
      <c r="F890" s="42">
        <v>59.81</v>
      </c>
      <c r="G890" s="42">
        <v>67.260000000000005</v>
      </c>
      <c r="H890" s="42">
        <v>60</v>
      </c>
      <c r="I890" s="42">
        <v>70.010000000000005</v>
      </c>
      <c r="J890" s="42">
        <v>67.72</v>
      </c>
      <c r="K890" s="42">
        <v>57.74</v>
      </c>
      <c r="L890" s="42">
        <v>67.739999999999995</v>
      </c>
      <c r="M890" s="42">
        <f t="shared" si="55"/>
        <v>-2.0700000000000003</v>
      </c>
    </row>
    <row r="891" spans="2:13" x14ac:dyDescent="0.25">
      <c r="B891" s="42">
        <f t="shared" si="52"/>
        <v>24</v>
      </c>
      <c r="C891" s="42">
        <f t="shared" si="53"/>
        <v>5</v>
      </c>
      <c r="D891" s="42">
        <f t="shared" si="54"/>
        <v>2019</v>
      </c>
      <c r="E891" s="43">
        <v>43609</v>
      </c>
      <c r="F891" s="42">
        <v>60.42</v>
      </c>
      <c r="G891" s="42">
        <v>67.510000000000005</v>
      </c>
      <c r="H891" s="42">
        <v>60.35</v>
      </c>
      <c r="I891" s="42">
        <v>70.45</v>
      </c>
      <c r="J891" s="42">
        <v>67.739999999999995</v>
      </c>
      <c r="K891" s="42">
        <v>58.46</v>
      </c>
      <c r="L891" s="42">
        <v>68.36</v>
      </c>
      <c r="M891" s="42">
        <f t="shared" si="55"/>
        <v>-1.9600000000000009</v>
      </c>
    </row>
    <row r="892" spans="2:13" x14ac:dyDescent="0.25">
      <c r="B892" s="42">
        <f t="shared" si="52"/>
        <v>27</v>
      </c>
      <c r="C892" s="42">
        <f t="shared" si="53"/>
        <v>5</v>
      </c>
      <c r="D892" s="42">
        <f t="shared" si="54"/>
        <v>2019</v>
      </c>
      <c r="E892" s="43">
        <v>43612</v>
      </c>
      <c r="F892" s="42">
        <v>60.42</v>
      </c>
      <c r="G892" s="42">
        <v>67.510000000000005</v>
      </c>
      <c r="H892" s="42">
        <v>60.35</v>
      </c>
      <c r="I892" s="42">
        <v>70.45</v>
      </c>
      <c r="J892" s="42">
        <v>67.739999999999995</v>
      </c>
      <c r="K892" s="42">
        <v>58.46</v>
      </c>
      <c r="L892" s="42">
        <v>68.36</v>
      </c>
      <c r="M892" s="42">
        <f t="shared" si="55"/>
        <v>-1.9600000000000009</v>
      </c>
    </row>
    <row r="893" spans="2:13" x14ac:dyDescent="0.25">
      <c r="B893" s="42">
        <f t="shared" si="52"/>
        <v>28</v>
      </c>
      <c r="C893" s="42">
        <f t="shared" si="53"/>
        <v>5</v>
      </c>
      <c r="D893" s="42">
        <f t="shared" si="54"/>
        <v>2019</v>
      </c>
      <c r="E893" s="43">
        <v>43613</v>
      </c>
      <c r="F893" s="42">
        <v>61.58</v>
      </c>
      <c r="G893" s="42">
        <v>68.62</v>
      </c>
      <c r="H893" s="42">
        <v>61.44</v>
      </c>
      <c r="I893" s="42">
        <v>71.53</v>
      </c>
      <c r="J893" s="42">
        <v>69.77</v>
      </c>
      <c r="K893" s="42">
        <v>59.14</v>
      </c>
      <c r="L893" s="42">
        <v>67.64</v>
      </c>
      <c r="M893" s="42">
        <f t="shared" si="55"/>
        <v>-2.4399999999999977</v>
      </c>
    </row>
    <row r="894" spans="2:13" x14ac:dyDescent="0.25">
      <c r="B894" s="42">
        <f t="shared" si="52"/>
        <v>29</v>
      </c>
      <c r="C894" s="42">
        <f t="shared" si="53"/>
        <v>5</v>
      </c>
      <c r="D894" s="42">
        <f t="shared" si="54"/>
        <v>2019</v>
      </c>
      <c r="E894" s="43">
        <v>43614</v>
      </c>
      <c r="F894" s="42">
        <v>60.88</v>
      </c>
      <c r="G894" s="42">
        <v>68.040000000000006</v>
      </c>
      <c r="H894" s="42">
        <v>61.71</v>
      </c>
      <c r="I894" s="42">
        <v>70.930000000000007</v>
      </c>
      <c r="J894" s="42">
        <v>68.819999999999993</v>
      </c>
      <c r="K894" s="42">
        <v>58.81</v>
      </c>
      <c r="L894" s="42">
        <v>67.459999999999994</v>
      </c>
      <c r="M894" s="42">
        <f t="shared" si="55"/>
        <v>-2.0700000000000003</v>
      </c>
    </row>
    <row r="895" spans="2:13" x14ac:dyDescent="0.25">
      <c r="B895" s="42">
        <f t="shared" si="52"/>
        <v>30</v>
      </c>
      <c r="C895" s="42">
        <f t="shared" si="53"/>
        <v>5</v>
      </c>
      <c r="D895" s="42">
        <f t="shared" si="54"/>
        <v>2019</v>
      </c>
      <c r="E895" s="43">
        <v>43615</v>
      </c>
      <c r="F895" s="42">
        <v>59.15</v>
      </c>
      <c r="G895" s="42">
        <v>65.38</v>
      </c>
      <c r="H895" s="42">
        <v>60.06</v>
      </c>
      <c r="I895" s="42">
        <v>68.23</v>
      </c>
      <c r="J895" s="42">
        <v>67.42</v>
      </c>
      <c r="K895" s="42">
        <v>56.59</v>
      </c>
      <c r="L895" s="42">
        <v>64.19</v>
      </c>
      <c r="M895" s="42">
        <f t="shared" si="55"/>
        <v>-2.5599999999999952</v>
      </c>
    </row>
    <row r="896" spans="2:13" x14ac:dyDescent="0.25">
      <c r="B896" s="42">
        <f t="shared" si="52"/>
        <v>31</v>
      </c>
      <c r="C896" s="42">
        <f t="shared" si="53"/>
        <v>5</v>
      </c>
      <c r="D896" s="42">
        <f t="shared" si="54"/>
        <v>2019</v>
      </c>
      <c r="E896" s="43">
        <v>43616</v>
      </c>
      <c r="F896" s="42">
        <v>56.57</v>
      </c>
      <c r="G896" s="42">
        <v>62.02</v>
      </c>
      <c r="H896" s="42">
        <v>56.75</v>
      </c>
      <c r="I896" s="42">
        <v>64.849999999999994</v>
      </c>
      <c r="J896" s="42">
        <v>64.63</v>
      </c>
      <c r="K896" s="42">
        <v>53.5</v>
      </c>
      <c r="L896" s="42">
        <v>60.85</v>
      </c>
      <c r="M896" s="42">
        <f t="shared" si="55"/>
        <v>-3.0700000000000003</v>
      </c>
    </row>
    <row r="897" spans="2:13" x14ac:dyDescent="0.25">
      <c r="B897" s="42">
        <f t="shared" si="52"/>
        <v>3</v>
      </c>
      <c r="C897" s="42">
        <f t="shared" si="53"/>
        <v>6</v>
      </c>
      <c r="D897" s="42">
        <f t="shared" si="54"/>
        <v>2019</v>
      </c>
      <c r="E897" s="43">
        <v>43619</v>
      </c>
      <c r="F897" s="42">
        <v>56.54</v>
      </c>
      <c r="G897" s="42">
        <v>61.79</v>
      </c>
      <c r="H897" s="42">
        <v>57.22</v>
      </c>
      <c r="I897" s="42">
        <v>64.37</v>
      </c>
      <c r="J897" s="42">
        <v>61.52</v>
      </c>
      <c r="K897" s="42">
        <v>53.25</v>
      </c>
      <c r="L897" s="42">
        <v>60.25</v>
      </c>
      <c r="M897" s="42">
        <f t="shared" si="55"/>
        <v>-3.2899999999999991</v>
      </c>
    </row>
    <row r="898" spans="2:13" x14ac:dyDescent="0.25">
      <c r="B898" s="42">
        <f t="shared" si="52"/>
        <v>4</v>
      </c>
      <c r="C898" s="42">
        <f t="shared" si="53"/>
        <v>6</v>
      </c>
      <c r="D898" s="42">
        <f t="shared" si="54"/>
        <v>2019</v>
      </c>
      <c r="E898" s="43">
        <v>43620</v>
      </c>
      <c r="F898" s="42">
        <v>57.14</v>
      </c>
      <c r="G898" s="42">
        <v>62.2</v>
      </c>
      <c r="H898" s="42">
        <v>58.12</v>
      </c>
      <c r="I898" s="42">
        <v>64.86</v>
      </c>
      <c r="J898" s="42">
        <v>61.94</v>
      </c>
      <c r="K898" s="42">
        <v>53.48</v>
      </c>
      <c r="L898" s="42">
        <v>60.73</v>
      </c>
      <c r="M898" s="42">
        <f t="shared" si="55"/>
        <v>-3.6600000000000037</v>
      </c>
    </row>
    <row r="899" spans="2:13" x14ac:dyDescent="0.25">
      <c r="B899" s="42">
        <f t="shared" si="52"/>
        <v>5</v>
      </c>
      <c r="C899" s="42">
        <f t="shared" si="53"/>
        <v>6</v>
      </c>
      <c r="D899" s="42">
        <f t="shared" si="54"/>
        <v>2019</v>
      </c>
      <c r="E899" s="43">
        <v>43621</v>
      </c>
      <c r="F899" s="42">
        <v>57.14</v>
      </c>
      <c r="G899" s="42">
        <v>60.72</v>
      </c>
      <c r="H899" s="42">
        <v>56.52</v>
      </c>
      <c r="I899" s="42">
        <v>63.4</v>
      </c>
      <c r="J899" s="42">
        <v>60.47</v>
      </c>
      <c r="K899" s="42">
        <v>51.68</v>
      </c>
      <c r="L899" s="42">
        <v>59.23</v>
      </c>
      <c r="M899" s="42">
        <f t="shared" si="55"/>
        <v>-5.4600000000000009</v>
      </c>
    </row>
    <row r="900" spans="2:13" x14ac:dyDescent="0.25">
      <c r="B900" s="42">
        <f t="shared" si="52"/>
        <v>6</v>
      </c>
      <c r="C900" s="42">
        <f t="shared" si="53"/>
        <v>6</v>
      </c>
      <c r="D900" s="42">
        <f t="shared" si="54"/>
        <v>2019</v>
      </c>
      <c r="E900" s="43">
        <v>43622</v>
      </c>
      <c r="F900" s="42">
        <v>56.09</v>
      </c>
      <c r="G900" s="42">
        <v>61.92</v>
      </c>
      <c r="H900" s="42">
        <v>57.56</v>
      </c>
      <c r="I900" s="42">
        <v>64.650000000000006</v>
      </c>
      <c r="J900" s="42">
        <v>60.86</v>
      </c>
      <c r="K900" s="42">
        <v>52.59</v>
      </c>
      <c r="L900" s="42">
        <v>60.14</v>
      </c>
      <c r="M900" s="42">
        <f t="shared" si="55"/>
        <v>-3.5</v>
      </c>
    </row>
    <row r="901" spans="2:13" x14ac:dyDescent="0.25">
      <c r="B901" s="42">
        <f t="shared" si="52"/>
        <v>7</v>
      </c>
      <c r="C901" s="42">
        <f t="shared" si="53"/>
        <v>6</v>
      </c>
      <c r="D901" s="42">
        <f t="shared" si="54"/>
        <v>2019</v>
      </c>
      <c r="E901" s="43">
        <v>43623</v>
      </c>
      <c r="F901" s="42">
        <v>57.85</v>
      </c>
      <c r="G901" s="42">
        <v>63.09</v>
      </c>
      <c r="H901" s="42">
        <v>59.12</v>
      </c>
      <c r="I901" s="42">
        <v>65.84</v>
      </c>
      <c r="J901" s="42">
        <v>62.96</v>
      </c>
      <c r="K901" s="42">
        <v>53.99</v>
      </c>
      <c r="L901" s="42">
        <v>61.59</v>
      </c>
      <c r="M901" s="42">
        <f t="shared" si="55"/>
        <v>-3.8599999999999994</v>
      </c>
    </row>
    <row r="902" spans="2:13" x14ac:dyDescent="0.25">
      <c r="B902" s="42">
        <f t="shared" si="52"/>
        <v>10</v>
      </c>
      <c r="C902" s="42">
        <f t="shared" si="53"/>
        <v>6</v>
      </c>
      <c r="D902" s="42">
        <f t="shared" si="54"/>
        <v>2019</v>
      </c>
      <c r="E902" s="43">
        <v>43626</v>
      </c>
      <c r="F902" s="42">
        <v>57.33</v>
      </c>
      <c r="G902" s="42">
        <v>62.22</v>
      </c>
      <c r="H902" s="42">
        <v>57.78</v>
      </c>
      <c r="I902" s="42">
        <v>64.94</v>
      </c>
      <c r="J902" s="42">
        <v>63.19</v>
      </c>
      <c r="K902" s="42">
        <v>53.26</v>
      </c>
      <c r="L902" s="42">
        <v>60.66</v>
      </c>
      <c r="M902" s="42">
        <f t="shared" si="55"/>
        <v>-4.07</v>
      </c>
    </row>
    <row r="903" spans="2:13" x14ac:dyDescent="0.25">
      <c r="B903" s="42">
        <f t="shared" ref="B903:B966" si="56">DAY(E903)</f>
        <v>11</v>
      </c>
      <c r="C903" s="42">
        <f t="shared" ref="C903:C966" si="57">MONTH(E903)</f>
        <v>6</v>
      </c>
      <c r="D903" s="42">
        <f t="shared" ref="D903:D966" si="58">YEAR(E903)</f>
        <v>2019</v>
      </c>
      <c r="E903" s="43">
        <v>43627</v>
      </c>
      <c r="F903" s="42">
        <v>57.04</v>
      </c>
      <c r="G903" s="42">
        <v>62.09</v>
      </c>
      <c r="H903" s="42">
        <v>57.7</v>
      </c>
      <c r="I903" s="42">
        <v>64.790000000000006</v>
      </c>
      <c r="J903" s="42">
        <v>62.79</v>
      </c>
      <c r="K903" s="42">
        <v>53.27</v>
      </c>
      <c r="L903" s="42">
        <v>60.47</v>
      </c>
      <c r="M903" s="42">
        <f t="shared" ref="M903:M966" si="59">K903-F903</f>
        <v>-3.769999999999996</v>
      </c>
    </row>
    <row r="904" spans="2:13" x14ac:dyDescent="0.25">
      <c r="B904" s="42">
        <f t="shared" si="56"/>
        <v>12</v>
      </c>
      <c r="C904" s="42">
        <f t="shared" si="57"/>
        <v>6</v>
      </c>
      <c r="D904" s="42">
        <f t="shared" si="58"/>
        <v>2019</v>
      </c>
      <c r="E904" s="43">
        <v>43628</v>
      </c>
      <c r="F904" s="42">
        <v>54.67</v>
      </c>
      <c r="G904" s="42">
        <v>59.96</v>
      </c>
      <c r="H904" s="42">
        <v>55.17</v>
      </c>
      <c r="I904" s="42">
        <v>62.65</v>
      </c>
      <c r="J904" s="42">
        <v>61.11</v>
      </c>
      <c r="K904" s="42">
        <v>51.14</v>
      </c>
      <c r="L904" s="42">
        <v>58.64</v>
      </c>
      <c r="M904" s="42">
        <f t="shared" si="59"/>
        <v>-3.5300000000000011</v>
      </c>
    </row>
    <row r="905" spans="2:13" x14ac:dyDescent="0.25">
      <c r="B905" s="42">
        <f t="shared" si="56"/>
        <v>13</v>
      </c>
      <c r="C905" s="42">
        <f t="shared" si="57"/>
        <v>6</v>
      </c>
      <c r="D905" s="42">
        <f t="shared" si="58"/>
        <v>2019</v>
      </c>
      <c r="E905" s="43">
        <v>43629</v>
      </c>
      <c r="F905" s="42">
        <v>55.22</v>
      </c>
      <c r="G905" s="42">
        <v>61.12</v>
      </c>
      <c r="H905" s="42">
        <v>56</v>
      </c>
      <c r="I905" s="42">
        <v>63.87</v>
      </c>
      <c r="J905" s="42">
        <v>61.73</v>
      </c>
      <c r="K905" s="42">
        <v>52.28</v>
      </c>
      <c r="L905" s="42">
        <v>59.68</v>
      </c>
      <c r="M905" s="42">
        <f t="shared" si="59"/>
        <v>-2.9399999999999977</v>
      </c>
    </row>
    <row r="906" spans="2:13" x14ac:dyDescent="0.25">
      <c r="B906" s="42">
        <f t="shared" si="56"/>
        <v>14</v>
      </c>
      <c r="C906" s="42">
        <f t="shared" si="57"/>
        <v>6</v>
      </c>
      <c r="D906" s="42">
        <f t="shared" si="58"/>
        <v>2019</v>
      </c>
      <c r="E906" s="43">
        <v>43630</v>
      </c>
      <c r="F906" s="42">
        <v>55.49</v>
      </c>
      <c r="G906" s="42">
        <v>61.48</v>
      </c>
      <c r="H906" s="42">
        <v>56.6</v>
      </c>
      <c r="I906" s="42">
        <v>64.28</v>
      </c>
      <c r="J906" s="42">
        <v>62.32</v>
      </c>
      <c r="K906" s="42">
        <v>52.51</v>
      </c>
      <c r="L906" s="42">
        <v>60.26</v>
      </c>
      <c r="M906" s="42">
        <f t="shared" si="59"/>
        <v>-2.980000000000004</v>
      </c>
    </row>
    <row r="907" spans="2:13" x14ac:dyDescent="0.25">
      <c r="B907" s="42">
        <f t="shared" si="56"/>
        <v>17</v>
      </c>
      <c r="C907" s="42">
        <f t="shared" si="57"/>
        <v>6</v>
      </c>
      <c r="D907" s="42">
        <f t="shared" si="58"/>
        <v>2019</v>
      </c>
      <c r="E907" s="43">
        <v>43633</v>
      </c>
      <c r="F907" s="42">
        <v>54.84</v>
      </c>
      <c r="G907" s="42">
        <v>60.47</v>
      </c>
      <c r="H907" s="42">
        <v>55.4</v>
      </c>
      <c r="I907" s="42">
        <v>63.13</v>
      </c>
      <c r="J907" s="42">
        <v>61.89</v>
      </c>
      <c r="K907" s="42">
        <v>51.93</v>
      </c>
      <c r="L907" s="42">
        <v>59.58</v>
      </c>
      <c r="M907" s="42">
        <f t="shared" si="59"/>
        <v>-2.9100000000000037</v>
      </c>
    </row>
    <row r="908" spans="2:13" x14ac:dyDescent="0.25">
      <c r="B908" s="42">
        <f t="shared" si="56"/>
        <v>18</v>
      </c>
      <c r="C908" s="42">
        <f t="shared" si="57"/>
        <v>6</v>
      </c>
      <c r="D908" s="42">
        <f t="shared" si="58"/>
        <v>2019</v>
      </c>
      <c r="E908" s="43">
        <v>43634</v>
      </c>
      <c r="F908" s="42">
        <v>56.18</v>
      </c>
      <c r="G908" s="42">
        <v>62.09</v>
      </c>
      <c r="H908" s="42">
        <v>57.29</v>
      </c>
      <c r="I908" s="42">
        <v>64.709999999999994</v>
      </c>
      <c r="J908" s="42">
        <v>62.66</v>
      </c>
      <c r="K908" s="42">
        <v>53.9</v>
      </c>
      <c r="L908" s="42">
        <v>60.55</v>
      </c>
      <c r="M908" s="42">
        <f t="shared" si="59"/>
        <v>-2.2800000000000011</v>
      </c>
    </row>
    <row r="909" spans="2:13" x14ac:dyDescent="0.25">
      <c r="B909" s="42">
        <f t="shared" si="56"/>
        <v>19</v>
      </c>
      <c r="C909" s="42">
        <f t="shared" si="57"/>
        <v>6</v>
      </c>
      <c r="D909" s="42">
        <f t="shared" si="58"/>
        <v>2019</v>
      </c>
      <c r="E909" s="43">
        <v>43635</v>
      </c>
      <c r="F909" s="42">
        <v>56.27</v>
      </c>
      <c r="G909" s="42">
        <v>61.84</v>
      </c>
      <c r="H909" s="42">
        <v>57.3</v>
      </c>
      <c r="I909" s="42">
        <v>64.459999999999994</v>
      </c>
      <c r="J909" s="42">
        <v>62.09</v>
      </c>
      <c r="K909" s="42">
        <v>53.76</v>
      </c>
      <c r="L909" s="42">
        <v>60.86</v>
      </c>
      <c r="M909" s="42">
        <f t="shared" si="59"/>
        <v>-2.5100000000000051</v>
      </c>
    </row>
    <row r="910" spans="2:13" x14ac:dyDescent="0.25">
      <c r="B910" s="42">
        <f t="shared" si="56"/>
        <v>20</v>
      </c>
      <c r="C910" s="42">
        <f t="shared" si="57"/>
        <v>6</v>
      </c>
      <c r="D910" s="42">
        <f t="shared" si="58"/>
        <v>2019</v>
      </c>
      <c r="E910" s="43">
        <v>43636</v>
      </c>
      <c r="F910" s="42">
        <v>58.46</v>
      </c>
      <c r="G910" s="42">
        <v>64.319999999999993</v>
      </c>
      <c r="H910" s="42">
        <v>59.71</v>
      </c>
      <c r="I910" s="42">
        <v>66.930000000000007</v>
      </c>
      <c r="J910" s="42">
        <v>64.290000000000006</v>
      </c>
      <c r="K910" s="42">
        <v>56.65</v>
      </c>
      <c r="L910" s="42">
        <v>63.45</v>
      </c>
      <c r="M910" s="42">
        <f t="shared" si="59"/>
        <v>-1.8100000000000023</v>
      </c>
    </row>
    <row r="911" spans="2:13" x14ac:dyDescent="0.25">
      <c r="B911" s="42">
        <f t="shared" si="56"/>
        <v>21</v>
      </c>
      <c r="C911" s="42">
        <f t="shared" si="57"/>
        <v>6</v>
      </c>
      <c r="D911" s="42">
        <f t="shared" si="58"/>
        <v>2019</v>
      </c>
      <c r="E911" s="43">
        <v>43637</v>
      </c>
      <c r="F911" s="42">
        <v>59.91</v>
      </c>
      <c r="G911" s="42">
        <v>64.69</v>
      </c>
      <c r="H911" s="42">
        <v>60.47</v>
      </c>
      <c r="I911" s="42">
        <v>67.239999999999995</v>
      </c>
      <c r="J911" s="42">
        <v>65.44</v>
      </c>
      <c r="K911" s="42">
        <v>57.27</v>
      </c>
      <c r="L911" s="42">
        <v>63.17</v>
      </c>
      <c r="M911" s="42">
        <f t="shared" si="59"/>
        <v>-2.6399999999999935</v>
      </c>
    </row>
    <row r="912" spans="2:13" x14ac:dyDescent="0.25">
      <c r="B912" s="42">
        <f t="shared" si="56"/>
        <v>24</v>
      </c>
      <c r="C912" s="42">
        <f t="shared" si="57"/>
        <v>6</v>
      </c>
      <c r="D912" s="42">
        <f t="shared" si="58"/>
        <v>2019</v>
      </c>
      <c r="E912" s="43">
        <v>43640</v>
      </c>
      <c r="F912" s="42">
        <v>59.59</v>
      </c>
      <c r="G912" s="42">
        <v>64.61</v>
      </c>
      <c r="H912" s="42">
        <v>60.96</v>
      </c>
      <c r="I912" s="42">
        <v>67.13</v>
      </c>
      <c r="J912" s="42">
        <v>64.38</v>
      </c>
      <c r="K912" s="42">
        <v>57.73</v>
      </c>
      <c r="L912" s="42">
        <v>62.73</v>
      </c>
      <c r="M912" s="42">
        <f t="shared" si="59"/>
        <v>-1.8600000000000065</v>
      </c>
    </row>
    <row r="913" spans="2:13" x14ac:dyDescent="0.25">
      <c r="B913" s="42">
        <f t="shared" si="56"/>
        <v>25</v>
      </c>
      <c r="C913" s="42">
        <f t="shared" si="57"/>
        <v>6</v>
      </c>
      <c r="D913" s="42">
        <f t="shared" si="58"/>
        <v>2019</v>
      </c>
      <c r="E913" s="43">
        <v>43641</v>
      </c>
      <c r="F913" s="42">
        <v>59.63</v>
      </c>
      <c r="G913" s="42">
        <v>64.39</v>
      </c>
      <c r="H913" s="42">
        <v>61.02</v>
      </c>
      <c r="I913" s="42">
        <v>66.930000000000007</v>
      </c>
      <c r="J913" s="42">
        <v>65.53</v>
      </c>
      <c r="K913" s="42">
        <v>57.58</v>
      </c>
      <c r="L913" s="42">
        <v>62.43</v>
      </c>
      <c r="M913" s="42">
        <f t="shared" si="59"/>
        <v>-2.0500000000000043</v>
      </c>
    </row>
    <row r="914" spans="2:13" x14ac:dyDescent="0.25">
      <c r="B914" s="42">
        <f t="shared" si="56"/>
        <v>26</v>
      </c>
      <c r="C914" s="42">
        <f t="shared" si="57"/>
        <v>6</v>
      </c>
      <c r="D914" s="42">
        <f t="shared" si="58"/>
        <v>2019</v>
      </c>
      <c r="E914" s="43">
        <v>43642</v>
      </c>
      <c r="F914" s="42">
        <v>61.16</v>
      </c>
      <c r="G914" s="42">
        <v>66.16</v>
      </c>
      <c r="H914" s="42">
        <v>62.81</v>
      </c>
      <c r="I914" s="42">
        <v>68.62</v>
      </c>
      <c r="J914" s="42">
        <v>66.430000000000007</v>
      </c>
      <c r="K914" s="42">
        <v>59.38</v>
      </c>
      <c r="L914" s="42">
        <v>64.13</v>
      </c>
      <c r="M914" s="42">
        <f t="shared" si="59"/>
        <v>-1.779999999999994</v>
      </c>
    </row>
    <row r="915" spans="2:13" x14ac:dyDescent="0.25">
      <c r="B915" s="42">
        <f t="shared" si="56"/>
        <v>27</v>
      </c>
      <c r="C915" s="42">
        <f t="shared" si="57"/>
        <v>6</v>
      </c>
      <c r="D915" s="42">
        <f t="shared" si="58"/>
        <v>2019</v>
      </c>
      <c r="E915" s="43">
        <v>43643</v>
      </c>
      <c r="F915" s="42">
        <v>61.21</v>
      </c>
      <c r="G915" s="42">
        <v>66.3</v>
      </c>
      <c r="H915" s="42">
        <v>62.93</v>
      </c>
      <c r="I915" s="42">
        <v>68.709999999999994</v>
      </c>
      <c r="J915" s="42">
        <v>66.25</v>
      </c>
      <c r="K915" s="42">
        <v>59.43</v>
      </c>
      <c r="L915" s="42">
        <v>64.180000000000007</v>
      </c>
      <c r="M915" s="42">
        <f t="shared" si="59"/>
        <v>-1.7800000000000011</v>
      </c>
    </row>
    <row r="916" spans="2:13" x14ac:dyDescent="0.25">
      <c r="B916" s="42">
        <f t="shared" si="56"/>
        <v>28</v>
      </c>
      <c r="C916" s="42">
        <f t="shared" si="57"/>
        <v>6</v>
      </c>
      <c r="D916" s="42">
        <f t="shared" si="58"/>
        <v>2019</v>
      </c>
      <c r="E916" s="43">
        <v>43644</v>
      </c>
      <c r="F916" s="42">
        <v>61.08</v>
      </c>
      <c r="G916" s="42">
        <v>65.33</v>
      </c>
      <c r="H916" s="42">
        <v>62.35</v>
      </c>
      <c r="I916" s="42">
        <v>67.69</v>
      </c>
      <c r="J916" s="42">
        <v>66.81</v>
      </c>
      <c r="K916" s="42">
        <v>58.47</v>
      </c>
      <c r="L916" s="42">
        <v>63.22</v>
      </c>
      <c r="M916" s="42">
        <f t="shared" si="59"/>
        <v>-2.6099999999999994</v>
      </c>
    </row>
    <row r="917" spans="2:13" x14ac:dyDescent="0.25">
      <c r="B917" s="42">
        <f t="shared" si="56"/>
        <v>1</v>
      </c>
      <c r="C917" s="42">
        <f t="shared" si="57"/>
        <v>7</v>
      </c>
      <c r="D917" s="42">
        <f t="shared" si="58"/>
        <v>2019</v>
      </c>
      <c r="E917" s="43">
        <v>43647</v>
      </c>
      <c r="F917" s="42">
        <v>60.6</v>
      </c>
      <c r="G917" s="42">
        <v>65.52</v>
      </c>
      <c r="H917" s="42">
        <v>62.32</v>
      </c>
      <c r="I917" s="42">
        <v>68.66</v>
      </c>
      <c r="J917" s="42">
        <v>65.010000000000005</v>
      </c>
      <c r="K917" s="42">
        <v>59.09</v>
      </c>
      <c r="L917" s="42">
        <v>63.69</v>
      </c>
      <c r="M917" s="42">
        <f t="shared" si="59"/>
        <v>-1.509999999999998</v>
      </c>
    </row>
    <row r="918" spans="2:13" x14ac:dyDescent="0.25">
      <c r="B918" s="42">
        <f t="shared" si="56"/>
        <v>2</v>
      </c>
      <c r="C918" s="42">
        <f t="shared" si="57"/>
        <v>7</v>
      </c>
      <c r="D918" s="42">
        <f t="shared" si="58"/>
        <v>2019</v>
      </c>
      <c r="E918" s="43">
        <v>43648</v>
      </c>
      <c r="F918" s="42">
        <v>58.69</v>
      </c>
      <c r="G918" s="42">
        <v>62.38</v>
      </c>
      <c r="H918" s="42">
        <v>60.22</v>
      </c>
      <c r="I918" s="42">
        <v>65.510000000000005</v>
      </c>
      <c r="J918" s="42">
        <v>63.07</v>
      </c>
      <c r="K918" s="42">
        <v>56.25</v>
      </c>
      <c r="L918" s="42">
        <v>60.9</v>
      </c>
      <c r="M918" s="42">
        <f t="shared" si="59"/>
        <v>-2.4399999999999977</v>
      </c>
    </row>
    <row r="919" spans="2:13" x14ac:dyDescent="0.25">
      <c r="B919" s="42">
        <f t="shared" si="56"/>
        <v>3</v>
      </c>
      <c r="C919" s="42">
        <f t="shared" si="57"/>
        <v>7</v>
      </c>
      <c r="D919" s="42">
        <f t="shared" si="58"/>
        <v>2019</v>
      </c>
      <c r="E919" s="43">
        <v>43649</v>
      </c>
      <c r="F919" s="42">
        <v>59.33</v>
      </c>
      <c r="G919" s="42">
        <v>63.29</v>
      </c>
      <c r="H919" s="42">
        <v>61.48</v>
      </c>
      <c r="I919" s="42">
        <v>66.48</v>
      </c>
      <c r="J919" s="42">
        <v>63.26</v>
      </c>
      <c r="K919" s="42">
        <v>57.34</v>
      </c>
      <c r="L919" s="42">
        <v>62.09</v>
      </c>
      <c r="M919" s="42">
        <f t="shared" si="59"/>
        <v>-1.9899999999999949</v>
      </c>
    </row>
    <row r="920" spans="2:13" x14ac:dyDescent="0.25">
      <c r="B920" s="42">
        <f t="shared" si="56"/>
        <v>4</v>
      </c>
      <c r="C920" s="42">
        <f t="shared" si="57"/>
        <v>7</v>
      </c>
      <c r="D920" s="42">
        <f t="shared" si="58"/>
        <v>2019</v>
      </c>
      <c r="E920" s="43">
        <v>43650</v>
      </c>
      <c r="F920" s="42">
        <v>59.33</v>
      </c>
      <c r="G920" s="42">
        <v>63.29</v>
      </c>
      <c r="H920" s="42">
        <v>61.48</v>
      </c>
      <c r="I920" s="42">
        <v>66.48</v>
      </c>
      <c r="J920" s="42">
        <v>63.64</v>
      </c>
      <c r="K920" s="42">
        <v>57.34</v>
      </c>
      <c r="L920" s="42">
        <v>62.09</v>
      </c>
      <c r="M920" s="42">
        <f t="shared" si="59"/>
        <v>-1.9899999999999949</v>
      </c>
    </row>
    <row r="921" spans="2:13" x14ac:dyDescent="0.25">
      <c r="B921" s="42">
        <f t="shared" si="56"/>
        <v>5</v>
      </c>
      <c r="C921" s="42">
        <f t="shared" si="57"/>
        <v>7</v>
      </c>
      <c r="D921" s="42">
        <f t="shared" si="58"/>
        <v>2019</v>
      </c>
      <c r="E921" s="43">
        <v>43651</v>
      </c>
      <c r="F921" s="42">
        <v>59.33</v>
      </c>
      <c r="G921" s="42">
        <v>63.29</v>
      </c>
      <c r="H921" s="42">
        <v>61.48</v>
      </c>
      <c r="I921" s="42">
        <v>66.48</v>
      </c>
      <c r="J921" s="42">
        <v>64.13</v>
      </c>
      <c r="K921" s="42">
        <v>57.34</v>
      </c>
      <c r="L921" s="42">
        <v>62.09</v>
      </c>
      <c r="M921" s="42">
        <f t="shared" si="59"/>
        <v>-1.9899999999999949</v>
      </c>
    </row>
    <row r="922" spans="2:13" x14ac:dyDescent="0.25">
      <c r="B922" s="42">
        <f t="shared" si="56"/>
        <v>8</v>
      </c>
      <c r="C922" s="42">
        <f t="shared" si="57"/>
        <v>7</v>
      </c>
      <c r="D922" s="42">
        <f t="shared" si="58"/>
        <v>2019</v>
      </c>
      <c r="E922" s="43">
        <v>43654</v>
      </c>
      <c r="F922" s="42">
        <v>60.29</v>
      </c>
      <c r="G922" s="42">
        <v>63.53</v>
      </c>
      <c r="H922" s="42">
        <v>61.19</v>
      </c>
      <c r="I922" s="42">
        <v>66.760000000000005</v>
      </c>
      <c r="J922" s="42">
        <v>64.790000000000006</v>
      </c>
      <c r="K922" s="42">
        <v>57.66</v>
      </c>
      <c r="L922" s="42">
        <v>62.41</v>
      </c>
      <c r="M922" s="42">
        <f t="shared" si="59"/>
        <v>-2.6300000000000026</v>
      </c>
    </row>
    <row r="923" spans="2:13" x14ac:dyDescent="0.25">
      <c r="B923" s="42">
        <f t="shared" si="56"/>
        <v>9</v>
      </c>
      <c r="C923" s="42">
        <f t="shared" si="57"/>
        <v>7</v>
      </c>
      <c r="D923" s="42">
        <f t="shared" si="58"/>
        <v>2019</v>
      </c>
      <c r="E923" s="43">
        <v>43655</v>
      </c>
      <c r="F923" s="42">
        <v>59.18</v>
      </c>
      <c r="G923" s="42">
        <v>63.79</v>
      </c>
      <c r="H923" s="42">
        <v>60.4</v>
      </c>
      <c r="I923" s="42">
        <v>67</v>
      </c>
      <c r="J923" s="42">
        <v>64.13</v>
      </c>
      <c r="K923" s="42">
        <v>57.83</v>
      </c>
      <c r="L923" s="42">
        <v>62.58</v>
      </c>
      <c r="M923" s="42">
        <f t="shared" si="59"/>
        <v>-1.3500000000000014</v>
      </c>
    </row>
    <row r="924" spans="2:13" x14ac:dyDescent="0.25">
      <c r="B924" s="42">
        <f t="shared" si="56"/>
        <v>10</v>
      </c>
      <c r="C924" s="42">
        <f t="shared" si="57"/>
        <v>7</v>
      </c>
      <c r="D924" s="42">
        <f t="shared" si="58"/>
        <v>2019</v>
      </c>
      <c r="E924" s="43">
        <v>43656</v>
      </c>
      <c r="F924" s="42">
        <v>62.32</v>
      </c>
      <c r="G924" s="42">
        <v>66.459999999999994</v>
      </c>
      <c r="H924" s="42">
        <v>64.25</v>
      </c>
      <c r="I924" s="42">
        <v>69.67</v>
      </c>
      <c r="J924" s="42">
        <v>66.25</v>
      </c>
      <c r="K924" s="42">
        <v>60.43</v>
      </c>
      <c r="L924" s="42">
        <v>65.430000000000007</v>
      </c>
      <c r="M924" s="42">
        <f t="shared" si="59"/>
        <v>-1.8900000000000006</v>
      </c>
    </row>
    <row r="925" spans="2:13" x14ac:dyDescent="0.25">
      <c r="B925" s="42">
        <f t="shared" si="56"/>
        <v>11</v>
      </c>
      <c r="C925" s="42">
        <f t="shared" si="57"/>
        <v>7</v>
      </c>
      <c r="D925" s="42">
        <f t="shared" si="58"/>
        <v>2019</v>
      </c>
      <c r="E925" s="43">
        <v>43657</v>
      </c>
      <c r="F925" s="42">
        <v>62.65</v>
      </c>
      <c r="G925" s="42">
        <v>66.33</v>
      </c>
      <c r="H925" s="42">
        <v>63.66</v>
      </c>
      <c r="I925" s="42">
        <v>69.56</v>
      </c>
      <c r="J925" s="42">
        <v>66.959999999999994</v>
      </c>
      <c r="K925" s="42">
        <v>60.2</v>
      </c>
      <c r="L925" s="42">
        <v>65.05</v>
      </c>
      <c r="M925" s="42">
        <f t="shared" si="59"/>
        <v>-2.4499999999999957</v>
      </c>
    </row>
    <row r="926" spans="2:13" x14ac:dyDescent="0.25">
      <c r="B926" s="42">
        <f t="shared" si="56"/>
        <v>12</v>
      </c>
      <c r="C926" s="42">
        <f t="shared" si="57"/>
        <v>7</v>
      </c>
      <c r="D926" s="42">
        <f t="shared" si="58"/>
        <v>2019</v>
      </c>
      <c r="E926" s="43">
        <v>43658</v>
      </c>
      <c r="F926" s="42">
        <v>61.68</v>
      </c>
      <c r="G926" s="42">
        <v>66.489999999999995</v>
      </c>
      <c r="H926" s="42">
        <v>62.43</v>
      </c>
      <c r="I926" s="42">
        <v>69.78</v>
      </c>
      <c r="J926" s="42">
        <v>66.760000000000005</v>
      </c>
      <c r="K926" s="42">
        <v>60.21</v>
      </c>
      <c r="L926" s="42">
        <v>65.06</v>
      </c>
      <c r="M926" s="42">
        <f t="shared" si="59"/>
        <v>-1.4699999999999989</v>
      </c>
    </row>
    <row r="927" spans="2:13" x14ac:dyDescent="0.25">
      <c r="B927" s="42">
        <f t="shared" si="56"/>
        <v>15</v>
      </c>
      <c r="C927" s="42">
        <f t="shared" si="57"/>
        <v>7</v>
      </c>
      <c r="D927" s="42">
        <f t="shared" si="58"/>
        <v>2019</v>
      </c>
      <c r="E927" s="43">
        <v>43661</v>
      </c>
      <c r="F927" s="42">
        <v>60.49</v>
      </c>
      <c r="G927" s="42">
        <v>65.73</v>
      </c>
      <c r="H927" s="42">
        <v>60.72</v>
      </c>
      <c r="I927" s="42">
        <v>68.959999999999994</v>
      </c>
      <c r="J927" s="42">
        <v>66.760000000000005</v>
      </c>
      <c r="K927" s="42">
        <v>59.58</v>
      </c>
      <c r="L927" s="42">
        <v>64.38</v>
      </c>
      <c r="M927" s="42">
        <f t="shared" si="59"/>
        <v>-0.91000000000000369</v>
      </c>
    </row>
    <row r="928" spans="2:13" x14ac:dyDescent="0.25">
      <c r="B928" s="42">
        <f t="shared" si="56"/>
        <v>16</v>
      </c>
      <c r="C928" s="42">
        <f t="shared" si="57"/>
        <v>7</v>
      </c>
      <c r="D928" s="42">
        <f t="shared" si="58"/>
        <v>2019</v>
      </c>
      <c r="E928" s="43">
        <v>43662</v>
      </c>
      <c r="F928" s="42">
        <v>59.4</v>
      </c>
      <c r="G928" s="42">
        <v>64</v>
      </c>
      <c r="H928" s="42">
        <v>59.16</v>
      </c>
      <c r="I928" s="42">
        <v>67.27</v>
      </c>
      <c r="J928" s="42">
        <v>66.61</v>
      </c>
      <c r="K928" s="42">
        <v>57.62</v>
      </c>
      <c r="L928" s="42">
        <v>63.62</v>
      </c>
      <c r="M928" s="42">
        <f t="shared" si="59"/>
        <v>-1.7800000000000011</v>
      </c>
    </row>
    <row r="929" spans="2:13" x14ac:dyDescent="0.25">
      <c r="B929" s="42">
        <f t="shared" si="56"/>
        <v>17</v>
      </c>
      <c r="C929" s="42">
        <f t="shared" si="57"/>
        <v>7</v>
      </c>
      <c r="D929" s="42">
        <f t="shared" si="58"/>
        <v>2019</v>
      </c>
      <c r="E929" s="43">
        <v>43663</v>
      </c>
      <c r="F929" s="42">
        <v>58.21</v>
      </c>
      <c r="G929" s="42">
        <v>62.92</v>
      </c>
      <c r="H929" s="42">
        <v>58.41</v>
      </c>
      <c r="I929" s="42">
        <v>66.16</v>
      </c>
      <c r="J929" s="42">
        <v>64.14</v>
      </c>
      <c r="K929" s="42">
        <v>56.78</v>
      </c>
      <c r="L929" s="42">
        <v>63.08</v>
      </c>
      <c r="M929" s="42">
        <f t="shared" si="59"/>
        <v>-1.4299999999999997</v>
      </c>
    </row>
    <row r="930" spans="2:13" x14ac:dyDescent="0.25">
      <c r="B930" s="42">
        <f t="shared" si="56"/>
        <v>18</v>
      </c>
      <c r="C930" s="42">
        <f t="shared" si="57"/>
        <v>7</v>
      </c>
      <c r="D930" s="42">
        <f t="shared" si="58"/>
        <v>2019</v>
      </c>
      <c r="E930" s="43">
        <v>43664</v>
      </c>
      <c r="F930" s="42">
        <v>56.61</v>
      </c>
      <c r="G930" s="42">
        <v>61.66</v>
      </c>
      <c r="H930" s="42">
        <v>57.3</v>
      </c>
      <c r="I930" s="42">
        <v>64.86</v>
      </c>
      <c r="J930" s="42">
        <v>61.8</v>
      </c>
      <c r="K930" s="42">
        <v>55.3</v>
      </c>
      <c r="L930" s="42">
        <v>61.4</v>
      </c>
      <c r="M930" s="42">
        <f t="shared" si="59"/>
        <v>-1.3100000000000023</v>
      </c>
    </row>
    <row r="931" spans="2:13" x14ac:dyDescent="0.25">
      <c r="B931" s="42">
        <f t="shared" si="56"/>
        <v>19</v>
      </c>
      <c r="C931" s="42">
        <f t="shared" si="57"/>
        <v>7</v>
      </c>
      <c r="D931" s="42">
        <f t="shared" si="58"/>
        <v>2019</v>
      </c>
      <c r="E931" s="43">
        <v>43665</v>
      </c>
      <c r="F931" s="42">
        <v>56.99</v>
      </c>
      <c r="G931" s="42">
        <v>62.34</v>
      </c>
      <c r="H931" s="42">
        <v>57.78</v>
      </c>
      <c r="I931" s="42">
        <v>65.55</v>
      </c>
      <c r="J931" s="42">
        <v>62.12</v>
      </c>
      <c r="K931" s="42">
        <v>55.63</v>
      </c>
      <c r="L931" s="42">
        <v>61.08</v>
      </c>
      <c r="M931" s="42">
        <f t="shared" si="59"/>
        <v>-1.3599999999999994</v>
      </c>
    </row>
    <row r="932" spans="2:13" x14ac:dyDescent="0.25">
      <c r="B932" s="42">
        <f t="shared" si="56"/>
        <v>22</v>
      </c>
      <c r="C932" s="42">
        <f t="shared" si="57"/>
        <v>7</v>
      </c>
      <c r="D932" s="42">
        <f t="shared" si="58"/>
        <v>2019</v>
      </c>
      <c r="E932" s="43">
        <v>43668</v>
      </c>
      <c r="F932" s="42">
        <v>57.54</v>
      </c>
      <c r="G932" s="42">
        <v>63.08</v>
      </c>
      <c r="H932" s="42">
        <v>58.26</v>
      </c>
      <c r="I932" s="42">
        <v>66.2</v>
      </c>
      <c r="J932" s="42">
        <v>63.1</v>
      </c>
      <c r="K932" s="42">
        <v>56.22</v>
      </c>
      <c r="L932" s="42">
        <v>63.27</v>
      </c>
      <c r="M932" s="42">
        <f t="shared" si="59"/>
        <v>-1.3200000000000003</v>
      </c>
    </row>
    <row r="933" spans="2:13" x14ac:dyDescent="0.25">
      <c r="B933" s="42">
        <f t="shared" si="56"/>
        <v>23</v>
      </c>
      <c r="C933" s="42">
        <f t="shared" si="57"/>
        <v>7</v>
      </c>
      <c r="D933" s="42">
        <f t="shared" si="58"/>
        <v>2019</v>
      </c>
      <c r="E933" s="43">
        <v>43669</v>
      </c>
      <c r="F933" s="42">
        <v>57.13</v>
      </c>
      <c r="G933" s="42">
        <v>63.03</v>
      </c>
      <c r="H933" s="42">
        <v>58.16</v>
      </c>
      <c r="I933" s="42">
        <v>66.28</v>
      </c>
      <c r="J933" s="42">
        <v>63.15</v>
      </c>
      <c r="K933" s="42">
        <v>56.64</v>
      </c>
      <c r="L933" s="42">
        <v>64.14</v>
      </c>
      <c r="M933" s="42">
        <f t="shared" si="59"/>
        <v>-0.49000000000000199</v>
      </c>
    </row>
    <row r="934" spans="2:13" x14ac:dyDescent="0.25">
      <c r="B934" s="42">
        <f t="shared" si="56"/>
        <v>24</v>
      </c>
      <c r="C934" s="42">
        <f t="shared" si="57"/>
        <v>7</v>
      </c>
      <c r="D934" s="42">
        <f t="shared" si="58"/>
        <v>2019</v>
      </c>
      <c r="E934" s="43">
        <v>43670</v>
      </c>
      <c r="F934" s="42">
        <v>56.9</v>
      </c>
      <c r="G934" s="42">
        <v>61.5</v>
      </c>
      <c r="H934" s="42">
        <v>56.96</v>
      </c>
      <c r="I934" s="42">
        <v>64.849999999999994</v>
      </c>
      <c r="J934" s="42">
        <v>64.27</v>
      </c>
      <c r="K934" s="42">
        <v>55.68</v>
      </c>
      <c r="L934" s="42">
        <v>61.43</v>
      </c>
      <c r="M934" s="42">
        <f t="shared" si="59"/>
        <v>-1.2199999999999989</v>
      </c>
    </row>
    <row r="935" spans="2:13" x14ac:dyDescent="0.25">
      <c r="B935" s="42">
        <f t="shared" si="56"/>
        <v>25</v>
      </c>
      <c r="C935" s="42">
        <f t="shared" si="57"/>
        <v>7</v>
      </c>
      <c r="D935" s="42">
        <f t="shared" si="58"/>
        <v>2019</v>
      </c>
      <c r="E935" s="43">
        <v>43671</v>
      </c>
      <c r="F935" s="42">
        <v>57.35</v>
      </c>
      <c r="G935" s="42">
        <v>61.56</v>
      </c>
      <c r="H935" s="42">
        <v>57.8</v>
      </c>
      <c r="I935" s="42">
        <v>64.959999999999994</v>
      </c>
      <c r="J935" s="42">
        <v>63.87</v>
      </c>
      <c r="K935" s="42">
        <v>55.82</v>
      </c>
      <c r="L935" s="42">
        <v>61.57</v>
      </c>
      <c r="M935" s="42">
        <f t="shared" si="59"/>
        <v>-1.5300000000000011</v>
      </c>
    </row>
    <row r="936" spans="2:13" x14ac:dyDescent="0.25">
      <c r="B936" s="42">
        <f t="shared" si="56"/>
        <v>26</v>
      </c>
      <c r="C936" s="42">
        <f t="shared" si="57"/>
        <v>7</v>
      </c>
      <c r="D936" s="42">
        <f t="shared" si="58"/>
        <v>2019</v>
      </c>
      <c r="E936" s="43">
        <v>43672</v>
      </c>
      <c r="F936" s="42">
        <v>57.53</v>
      </c>
      <c r="G936" s="42">
        <v>62.23</v>
      </c>
      <c r="H936" s="42">
        <v>58.43</v>
      </c>
      <c r="I936" s="42">
        <v>65.53</v>
      </c>
      <c r="J936" s="42">
        <v>63.17</v>
      </c>
      <c r="K936" s="42">
        <v>56.2</v>
      </c>
      <c r="L936" s="42">
        <v>61.3</v>
      </c>
      <c r="M936" s="42">
        <f t="shared" si="59"/>
        <v>-1.3299999999999983</v>
      </c>
    </row>
    <row r="937" spans="2:13" x14ac:dyDescent="0.25">
      <c r="B937" s="42">
        <f t="shared" si="56"/>
        <v>29</v>
      </c>
      <c r="C937" s="42">
        <f t="shared" si="57"/>
        <v>7</v>
      </c>
      <c r="D937" s="42">
        <f t="shared" si="58"/>
        <v>2019</v>
      </c>
      <c r="E937" s="43">
        <v>43675</v>
      </c>
      <c r="F937" s="42">
        <v>57.51</v>
      </c>
      <c r="G937" s="42">
        <v>62.46</v>
      </c>
      <c r="H937" s="42">
        <v>58.63</v>
      </c>
      <c r="I937" s="42">
        <v>65.78</v>
      </c>
      <c r="J937" s="42">
        <v>63.48</v>
      </c>
      <c r="K937" s="42">
        <v>56.87</v>
      </c>
      <c r="L937" s="42">
        <v>61.97</v>
      </c>
      <c r="M937" s="42">
        <f t="shared" si="59"/>
        <v>-0.64000000000000057</v>
      </c>
    </row>
    <row r="938" spans="2:13" x14ac:dyDescent="0.25">
      <c r="B938" s="42">
        <f t="shared" si="56"/>
        <v>30</v>
      </c>
      <c r="C938" s="42">
        <f t="shared" si="57"/>
        <v>7</v>
      </c>
      <c r="D938" s="42">
        <f t="shared" si="58"/>
        <v>2019</v>
      </c>
      <c r="E938" s="43">
        <v>43676</v>
      </c>
      <c r="F938" s="42">
        <v>58.67</v>
      </c>
      <c r="G938" s="42">
        <v>63.73</v>
      </c>
      <c r="H938" s="42">
        <v>60.17</v>
      </c>
      <c r="I938" s="42">
        <v>67.03</v>
      </c>
      <c r="J938" s="42">
        <v>64.12</v>
      </c>
      <c r="K938" s="42">
        <v>58.05</v>
      </c>
      <c r="L938" s="42">
        <v>62.95</v>
      </c>
      <c r="M938" s="42">
        <f t="shared" si="59"/>
        <v>-0.62000000000000455</v>
      </c>
    </row>
    <row r="939" spans="2:13" x14ac:dyDescent="0.25">
      <c r="B939" s="42">
        <f t="shared" si="56"/>
        <v>31</v>
      </c>
      <c r="C939" s="42">
        <f t="shared" si="57"/>
        <v>7</v>
      </c>
      <c r="D939" s="42">
        <f t="shared" si="58"/>
        <v>2019</v>
      </c>
      <c r="E939" s="43">
        <v>43677</v>
      </c>
      <c r="F939" s="42">
        <v>59.63</v>
      </c>
      <c r="G939" s="42">
        <v>64.150000000000006</v>
      </c>
      <c r="H939" s="42">
        <v>60.65</v>
      </c>
      <c r="I939" s="42">
        <v>67.34</v>
      </c>
      <c r="J939" s="42">
        <v>64.900000000000006</v>
      </c>
      <c r="K939" s="42">
        <v>58.58</v>
      </c>
      <c r="L939" s="42">
        <v>62.93</v>
      </c>
      <c r="M939" s="42">
        <f t="shared" si="59"/>
        <v>-1.0500000000000043</v>
      </c>
    </row>
    <row r="940" spans="2:13" x14ac:dyDescent="0.25">
      <c r="B940" s="42">
        <f t="shared" si="56"/>
        <v>1</v>
      </c>
      <c r="C940" s="42">
        <f t="shared" si="57"/>
        <v>8</v>
      </c>
      <c r="D940" s="42">
        <f t="shared" si="58"/>
        <v>2019</v>
      </c>
      <c r="E940" s="43">
        <v>43678</v>
      </c>
      <c r="F940" s="42">
        <v>54.01</v>
      </c>
      <c r="G940" s="42">
        <v>58.45</v>
      </c>
      <c r="H940" s="42">
        <v>53.95</v>
      </c>
      <c r="I940" s="42">
        <v>61.98</v>
      </c>
      <c r="J940" s="42">
        <v>63.5</v>
      </c>
      <c r="K940" s="42">
        <v>53.95</v>
      </c>
      <c r="L940" s="42">
        <v>58.4</v>
      </c>
      <c r="M940" s="42">
        <f t="shared" si="59"/>
        <v>-5.9999999999995168E-2</v>
      </c>
    </row>
    <row r="941" spans="2:13" x14ac:dyDescent="0.25">
      <c r="B941" s="42">
        <f t="shared" si="56"/>
        <v>2</v>
      </c>
      <c r="C941" s="42">
        <f t="shared" si="57"/>
        <v>8</v>
      </c>
      <c r="D941" s="42">
        <f t="shared" si="58"/>
        <v>2019</v>
      </c>
      <c r="E941" s="43">
        <v>43679</v>
      </c>
      <c r="F941" s="42">
        <v>54.36</v>
      </c>
      <c r="G941" s="42">
        <v>60.09</v>
      </c>
      <c r="H941" s="42">
        <v>55.74</v>
      </c>
      <c r="I941" s="42">
        <v>63.51</v>
      </c>
      <c r="J941" s="42">
        <v>62.14</v>
      </c>
      <c r="K941" s="42">
        <v>55.66</v>
      </c>
      <c r="L941" s="42">
        <v>60.06</v>
      </c>
      <c r="M941" s="42">
        <f t="shared" si="59"/>
        <v>1.2999999999999972</v>
      </c>
    </row>
    <row r="942" spans="2:13" x14ac:dyDescent="0.25">
      <c r="B942" s="42">
        <f t="shared" si="56"/>
        <v>5</v>
      </c>
      <c r="C942" s="42">
        <f t="shared" si="57"/>
        <v>8</v>
      </c>
      <c r="D942" s="42">
        <f t="shared" si="58"/>
        <v>2019</v>
      </c>
      <c r="E942" s="43">
        <v>43682</v>
      </c>
      <c r="F942" s="42">
        <v>52.32</v>
      </c>
      <c r="G942" s="42">
        <v>58.86</v>
      </c>
      <c r="H942" s="42">
        <v>53.38</v>
      </c>
      <c r="I942" s="42">
        <v>62.13</v>
      </c>
      <c r="J942" s="42">
        <v>60.39</v>
      </c>
      <c r="K942" s="42">
        <v>54.69</v>
      </c>
      <c r="L942" s="42">
        <v>58.69</v>
      </c>
      <c r="M942" s="42">
        <f t="shared" si="59"/>
        <v>2.3699999999999974</v>
      </c>
    </row>
    <row r="943" spans="2:13" x14ac:dyDescent="0.25">
      <c r="B943" s="42">
        <f t="shared" si="56"/>
        <v>6</v>
      </c>
      <c r="C943" s="42">
        <f t="shared" si="57"/>
        <v>8</v>
      </c>
      <c r="D943" s="42">
        <f t="shared" si="58"/>
        <v>2019</v>
      </c>
      <c r="E943" s="43">
        <v>43683</v>
      </c>
      <c r="F943" s="42">
        <v>50.69</v>
      </c>
      <c r="G943" s="42">
        <v>57.85</v>
      </c>
      <c r="H943" s="42">
        <v>50.97</v>
      </c>
      <c r="I943" s="42">
        <v>61.17</v>
      </c>
      <c r="J943" s="42">
        <v>59.84</v>
      </c>
      <c r="K943" s="42">
        <v>53.63</v>
      </c>
      <c r="L943" s="42">
        <v>57.63</v>
      </c>
      <c r="M943" s="42">
        <f t="shared" si="59"/>
        <v>2.9400000000000048</v>
      </c>
    </row>
    <row r="944" spans="2:13" x14ac:dyDescent="0.25">
      <c r="B944" s="42">
        <f t="shared" si="56"/>
        <v>7</v>
      </c>
      <c r="C944" s="42">
        <f t="shared" si="57"/>
        <v>8</v>
      </c>
      <c r="D944" s="42">
        <f t="shared" si="58"/>
        <v>2019</v>
      </c>
      <c r="E944" s="43">
        <v>43684</v>
      </c>
      <c r="F944" s="42">
        <v>47.36</v>
      </c>
      <c r="G944" s="42">
        <v>55.38</v>
      </c>
      <c r="H944" s="42">
        <v>47.99</v>
      </c>
      <c r="I944" s="42">
        <v>58.65</v>
      </c>
      <c r="J944" s="42">
        <v>56.24</v>
      </c>
      <c r="K944" s="42">
        <v>51.09</v>
      </c>
      <c r="L944" s="42">
        <v>55.09</v>
      </c>
      <c r="M944" s="42">
        <f t="shared" si="59"/>
        <v>3.730000000000004</v>
      </c>
    </row>
    <row r="945" spans="2:13" x14ac:dyDescent="0.25">
      <c r="B945" s="42">
        <f t="shared" si="56"/>
        <v>8</v>
      </c>
      <c r="C945" s="42">
        <f t="shared" si="57"/>
        <v>8</v>
      </c>
      <c r="D945" s="42">
        <f t="shared" si="58"/>
        <v>2019</v>
      </c>
      <c r="E945" s="43">
        <v>43685</v>
      </c>
      <c r="F945" s="42">
        <v>48.04</v>
      </c>
      <c r="G945" s="42">
        <v>56.93</v>
      </c>
      <c r="H945" s="42">
        <v>49.17</v>
      </c>
      <c r="I945" s="42">
        <v>60.13</v>
      </c>
      <c r="J945" s="42">
        <v>57.48</v>
      </c>
      <c r="K945" s="42">
        <v>52.54</v>
      </c>
      <c r="L945" s="42">
        <v>56.54</v>
      </c>
      <c r="M945" s="42">
        <f t="shared" si="59"/>
        <v>4.5</v>
      </c>
    </row>
    <row r="946" spans="2:13" x14ac:dyDescent="0.25">
      <c r="B946" s="42">
        <f t="shared" si="56"/>
        <v>9</v>
      </c>
      <c r="C946" s="42">
        <f t="shared" si="57"/>
        <v>8</v>
      </c>
      <c r="D946" s="42">
        <f t="shared" si="58"/>
        <v>2019</v>
      </c>
      <c r="E946" s="43">
        <v>43686</v>
      </c>
      <c r="F946" s="42">
        <v>48.04</v>
      </c>
      <c r="G946" s="42">
        <v>58.71</v>
      </c>
      <c r="H946" s="42">
        <v>50.48</v>
      </c>
      <c r="I946" s="42">
        <v>61.76</v>
      </c>
      <c r="J946" s="42">
        <v>58.53</v>
      </c>
      <c r="K946" s="42">
        <v>54.5</v>
      </c>
      <c r="L946" s="42">
        <v>58.45</v>
      </c>
      <c r="M946" s="42">
        <f t="shared" si="59"/>
        <v>6.4600000000000009</v>
      </c>
    </row>
    <row r="947" spans="2:13" x14ac:dyDescent="0.25">
      <c r="B947" s="42">
        <f t="shared" si="56"/>
        <v>12</v>
      </c>
      <c r="C947" s="42">
        <f t="shared" si="57"/>
        <v>8</v>
      </c>
      <c r="D947" s="42">
        <f t="shared" si="58"/>
        <v>2019</v>
      </c>
      <c r="E947" s="43">
        <v>43689</v>
      </c>
      <c r="F947" s="42">
        <v>48.04</v>
      </c>
      <c r="G947" s="42">
        <v>59.03</v>
      </c>
      <c r="H947" s="42">
        <v>50.15</v>
      </c>
      <c r="I947" s="42">
        <v>62.05</v>
      </c>
      <c r="J947" s="42">
        <v>58.3</v>
      </c>
      <c r="K947" s="42">
        <v>54.93</v>
      </c>
      <c r="L947" s="42">
        <v>58.83</v>
      </c>
      <c r="M947" s="42">
        <f t="shared" si="59"/>
        <v>6.8900000000000006</v>
      </c>
    </row>
    <row r="948" spans="2:13" x14ac:dyDescent="0.25">
      <c r="B948" s="42">
        <f t="shared" si="56"/>
        <v>13</v>
      </c>
      <c r="C948" s="42">
        <f t="shared" si="57"/>
        <v>8</v>
      </c>
      <c r="D948" s="42">
        <f t="shared" si="58"/>
        <v>2019</v>
      </c>
      <c r="E948" s="43">
        <v>43690</v>
      </c>
      <c r="F948" s="42">
        <v>50.86</v>
      </c>
      <c r="G948" s="42">
        <v>61.17</v>
      </c>
      <c r="H948" s="42">
        <v>52.38</v>
      </c>
      <c r="I948" s="42">
        <v>64.27</v>
      </c>
      <c r="J948" s="42">
        <v>60.94</v>
      </c>
      <c r="K948" s="42">
        <v>57.1</v>
      </c>
      <c r="L948" s="42">
        <v>61.25</v>
      </c>
      <c r="M948" s="42">
        <f t="shared" si="59"/>
        <v>6.240000000000002</v>
      </c>
    </row>
    <row r="949" spans="2:13" x14ac:dyDescent="0.25">
      <c r="B949" s="42">
        <f t="shared" si="56"/>
        <v>14</v>
      </c>
      <c r="C949" s="42">
        <f t="shared" si="57"/>
        <v>8</v>
      </c>
      <c r="D949" s="42">
        <f t="shared" si="58"/>
        <v>2019</v>
      </c>
      <c r="E949" s="43">
        <v>43691</v>
      </c>
      <c r="F949" s="42">
        <v>48.53</v>
      </c>
      <c r="G949" s="42">
        <v>59.46</v>
      </c>
      <c r="H949" s="42">
        <v>49.88</v>
      </c>
      <c r="I949" s="42">
        <v>62.53</v>
      </c>
      <c r="J949" s="42">
        <v>58.7</v>
      </c>
      <c r="K949" s="42">
        <v>55.23</v>
      </c>
      <c r="L949" s="42">
        <v>59.38</v>
      </c>
      <c r="M949" s="42">
        <f t="shared" si="59"/>
        <v>6.6999999999999957</v>
      </c>
    </row>
    <row r="950" spans="2:13" x14ac:dyDescent="0.25">
      <c r="B950" s="42">
        <f t="shared" si="56"/>
        <v>15</v>
      </c>
      <c r="C950" s="42">
        <f t="shared" si="57"/>
        <v>8</v>
      </c>
      <c r="D950" s="42">
        <f t="shared" si="58"/>
        <v>2019</v>
      </c>
      <c r="E950" s="43">
        <v>43692</v>
      </c>
      <c r="F950" s="42">
        <v>48.13</v>
      </c>
      <c r="G950" s="42">
        <v>58.69</v>
      </c>
      <c r="H950" s="42">
        <v>49.7</v>
      </c>
      <c r="I950" s="42">
        <v>61.71</v>
      </c>
      <c r="J950" s="42">
        <v>58.37</v>
      </c>
      <c r="K950" s="42">
        <v>54.47</v>
      </c>
      <c r="L950" s="42">
        <v>58.42</v>
      </c>
      <c r="M950" s="42">
        <f t="shared" si="59"/>
        <v>6.3399999999999963</v>
      </c>
    </row>
    <row r="951" spans="2:13" x14ac:dyDescent="0.25">
      <c r="B951" s="42">
        <f t="shared" si="56"/>
        <v>16</v>
      </c>
      <c r="C951" s="42">
        <f t="shared" si="57"/>
        <v>8</v>
      </c>
      <c r="D951" s="42">
        <f t="shared" si="58"/>
        <v>2019</v>
      </c>
      <c r="E951" s="43">
        <v>43693</v>
      </c>
      <c r="F951" s="42">
        <v>49.29</v>
      </c>
      <c r="G951" s="42">
        <v>59.03</v>
      </c>
      <c r="H951" s="42">
        <v>49.88</v>
      </c>
      <c r="I951" s="42">
        <v>62.07</v>
      </c>
      <c r="J951" s="42">
        <v>58.68</v>
      </c>
      <c r="K951" s="42">
        <v>54.87</v>
      </c>
      <c r="L951" s="42">
        <v>58.82</v>
      </c>
      <c r="M951" s="42">
        <f t="shared" si="59"/>
        <v>5.5799999999999983</v>
      </c>
    </row>
    <row r="952" spans="2:13" x14ac:dyDescent="0.25">
      <c r="B952" s="42">
        <f t="shared" si="56"/>
        <v>19</v>
      </c>
      <c r="C952" s="42">
        <f t="shared" si="57"/>
        <v>8</v>
      </c>
      <c r="D952" s="42">
        <f t="shared" si="58"/>
        <v>2019</v>
      </c>
      <c r="E952" s="43">
        <v>43696</v>
      </c>
      <c r="F952" s="42">
        <v>49.76</v>
      </c>
      <c r="G952" s="42">
        <v>60.16</v>
      </c>
      <c r="H952" s="42">
        <v>51.58</v>
      </c>
      <c r="I952" s="42">
        <v>63.18</v>
      </c>
      <c r="J952" s="42">
        <v>59.41</v>
      </c>
      <c r="K952" s="42">
        <v>56.21</v>
      </c>
      <c r="L952" s="42">
        <v>59.86</v>
      </c>
      <c r="M952" s="42">
        <f t="shared" si="59"/>
        <v>6.4500000000000028</v>
      </c>
    </row>
    <row r="953" spans="2:13" x14ac:dyDescent="0.25">
      <c r="B953" s="42">
        <f t="shared" si="56"/>
        <v>20</v>
      </c>
      <c r="C953" s="42">
        <f t="shared" si="57"/>
        <v>8</v>
      </c>
      <c r="D953" s="42">
        <f t="shared" si="58"/>
        <v>2019</v>
      </c>
      <c r="E953" s="43">
        <v>43697</v>
      </c>
      <c r="F953" s="42">
        <v>49.41</v>
      </c>
      <c r="G953" s="42">
        <v>59.62</v>
      </c>
      <c r="H953" s="42">
        <v>50.73</v>
      </c>
      <c r="I953" s="42">
        <v>62.79</v>
      </c>
      <c r="J953" s="42">
        <v>59.41</v>
      </c>
      <c r="K953" s="42">
        <v>56.25</v>
      </c>
      <c r="L953" s="42">
        <v>59.35</v>
      </c>
      <c r="M953" s="42">
        <f t="shared" si="59"/>
        <v>6.8400000000000034</v>
      </c>
    </row>
    <row r="954" spans="2:13" x14ac:dyDescent="0.25">
      <c r="B954" s="42">
        <f t="shared" si="56"/>
        <v>21</v>
      </c>
      <c r="C954" s="42">
        <f t="shared" si="57"/>
        <v>8</v>
      </c>
      <c r="D954" s="42">
        <f t="shared" si="58"/>
        <v>2019</v>
      </c>
      <c r="E954" s="43">
        <v>43698</v>
      </c>
      <c r="F954" s="42">
        <v>50.06</v>
      </c>
      <c r="G954" s="42">
        <v>59.03</v>
      </c>
      <c r="H954" s="42">
        <v>50.37</v>
      </c>
      <c r="I954" s="42">
        <v>62.31</v>
      </c>
      <c r="J954" s="42">
        <v>60.8</v>
      </c>
      <c r="K954" s="42">
        <v>55.65</v>
      </c>
      <c r="L954" s="42">
        <v>58.75</v>
      </c>
      <c r="M954" s="42">
        <f t="shared" si="59"/>
        <v>5.5899999999999963</v>
      </c>
    </row>
    <row r="955" spans="2:13" x14ac:dyDescent="0.25">
      <c r="B955" s="42">
        <f t="shared" si="56"/>
        <v>22</v>
      </c>
      <c r="C955" s="42">
        <f t="shared" si="57"/>
        <v>8</v>
      </c>
      <c r="D955" s="42">
        <f t="shared" si="58"/>
        <v>2019</v>
      </c>
      <c r="E955" s="43">
        <v>43699</v>
      </c>
      <c r="F955" s="42">
        <v>49.93</v>
      </c>
      <c r="G955" s="42">
        <v>58.79</v>
      </c>
      <c r="H955" s="42">
        <v>51.12</v>
      </c>
      <c r="I955" s="42">
        <v>62.03</v>
      </c>
      <c r="J955" s="42">
        <v>59.88</v>
      </c>
      <c r="K955" s="42">
        <v>55.32</v>
      </c>
      <c r="L955" s="42">
        <v>58.42</v>
      </c>
      <c r="M955" s="42">
        <f t="shared" si="59"/>
        <v>5.3900000000000006</v>
      </c>
    </row>
    <row r="956" spans="2:13" x14ac:dyDescent="0.25">
      <c r="B956" s="42">
        <f t="shared" si="56"/>
        <v>23</v>
      </c>
      <c r="C956" s="42">
        <f t="shared" si="57"/>
        <v>8</v>
      </c>
      <c r="D956" s="42">
        <f t="shared" si="58"/>
        <v>2019</v>
      </c>
      <c r="E956" s="43">
        <v>43700</v>
      </c>
      <c r="F956" s="42">
        <v>49.32</v>
      </c>
      <c r="G956" s="42">
        <v>57.58</v>
      </c>
      <c r="H956" s="42">
        <v>50.25</v>
      </c>
      <c r="I956" s="42">
        <v>60.89</v>
      </c>
      <c r="J956" s="42">
        <v>59.04</v>
      </c>
      <c r="K956" s="42">
        <v>54.1</v>
      </c>
      <c r="L956" s="42">
        <v>57.05</v>
      </c>
      <c r="M956" s="42">
        <f t="shared" si="59"/>
        <v>4.7800000000000011</v>
      </c>
    </row>
    <row r="957" spans="2:13" x14ac:dyDescent="0.25">
      <c r="B957" s="42">
        <f t="shared" si="56"/>
        <v>26</v>
      </c>
      <c r="C957" s="42">
        <f t="shared" si="57"/>
        <v>8</v>
      </c>
      <c r="D957" s="42">
        <f t="shared" si="58"/>
        <v>2019</v>
      </c>
      <c r="E957" s="43">
        <v>43703</v>
      </c>
      <c r="F957" s="42">
        <v>49.32</v>
      </c>
      <c r="G957" s="42">
        <v>57.42</v>
      </c>
      <c r="H957" s="42">
        <v>50.23</v>
      </c>
      <c r="I957" s="42">
        <v>60.68</v>
      </c>
      <c r="J957" s="42">
        <v>59.04</v>
      </c>
      <c r="K957" s="42">
        <v>53.64</v>
      </c>
      <c r="L957" s="42">
        <v>56.74</v>
      </c>
      <c r="M957" s="42">
        <f t="shared" si="59"/>
        <v>4.32</v>
      </c>
    </row>
    <row r="958" spans="2:13" x14ac:dyDescent="0.25">
      <c r="B958" s="42">
        <f t="shared" si="56"/>
        <v>27</v>
      </c>
      <c r="C958" s="42">
        <f t="shared" si="57"/>
        <v>8</v>
      </c>
      <c r="D958" s="42">
        <f t="shared" si="58"/>
        <v>2019</v>
      </c>
      <c r="E958" s="43">
        <v>43704</v>
      </c>
      <c r="F958" s="42">
        <v>50.09</v>
      </c>
      <c r="G958" s="42">
        <v>58.62</v>
      </c>
      <c r="H958" s="42">
        <v>51.53</v>
      </c>
      <c r="I958" s="42">
        <v>61.81</v>
      </c>
      <c r="J958" s="42">
        <v>58.75</v>
      </c>
      <c r="K958" s="42">
        <v>54.93</v>
      </c>
      <c r="L958" s="42">
        <v>57.88</v>
      </c>
      <c r="M958" s="42">
        <f t="shared" si="59"/>
        <v>4.8399999999999963</v>
      </c>
    </row>
    <row r="959" spans="2:13" x14ac:dyDescent="0.25">
      <c r="B959" s="42">
        <f t="shared" si="56"/>
        <v>28</v>
      </c>
      <c r="C959" s="42">
        <f t="shared" si="57"/>
        <v>8</v>
      </c>
      <c r="D959" s="42">
        <f t="shared" si="58"/>
        <v>2019</v>
      </c>
      <c r="E959" s="43">
        <v>43705</v>
      </c>
      <c r="F959" s="42">
        <v>50.73</v>
      </c>
      <c r="G959" s="42">
        <v>59.42</v>
      </c>
      <c r="H959" s="42">
        <v>52.06</v>
      </c>
      <c r="I959" s="42">
        <v>62.63</v>
      </c>
      <c r="J959" s="42">
        <v>60.66</v>
      </c>
      <c r="K959" s="42">
        <v>55.78</v>
      </c>
      <c r="L959" s="42">
        <v>58.58</v>
      </c>
      <c r="M959" s="42">
        <f t="shared" si="59"/>
        <v>5.0500000000000043</v>
      </c>
    </row>
    <row r="960" spans="2:13" x14ac:dyDescent="0.25">
      <c r="B960" s="42">
        <f t="shared" si="56"/>
        <v>29</v>
      </c>
      <c r="C960" s="42">
        <f t="shared" si="57"/>
        <v>8</v>
      </c>
      <c r="D960" s="42">
        <f t="shared" si="58"/>
        <v>2019</v>
      </c>
      <c r="E960" s="43">
        <v>43706</v>
      </c>
      <c r="F960" s="42">
        <v>51.05</v>
      </c>
      <c r="G960" s="42">
        <v>60.69</v>
      </c>
      <c r="H960" s="42">
        <v>52.63</v>
      </c>
      <c r="I960" s="42">
        <v>63.53</v>
      </c>
      <c r="J960" s="42">
        <v>60.67</v>
      </c>
      <c r="K960" s="42">
        <v>56.71</v>
      </c>
      <c r="L960" s="42">
        <v>59.51</v>
      </c>
      <c r="M960" s="42">
        <f t="shared" si="59"/>
        <v>5.6600000000000037</v>
      </c>
    </row>
    <row r="961" spans="2:13" x14ac:dyDescent="0.25">
      <c r="B961" s="42">
        <f t="shared" si="56"/>
        <v>30</v>
      </c>
      <c r="C961" s="42">
        <f t="shared" si="57"/>
        <v>8</v>
      </c>
      <c r="D961" s="42">
        <f t="shared" si="58"/>
        <v>2019</v>
      </c>
      <c r="E961" s="43">
        <v>43707</v>
      </c>
      <c r="F961" s="42">
        <v>49.54</v>
      </c>
      <c r="G961" s="42">
        <v>59.18</v>
      </c>
      <c r="H961" s="42">
        <v>51.72</v>
      </c>
      <c r="I961" s="42">
        <v>62.05</v>
      </c>
      <c r="J961" s="42">
        <v>59.31</v>
      </c>
      <c r="K961" s="42">
        <v>55.1</v>
      </c>
      <c r="L961" s="42">
        <v>58</v>
      </c>
      <c r="M961" s="42">
        <f t="shared" si="59"/>
        <v>5.5600000000000023</v>
      </c>
    </row>
    <row r="962" spans="2:13" x14ac:dyDescent="0.25">
      <c r="B962" s="42">
        <f t="shared" si="56"/>
        <v>2</v>
      </c>
      <c r="C962" s="42">
        <f t="shared" si="57"/>
        <v>9</v>
      </c>
      <c r="D962" s="42">
        <f t="shared" si="58"/>
        <v>2019</v>
      </c>
      <c r="E962" s="43">
        <v>43710</v>
      </c>
      <c r="F962" s="42">
        <v>49.54</v>
      </c>
      <c r="G962" s="42">
        <v>59.18</v>
      </c>
      <c r="H962" s="42">
        <v>51.72</v>
      </c>
      <c r="I962" s="42">
        <v>62.05</v>
      </c>
      <c r="J962" s="42">
        <v>58.2</v>
      </c>
      <c r="K962" s="42">
        <v>55.1</v>
      </c>
      <c r="L962" s="42">
        <v>58</v>
      </c>
      <c r="M962" s="42">
        <f t="shared" si="59"/>
        <v>5.5600000000000023</v>
      </c>
    </row>
    <row r="963" spans="2:13" x14ac:dyDescent="0.25">
      <c r="B963" s="42">
        <f t="shared" si="56"/>
        <v>3</v>
      </c>
      <c r="C963" s="42">
        <f t="shared" si="57"/>
        <v>9</v>
      </c>
      <c r="D963" s="42">
        <f t="shared" si="58"/>
        <v>2019</v>
      </c>
      <c r="E963" s="43">
        <v>43711</v>
      </c>
      <c r="F963" s="42">
        <v>51.75</v>
      </c>
      <c r="G963" s="42">
        <v>58.77</v>
      </c>
      <c r="H963" s="42">
        <v>53.99</v>
      </c>
      <c r="I963" s="42">
        <v>60.9</v>
      </c>
      <c r="J963" s="42">
        <v>57.8</v>
      </c>
      <c r="K963" s="42">
        <v>53.94</v>
      </c>
      <c r="L963" s="42">
        <v>56.99</v>
      </c>
      <c r="M963" s="42">
        <f t="shared" si="59"/>
        <v>2.1899999999999977</v>
      </c>
    </row>
    <row r="964" spans="2:13" x14ac:dyDescent="0.25">
      <c r="B964" s="42">
        <f t="shared" si="56"/>
        <v>4</v>
      </c>
      <c r="C964" s="42">
        <f t="shared" si="57"/>
        <v>9</v>
      </c>
      <c r="D964" s="42">
        <f t="shared" si="58"/>
        <v>2019</v>
      </c>
      <c r="E964" s="43">
        <v>43712</v>
      </c>
      <c r="F964" s="42">
        <v>54.7</v>
      </c>
      <c r="G964" s="42">
        <v>61.16</v>
      </c>
      <c r="H964" s="42">
        <v>56.86</v>
      </c>
      <c r="I964" s="42">
        <v>63.29</v>
      </c>
      <c r="J964" s="42">
        <v>60.5</v>
      </c>
      <c r="K964" s="42">
        <v>56.26</v>
      </c>
      <c r="L964" s="42">
        <v>59.31</v>
      </c>
      <c r="M964" s="42">
        <f t="shared" si="59"/>
        <v>1.5599999999999952</v>
      </c>
    </row>
    <row r="965" spans="2:13" x14ac:dyDescent="0.25">
      <c r="B965" s="42">
        <f t="shared" si="56"/>
        <v>5</v>
      </c>
      <c r="C965" s="42">
        <f t="shared" si="57"/>
        <v>9</v>
      </c>
      <c r="D965" s="42">
        <f t="shared" si="58"/>
        <v>2019</v>
      </c>
      <c r="E965" s="43">
        <v>43713</v>
      </c>
      <c r="F965" s="42">
        <v>56.72</v>
      </c>
      <c r="G965" s="42">
        <v>61.16</v>
      </c>
      <c r="H965" s="42">
        <v>58.27</v>
      </c>
      <c r="I965" s="42">
        <v>63.34</v>
      </c>
      <c r="J965" s="42">
        <v>62.17</v>
      </c>
      <c r="K965" s="42">
        <v>56.3</v>
      </c>
      <c r="L965" s="42">
        <v>59.45</v>
      </c>
      <c r="M965" s="42">
        <f t="shared" si="59"/>
        <v>-0.42000000000000171</v>
      </c>
    </row>
    <row r="966" spans="2:13" x14ac:dyDescent="0.25">
      <c r="B966" s="42">
        <f t="shared" si="56"/>
        <v>6</v>
      </c>
      <c r="C966" s="42">
        <f t="shared" si="57"/>
        <v>9</v>
      </c>
      <c r="D966" s="42">
        <f t="shared" si="58"/>
        <v>2019</v>
      </c>
      <c r="E966" s="43">
        <v>43714</v>
      </c>
      <c r="F966" s="42">
        <v>57.13</v>
      </c>
      <c r="G966" s="42">
        <v>61.45</v>
      </c>
      <c r="H966" s="42">
        <v>58.75</v>
      </c>
      <c r="I966" s="42">
        <v>63.72</v>
      </c>
      <c r="J966" s="42">
        <v>60.69</v>
      </c>
      <c r="K966" s="42">
        <v>56.52</v>
      </c>
      <c r="L966" s="42">
        <v>59.82</v>
      </c>
      <c r="M966" s="42">
        <f t="shared" si="59"/>
        <v>-0.60999999999999943</v>
      </c>
    </row>
    <row r="967" spans="2:13" x14ac:dyDescent="0.25">
      <c r="B967" s="42">
        <f t="shared" ref="B967:B1030" si="60">DAY(E967)</f>
        <v>9</v>
      </c>
      <c r="C967" s="42">
        <f t="shared" ref="C967:C1030" si="61">MONTH(E967)</f>
        <v>9</v>
      </c>
      <c r="D967" s="42">
        <f t="shared" ref="D967:D1030" si="62">YEAR(E967)</f>
        <v>2019</v>
      </c>
      <c r="E967" s="43">
        <v>43717</v>
      </c>
      <c r="F967" s="42">
        <v>57.54</v>
      </c>
      <c r="G967" s="42">
        <v>62.8</v>
      </c>
      <c r="H967" s="42">
        <v>58.17</v>
      </c>
      <c r="I967" s="42">
        <v>65.05</v>
      </c>
      <c r="J967" s="42">
        <v>62.87</v>
      </c>
      <c r="K967" s="42">
        <v>57.85</v>
      </c>
      <c r="L967" s="42">
        <v>61.05</v>
      </c>
      <c r="M967" s="42">
        <f t="shared" ref="M967:M1030" si="63">K967-F967</f>
        <v>0.31000000000000227</v>
      </c>
    </row>
    <row r="968" spans="2:13" x14ac:dyDescent="0.25">
      <c r="B968" s="42">
        <f t="shared" si="60"/>
        <v>10</v>
      </c>
      <c r="C968" s="42">
        <f t="shared" si="61"/>
        <v>9</v>
      </c>
      <c r="D968" s="42">
        <f t="shared" si="62"/>
        <v>2019</v>
      </c>
      <c r="E968" s="43">
        <v>43718</v>
      </c>
      <c r="F968" s="42">
        <v>56.13</v>
      </c>
      <c r="G968" s="42">
        <v>62.31</v>
      </c>
      <c r="H968" s="42">
        <v>56.26</v>
      </c>
      <c r="I968" s="42">
        <v>64.59</v>
      </c>
      <c r="J968" s="42">
        <v>63.66</v>
      </c>
      <c r="K968" s="42">
        <v>57.4</v>
      </c>
      <c r="L968" s="42">
        <v>60.75</v>
      </c>
      <c r="M968" s="42">
        <f t="shared" si="63"/>
        <v>1.269999999999996</v>
      </c>
    </row>
    <row r="969" spans="2:13" x14ac:dyDescent="0.25">
      <c r="B969" s="42">
        <f t="shared" si="60"/>
        <v>11</v>
      </c>
      <c r="C969" s="42">
        <f t="shared" si="61"/>
        <v>9</v>
      </c>
      <c r="D969" s="42">
        <f t="shared" si="62"/>
        <v>2019</v>
      </c>
      <c r="E969" s="43">
        <v>43719</v>
      </c>
      <c r="F969" s="42">
        <v>54.82</v>
      </c>
      <c r="G969" s="42">
        <v>60.61</v>
      </c>
      <c r="H969" s="42">
        <v>54.3</v>
      </c>
      <c r="I969" s="42">
        <v>62.93</v>
      </c>
      <c r="J969" s="42">
        <v>62.24</v>
      </c>
      <c r="K969" s="42">
        <v>55.75</v>
      </c>
      <c r="L969" s="42">
        <v>59.2</v>
      </c>
      <c r="M969" s="42">
        <f t="shared" si="63"/>
        <v>0.92999999999999972</v>
      </c>
    </row>
    <row r="970" spans="2:13" x14ac:dyDescent="0.25">
      <c r="B970" s="42">
        <f t="shared" si="60"/>
        <v>12</v>
      </c>
      <c r="C970" s="42">
        <f t="shared" si="61"/>
        <v>9</v>
      </c>
      <c r="D970" s="42">
        <f t="shared" si="62"/>
        <v>2019</v>
      </c>
      <c r="E970" s="43">
        <v>43720</v>
      </c>
      <c r="F970" s="42">
        <v>55.49</v>
      </c>
      <c r="G970" s="42">
        <v>59.69</v>
      </c>
      <c r="H970" s="42">
        <v>55.62</v>
      </c>
      <c r="I970" s="42">
        <v>62.01</v>
      </c>
      <c r="J970" s="42">
        <v>60.09</v>
      </c>
      <c r="K970" s="42">
        <v>55.09</v>
      </c>
      <c r="L970" s="42">
        <v>58.54</v>
      </c>
      <c r="M970" s="42">
        <f t="shared" si="63"/>
        <v>-0.39999999999999858</v>
      </c>
    </row>
    <row r="971" spans="2:13" x14ac:dyDescent="0.25">
      <c r="B971" s="42">
        <f t="shared" si="60"/>
        <v>13</v>
      </c>
      <c r="C971" s="42">
        <f t="shared" si="61"/>
        <v>9</v>
      </c>
      <c r="D971" s="42">
        <f t="shared" si="62"/>
        <v>2019</v>
      </c>
      <c r="E971" s="43">
        <v>43721</v>
      </c>
      <c r="F971" s="42">
        <v>56.54</v>
      </c>
      <c r="G971" s="42">
        <v>59.65</v>
      </c>
      <c r="H971" s="42">
        <v>57.59</v>
      </c>
      <c r="I971" s="42">
        <v>61.99</v>
      </c>
      <c r="J971" s="42">
        <v>60.36</v>
      </c>
      <c r="K971" s="42">
        <v>54.85</v>
      </c>
      <c r="L971" s="42">
        <v>58.3</v>
      </c>
      <c r="M971" s="42">
        <f t="shared" si="63"/>
        <v>-1.6899999999999977</v>
      </c>
    </row>
    <row r="972" spans="2:13" x14ac:dyDescent="0.25">
      <c r="B972" s="42">
        <f t="shared" si="60"/>
        <v>16</v>
      </c>
      <c r="C972" s="42">
        <f t="shared" si="61"/>
        <v>9</v>
      </c>
      <c r="D972" s="42">
        <f t="shared" si="62"/>
        <v>2019</v>
      </c>
      <c r="E972" s="43">
        <v>43724</v>
      </c>
      <c r="F972" s="42">
        <v>65.83</v>
      </c>
      <c r="G972" s="42">
        <v>68.44</v>
      </c>
      <c r="H972" s="42">
        <v>67.150000000000006</v>
      </c>
      <c r="I972" s="42">
        <v>70.66</v>
      </c>
      <c r="J972" s="42">
        <v>67.930000000000007</v>
      </c>
      <c r="K972" s="42">
        <v>62.9</v>
      </c>
      <c r="L972" s="42">
        <v>67.150000000000006</v>
      </c>
      <c r="M972" s="42">
        <f t="shared" si="63"/>
        <v>-2.9299999999999997</v>
      </c>
    </row>
    <row r="973" spans="2:13" x14ac:dyDescent="0.25">
      <c r="B973" s="42">
        <f t="shared" si="60"/>
        <v>17</v>
      </c>
      <c r="C973" s="42">
        <f t="shared" si="61"/>
        <v>9</v>
      </c>
      <c r="D973" s="42">
        <f t="shared" si="62"/>
        <v>2019</v>
      </c>
      <c r="E973" s="43">
        <v>43725</v>
      </c>
      <c r="F973" s="42">
        <v>63.66</v>
      </c>
      <c r="G973" s="42">
        <v>64.27</v>
      </c>
      <c r="H973" s="42">
        <v>64.25</v>
      </c>
      <c r="I973" s="42">
        <v>66.430000000000007</v>
      </c>
      <c r="J973" s="42">
        <v>65.650000000000006</v>
      </c>
      <c r="K973" s="42">
        <v>59.34</v>
      </c>
      <c r="L973" s="42">
        <v>62.89</v>
      </c>
      <c r="M973" s="42">
        <f t="shared" si="63"/>
        <v>-4.3199999999999932</v>
      </c>
    </row>
    <row r="974" spans="2:13" x14ac:dyDescent="0.25">
      <c r="B974" s="42">
        <f t="shared" si="60"/>
        <v>18</v>
      </c>
      <c r="C974" s="42">
        <f t="shared" si="61"/>
        <v>9</v>
      </c>
      <c r="D974" s="42">
        <f t="shared" si="62"/>
        <v>2019</v>
      </c>
      <c r="E974" s="43">
        <v>43726</v>
      </c>
      <c r="F974" s="42">
        <v>60.31</v>
      </c>
      <c r="G974" s="42">
        <v>63.34</v>
      </c>
      <c r="H974" s="42">
        <v>60.6</v>
      </c>
      <c r="I974" s="42">
        <v>65.569999999999993</v>
      </c>
      <c r="J974" s="42">
        <v>64.25</v>
      </c>
      <c r="K974" s="42">
        <v>58.11</v>
      </c>
      <c r="L974" s="42">
        <v>61.66</v>
      </c>
      <c r="M974" s="42">
        <f t="shared" si="63"/>
        <v>-2.2000000000000028</v>
      </c>
    </row>
    <row r="975" spans="2:13" x14ac:dyDescent="0.25">
      <c r="B975" s="42">
        <f t="shared" si="60"/>
        <v>19</v>
      </c>
      <c r="C975" s="42">
        <f t="shared" si="61"/>
        <v>9</v>
      </c>
      <c r="D975" s="42">
        <f t="shared" si="62"/>
        <v>2019</v>
      </c>
      <c r="E975" s="43">
        <v>43727</v>
      </c>
      <c r="F975" s="42">
        <v>61.32</v>
      </c>
      <c r="G975" s="42">
        <v>63.47</v>
      </c>
      <c r="H975" s="42">
        <v>61.66</v>
      </c>
      <c r="I975" s="42">
        <v>65.8</v>
      </c>
      <c r="J975" s="42">
        <v>64.47</v>
      </c>
      <c r="K975" s="42">
        <v>58.13</v>
      </c>
      <c r="L975" s="42">
        <v>61.98</v>
      </c>
      <c r="M975" s="42">
        <f t="shared" si="63"/>
        <v>-3.1899999999999977</v>
      </c>
    </row>
    <row r="976" spans="2:13" x14ac:dyDescent="0.25">
      <c r="B976" s="42">
        <f t="shared" si="60"/>
        <v>20</v>
      </c>
      <c r="C976" s="42">
        <f t="shared" si="61"/>
        <v>9</v>
      </c>
      <c r="D976" s="42">
        <f t="shared" si="62"/>
        <v>2019</v>
      </c>
      <c r="E976" s="43">
        <v>43728</v>
      </c>
      <c r="F976" s="42">
        <v>61.1</v>
      </c>
      <c r="G976" s="42">
        <v>63.81</v>
      </c>
      <c r="H976" s="42">
        <v>61.22</v>
      </c>
      <c r="I976" s="42">
        <v>66.11</v>
      </c>
      <c r="J976" s="42">
        <v>65.02</v>
      </c>
      <c r="K976" s="42">
        <v>58.09</v>
      </c>
      <c r="L976" s="42">
        <v>62.14</v>
      </c>
      <c r="M976" s="42">
        <f t="shared" si="63"/>
        <v>-3.009999999999998</v>
      </c>
    </row>
    <row r="977" spans="2:13" x14ac:dyDescent="0.25">
      <c r="B977" s="42">
        <f t="shared" si="60"/>
        <v>23</v>
      </c>
      <c r="C977" s="42">
        <f t="shared" si="61"/>
        <v>9</v>
      </c>
      <c r="D977" s="42">
        <f t="shared" si="62"/>
        <v>2019</v>
      </c>
      <c r="E977" s="43">
        <v>43731</v>
      </c>
      <c r="F977" s="42">
        <v>59.65</v>
      </c>
      <c r="G977" s="42">
        <v>64.09</v>
      </c>
      <c r="H977" s="42">
        <v>61.47</v>
      </c>
      <c r="I977" s="42">
        <v>66.239999999999995</v>
      </c>
      <c r="J977" s="42">
        <v>64.430000000000007</v>
      </c>
      <c r="K977" s="42">
        <v>58.64</v>
      </c>
      <c r="L977" s="42">
        <v>63.09</v>
      </c>
      <c r="M977" s="42">
        <f t="shared" si="63"/>
        <v>-1.009999999999998</v>
      </c>
    </row>
    <row r="978" spans="2:13" x14ac:dyDescent="0.25">
      <c r="B978" s="42">
        <f t="shared" si="60"/>
        <v>24</v>
      </c>
      <c r="C978" s="42">
        <f t="shared" si="61"/>
        <v>9</v>
      </c>
      <c r="D978" s="42">
        <f t="shared" si="62"/>
        <v>2019</v>
      </c>
      <c r="E978" s="43">
        <v>43732</v>
      </c>
      <c r="F978" s="42">
        <v>58.98</v>
      </c>
      <c r="G978" s="42">
        <v>62.58</v>
      </c>
      <c r="H978" s="42">
        <v>58.75</v>
      </c>
      <c r="I978" s="42">
        <v>64.680000000000007</v>
      </c>
      <c r="J978" s="42">
        <v>63.87</v>
      </c>
      <c r="K978" s="42">
        <v>57.17</v>
      </c>
      <c r="L978" s="42">
        <v>61.47</v>
      </c>
      <c r="M978" s="42">
        <f t="shared" si="63"/>
        <v>-1.8099999999999952</v>
      </c>
    </row>
    <row r="979" spans="2:13" x14ac:dyDescent="0.25">
      <c r="B979" s="42">
        <f t="shared" si="60"/>
        <v>25</v>
      </c>
      <c r="C979" s="42">
        <f t="shared" si="61"/>
        <v>9</v>
      </c>
      <c r="D979" s="42">
        <f t="shared" si="62"/>
        <v>2019</v>
      </c>
      <c r="E979" s="43">
        <v>43733</v>
      </c>
      <c r="F979" s="42">
        <v>59.15</v>
      </c>
      <c r="G979" s="42">
        <v>61.98</v>
      </c>
      <c r="H979" s="42">
        <v>59.24</v>
      </c>
      <c r="I979" s="42">
        <v>64.13</v>
      </c>
      <c r="J979" s="42">
        <v>62.17</v>
      </c>
      <c r="K979" s="42">
        <v>56.32</v>
      </c>
      <c r="L979" s="42">
        <v>60.62</v>
      </c>
      <c r="M979" s="42">
        <f t="shared" si="63"/>
        <v>-2.8299999999999983</v>
      </c>
    </row>
    <row r="980" spans="2:13" x14ac:dyDescent="0.25">
      <c r="B980" s="42">
        <f t="shared" si="60"/>
        <v>26</v>
      </c>
      <c r="C980" s="42">
        <f t="shared" si="61"/>
        <v>9</v>
      </c>
      <c r="D980" s="42">
        <f t="shared" si="62"/>
        <v>2019</v>
      </c>
      <c r="E980" s="43">
        <v>43734</v>
      </c>
      <c r="F980" s="42">
        <v>60.59</v>
      </c>
      <c r="G980" s="42">
        <v>61.89</v>
      </c>
      <c r="H980" s="42">
        <v>59.72</v>
      </c>
      <c r="I980" s="42">
        <v>64.099999999999994</v>
      </c>
      <c r="J980" s="42">
        <v>61.7</v>
      </c>
      <c r="K980" s="42">
        <v>56.41</v>
      </c>
      <c r="L980" s="42">
        <v>60.21</v>
      </c>
      <c r="M980" s="42">
        <f t="shared" si="63"/>
        <v>-4.1800000000000068</v>
      </c>
    </row>
    <row r="981" spans="2:13" x14ac:dyDescent="0.25">
      <c r="B981" s="42">
        <f t="shared" si="60"/>
        <v>27</v>
      </c>
      <c r="C981" s="42">
        <f t="shared" si="61"/>
        <v>9</v>
      </c>
      <c r="D981" s="42">
        <f t="shared" si="62"/>
        <v>2019</v>
      </c>
      <c r="E981" s="43">
        <v>43735</v>
      </c>
      <c r="F981" s="42">
        <v>57.58</v>
      </c>
      <c r="G981" s="42">
        <v>61.36</v>
      </c>
      <c r="H981" s="42">
        <v>57.72</v>
      </c>
      <c r="I981" s="42">
        <v>63.54</v>
      </c>
      <c r="J981" s="42">
        <v>62.35</v>
      </c>
      <c r="K981" s="42">
        <v>55.91</v>
      </c>
      <c r="L981" s="42">
        <v>59.61</v>
      </c>
      <c r="M981" s="42">
        <f t="shared" si="63"/>
        <v>-1.6700000000000017</v>
      </c>
    </row>
    <row r="982" spans="2:13" x14ac:dyDescent="0.25">
      <c r="B982" s="42">
        <f t="shared" si="60"/>
        <v>30</v>
      </c>
      <c r="C982" s="42">
        <f t="shared" si="61"/>
        <v>9</v>
      </c>
      <c r="D982" s="42">
        <f t="shared" si="62"/>
        <v>2019</v>
      </c>
      <c r="E982" s="43">
        <v>43738</v>
      </c>
      <c r="F982" s="42">
        <v>54.85</v>
      </c>
      <c r="G982" s="42">
        <v>59.56</v>
      </c>
      <c r="H982" s="42">
        <v>56.12</v>
      </c>
      <c r="I982" s="42">
        <v>61.75</v>
      </c>
      <c r="J982" s="42">
        <v>60.75</v>
      </c>
      <c r="K982" s="42">
        <v>54.09</v>
      </c>
      <c r="L982" s="42">
        <v>57.74</v>
      </c>
      <c r="M982" s="42">
        <f t="shared" si="63"/>
        <v>-0.75999999999999801</v>
      </c>
    </row>
    <row r="983" spans="2:13" x14ac:dyDescent="0.25">
      <c r="B983" s="42">
        <f t="shared" si="60"/>
        <v>1</v>
      </c>
      <c r="C983" s="42">
        <f t="shared" si="61"/>
        <v>10</v>
      </c>
      <c r="D983" s="42">
        <f t="shared" si="62"/>
        <v>2019</v>
      </c>
      <c r="E983" s="43">
        <v>43739</v>
      </c>
      <c r="F983" s="42">
        <v>50.15</v>
      </c>
      <c r="G983" s="42">
        <v>58.85</v>
      </c>
      <c r="H983" s="42">
        <v>52.23</v>
      </c>
      <c r="I983" s="42">
        <v>61.08</v>
      </c>
      <c r="J983" s="42">
        <v>59.36</v>
      </c>
      <c r="K983" s="42">
        <v>53.62</v>
      </c>
      <c r="L983" s="42">
        <v>57.27</v>
      </c>
      <c r="M983" s="42">
        <f t="shared" si="63"/>
        <v>3.4699999999999989</v>
      </c>
    </row>
    <row r="984" spans="2:13" x14ac:dyDescent="0.25">
      <c r="B984" s="42">
        <f t="shared" si="60"/>
        <v>2</v>
      </c>
      <c r="C984" s="42">
        <f t="shared" si="61"/>
        <v>10</v>
      </c>
      <c r="D984" s="42">
        <f t="shared" si="62"/>
        <v>2019</v>
      </c>
      <c r="E984" s="43">
        <v>43740</v>
      </c>
      <c r="F984" s="42">
        <v>50.28</v>
      </c>
      <c r="G984" s="42">
        <v>57.73</v>
      </c>
      <c r="H984" s="42">
        <v>52.65</v>
      </c>
      <c r="I984" s="42">
        <v>59.9</v>
      </c>
      <c r="J984" s="42">
        <v>57.54</v>
      </c>
      <c r="K984" s="42">
        <v>52.64</v>
      </c>
      <c r="L984" s="42">
        <v>56.19</v>
      </c>
      <c r="M984" s="42">
        <f t="shared" si="63"/>
        <v>2.3599999999999994</v>
      </c>
    </row>
    <row r="985" spans="2:13" x14ac:dyDescent="0.25">
      <c r="B985" s="42">
        <f t="shared" si="60"/>
        <v>3</v>
      </c>
      <c r="C985" s="42">
        <f t="shared" si="61"/>
        <v>10</v>
      </c>
      <c r="D985" s="42">
        <f t="shared" si="62"/>
        <v>2019</v>
      </c>
      <c r="E985" s="43">
        <v>43741</v>
      </c>
      <c r="F985" s="42">
        <v>50.83</v>
      </c>
      <c r="G985" s="42">
        <v>57.67</v>
      </c>
      <c r="H985" s="42">
        <v>53.9</v>
      </c>
      <c r="I985" s="42">
        <v>59.85</v>
      </c>
      <c r="J985" s="42">
        <v>57.31</v>
      </c>
      <c r="K985" s="42">
        <v>52.45</v>
      </c>
      <c r="L985" s="42">
        <v>56.15</v>
      </c>
      <c r="M985" s="42">
        <f t="shared" si="63"/>
        <v>1.6200000000000045</v>
      </c>
    </row>
    <row r="986" spans="2:13" x14ac:dyDescent="0.25">
      <c r="B986" s="42">
        <f t="shared" si="60"/>
        <v>4</v>
      </c>
      <c r="C986" s="42">
        <f t="shared" si="61"/>
        <v>10</v>
      </c>
      <c r="D986" s="42">
        <f t="shared" si="62"/>
        <v>2019</v>
      </c>
      <c r="E986" s="43">
        <v>43742</v>
      </c>
      <c r="F986" s="42">
        <v>51.7</v>
      </c>
      <c r="G986" s="42">
        <v>58.12</v>
      </c>
      <c r="H986" s="42">
        <v>54.49</v>
      </c>
      <c r="I986" s="42">
        <v>60.36</v>
      </c>
      <c r="J986" s="42">
        <v>58.49</v>
      </c>
      <c r="K986" s="42">
        <v>52.81</v>
      </c>
      <c r="L986" s="42">
        <v>56.21</v>
      </c>
      <c r="M986" s="42">
        <f t="shared" si="63"/>
        <v>1.1099999999999994</v>
      </c>
    </row>
    <row r="987" spans="2:13" x14ac:dyDescent="0.25">
      <c r="B987" s="42">
        <f t="shared" si="60"/>
        <v>7</v>
      </c>
      <c r="C987" s="42">
        <f t="shared" si="61"/>
        <v>10</v>
      </c>
      <c r="D987" s="42">
        <f t="shared" si="62"/>
        <v>2019</v>
      </c>
      <c r="E987" s="43">
        <v>43745</v>
      </c>
      <c r="F987" s="42">
        <v>51.59</v>
      </c>
      <c r="G987" s="42">
        <v>57.99</v>
      </c>
      <c r="H987" s="42">
        <v>54.44</v>
      </c>
      <c r="I987" s="42">
        <v>60.25</v>
      </c>
      <c r="J987" s="42">
        <v>59.41</v>
      </c>
      <c r="K987" s="42">
        <v>52.75</v>
      </c>
      <c r="L987" s="42">
        <v>55.95</v>
      </c>
      <c r="M987" s="42">
        <f t="shared" si="63"/>
        <v>1.1599999999999966</v>
      </c>
    </row>
    <row r="988" spans="2:13" x14ac:dyDescent="0.25">
      <c r="B988" s="42">
        <f t="shared" si="60"/>
        <v>8</v>
      </c>
      <c r="C988" s="42">
        <f t="shared" si="61"/>
        <v>10</v>
      </c>
      <c r="D988" s="42">
        <f t="shared" si="62"/>
        <v>2019</v>
      </c>
      <c r="E988" s="43">
        <v>43746</v>
      </c>
      <c r="F988" s="42">
        <v>50.66</v>
      </c>
      <c r="G988" s="42">
        <v>57.73</v>
      </c>
      <c r="H988" s="42">
        <v>53.29</v>
      </c>
      <c r="I988" s="42">
        <v>59.94</v>
      </c>
      <c r="J988" s="42">
        <v>57.97</v>
      </c>
      <c r="K988" s="42">
        <v>52.63</v>
      </c>
      <c r="L988" s="42">
        <v>55.78</v>
      </c>
      <c r="M988" s="42">
        <f t="shared" si="63"/>
        <v>1.970000000000006</v>
      </c>
    </row>
    <row r="989" spans="2:13" x14ac:dyDescent="0.25">
      <c r="B989" s="42">
        <f t="shared" si="60"/>
        <v>9</v>
      </c>
      <c r="C989" s="42">
        <f t="shared" si="61"/>
        <v>10</v>
      </c>
      <c r="D989" s="42">
        <f t="shared" si="62"/>
        <v>2019</v>
      </c>
      <c r="E989" s="43">
        <v>43747</v>
      </c>
      <c r="F989" s="42">
        <v>51.06</v>
      </c>
      <c r="G989" s="42">
        <v>57.79</v>
      </c>
      <c r="H989" s="42">
        <v>52.81</v>
      </c>
      <c r="I989" s="42">
        <v>60.05</v>
      </c>
      <c r="J989" s="42">
        <v>59.26</v>
      </c>
      <c r="K989" s="42">
        <v>52.59</v>
      </c>
      <c r="L989" s="42">
        <v>55.89</v>
      </c>
      <c r="M989" s="42">
        <f t="shared" si="63"/>
        <v>1.5300000000000011</v>
      </c>
    </row>
    <row r="990" spans="2:13" x14ac:dyDescent="0.25">
      <c r="B990" s="42">
        <f t="shared" si="60"/>
        <v>10</v>
      </c>
      <c r="C990" s="42">
        <f t="shared" si="61"/>
        <v>10</v>
      </c>
      <c r="D990" s="42">
        <f t="shared" si="62"/>
        <v>2019</v>
      </c>
      <c r="E990" s="43">
        <v>43748</v>
      </c>
      <c r="F990" s="42">
        <v>51.16</v>
      </c>
      <c r="G990" s="42">
        <v>58.8</v>
      </c>
      <c r="H990" s="42">
        <v>53.32</v>
      </c>
      <c r="I990" s="42">
        <v>61.02</v>
      </c>
      <c r="J990" s="42">
        <v>58.66</v>
      </c>
      <c r="K990" s="42">
        <v>53.55</v>
      </c>
      <c r="L990" s="42">
        <v>56.75</v>
      </c>
      <c r="M990" s="42">
        <f t="shared" si="63"/>
        <v>2.3900000000000006</v>
      </c>
    </row>
    <row r="991" spans="2:13" x14ac:dyDescent="0.25">
      <c r="B991" s="42">
        <f t="shared" si="60"/>
        <v>11</v>
      </c>
      <c r="C991" s="42">
        <f t="shared" si="61"/>
        <v>10</v>
      </c>
      <c r="D991" s="42">
        <f t="shared" si="62"/>
        <v>2019</v>
      </c>
      <c r="E991" s="43">
        <v>43749</v>
      </c>
      <c r="F991" s="42">
        <v>50.36</v>
      </c>
      <c r="G991" s="42">
        <v>59.8</v>
      </c>
      <c r="H991" s="42">
        <v>53.35</v>
      </c>
      <c r="I991" s="42">
        <v>62.05</v>
      </c>
      <c r="J991" s="42">
        <v>60.5</v>
      </c>
      <c r="K991" s="42">
        <v>54.7</v>
      </c>
      <c r="L991" s="42">
        <v>57.9</v>
      </c>
      <c r="M991" s="42">
        <f t="shared" si="63"/>
        <v>4.3400000000000034</v>
      </c>
    </row>
    <row r="992" spans="2:13" x14ac:dyDescent="0.25">
      <c r="B992" s="42">
        <f t="shared" si="60"/>
        <v>14</v>
      </c>
      <c r="C992" s="42">
        <f t="shared" si="61"/>
        <v>10</v>
      </c>
      <c r="D992" s="42">
        <f t="shared" si="62"/>
        <v>2019</v>
      </c>
      <c r="E992" s="43">
        <v>43752</v>
      </c>
      <c r="F992" s="42">
        <v>47.73</v>
      </c>
      <c r="G992" s="42">
        <v>58.42</v>
      </c>
      <c r="H992" s="42">
        <v>52.48</v>
      </c>
      <c r="I992" s="42">
        <v>60.7</v>
      </c>
      <c r="J992" s="42">
        <v>58.91</v>
      </c>
      <c r="K992" s="42">
        <v>53.59</v>
      </c>
      <c r="L992" s="42">
        <v>56.59</v>
      </c>
      <c r="M992" s="42">
        <f t="shared" si="63"/>
        <v>5.8600000000000065</v>
      </c>
    </row>
    <row r="993" spans="2:13" x14ac:dyDescent="0.25">
      <c r="B993" s="42">
        <f t="shared" si="60"/>
        <v>15</v>
      </c>
      <c r="C993" s="42">
        <f t="shared" si="61"/>
        <v>10</v>
      </c>
      <c r="D993" s="42">
        <f t="shared" si="62"/>
        <v>2019</v>
      </c>
      <c r="E993" s="43">
        <v>43753</v>
      </c>
      <c r="F993" s="42">
        <v>47.37</v>
      </c>
      <c r="G993" s="42">
        <v>57.77</v>
      </c>
      <c r="H993" s="42">
        <v>48.42</v>
      </c>
      <c r="I993" s="42">
        <v>60.04</v>
      </c>
      <c r="J993" s="42">
        <v>59.32</v>
      </c>
      <c r="K993" s="42">
        <v>52.81</v>
      </c>
      <c r="L993" s="42">
        <v>55.86</v>
      </c>
      <c r="M993" s="42">
        <f t="shared" si="63"/>
        <v>5.4400000000000048</v>
      </c>
    </row>
    <row r="994" spans="2:13" x14ac:dyDescent="0.25">
      <c r="B994" s="42">
        <f t="shared" si="60"/>
        <v>16</v>
      </c>
      <c r="C994" s="42">
        <f t="shared" si="61"/>
        <v>10</v>
      </c>
      <c r="D994" s="42">
        <f t="shared" si="62"/>
        <v>2019</v>
      </c>
      <c r="E994" s="43">
        <v>43754</v>
      </c>
      <c r="F994" s="42">
        <v>47.53</v>
      </c>
      <c r="G994" s="42">
        <v>58.37</v>
      </c>
      <c r="H994" s="42">
        <v>48.93</v>
      </c>
      <c r="I994" s="42">
        <v>60.6</v>
      </c>
      <c r="J994" s="42">
        <v>59.35</v>
      </c>
      <c r="K994" s="42">
        <v>53.36</v>
      </c>
      <c r="L994" s="42">
        <v>56.46</v>
      </c>
      <c r="M994" s="42">
        <f t="shared" si="63"/>
        <v>5.8299999999999983</v>
      </c>
    </row>
    <row r="995" spans="2:13" x14ac:dyDescent="0.25">
      <c r="B995" s="42">
        <f t="shared" si="60"/>
        <v>17</v>
      </c>
      <c r="C995" s="42">
        <f t="shared" si="61"/>
        <v>10</v>
      </c>
      <c r="D995" s="42">
        <f t="shared" si="62"/>
        <v>2019</v>
      </c>
      <c r="E995" s="43">
        <v>43755</v>
      </c>
      <c r="F995" s="42">
        <v>46.98</v>
      </c>
      <c r="G995" s="42">
        <v>58.97</v>
      </c>
      <c r="H995" s="42">
        <v>49.39</v>
      </c>
      <c r="I995" s="42">
        <v>61.22</v>
      </c>
      <c r="J995" s="42">
        <v>58.98</v>
      </c>
      <c r="K995" s="42">
        <v>53.93</v>
      </c>
      <c r="L995" s="42">
        <v>57.08</v>
      </c>
      <c r="M995" s="42">
        <f t="shared" si="63"/>
        <v>6.9500000000000028</v>
      </c>
    </row>
    <row r="996" spans="2:13" x14ac:dyDescent="0.25">
      <c r="B996" s="42">
        <f t="shared" si="60"/>
        <v>18</v>
      </c>
      <c r="C996" s="42">
        <f t="shared" si="61"/>
        <v>10</v>
      </c>
      <c r="D996" s="42">
        <f t="shared" si="62"/>
        <v>2019</v>
      </c>
      <c r="E996" s="43">
        <v>43756</v>
      </c>
      <c r="F996" s="42">
        <v>46.1</v>
      </c>
      <c r="G996" s="42">
        <v>58.76</v>
      </c>
      <c r="H996" s="42">
        <v>48.77</v>
      </c>
      <c r="I996" s="42">
        <v>60.95</v>
      </c>
      <c r="J996" s="42">
        <v>59.57</v>
      </c>
      <c r="K996" s="42">
        <v>53.78</v>
      </c>
      <c r="L996" s="42">
        <v>56.93</v>
      </c>
      <c r="M996" s="42">
        <f t="shared" si="63"/>
        <v>7.68</v>
      </c>
    </row>
    <row r="997" spans="2:13" x14ac:dyDescent="0.25">
      <c r="B997" s="42">
        <f t="shared" si="60"/>
        <v>21</v>
      </c>
      <c r="C997" s="42">
        <f t="shared" si="61"/>
        <v>10</v>
      </c>
      <c r="D997" s="42">
        <f t="shared" si="62"/>
        <v>2019</v>
      </c>
      <c r="E997" s="43">
        <v>43759</v>
      </c>
      <c r="F997" s="42">
        <v>45.63</v>
      </c>
      <c r="G997" s="42">
        <v>58.29</v>
      </c>
      <c r="H997" s="42">
        <v>48.22</v>
      </c>
      <c r="I997" s="42">
        <v>60.49</v>
      </c>
      <c r="J997" s="42">
        <v>58.63</v>
      </c>
      <c r="K997" s="42">
        <v>53.31</v>
      </c>
      <c r="L997" s="42">
        <v>56.36</v>
      </c>
      <c r="M997" s="42">
        <f t="shared" si="63"/>
        <v>7.68</v>
      </c>
    </row>
    <row r="998" spans="2:13" x14ac:dyDescent="0.25">
      <c r="B998" s="42">
        <f t="shared" si="60"/>
        <v>22</v>
      </c>
      <c r="C998" s="42">
        <f t="shared" si="61"/>
        <v>10</v>
      </c>
      <c r="D998" s="42">
        <f t="shared" si="62"/>
        <v>2019</v>
      </c>
      <c r="E998" s="43">
        <v>43760</v>
      </c>
      <c r="F998" s="42">
        <v>46.97</v>
      </c>
      <c r="G998" s="42">
        <v>59.22</v>
      </c>
      <c r="H998" s="42">
        <v>48.62</v>
      </c>
      <c r="I998" s="42">
        <v>61.36</v>
      </c>
      <c r="J998" s="42">
        <v>60.19</v>
      </c>
      <c r="K998" s="42">
        <v>54.16</v>
      </c>
      <c r="L998" s="42">
        <v>57.16</v>
      </c>
      <c r="M998" s="42">
        <f t="shared" si="63"/>
        <v>7.1899999999999977</v>
      </c>
    </row>
    <row r="999" spans="2:13" x14ac:dyDescent="0.25">
      <c r="B999" s="42">
        <f t="shared" si="60"/>
        <v>23</v>
      </c>
      <c r="C999" s="42">
        <f t="shared" si="61"/>
        <v>10</v>
      </c>
      <c r="D999" s="42">
        <f t="shared" si="62"/>
        <v>2019</v>
      </c>
      <c r="E999" s="43">
        <v>43761</v>
      </c>
      <c r="F999" s="42">
        <v>47.65</v>
      </c>
      <c r="G999" s="42">
        <v>60.67</v>
      </c>
      <c r="H999" s="42">
        <v>49.8</v>
      </c>
      <c r="I999" s="42">
        <v>62.79</v>
      </c>
      <c r="J999" s="42">
        <v>60.3</v>
      </c>
      <c r="K999" s="42">
        <v>55.82</v>
      </c>
      <c r="L999" s="42">
        <v>58.52</v>
      </c>
      <c r="M999" s="42">
        <f t="shared" si="63"/>
        <v>8.1700000000000017</v>
      </c>
    </row>
    <row r="1000" spans="2:13" x14ac:dyDescent="0.25">
      <c r="B1000" s="42">
        <f t="shared" si="60"/>
        <v>24</v>
      </c>
      <c r="C1000" s="42">
        <f t="shared" si="61"/>
        <v>10</v>
      </c>
      <c r="D1000" s="42">
        <f t="shared" si="62"/>
        <v>2019</v>
      </c>
      <c r="E1000" s="43">
        <v>43762</v>
      </c>
      <c r="F1000" s="42">
        <v>48.64</v>
      </c>
      <c r="G1000" s="42">
        <v>60.93</v>
      </c>
      <c r="H1000" s="42">
        <v>50.57</v>
      </c>
      <c r="I1000" s="42">
        <v>63.1</v>
      </c>
      <c r="J1000" s="42">
        <v>61.5</v>
      </c>
      <c r="K1000" s="42">
        <v>56.06</v>
      </c>
      <c r="L1000" s="42">
        <v>58.91</v>
      </c>
      <c r="M1000" s="42">
        <f t="shared" si="63"/>
        <v>7.4200000000000017</v>
      </c>
    </row>
    <row r="1001" spans="2:13" x14ac:dyDescent="0.25">
      <c r="B1001" s="42">
        <f t="shared" si="60"/>
        <v>25</v>
      </c>
      <c r="C1001" s="42">
        <f t="shared" si="61"/>
        <v>10</v>
      </c>
      <c r="D1001" s="42">
        <f t="shared" si="62"/>
        <v>2019</v>
      </c>
      <c r="E1001" s="43">
        <v>43763</v>
      </c>
      <c r="F1001" s="42">
        <v>48.73</v>
      </c>
      <c r="G1001" s="42">
        <v>61.41</v>
      </c>
      <c r="H1001" s="42">
        <v>51.29</v>
      </c>
      <c r="I1001" s="42">
        <v>63.57</v>
      </c>
      <c r="J1001" s="42">
        <v>61.9</v>
      </c>
      <c r="K1001" s="42">
        <v>56.49</v>
      </c>
      <c r="L1001" s="42">
        <v>59.29</v>
      </c>
      <c r="M1001" s="42">
        <f t="shared" si="63"/>
        <v>7.7600000000000051</v>
      </c>
    </row>
    <row r="1002" spans="2:13" x14ac:dyDescent="0.25">
      <c r="B1002" s="42">
        <f t="shared" si="60"/>
        <v>28</v>
      </c>
      <c r="C1002" s="42">
        <f t="shared" si="61"/>
        <v>10</v>
      </c>
      <c r="D1002" s="42">
        <f t="shared" si="62"/>
        <v>2019</v>
      </c>
      <c r="E1002" s="43">
        <v>43766</v>
      </c>
      <c r="F1002" s="42">
        <v>48.73</v>
      </c>
      <c r="G1002" s="42">
        <v>60.98</v>
      </c>
      <c r="H1002" s="42">
        <v>49.88</v>
      </c>
      <c r="I1002" s="42">
        <v>63.14</v>
      </c>
      <c r="J1002" s="42">
        <v>61.29</v>
      </c>
      <c r="K1002" s="42">
        <v>55.81</v>
      </c>
      <c r="L1002" s="42">
        <v>58.91</v>
      </c>
      <c r="M1002" s="42">
        <f t="shared" si="63"/>
        <v>7.0800000000000054</v>
      </c>
    </row>
    <row r="1003" spans="2:13" x14ac:dyDescent="0.25">
      <c r="B1003" s="42">
        <f t="shared" si="60"/>
        <v>29</v>
      </c>
      <c r="C1003" s="42">
        <f t="shared" si="61"/>
        <v>10</v>
      </c>
      <c r="D1003" s="42">
        <f t="shared" si="62"/>
        <v>2019</v>
      </c>
      <c r="E1003" s="43">
        <v>43767</v>
      </c>
      <c r="F1003" s="42">
        <v>47.47</v>
      </c>
      <c r="G1003" s="42">
        <v>60.77</v>
      </c>
      <c r="H1003" s="42">
        <v>48.74</v>
      </c>
      <c r="I1003" s="42">
        <v>62.95</v>
      </c>
      <c r="J1003" s="42">
        <v>61.79</v>
      </c>
      <c r="K1003" s="42">
        <v>55.54</v>
      </c>
      <c r="L1003" s="42">
        <v>58.84</v>
      </c>
      <c r="M1003" s="42">
        <f t="shared" si="63"/>
        <v>8.07</v>
      </c>
    </row>
    <row r="1004" spans="2:13" x14ac:dyDescent="0.25">
      <c r="B1004" s="42">
        <f t="shared" si="60"/>
        <v>30</v>
      </c>
      <c r="C1004" s="42">
        <f t="shared" si="61"/>
        <v>10</v>
      </c>
      <c r="D1004" s="42">
        <f t="shared" si="62"/>
        <v>2019</v>
      </c>
      <c r="E1004" s="43">
        <v>43768</v>
      </c>
      <c r="F1004" s="42">
        <v>47.52</v>
      </c>
      <c r="G1004" s="42">
        <v>60.2</v>
      </c>
      <c r="H1004" s="42">
        <v>49.83</v>
      </c>
      <c r="I1004" s="42">
        <v>62.34</v>
      </c>
      <c r="J1004" s="42">
        <v>60.77</v>
      </c>
      <c r="K1004" s="42">
        <v>55.06</v>
      </c>
      <c r="L1004" s="42">
        <v>58.41</v>
      </c>
      <c r="M1004" s="42">
        <f t="shared" si="63"/>
        <v>7.5399999999999991</v>
      </c>
    </row>
    <row r="1005" spans="2:13" x14ac:dyDescent="0.25">
      <c r="B1005" s="42">
        <f t="shared" si="60"/>
        <v>31</v>
      </c>
      <c r="C1005" s="42">
        <f t="shared" si="61"/>
        <v>10</v>
      </c>
      <c r="D1005" s="42">
        <f t="shared" si="62"/>
        <v>2019</v>
      </c>
      <c r="E1005" s="43">
        <v>43769</v>
      </c>
      <c r="F1005" s="42">
        <v>48.08</v>
      </c>
      <c r="G1005" s="42">
        <v>59.42</v>
      </c>
      <c r="H1005" s="42">
        <v>48.67</v>
      </c>
      <c r="I1005" s="42">
        <v>61.6</v>
      </c>
      <c r="J1005" s="42">
        <v>59.86</v>
      </c>
      <c r="K1005" s="42">
        <v>54.18</v>
      </c>
      <c r="L1005" s="42">
        <v>57.58</v>
      </c>
      <c r="M1005" s="42">
        <f t="shared" si="63"/>
        <v>6.1000000000000014</v>
      </c>
    </row>
    <row r="1006" spans="2:13" x14ac:dyDescent="0.25">
      <c r="B1006" s="42">
        <f t="shared" si="60"/>
        <v>1</v>
      </c>
      <c r="C1006" s="42">
        <f t="shared" si="61"/>
        <v>11</v>
      </c>
      <c r="D1006" s="42">
        <f t="shared" si="62"/>
        <v>2019</v>
      </c>
      <c r="E1006" s="43">
        <v>43770</v>
      </c>
      <c r="F1006" s="42">
        <v>52.44</v>
      </c>
      <c r="G1006" s="42">
        <v>59.9</v>
      </c>
      <c r="H1006" s="42">
        <v>53.72</v>
      </c>
      <c r="I1006" s="42">
        <v>62.18</v>
      </c>
      <c r="J1006" s="42">
        <v>60.55</v>
      </c>
      <c r="K1006" s="42">
        <v>56.2</v>
      </c>
      <c r="L1006" s="42">
        <v>59.55</v>
      </c>
      <c r="M1006" s="42">
        <f t="shared" si="63"/>
        <v>3.7600000000000051</v>
      </c>
    </row>
    <row r="1007" spans="2:13" x14ac:dyDescent="0.25">
      <c r="B1007" s="42">
        <f t="shared" si="60"/>
        <v>4</v>
      </c>
      <c r="C1007" s="42">
        <f t="shared" si="61"/>
        <v>11</v>
      </c>
      <c r="D1007" s="42">
        <f t="shared" si="62"/>
        <v>2019</v>
      </c>
      <c r="E1007" s="43">
        <v>43773</v>
      </c>
      <c r="F1007" s="42">
        <v>52.51</v>
      </c>
      <c r="G1007" s="42">
        <v>60.43</v>
      </c>
      <c r="H1007" s="42">
        <v>53.84</v>
      </c>
      <c r="I1007" s="42">
        <v>62.72</v>
      </c>
      <c r="J1007" s="42">
        <v>62.79</v>
      </c>
      <c r="K1007" s="42">
        <v>56.54</v>
      </c>
      <c r="L1007" s="42">
        <v>59.89</v>
      </c>
      <c r="M1007" s="42">
        <f t="shared" si="63"/>
        <v>4.0300000000000011</v>
      </c>
    </row>
    <row r="1008" spans="2:13" x14ac:dyDescent="0.25">
      <c r="B1008" s="42">
        <f t="shared" si="60"/>
        <v>5</v>
      </c>
      <c r="C1008" s="42">
        <f t="shared" si="61"/>
        <v>11</v>
      </c>
      <c r="D1008" s="42">
        <f t="shared" si="62"/>
        <v>2019</v>
      </c>
      <c r="E1008" s="43">
        <v>43774</v>
      </c>
      <c r="F1008" s="42">
        <v>52.12</v>
      </c>
      <c r="G1008" s="42">
        <v>61.28</v>
      </c>
      <c r="H1008" s="42">
        <v>54.4</v>
      </c>
      <c r="I1008" s="42">
        <v>63.58</v>
      </c>
      <c r="J1008" s="42">
        <v>62.84</v>
      </c>
      <c r="K1008" s="42">
        <v>57.23</v>
      </c>
      <c r="L1008" s="42">
        <v>60.73</v>
      </c>
      <c r="M1008" s="42">
        <f t="shared" si="63"/>
        <v>5.1099999999999994</v>
      </c>
    </row>
    <row r="1009" spans="2:13" x14ac:dyDescent="0.25">
      <c r="B1009" s="42">
        <f t="shared" si="60"/>
        <v>6</v>
      </c>
      <c r="C1009" s="42">
        <f t="shared" si="61"/>
        <v>11</v>
      </c>
      <c r="D1009" s="42">
        <f t="shared" si="62"/>
        <v>2019</v>
      </c>
      <c r="E1009" s="43">
        <v>43775</v>
      </c>
      <c r="F1009" s="42">
        <v>51.17</v>
      </c>
      <c r="G1009" s="42">
        <v>60.42</v>
      </c>
      <c r="H1009" s="42">
        <v>53.38</v>
      </c>
      <c r="I1009" s="42">
        <v>62.69</v>
      </c>
      <c r="J1009" s="42">
        <v>62.23</v>
      </c>
      <c r="K1009" s="42">
        <v>56.35</v>
      </c>
      <c r="L1009" s="42">
        <v>60.1</v>
      </c>
      <c r="M1009" s="42">
        <f t="shared" si="63"/>
        <v>5.18</v>
      </c>
    </row>
    <row r="1010" spans="2:13" x14ac:dyDescent="0.25">
      <c r="B1010" s="42">
        <f t="shared" si="60"/>
        <v>7</v>
      </c>
      <c r="C1010" s="42">
        <f t="shared" si="61"/>
        <v>11</v>
      </c>
      <c r="D1010" s="42">
        <f t="shared" si="62"/>
        <v>2019</v>
      </c>
      <c r="E1010" s="43">
        <v>43776</v>
      </c>
      <c r="F1010" s="42">
        <v>50.64</v>
      </c>
      <c r="G1010" s="42">
        <v>61.35</v>
      </c>
      <c r="H1010" s="42">
        <v>53.88</v>
      </c>
      <c r="I1010" s="42">
        <v>63.51</v>
      </c>
      <c r="J1010" s="42">
        <v>62.6</v>
      </c>
      <c r="K1010" s="42">
        <v>57.15</v>
      </c>
      <c r="L1010" s="42">
        <v>60.85</v>
      </c>
      <c r="M1010" s="42">
        <f t="shared" si="63"/>
        <v>6.509999999999998</v>
      </c>
    </row>
    <row r="1011" spans="2:13" x14ac:dyDescent="0.25">
      <c r="B1011" s="42">
        <f t="shared" si="60"/>
        <v>8</v>
      </c>
      <c r="C1011" s="42">
        <f t="shared" si="61"/>
        <v>11</v>
      </c>
      <c r="D1011" s="42">
        <f t="shared" si="62"/>
        <v>2019</v>
      </c>
      <c r="E1011" s="43">
        <v>43777</v>
      </c>
      <c r="F1011" s="42">
        <v>50.22</v>
      </c>
      <c r="G1011" s="42">
        <v>61.64</v>
      </c>
      <c r="H1011" s="42">
        <v>54.19</v>
      </c>
      <c r="I1011" s="42">
        <v>63.85</v>
      </c>
      <c r="J1011" s="42">
        <v>61.77</v>
      </c>
      <c r="K1011" s="42">
        <v>57.24</v>
      </c>
      <c r="L1011" s="42">
        <v>61.29</v>
      </c>
      <c r="M1011" s="42">
        <f t="shared" si="63"/>
        <v>7.0200000000000031</v>
      </c>
    </row>
    <row r="1012" spans="2:13" x14ac:dyDescent="0.25">
      <c r="B1012" s="42">
        <f t="shared" si="60"/>
        <v>11</v>
      </c>
      <c r="C1012" s="42">
        <f t="shared" si="61"/>
        <v>11</v>
      </c>
      <c r="D1012" s="42">
        <f t="shared" si="62"/>
        <v>2019</v>
      </c>
      <c r="E1012" s="43">
        <v>43780</v>
      </c>
      <c r="F1012" s="42">
        <v>50.22</v>
      </c>
      <c r="G1012" s="42">
        <v>61.54</v>
      </c>
      <c r="H1012" s="42">
        <v>52.4</v>
      </c>
      <c r="I1012" s="42">
        <v>63.66</v>
      </c>
      <c r="J1012" s="42">
        <v>62.4</v>
      </c>
      <c r="K1012" s="42">
        <v>56.86</v>
      </c>
      <c r="L1012" s="42">
        <v>61.36</v>
      </c>
      <c r="M1012" s="42">
        <f t="shared" si="63"/>
        <v>6.6400000000000006</v>
      </c>
    </row>
    <row r="1013" spans="2:13" x14ac:dyDescent="0.25">
      <c r="B1013" s="42">
        <f t="shared" si="60"/>
        <v>12</v>
      </c>
      <c r="C1013" s="42">
        <f t="shared" si="61"/>
        <v>11</v>
      </c>
      <c r="D1013" s="42">
        <f t="shared" si="62"/>
        <v>2019</v>
      </c>
      <c r="E1013" s="43">
        <v>43781</v>
      </c>
      <c r="F1013" s="42">
        <v>49.4</v>
      </c>
      <c r="G1013" s="42">
        <v>61.45</v>
      </c>
      <c r="H1013" s="42">
        <v>50.5</v>
      </c>
      <c r="I1013" s="42">
        <v>63.63</v>
      </c>
      <c r="J1013" s="42">
        <v>62.45</v>
      </c>
      <c r="K1013" s="42">
        <v>56.8</v>
      </c>
      <c r="L1013" s="42">
        <v>61.3</v>
      </c>
      <c r="M1013" s="42">
        <f t="shared" si="63"/>
        <v>7.3999999999999986</v>
      </c>
    </row>
    <row r="1014" spans="2:13" x14ac:dyDescent="0.25">
      <c r="B1014" s="42">
        <f t="shared" si="60"/>
        <v>13</v>
      </c>
      <c r="C1014" s="42">
        <f t="shared" si="61"/>
        <v>11</v>
      </c>
      <c r="D1014" s="42">
        <f t="shared" si="62"/>
        <v>2019</v>
      </c>
      <c r="E1014" s="43">
        <v>43782</v>
      </c>
      <c r="F1014" s="42">
        <v>49.03</v>
      </c>
      <c r="G1014" s="42">
        <v>61.64</v>
      </c>
      <c r="H1014" s="42">
        <v>50.15</v>
      </c>
      <c r="I1014" s="42">
        <v>63.87</v>
      </c>
      <c r="J1014" s="42">
        <v>62.3</v>
      </c>
      <c r="K1014" s="42">
        <v>57.12</v>
      </c>
      <c r="L1014" s="42">
        <v>61.57</v>
      </c>
      <c r="M1014" s="42">
        <f t="shared" si="63"/>
        <v>8.0899999999999963</v>
      </c>
    </row>
    <row r="1015" spans="2:13" x14ac:dyDescent="0.25">
      <c r="B1015" s="42">
        <f t="shared" si="60"/>
        <v>14</v>
      </c>
      <c r="C1015" s="42">
        <f t="shared" si="61"/>
        <v>11</v>
      </c>
      <c r="D1015" s="42">
        <f t="shared" si="62"/>
        <v>2019</v>
      </c>
      <c r="E1015" s="43">
        <v>43783</v>
      </c>
      <c r="F1015" s="42">
        <v>49</v>
      </c>
      <c r="G1015" s="42">
        <v>61.27</v>
      </c>
      <c r="H1015" s="42">
        <v>50.14</v>
      </c>
      <c r="I1015" s="42">
        <v>63.53</v>
      </c>
      <c r="J1015" s="42">
        <v>62.52</v>
      </c>
      <c r="K1015" s="42">
        <v>56.77</v>
      </c>
      <c r="L1015" s="42">
        <v>61.27</v>
      </c>
      <c r="M1015" s="42">
        <f t="shared" si="63"/>
        <v>7.7700000000000031</v>
      </c>
    </row>
    <row r="1016" spans="2:13" x14ac:dyDescent="0.25">
      <c r="B1016" s="42">
        <f t="shared" si="60"/>
        <v>15</v>
      </c>
      <c r="C1016" s="42">
        <f t="shared" si="61"/>
        <v>11</v>
      </c>
      <c r="D1016" s="42">
        <f t="shared" si="62"/>
        <v>2019</v>
      </c>
      <c r="E1016" s="43">
        <v>43784</v>
      </c>
      <c r="F1016" s="42">
        <v>50.2</v>
      </c>
      <c r="G1016" s="42">
        <v>62.26</v>
      </c>
      <c r="H1016" s="42">
        <v>51.35</v>
      </c>
      <c r="I1016" s="42">
        <v>64.510000000000005</v>
      </c>
      <c r="J1016" s="42">
        <v>63.22</v>
      </c>
      <c r="K1016" s="42">
        <v>57.72</v>
      </c>
      <c r="L1016" s="42">
        <v>62.37</v>
      </c>
      <c r="M1016" s="42">
        <f t="shared" si="63"/>
        <v>7.519999999999996</v>
      </c>
    </row>
    <row r="1017" spans="2:13" x14ac:dyDescent="0.25">
      <c r="B1017" s="42">
        <f t="shared" si="60"/>
        <v>18</v>
      </c>
      <c r="C1017" s="42">
        <f t="shared" si="61"/>
        <v>11</v>
      </c>
      <c r="D1017" s="42">
        <f t="shared" si="62"/>
        <v>2019</v>
      </c>
      <c r="E1017" s="43">
        <v>43787</v>
      </c>
      <c r="F1017" s="42">
        <v>49.67</v>
      </c>
      <c r="G1017" s="42">
        <v>61.92</v>
      </c>
      <c r="H1017" s="42">
        <v>50.47</v>
      </c>
      <c r="I1017" s="42">
        <v>63.97</v>
      </c>
      <c r="J1017" s="42">
        <v>62.11</v>
      </c>
      <c r="K1017" s="42">
        <v>57.05</v>
      </c>
      <c r="L1017" s="42">
        <v>62.1</v>
      </c>
      <c r="M1017" s="42">
        <f t="shared" si="63"/>
        <v>7.3799999999999955</v>
      </c>
    </row>
    <row r="1018" spans="2:13" x14ac:dyDescent="0.25">
      <c r="B1018" s="42">
        <f t="shared" si="60"/>
        <v>19</v>
      </c>
      <c r="C1018" s="42">
        <f t="shared" si="61"/>
        <v>11</v>
      </c>
      <c r="D1018" s="42">
        <f t="shared" si="62"/>
        <v>2019</v>
      </c>
      <c r="E1018" s="43">
        <v>43788</v>
      </c>
      <c r="F1018" s="42">
        <v>48.34</v>
      </c>
      <c r="G1018" s="42">
        <v>60.39</v>
      </c>
      <c r="H1018" s="42">
        <v>48.81</v>
      </c>
      <c r="I1018" s="42">
        <v>62.48</v>
      </c>
      <c r="J1018" s="42">
        <v>61.53</v>
      </c>
      <c r="K1018" s="42">
        <v>55.21</v>
      </c>
      <c r="L1018" s="42">
        <v>61.76</v>
      </c>
      <c r="M1018" s="42">
        <f t="shared" si="63"/>
        <v>6.8699999999999974</v>
      </c>
    </row>
    <row r="1019" spans="2:13" x14ac:dyDescent="0.25">
      <c r="B1019" s="42">
        <f t="shared" si="60"/>
        <v>20</v>
      </c>
      <c r="C1019" s="42">
        <f t="shared" si="61"/>
        <v>11</v>
      </c>
      <c r="D1019" s="42">
        <f t="shared" si="62"/>
        <v>2019</v>
      </c>
      <c r="E1019" s="43">
        <v>43789</v>
      </c>
      <c r="F1019" s="42">
        <v>49.58</v>
      </c>
      <c r="G1019" s="42">
        <v>61.92</v>
      </c>
      <c r="H1019" s="42">
        <v>50.93</v>
      </c>
      <c r="I1019" s="42">
        <v>64</v>
      </c>
      <c r="J1019" s="42">
        <v>62.6</v>
      </c>
      <c r="K1019" s="42">
        <v>57.11</v>
      </c>
      <c r="L1019" s="42">
        <v>62.61</v>
      </c>
      <c r="M1019" s="42">
        <f t="shared" si="63"/>
        <v>7.5300000000000011</v>
      </c>
    </row>
    <row r="1020" spans="2:13" x14ac:dyDescent="0.25">
      <c r="B1020" s="42">
        <f t="shared" si="60"/>
        <v>21</v>
      </c>
      <c r="C1020" s="42">
        <f t="shared" si="61"/>
        <v>11</v>
      </c>
      <c r="D1020" s="42">
        <f t="shared" si="62"/>
        <v>2019</v>
      </c>
      <c r="E1020" s="43">
        <v>43790</v>
      </c>
      <c r="F1020" s="42">
        <v>51.25</v>
      </c>
      <c r="G1020" s="42">
        <v>62.86</v>
      </c>
      <c r="H1020" s="42">
        <v>52.97</v>
      </c>
      <c r="I1020" s="42">
        <v>64.92</v>
      </c>
      <c r="J1020" s="42">
        <v>63.43</v>
      </c>
      <c r="K1020" s="42">
        <v>58.63</v>
      </c>
      <c r="L1020" s="42">
        <v>64.08</v>
      </c>
      <c r="M1020" s="42">
        <f t="shared" si="63"/>
        <v>7.3800000000000026</v>
      </c>
    </row>
    <row r="1021" spans="2:13" x14ac:dyDescent="0.25">
      <c r="B1021" s="42">
        <f t="shared" si="60"/>
        <v>22</v>
      </c>
      <c r="C1021" s="42">
        <f t="shared" si="61"/>
        <v>11</v>
      </c>
      <c r="D1021" s="42">
        <f t="shared" si="62"/>
        <v>2019</v>
      </c>
      <c r="E1021" s="43">
        <v>43791</v>
      </c>
      <c r="F1021" s="42">
        <v>50.95</v>
      </c>
      <c r="G1021" s="42">
        <v>62.32</v>
      </c>
      <c r="H1021" s="42">
        <v>52.39</v>
      </c>
      <c r="I1021" s="42">
        <v>64.41</v>
      </c>
      <c r="J1021" s="42">
        <v>63.38</v>
      </c>
      <c r="K1021" s="42">
        <v>57.69</v>
      </c>
      <c r="L1021" s="42">
        <v>62.99</v>
      </c>
      <c r="M1021" s="42">
        <f t="shared" si="63"/>
        <v>6.7399999999999949</v>
      </c>
    </row>
    <row r="1022" spans="2:13" x14ac:dyDescent="0.25">
      <c r="B1022" s="42">
        <f t="shared" si="60"/>
        <v>25</v>
      </c>
      <c r="C1022" s="42">
        <f t="shared" si="61"/>
        <v>11</v>
      </c>
      <c r="D1022" s="42">
        <f t="shared" si="62"/>
        <v>2019</v>
      </c>
      <c r="E1022" s="43">
        <v>43794</v>
      </c>
      <c r="F1022" s="42">
        <v>51.27</v>
      </c>
      <c r="G1022" s="42">
        <v>62.62</v>
      </c>
      <c r="H1022" s="42">
        <v>53.11</v>
      </c>
      <c r="I1022" s="42">
        <v>64.709999999999994</v>
      </c>
      <c r="J1022" s="42">
        <v>63.5</v>
      </c>
      <c r="K1022" s="42">
        <v>57.94</v>
      </c>
      <c r="L1022" s="42">
        <v>63.34</v>
      </c>
      <c r="M1022" s="42">
        <f t="shared" si="63"/>
        <v>6.6699999999999946</v>
      </c>
    </row>
    <row r="1023" spans="2:13" x14ac:dyDescent="0.25">
      <c r="B1023" s="42">
        <f t="shared" si="60"/>
        <v>26</v>
      </c>
      <c r="C1023" s="42">
        <f t="shared" si="61"/>
        <v>11</v>
      </c>
      <c r="D1023" s="42">
        <f t="shared" si="62"/>
        <v>2019</v>
      </c>
      <c r="E1023" s="43">
        <v>43795</v>
      </c>
      <c r="F1023" s="42">
        <v>51.68</v>
      </c>
      <c r="G1023" s="42">
        <v>62.44</v>
      </c>
      <c r="H1023" s="42">
        <v>53.7</v>
      </c>
      <c r="I1023" s="42">
        <v>64.650000000000006</v>
      </c>
      <c r="J1023" s="42">
        <v>63.93</v>
      </c>
      <c r="K1023" s="42">
        <v>58.41</v>
      </c>
      <c r="L1023" s="42">
        <v>62.51</v>
      </c>
      <c r="M1023" s="42">
        <f t="shared" si="63"/>
        <v>6.7299999999999969</v>
      </c>
    </row>
    <row r="1024" spans="2:13" x14ac:dyDescent="0.25">
      <c r="B1024" s="42">
        <f t="shared" si="60"/>
        <v>27</v>
      </c>
      <c r="C1024" s="42">
        <f t="shared" si="61"/>
        <v>11</v>
      </c>
      <c r="D1024" s="42">
        <f t="shared" si="62"/>
        <v>2019</v>
      </c>
      <c r="E1024" s="43">
        <v>43796</v>
      </c>
      <c r="F1024" s="42">
        <v>51.24</v>
      </c>
      <c r="G1024" s="42">
        <v>62.11</v>
      </c>
      <c r="H1024" s="42">
        <v>53.24</v>
      </c>
      <c r="I1024" s="42">
        <v>64.34</v>
      </c>
      <c r="J1024" s="42">
        <v>63.86</v>
      </c>
      <c r="K1024" s="42">
        <v>58.11</v>
      </c>
      <c r="L1024" s="42">
        <v>62.26</v>
      </c>
      <c r="M1024" s="42">
        <f t="shared" si="63"/>
        <v>6.8699999999999974</v>
      </c>
    </row>
    <row r="1025" spans="2:13" x14ac:dyDescent="0.25">
      <c r="B1025" s="42">
        <f t="shared" si="60"/>
        <v>28</v>
      </c>
      <c r="C1025" s="42">
        <f t="shared" si="61"/>
        <v>11</v>
      </c>
      <c r="D1025" s="42">
        <f t="shared" si="62"/>
        <v>2019</v>
      </c>
      <c r="E1025" s="43">
        <v>43797</v>
      </c>
      <c r="F1025" s="42">
        <v>51.24</v>
      </c>
      <c r="G1025" s="42">
        <v>62.11</v>
      </c>
      <c r="H1025" s="42">
        <v>53.24</v>
      </c>
      <c r="I1025" s="42">
        <v>64.34</v>
      </c>
      <c r="J1025" s="42">
        <v>63.4</v>
      </c>
      <c r="K1025" s="42">
        <v>58.11</v>
      </c>
      <c r="L1025" s="42">
        <v>62.26</v>
      </c>
      <c r="M1025" s="42">
        <f t="shared" si="63"/>
        <v>6.8699999999999974</v>
      </c>
    </row>
    <row r="1026" spans="2:13" x14ac:dyDescent="0.25">
      <c r="B1026" s="42">
        <f t="shared" si="60"/>
        <v>29</v>
      </c>
      <c r="C1026" s="42">
        <f t="shared" si="61"/>
        <v>11</v>
      </c>
      <c r="D1026" s="42">
        <f t="shared" si="62"/>
        <v>2019</v>
      </c>
      <c r="E1026" s="43">
        <v>43798</v>
      </c>
      <c r="F1026" s="42">
        <v>51.24</v>
      </c>
      <c r="G1026" s="42">
        <v>59.37</v>
      </c>
      <c r="H1026" s="42">
        <v>51.25</v>
      </c>
      <c r="I1026" s="42">
        <v>61.68</v>
      </c>
      <c r="J1026" s="42">
        <v>61.44</v>
      </c>
      <c r="K1026" s="42">
        <v>58.11</v>
      </c>
      <c r="L1026" s="42">
        <v>62.26</v>
      </c>
      <c r="M1026" s="42">
        <f t="shared" si="63"/>
        <v>6.8699999999999974</v>
      </c>
    </row>
    <row r="1027" spans="2:13" x14ac:dyDescent="0.25">
      <c r="B1027" s="42">
        <f t="shared" si="60"/>
        <v>2</v>
      </c>
      <c r="C1027" s="42">
        <f t="shared" si="61"/>
        <v>12</v>
      </c>
      <c r="D1027" s="42">
        <f t="shared" si="62"/>
        <v>2019</v>
      </c>
      <c r="E1027" s="43">
        <v>43801</v>
      </c>
      <c r="F1027" s="42">
        <v>50.98</v>
      </c>
      <c r="G1027" s="42">
        <v>57.44</v>
      </c>
      <c r="H1027" s="42">
        <v>51.89</v>
      </c>
      <c r="I1027" s="42">
        <v>58.34</v>
      </c>
      <c r="J1027" s="42">
        <v>61.72</v>
      </c>
      <c r="K1027" s="42">
        <v>55.96</v>
      </c>
      <c r="L1027" s="42">
        <v>60.31</v>
      </c>
      <c r="M1027" s="42">
        <f t="shared" si="63"/>
        <v>4.980000000000004</v>
      </c>
    </row>
    <row r="1028" spans="2:13" x14ac:dyDescent="0.25">
      <c r="B1028" s="42">
        <f t="shared" si="60"/>
        <v>3</v>
      </c>
      <c r="C1028" s="42">
        <f t="shared" si="61"/>
        <v>12</v>
      </c>
      <c r="D1028" s="42">
        <f t="shared" si="62"/>
        <v>2019</v>
      </c>
      <c r="E1028" s="43">
        <v>43802</v>
      </c>
      <c r="F1028" s="42">
        <v>50.95</v>
      </c>
      <c r="G1028" s="42">
        <v>57.5</v>
      </c>
      <c r="H1028" s="42">
        <v>51.95</v>
      </c>
      <c r="I1028" s="42">
        <v>58.4</v>
      </c>
      <c r="J1028" s="42">
        <v>61.22</v>
      </c>
      <c r="K1028" s="42">
        <v>56.1</v>
      </c>
      <c r="L1028" s="42">
        <v>59.95</v>
      </c>
      <c r="M1028" s="42">
        <f t="shared" si="63"/>
        <v>5.1499999999999986</v>
      </c>
    </row>
    <row r="1029" spans="2:13" x14ac:dyDescent="0.25">
      <c r="B1029" s="42">
        <f t="shared" si="60"/>
        <v>4</v>
      </c>
      <c r="C1029" s="42">
        <f t="shared" si="61"/>
        <v>12</v>
      </c>
      <c r="D1029" s="42">
        <f t="shared" si="62"/>
        <v>2019</v>
      </c>
      <c r="E1029" s="43">
        <v>43803</v>
      </c>
      <c r="F1029" s="42">
        <v>52.78</v>
      </c>
      <c r="G1029" s="42">
        <v>59.6</v>
      </c>
      <c r="H1029" s="42">
        <v>54.05</v>
      </c>
      <c r="I1029" s="42">
        <v>60.5</v>
      </c>
      <c r="J1029" s="42">
        <v>62.92</v>
      </c>
      <c r="K1029" s="42">
        <v>58.43</v>
      </c>
      <c r="L1029" s="42">
        <v>62.08</v>
      </c>
      <c r="M1029" s="42">
        <f t="shared" si="63"/>
        <v>5.6499999999999986</v>
      </c>
    </row>
    <row r="1030" spans="2:13" x14ac:dyDescent="0.25">
      <c r="B1030" s="42">
        <f t="shared" si="60"/>
        <v>5</v>
      </c>
      <c r="C1030" s="42">
        <f t="shared" si="61"/>
        <v>12</v>
      </c>
      <c r="D1030" s="42">
        <f t="shared" si="62"/>
        <v>2019</v>
      </c>
      <c r="E1030" s="43">
        <v>43804</v>
      </c>
      <c r="F1030" s="42">
        <v>53.3</v>
      </c>
      <c r="G1030" s="42">
        <v>59.82</v>
      </c>
      <c r="H1030" s="42">
        <v>54.27</v>
      </c>
      <c r="I1030" s="42">
        <v>60.72</v>
      </c>
      <c r="J1030" s="42">
        <v>63.74</v>
      </c>
      <c r="K1030" s="42">
        <v>58.43</v>
      </c>
      <c r="L1030" s="42">
        <v>62.13</v>
      </c>
      <c r="M1030" s="42">
        <f t="shared" si="63"/>
        <v>5.1300000000000026</v>
      </c>
    </row>
    <row r="1031" spans="2:13" x14ac:dyDescent="0.25">
      <c r="B1031" s="42">
        <f t="shared" ref="B1031:B1094" si="64">DAY(E1031)</f>
        <v>6</v>
      </c>
      <c r="C1031" s="42">
        <f t="shared" ref="C1031:C1094" si="65">MONTH(E1031)</f>
        <v>12</v>
      </c>
      <c r="D1031" s="42">
        <f t="shared" ref="D1031:D1094" si="66">YEAR(E1031)</f>
        <v>2019</v>
      </c>
      <c r="E1031" s="43">
        <v>43805</v>
      </c>
      <c r="F1031" s="42">
        <v>54.15</v>
      </c>
      <c r="G1031" s="42">
        <v>60.75</v>
      </c>
      <c r="H1031" s="42">
        <v>55.2</v>
      </c>
      <c r="I1031" s="42">
        <v>61.65</v>
      </c>
      <c r="J1031" s="42">
        <v>64.33</v>
      </c>
      <c r="K1031" s="42">
        <v>59.2</v>
      </c>
      <c r="L1031" s="42">
        <v>63.05</v>
      </c>
      <c r="M1031" s="42">
        <f t="shared" ref="M1031:M1094" si="67">K1031-F1031</f>
        <v>5.0500000000000043</v>
      </c>
    </row>
    <row r="1032" spans="2:13" x14ac:dyDescent="0.25">
      <c r="B1032" s="42">
        <f t="shared" si="64"/>
        <v>9</v>
      </c>
      <c r="C1032" s="42">
        <f t="shared" si="65"/>
        <v>12</v>
      </c>
      <c r="D1032" s="42">
        <f t="shared" si="66"/>
        <v>2019</v>
      </c>
      <c r="E1032" s="43">
        <v>43808</v>
      </c>
      <c r="F1032" s="42">
        <v>54.21</v>
      </c>
      <c r="G1032" s="42">
        <v>60.68</v>
      </c>
      <c r="H1032" s="42">
        <v>55.13</v>
      </c>
      <c r="I1032" s="42">
        <v>61.58</v>
      </c>
      <c r="J1032" s="42">
        <v>64.5</v>
      </c>
      <c r="K1032" s="42">
        <v>59.02</v>
      </c>
      <c r="L1032" s="42">
        <v>63.17</v>
      </c>
      <c r="M1032" s="42">
        <f t="shared" si="67"/>
        <v>4.8100000000000023</v>
      </c>
    </row>
    <row r="1033" spans="2:13" x14ac:dyDescent="0.25">
      <c r="B1033" s="42">
        <f t="shared" si="64"/>
        <v>10</v>
      </c>
      <c r="C1033" s="42">
        <f t="shared" si="65"/>
        <v>12</v>
      </c>
      <c r="D1033" s="42">
        <f t="shared" si="66"/>
        <v>2019</v>
      </c>
      <c r="E1033" s="43">
        <v>43809</v>
      </c>
      <c r="F1033" s="42">
        <v>54.33</v>
      </c>
      <c r="G1033" s="42">
        <v>60.89</v>
      </c>
      <c r="H1033" s="42">
        <v>55.34</v>
      </c>
      <c r="I1033" s="42">
        <v>61.79</v>
      </c>
      <c r="J1033" s="42">
        <v>64.56</v>
      </c>
      <c r="K1033" s="42">
        <v>59.24</v>
      </c>
      <c r="L1033" s="42">
        <v>63.39</v>
      </c>
      <c r="M1033" s="42">
        <f t="shared" si="67"/>
        <v>4.9100000000000037</v>
      </c>
    </row>
    <row r="1034" spans="2:13" x14ac:dyDescent="0.25">
      <c r="B1034" s="42">
        <f t="shared" si="64"/>
        <v>11</v>
      </c>
      <c r="C1034" s="42">
        <f t="shared" si="65"/>
        <v>12</v>
      </c>
      <c r="D1034" s="42">
        <f t="shared" si="66"/>
        <v>2019</v>
      </c>
      <c r="E1034" s="43">
        <v>43810</v>
      </c>
      <c r="F1034" s="42">
        <v>54</v>
      </c>
      <c r="G1034" s="42">
        <v>60.42</v>
      </c>
      <c r="H1034" s="42">
        <v>54.87</v>
      </c>
      <c r="I1034" s="42">
        <v>61.32</v>
      </c>
      <c r="J1034" s="42">
        <v>63.35</v>
      </c>
      <c r="K1034" s="42">
        <v>58.76</v>
      </c>
      <c r="L1034" s="42">
        <v>62.91</v>
      </c>
      <c r="M1034" s="42">
        <f t="shared" si="67"/>
        <v>4.759999999999998</v>
      </c>
    </row>
    <row r="1035" spans="2:13" x14ac:dyDescent="0.25">
      <c r="B1035" s="42">
        <f t="shared" si="64"/>
        <v>12</v>
      </c>
      <c r="C1035" s="42">
        <f t="shared" si="65"/>
        <v>12</v>
      </c>
      <c r="D1035" s="42">
        <f t="shared" si="66"/>
        <v>2019</v>
      </c>
      <c r="E1035" s="43">
        <v>43811</v>
      </c>
      <c r="F1035" s="42">
        <v>54.28</v>
      </c>
      <c r="G1035" s="42">
        <v>60.91</v>
      </c>
      <c r="H1035" s="42">
        <v>55.36</v>
      </c>
      <c r="I1035" s="42">
        <v>61.81</v>
      </c>
      <c r="J1035" s="42">
        <v>64.540000000000006</v>
      </c>
      <c r="K1035" s="42">
        <v>59.18</v>
      </c>
      <c r="L1035" s="42">
        <v>63.33</v>
      </c>
      <c r="M1035" s="42">
        <f t="shared" si="67"/>
        <v>4.8999999999999986</v>
      </c>
    </row>
    <row r="1036" spans="2:13" x14ac:dyDescent="0.25">
      <c r="B1036" s="42">
        <f t="shared" si="64"/>
        <v>13</v>
      </c>
      <c r="C1036" s="42">
        <f t="shared" si="65"/>
        <v>12</v>
      </c>
      <c r="D1036" s="42">
        <f t="shared" si="66"/>
        <v>2019</v>
      </c>
      <c r="E1036" s="43">
        <v>43812</v>
      </c>
      <c r="F1036" s="42">
        <v>54.94</v>
      </c>
      <c r="G1036" s="42">
        <v>61.79</v>
      </c>
      <c r="H1036" s="42">
        <v>56.24</v>
      </c>
      <c r="I1036" s="42">
        <v>62.69</v>
      </c>
      <c r="J1036" s="42">
        <v>65.09</v>
      </c>
      <c r="K1036" s="42">
        <v>60.07</v>
      </c>
      <c r="L1036" s="42">
        <v>64.22</v>
      </c>
      <c r="M1036" s="42">
        <f t="shared" si="67"/>
        <v>5.1300000000000026</v>
      </c>
    </row>
    <row r="1037" spans="2:13" x14ac:dyDescent="0.25">
      <c r="B1037" s="42">
        <f t="shared" si="64"/>
        <v>16</v>
      </c>
      <c r="C1037" s="42">
        <f t="shared" si="65"/>
        <v>12</v>
      </c>
      <c r="D1037" s="42">
        <f t="shared" si="66"/>
        <v>2019</v>
      </c>
      <c r="E1037" s="43">
        <v>43815</v>
      </c>
      <c r="F1037" s="42">
        <v>55.43</v>
      </c>
      <c r="G1037" s="42">
        <v>61.97</v>
      </c>
      <c r="H1037" s="42">
        <v>56.42</v>
      </c>
      <c r="I1037" s="42">
        <v>62.87</v>
      </c>
      <c r="J1037" s="42">
        <v>65.709999999999994</v>
      </c>
      <c r="K1037" s="42">
        <v>60.21</v>
      </c>
      <c r="L1037" s="42">
        <v>64.36</v>
      </c>
      <c r="M1037" s="42">
        <f t="shared" si="67"/>
        <v>4.7800000000000011</v>
      </c>
    </row>
    <row r="1038" spans="2:13" x14ac:dyDescent="0.25">
      <c r="B1038" s="42">
        <f t="shared" si="64"/>
        <v>17</v>
      </c>
      <c r="C1038" s="42">
        <f t="shared" si="65"/>
        <v>12</v>
      </c>
      <c r="D1038" s="42">
        <f t="shared" si="66"/>
        <v>2019</v>
      </c>
      <c r="E1038" s="43">
        <v>43816</v>
      </c>
      <c r="F1038" s="42">
        <v>56.03</v>
      </c>
      <c r="G1038" s="42">
        <v>62.56</v>
      </c>
      <c r="H1038" s="42">
        <v>57.01</v>
      </c>
      <c r="I1038" s="42">
        <v>63.46</v>
      </c>
      <c r="J1038" s="42">
        <v>66.23</v>
      </c>
      <c r="K1038" s="42">
        <v>60.94</v>
      </c>
      <c r="L1038" s="42">
        <v>64.94</v>
      </c>
      <c r="M1038" s="42">
        <f t="shared" si="67"/>
        <v>4.9099999999999966</v>
      </c>
    </row>
    <row r="1039" spans="2:13" x14ac:dyDescent="0.25">
      <c r="B1039" s="42">
        <f t="shared" si="64"/>
        <v>18</v>
      </c>
      <c r="C1039" s="42">
        <f t="shared" si="65"/>
        <v>12</v>
      </c>
      <c r="D1039" s="42">
        <f t="shared" si="66"/>
        <v>2019</v>
      </c>
      <c r="E1039" s="43">
        <v>43817</v>
      </c>
      <c r="F1039" s="42">
        <v>56.04</v>
      </c>
      <c r="G1039" s="42">
        <v>62.57</v>
      </c>
      <c r="H1039" s="42">
        <v>57.02</v>
      </c>
      <c r="I1039" s="42">
        <v>63.47</v>
      </c>
      <c r="J1039" s="42">
        <v>66.09</v>
      </c>
      <c r="K1039" s="42">
        <v>60.93</v>
      </c>
      <c r="L1039" s="42">
        <v>64.63</v>
      </c>
      <c r="M1039" s="42">
        <f t="shared" si="67"/>
        <v>4.8900000000000006</v>
      </c>
    </row>
    <row r="1040" spans="2:13" x14ac:dyDescent="0.25">
      <c r="B1040" s="42">
        <f t="shared" si="64"/>
        <v>19</v>
      </c>
      <c r="C1040" s="42">
        <f t="shared" si="65"/>
        <v>12</v>
      </c>
      <c r="D1040" s="42">
        <f t="shared" si="66"/>
        <v>2019</v>
      </c>
      <c r="E1040" s="43">
        <v>43818</v>
      </c>
      <c r="F1040" s="42">
        <v>56.24</v>
      </c>
      <c r="G1040" s="42">
        <v>62.41</v>
      </c>
      <c r="H1040" s="42">
        <v>56.86</v>
      </c>
      <c r="I1040" s="42">
        <v>63.31</v>
      </c>
      <c r="J1040" s="42">
        <v>66.8</v>
      </c>
      <c r="K1040" s="42">
        <v>61.22</v>
      </c>
      <c r="L1040" s="42">
        <v>64.42</v>
      </c>
      <c r="M1040" s="42">
        <f t="shared" si="67"/>
        <v>4.9799999999999969</v>
      </c>
    </row>
    <row r="1041" spans="2:13" x14ac:dyDescent="0.25">
      <c r="B1041" s="42">
        <f t="shared" si="64"/>
        <v>20</v>
      </c>
      <c r="C1041" s="42">
        <f t="shared" si="65"/>
        <v>12</v>
      </c>
      <c r="D1041" s="42">
        <f t="shared" si="66"/>
        <v>2019</v>
      </c>
      <c r="E1041" s="43">
        <v>43819</v>
      </c>
      <c r="F1041" s="42">
        <v>55.81</v>
      </c>
      <c r="G1041" s="42">
        <v>61.62</v>
      </c>
      <c r="H1041" s="42">
        <v>56.07</v>
      </c>
      <c r="I1041" s="42">
        <v>62.52</v>
      </c>
      <c r="J1041" s="42">
        <v>66.16</v>
      </c>
      <c r="K1041" s="42">
        <v>60.39</v>
      </c>
      <c r="L1041" s="42">
        <v>63.59</v>
      </c>
      <c r="M1041" s="42">
        <f t="shared" si="67"/>
        <v>4.5799999999999983</v>
      </c>
    </row>
    <row r="1042" spans="2:13" x14ac:dyDescent="0.25">
      <c r="B1042" s="42">
        <f t="shared" si="64"/>
        <v>23</v>
      </c>
      <c r="C1042" s="42">
        <f t="shared" si="65"/>
        <v>12</v>
      </c>
      <c r="D1042" s="42">
        <f t="shared" si="66"/>
        <v>2019</v>
      </c>
      <c r="E1042" s="43">
        <v>43822</v>
      </c>
      <c r="F1042" s="42">
        <v>55.95</v>
      </c>
      <c r="G1042" s="42">
        <v>62.15</v>
      </c>
      <c r="H1042" s="42">
        <v>56.6</v>
      </c>
      <c r="I1042" s="42">
        <v>63.05</v>
      </c>
      <c r="J1042" s="42">
        <v>66.34</v>
      </c>
      <c r="K1042" s="42">
        <v>60.52</v>
      </c>
      <c r="L1042" s="42">
        <v>63.72</v>
      </c>
      <c r="M1042" s="42">
        <f t="shared" si="67"/>
        <v>4.57</v>
      </c>
    </row>
    <row r="1043" spans="2:13" x14ac:dyDescent="0.25">
      <c r="B1043" s="42">
        <f t="shared" si="64"/>
        <v>24</v>
      </c>
      <c r="C1043" s="42">
        <f t="shared" si="65"/>
        <v>12</v>
      </c>
      <c r="D1043" s="42">
        <f t="shared" si="66"/>
        <v>2019</v>
      </c>
      <c r="E1043" s="43">
        <v>43823</v>
      </c>
      <c r="F1043" s="42">
        <v>55.95</v>
      </c>
      <c r="G1043" s="42">
        <v>62.66</v>
      </c>
      <c r="H1043" s="42">
        <v>57.11</v>
      </c>
      <c r="I1043" s="42">
        <v>63.56</v>
      </c>
      <c r="J1043" s="42">
        <v>67.099999999999994</v>
      </c>
      <c r="K1043" s="42">
        <v>61.11</v>
      </c>
      <c r="L1043" s="42">
        <v>64.31</v>
      </c>
      <c r="M1043" s="42">
        <f t="shared" si="67"/>
        <v>5.1599999999999966</v>
      </c>
    </row>
    <row r="1044" spans="2:13" x14ac:dyDescent="0.25">
      <c r="B1044" s="42">
        <f t="shared" si="64"/>
        <v>25</v>
      </c>
      <c r="C1044" s="42">
        <f t="shared" si="65"/>
        <v>12</v>
      </c>
      <c r="D1044" s="42">
        <f t="shared" si="66"/>
        <v>2019</v>
      </c>
      <c r="E1044" s="43">
        <v>43824</v>
      </c>
      <c r="F1044" s="42">
        <v>55.95</v>
      </c>
      <c r="G1044" s="42">
        <v>62.66</v>
      </c>
      <c r="H1044" s="42">
        <v>57.11</v>
      </c>
      <c r="I1044" s="42">
        <v>63.56</v>
      </c>
      <c r="J1044" s="42">
        <v>67.099999999999994</v>
      </c>
      <c r="K1044" s="42">
        <v>61.11</v>
      </c>
      <c r="L1044" s="42">
        <v>64.31</v>
      </c>
      <c r="M1044" s="42">
        <f t="shared" si="67"/>
        <v>5.1599999999999966</v>
      </c>
    </row>
    <row r="1045" spans="2:13" x14ac:dyDescent="0.25">
      <c r="B1045" s="42">
        <f t="shared" si="64"/>
        <v>26</v>
      </c>
      <c r="C1045" s="42">
        <f t="shared" si="65"/>
        <v>12</v>
      </c>
      <c r="D1045" s="42">
        <f t="shared" si="66"/>
        <v>2019</v>
      </c>
      <c r="E1045" s="43">
        <v>43825</v>
      </c>
      <c r="F1045" s="42">
        <v>57.32</v>
      </c>
      <c r="G1045" s="42">
        <v>63.43</v>
      </c>
      <c r="H1045" s="42">
        <v>57.88</v>
      </c>
      <c r="I1045" s="42">
        <v>64.33</v>
      </c>
      <c r="J1045" s="42">
        <v>67.099999999999994</v>
      </c>
      <c r="K1045" s="42">
        <v>61.68</v>
      </c>
      <c r="L1045" s="42">
        <v>64.78</v>
      </c>
      <c r="M1045" s="42">
        <f t="shared" si="67"/>
        <v>4.3599999999999994</v>
      </c>
    </row>
    <row r="1046" spans="2:13" x14ac:dyDescent="0.25">
      <c r="B1046" s="42">
        <f t="shared" si="64"/>
        <v>27</v>
      </c>
      <c r="C1046" s="42">
        <f t="shared" si="65"/>
        <v>12</v>
      </c>
      <c r="D1046" s="42">
        <f t="shared" si="66"/>
        <v>2019</v>
      </c>
      <c r="E1046" s="43">
        <v>43826</v>
      </c>
      <c r="F1046" s="42">
        <v>57.57</v>
      </c>
      <c r="G1046" s="42">
        <v>63.6</v>
      </c>
      <c r="H1046" s="42">
        <v>58.05</v>
      </c>
      <c r="I1046" s="42">
        <v>64.5</v>
      </c>
      <c r="J1046" s="42">
        <v>68.2</v>
      </c>
      <c r="K1046" s="42">
        <v>61.72</v>
      </c>
      <c r="L1046" s="42">
        <v>64.92</v>
      </c>
      <c r="M1046" s="42">
        <f t="shared" si="67"/>
        <v>4.1499999999999986</v>
      </c>
    </row>
    <row r="1047" spans="2:13" x14ac:dyDescent="0.25">
      <c r="B1047" s="42">
        <f t="shared" si="64"/>
        <v>30</v>
      </c>
      <c r="C1047" s="42">
        <f t="shared" si="65"/>
        <v>12</v>
      </c>
      <c r="D1047" s="42">
        <f t="shared" si="66"/>
        <v>2019</v>
      </c>
      <c r="E1047" s="43">
        <v>43829</v>
      </c>
      <c r="F1047" s="42">
        <v>57.68</v>
      </c>
      <c r="G1047" s="42">
        <v>63.71</v>
      </c>
      <c r="H1047" s="42">
        <v>58.16</v>
      </c>
      <c r="I1047" s="42">
        <v>64.61</v>
      </c>
      <c r="J1047" s="42">
        <v>67.94</v>
      </c>
      <c r="K1047" s="42">
        <v>61.68</v>
      </c>
      <c r="L1047" s="42">
        <v>64.98</v>
      </c>
      <c r="M1047" s="42">
        <f t="shared" si="67"/>
        <v>4</v>
      </c>
    </row>
    <row r="1048" spans="2:13" x14ac:dyDescent="0.25">
      <c r="B1048" s="42">
        <f t="shared" si="64"/>
        <v>31</v>
      </c>
      <c r="C1048" s="42">
        <f t="shared" si="65"/>
        <v>12</v>
      </c>
      <c r="D1048" s="42">
        <f t="shared" si="66"/>
        <v>2019</v>
      </c>
      <c r="E1048" s="43">
        <v>43830</v>
      </c>
      <c r="F1048" s="42">
        <v>56.14</v>
      </c>
      <c r="G1048" s="42">
        <v>62.37</v>
      </c>
      <c r="H1048" s="42">
        <v>56.82</v>
      </c>
      <c r="I1048" s="42">
        <v>63.27</v>
      </c>
      <c r="J1048" s="42">
        <v>67.08</v>
      </c>
      <c r="K1048" s="42">
        <v>61.06</v>
      </c>
      <c r="L1048" s="42">
        <v>64.91</v>
      </c>
      <c r="M1048" s="42">
        <f t="shared" si="67"/>
        <v>4.9200000000000017</v>
      </c>
    </row>
    <row r="1049" spans="2:13" x14ac:dyDescent="0.25">
      <c r="B1049" s="42">
        <f t="shared" si="64"/>
        <v>1</v>
      </c>
      <c r="C1049" s="42">
        <f t="shared" si="65"/>
        <v>1</v>
      </c>
      <c r="D1049" s="42">
        <f t="shared" si="66"/>
        <v>2020</v>
      </c>
      <c r="E1049" s="43">
        <v>43831</v>
      </c>
      <c r="F1049" s="42">
        <v>56.14</v>
      </c>
      <c r="G1049" s="42">
        <v>62.37</v>
      </c>
      <c r="H1049" s="42">
        <v>56.82</v>
      </c>
      <c r="I1049" s="42">
        <v>63.27</v>
      </c>
      <c r="J1049" s="42">
        <v>67.08</v>
      </c>
      <c r="K1049" s="42">
        <v>61.06</v>
      </c>
      <c r="L1049" s="42">
        <v>64.91</v>
      </c>
      <c r="M1049" s="42">
        <f t="shared" si="67"/>
        <v>4.9200000000000017</v>
      </c>
    </row>
    <row r="1050" spans="2:13" x14ac:dyDescent="0.25">
      <c r="B1050" s="42">
        <f t="shared" si="64"/>
        <v>2</v>
      </c>
      <c r="C1050" s="42">
        <f t="shared" si="65"/>
        <v>1</v>
      </c>
      <c r="D1050" s="42">
        <f t="shared" si="66"/>
        <v>2020</v>
      </c>
      <c r="E1050" s="43">
        <v>43832</v>
      </c>
      <c r="F1050" s="42">
        <v>56.67</v>
      </c>
      <c r="G1050" s="42">
        <v>60.58</v>
      </c>
      <c r="H1050" s="42">
        <v>56.98</v>
      </c>
      <c r="I1050" s="42">
        <v>63.03</v>
      </c>
      <c r="J1050" s="42">
        <v>65.84</v>
      </c>
      <c r="K1050" s="42">
        <v>61.18</v>
      </c>
      <c r="L1050" s="42">
        <v>65.08</v>
      </c>
      <c r="M1050" s="42">
        <f t="shared" si="67"/>
        <v>4.509999999999998</v>
      </c>
    </row>
    <row r="1051" spans="2:13" x14ac:dyDescent="0.25">
      <c r="B1051" s="42">
        <f t="shared" si="64"/>
        <v>3</v>
      </c>
      <c r="C1051" s="42">
        <f t="shared" si="65"/>
        <v>1</v>
      </c>
      <c r="D1051" s="42">
        <f t="shared" si="66"/>
        <v>2020</v>
      </c>
      <c r="E1051" s="43">
        <v>43833</v>
      </c>
      <c r="F1051" s="42">
        <v>58.88</v>
      </c>
      <c r="G1051" s="42">
        <v>62.72</v>
      </c>
      <c r="H1051" s="42">
        <v>59.12</v>
      </c>
      <c r="I1051" s="42">
        <v>65.17</v>
      </c>
      <c r="J1051" s="42">
        <v>67.959999999999994</v>
      </c>
      <c r="K1051" s="42">
        <v>63.05</v>
      </c>
      <c r="L1051" s="42">
        <v>67</v>
      </c>
      <c r="M1051" s="42">
        <f t="shared" si="67"/>
        <v>4.1699999999999946</v>
      </c>
    </row>
    <row r="1052" spans="2:13" x14ac:dyDescent="0.25">
      <c r="B1052" s="42">
        <f t="shared" si="64"/>
        <v>6</v>
      </c>
      <c r="C1052" s="42">
        <f t="shared" si="65"/>
        <v>1</v>
      </c>
      <c r="D1052" s="42">
        <f t="shared" si="66"/>
        <v>2020</v>
      </c>
      <c r="E1052" s="43">
        <v>43836</v>
      </c>
      <c r="F1052" s="42">
        <v>59.35</v>
      </c>
      <c r="G1052" s="42">
        <v>63</v>
      </c>
      <c r="H1052" s="42">
        <v>59.4</v>
      </c>
      <c r="I1052" s="42">
        <v>65.45</v>
      </c>
      <c r="J1052" s="42">
        <v>68.959999999999994</v>
      </c>
      <c r="K1052" s="42">
        <v>63.27</v>
      </c>
      <c r="L1052" s="42">
        <v>67.37</v>
      </c>
      <c r="M1052" s="42">
        <f t="shared" si="67"/>
        <v>3.9200000000000017</v>
      </c>
    </row>
    <row r="1053" spans="2:13" x14ac:dyDescent="0.25">
      <c r="B1053" s="42">
        <f t="shared" si="64"/>
        <v>7</v>
      </c>
      <c r="C1053" s="42">
        <f t="shared" si="65"/>
        <v>1</v>
      </c>
      <c r="D1053" s="42">
        <f t="shared" si="66"/>
        <v>2020</v>
      </c>
      <c r="E1053" s="43">
        <v>43837</v>
      </c>
      <c r="F1053" s="42">
        <v>58.61</v>
      </c>
      <c r="G1053" s="42">
        <v>62.38</v>
      </c>
      <c r="H1053" s="42">
        <v>58.78</v>
      </c>
      <c r="I1053" s="42">
        <v>64.83</v>
      </c>
      <c r="J1053" s="42">
        <v>68.06</v>
      </c>
      <c r="K1053" s="42">
        <v>62.7</v>
      </c>
      <c r="L1053" s="42">
        <v>66.599999999999994</v>
      </c>
      <c r="M1053" s="42">
        <f t="shared" si="67"/>
        <v>4.0900000000000034</v>
      </c>
    </row>
    <row r="1054" spans="2:13" x14ac:dyDescent="0.25">
      <c r="B1054" s="42">
        <f t="shared" si="64"/>
        <v>8</v>
      </c>
      <c r="C1054" s="42">
        <f t="shared" si="65"/>
        <v>1</v>
      </c>
      <c r="D1054" s="42">
        <f t="shared" si="66"/>
        <v>2020</v>
      </c>
      <c r="E1054" s="43">
        <v>43838</v>
      </c>
      <c r="F1054" s="42">
        <v>56.12</v>
      </c>
      <c r="G1054" s="42">
        <v>59.54</v>
      </c>
      <c r="H1054" s="42">
        <v>55.94</v>
      </c>
      <c r="I1054" s="42">
        <v>61.99</v>
      </c>
      <c r="J1054" s="42">
        <v>66.75</v>
      </c>
      <c r="K1054" s="42">
        <v>59.61</v>
      </c>
      <c r="L1054" s="42">
        <v>63.61</v>
      </c>
      <c r="M1054" s="42">
        <f t="shared" si="67"/>
        <v>3.490000000000002</v>
      </c>
    </row>
    <row r="1055" spans="2:13" x14ac:dyDescent="0.25">
      <c r="B1055" s="42">
        <f t="shared" si="64"/>
        <v>9</v>
      </c>
      <c r="C1055" s="42">
        <f t="shared" si="65"/>
        <v>1</v>
      </c>
      <c r="D1055" s="42">
        <f t="shared" si="66"/>
        <v>2020</v>
      </c>
      <c r="E1055" s="43">
        <v>43839</v>
      </c>
      <c r="F1055" s="42">
        <v>55.7</v>
      </c>
      <c r="G1055" s="42">
        <v>59.31</v>
      </c>
      <c r="H1055" s="42">
        <v>55.71</v>
      </c>
      <c r="I1055" s="42">
        <v>61.76</v>
      </c>
      <c r="J1055" s="42">
        <v>65.540000000000006</v>
      </c>
      <c r="K1055" s="42">
        <v>59.56</v>
      </c>
      <c r="L1055" s="42">
        <v>63.51</v>
      </c>
      <c r="M1055" s="42">
        <f t="shared" si="67"/>
        <v>3.8599999999999994</v>
      </c>
    </row>
    <row r="1056" spans="2:13" x14ac:dyDescent="0.25">
      <c r="B1056" s="42">
        <f t="shared" si="64"/>
        <v>10</v>
      </c>
      <c r="C1056" s="42">
        <f t="shared" si="65"/>
        <v>1</v>
      </c>
      <c r="D1056" s="42">
        <f t="shared" si="66"/>
        <v>2020</v>
      </c>
      <c r="E1056" s="43">
        <v>43840</v>
      </c>
      <c r="F1056" s="42">
        <v>55.33</v>
      </c>
      <c r="G1056" s="42">
        <v>58.98</v>
      </c>
      <c r="H1056" s="42">
        <v>55.38</v>
      </c>
      <c r="I1056" s="42">
        <v>61.43</v>
      </c>
      <c r="J1056" s="42">
        <v>65.569999999999993</v>
      </c>
      <c r="K1056" s="42">
        <v>59.04</v>
      </c>
      <c r="L1056" s="42">
        <v>62.94</v>
      </c>
      <c r="M1056" s="42">
        <f t="shared" si="67"/>
        <v>3.7100000000000009</v>
      </c>
    </row>
    <row r="1057" spans="2:13" x14ac:dyDescent="0.25">
      <c r="B1057" s="42">
        <f t="shared" si="64"/>
        <v>13</v>
      </c>
      <c r="C1057" s="42">
        <f t="shared" si="65"/>
        <v>1</v>
      </c>
      <c r="D1057" s="42">
        <f t="shared" si="66"/>
        <v>2020</v>
      </c>
      <c r="E1057" s="43">
        <v>43843</v>
      </c>
      <c r="F1057" s="42">
        <v>54.6</v>
      </c>
      <c r="G1057" s="42">
        <v>58.17</v>
      </c>
      <c r="H1057" s="42">
        <v>54.57</v>
      </c>
      <c r="I1057" s="42">
        <v>60.62</v>
      </c>
      <c r="J1057" s="42">
        <v>64.150000000000006</v>
      </c>
      <c r="K1057" s="42">
        <v>58.08</v>
      </c>
      <c r="L1057" s="42">
        <v>61.93</v>
      </c>
      <c r="M1057" s="42">
        <f t="shared" si="67"/>
        <v>3.4799999999999969</v>
      </c>
    </row>
    <row r="1058" spans="2:13" x14ac:dyDescent="0.25">
      <c r="B1058" s="42">
        <f t="shared" si="64"/>
        <v>14</v>
      </c>
      <c r="C1058" s="42">
        <f t="shared" si="65"/>
        <v>1</v>
      </c>
      <c r="D1058" s="42">
        <f t="shared" si="66"/>
        <v>2020</v>
      </c>
      <c r="E1058" s="43">
        <v>43844</v>
      </c>
      <c r="F1058" s="42">
        <v>54.82</v>
      </c>
      <c r="G1058" s="42">
        <v>58.62</v>
      </c>
      <c r="H1058" s="42">
        <v>55.02</v>
      </c>
      <c r="I1058" s="42">
        <v>61.07</v>
      </c>
      <c r="J1058" s="42">
        <v>64.819999999999993</v>
      </c>
      <c r="K1058" s="42">
        <v>58.23</v>
      </c>
      <c r="L1058" s="42">
        <v>62.13</v>
      </c>
      <c r="M1058" s="42">
        <f t="shared" si="67"/>
        <v>3.4099999999999966</v>
      </c>
    </row>
    <row r="1059" spans="2:13" x14ac:dyDescent="0.25">
      <c r="B1059" s="42">
        <f t="shared" si="64"/>
        <v>15</v>
      </c>
      <c r="C1059" s="42">
        <f t="shared" si="65"/>
        <v>1</v>
      </c>
      <c r="D1059" s="42">
        <f t="shared" si="66"/>
        <v>2020</v>
      </c>
      <c r="E1059" s="43">
        <v>43845</v>
      </c>
      <c r="F1059" s="42">
        <v>54.4</v>
      </c>
      <c r="G1059" s="42">
        <v>58.2</v>
      </c>
      <c r="H1059" s="42">
        <v>54.6</v>
      </c>
      <c r="I1059" s="42">
        <v>60.65</v>
      </c>
      <c r="J1059" s="42">
        <v>63.93</v>
      </c>
      <c r="K1059" s="42">
        <v>57.81</v>
      </c>
      <c r="L1059" s="42">
        <v>61.56</v>
      </c>
      <c r="M1059" s="42">
        <f t="shared" si="67"/>
        <v>3.4100000000000037</v>
      </c>
    </row>
    <row r="1060" spans="2:13" x14ac:dyDescent="0.25">
      <c r="B1060" s="42">
        <f t="shared" si="64"/>
        <v>16</v>
      </c>
      <c r="C1060" s="42">
        <f t="shared" si="65"/>
        <v>1</v>
      </c>
      <c r="D1060" s="42">
        <f t="shared" si="66"/>
        <v>2020</v>
      </c>
      <c r="E1060" s="43">
        <v>43846</v>
      </c>
      <c r="F1060" s="42">
        <v>54.95</v>
      </c>
      <c r="G1060" s="42">
        <v>58.74</v>
      </c>
      <c r="H1060" s="42">
        <v>55.14</v>
      </c>
      <c r="I1060" s="42">
        <v>61.19</v>
      </c>
      <c r="J1060" s="42">
        <v>64.87</v>
      </c>
      <c r="K1060" s="42">
        <v>58.52</v>
      </c>
      <c r="L1060" s="42">
        <v>62.32</v>
      </c>
      <c r="M1060" s="42">
        <f t="shared" si="67"/>
        <v>3.5700000000000003</v>
      </c>
    </row>
    <row r="1061" spans="2:13" x14ac:dyDescent="0.25">
      <c r="B1061" s="42">
        <f t="shared" si="64"/>
        <v>17</v>
      </c>
      <c r="C1061" s="42">
        <f t="shared" si="65"/>
        <v>1</v>
      </c>
      <c r="D1061" s="42">
        <f t="shared" si="66"/>
        <v>2020</v>
      </c>
      <c r="E1061" s="43">
        <v>43847</v>
      </c>
      <c r="F1061" s="42">
        <v>55.06</v>
      </c>
      <c r="G1061" s="42">
        <v>58.74</v>
      </c>
      <c r="H1061" s="42">
        <v>55.14</v>
      </c>
      <c r="I1061" s="42">
        <v>61.19</v>
      </c>
      <c r="J1061" s="42">
        <v>64.59</v>
      </c>
      <c r="K1061" s="42">
        <v>58.54</v>
      </c>
      <c r="L1061" s="42">
        <v>62.24</v>
      </c>
      <c r="M1061" s="42">
        <f t="shared" si="67"/>
        <v>3.4799999999999969</v>
      </c>
    </row>
    <row r="1062" spans="2:13" x14ac:dyDescent="0.25">
      <c r="B1062" s="42">
        <f t="shared" si="64"/>
        <v>20</v>
      </c>
      <c r="C1062" s="42">
        <f t="shared" si="65"/>
        <v>1</v>
      </c>
      <c r="D1062" s="42">
        <f t="shared" si="66"/>
        <v>2020</v>
      </c>
      <c r="E1062" s="43">
        <v>43850</v>
      </c>
      <c r="F1062" s="42">
        <v>55.06</v>
      </c>
      <c r="G1062" s="42">
        <v>58.74</v>
      </c>
      <c r="H1062" s="42">
        <v>55.14</v>
      </c>
      <c r="I1062" s="42">
        <v>61.19</v>
      </c>
      <c r="J1062" s="42">
        <v>65.180000000000007</v>
      </c>
      <c r="K1062" s="42">
        <v>58.54</v>
      </c>
      <c r="L1062" s="42">
        <v>62.24</v>
      </c>
      <c r="M1062" s="42">
        <f t="shared" si="67"/>
        <v>3.4799999999999969</v>
      </c>
    </row>
    <row r="1063" spans="2:13" x14ac:dyDescent="0.25">
      <c r="B1063" s="42">
        <f t="shared" si="64"/>
        <v>21</v>
      </c>
      <c r="C1063" s="42">
        <f t="shared" si="65"/>
        <v>1</v>
      </c>
      <c r="D1063" s="42">
        <f t="shared" si="66"/>
        <v>2020</v>
      </c>
      <c r="E1063" s="43">
        <v>43851</v>
      </c>
      <c r="F1063" s="42">
        <v>54.79</v>
      </c>
      <c r="G1063" s="42">
        <v>58.41</v>
      </c>
      <c r="H1063" s="42">
        <v>54.81</v>
      </c>
      <c r="I1063" s="42">
        <v>60.86</v>
      </c>
      <c r="J1063" s="42">
        <v>64.72</v>
      </c>
      <c r="K1063" s="42">
        <v>58.34</v>
      </c>
      <c r="L1063" s="42">
        <v>62.04</v>
      </c>
      <c r="M1063" s="42">
        <f t="shared" si="67"/>
        <v>3.5500000000000043</v>
      </c>
    </row>
    <row r="1064" spans="2:13" x14ac:dyDescent="0.25">
      <c r="B1064" s="42">
        <f t="shared" si="64"/>
        <v>22</v>
      </c>
      <c r="C1064" s="42">
        <f t="shared" si="65"/>
        <v>1</v>
      </c>
      <c r="D1064" s="42">
        <f t="shared" si="66"/>
        <v>2020</v>
      </c>
      <c r="E1064" s="43">
        <v>43852</v>
      </c>
      <c r="F1064" s="42">
        <v>53.43</v>
      </c>
      <c r="G1064" s="42">
        <v>56.85</v>
      </c>
      <c r="H1064" s="42">
        <v>53.25</v>
      </c>
      <c r="I1064" s="42">
        <v>59.3</v>
      </c>
      <c r="J1064" s="42">
        <v>63.27</v>
      </c>
      <c r="K1064" s="42">
        <v>56.64</v>
      </c>
      <c r="L1064" s="42">
        <v>60.49</v>
      </c>
      <c r="M1064" s="42">
        <f t="shared" si="67"/>
        <v>3.2100000000000009</v>
      </c>
    </row>
    <row r="1065" spans="2:13" x14ac:dyDescent="0.25">
      <c r="B1065" s="42">
        <f t="shared" si="64"/>
        <v>23</v>
      </c>
      <c r="C1065" s="42">
        <f t="shared" si="65"/>
        <v>1</v>
      </c>
      <c r="D1065" s="42">
        <f t="shared" si="66"/>
        <v>2020</v>
      </c>
      <c r="E1065" s="43">
        <v>43853</v>
      </c>
      <c r="F1065" s="42">
        <v>52.27</v>
      </c>
      <c r="G1065" s="42">
        <v>55.86</v>
      </c>
      <c r="H1065" s="42">
        <v>52.26</v>
      </c>
      <c r="I1065" s="42">
        <v>58.31</v>
      </c>
      <c r="J1065" s="42">
        <v>61.85</v>
      </c>
      <c r="K1065" s="42">
        <v>55.5</v>
      </c>
      <c r="L1065" s="42">
        <v>59.35</v>
      </c>
      <c r="M1065" s="42">
        <f t="shared" si="67"/>
        <v>3.2299999999999969</v>
      </c>
    </row>
    <row r="1066" spans="2:13" x14ac:dyDescent="0.25">
      <c r="B1066" s="42">
        <f t="shared" si="64"/>
        <v>24</v>
      </c>
      <c r="C1066" s="42">
        <f t="shared" si="65"/>
        <v>1</v>
      </c>
      <c r="D1066" s="42">
        <f t="shared" si="66"/>
        <v>2020</v>
      </c>
      <c r="E1066" s="43">
        <v>43854</v>
      </c>
      <c r="F1066" s="42">
        <v>51.09</v>
      </c>
      <c r="G1066" s="42">
        <v>54.71</v>
      </c>
      <c r="H1066" s="42">
        <v>51.11</v>
      </c>
      <c r="I1066" s="42">
        <v>57.16</v>
      </c>
      <c r="J1066" s="42">
        <v>60.59</v>
      </c>
      <c r="K1066" s="42">
        <v>54.1</v>
      </c>
      <c r="L1066" s="42">
        <v>58.2</v>
      </c>
      <c r="M1066" s="42">
        <f t="shared" si="67"/>
        <v>3.009999999999998</v>
      </c>
    </row>
    <row r="1067" spans="2:13" x14ac:dyDescent="0.25">
      <c r="B1067" s="42">
        <f t="shared" si="64"/>
        <v>27</v>
      </c>
      <c r="C1067" s="42">
        <f t="shared" si="65"/>
        <v>1</v>
      </c>
      <c r="D1067" s="42">
        <f t="shared" si="66"/>
        <v>2020</v>
      </c>
      <c r="E1067" s="43">
        <v>43857</v>
      </c>
      <c r="F1067" s="42">
        <v>49.8</v>
      </c>
      <c r="G1067" s="42">
        <v>53.04</v>
      </c>
      <c r="H1067" s="42">
        <v>49.44</v>
      </c>
      <c r="I1067" s="42">
        <v>55.49</v>
      </c>
      <c r="J1067" s="42">
        <v>59.1</v>
      </c>
      <c r="K1067" s="42">
        <v>53.14</v>
      </c>
      <c r="L1067" s="42">
        <v>56.69</v>
      </c>
      <c r="M1067" s="42">
        <f t="shared" si="67"/>
        <v>3.3400000000000034</v>
      </c>
    </row>
    <row r="1068" spans="2:13" x14ac:dyDescent="0.25">
      <c r="B1068" s="42">
        <f t="shared" si="64"/>
        <v>28</v>
      </c>
      <c r="C1068" s="42">
        <f t="shared" si="65"/>
        <v>1</v>
      </c>
      <c r="D1068" s="42">
        <f t="shared" si="66"/>
        <v>2020</v>
      </c>
      <c r="E1068" s="43">
        <v>43858</v>
      </c>
      <c r="F1068" s="42">
        <v>49.59</v>
      </c>
      <c r="G1068" s="42">
        <v>53.42</v>
      </c>
      <c r="H1068" s="42">
        <v>49.82</v>
      </c>
      <c r="I1068" s="42">
        <v>55.87</v>
      </c>
      <c r="J1068" s="42">
        <v>59.97</v>
      </c>
      <c r="K1068" s="42">
        <v>53.48</v>
      </c>
      <c r="L1068" s="42">
        <v>57.33</v>
      </c>
      <c r="M1068" s="42">
        <f t="shared" si="67"/>
        <v>3.8899999999999935</v>
      </c>
    </row>
    <row r="1069" spans="2:13" x14ac:dyDescent="0.25">
      <c r="B1069" s="42">
        <f t="shared" si="64"/>
        <v>29</v>
      </c>
      <c r="C1069" s="42">
        <f t="shared" si="65"/>
        <v>1</v>
      </c>
      <c r="D1069" s="42">
        <f t="shared" si="66"/>
        <v>2020</v>
      </c>
      <c r="E1069" s="43">
        <v>43859</v>
      </c>
      <c r="F1069" s="42">
        <v>49.86</v>
      </c>
      <c r="G1069" s="42">
        <v>53.38</v>
      </c>
      <c r="H1069" s="42">
        <v>49.78</v>
      </c>
      <c r="I1069" s="42">
        <v>55.83</v>
      </c>
      <c r="J1069" s="42">
        <v>60.06</v>
      </c>
      <c r="K1069" s="42">
        <v>53.33</v>
      </c>
      <c r="L1069" s="42">
        <v>57.18</v>
      </c>
      <c r="M1069" s="42">
        <f t="shared" si="67"/>
        <v>3.4699999999999989</v>
      </c>
    </row>
    <row r="1070" spans="2:13" x14ac:dyDescent="0.25">
      <c r="B1070" s="42">
        <f t="shared" si="64"/>
        <v>30</v>
      </c>
      <c r="C1070" s="42">
        <f t="shared" si="65"/>
        <v>1</v>
      </c>
      <c r="D1070" s="42">
        <f t="shared" si="66"/>
        <v>2020</v>
      </c>
      <c r="E1070" s="43">
        <v>43860</v>
      </c>
      <c r="F1070" s="42">
        <v>48.37</v>
      </c>
      <c r="G1070" s="42">
        <v>52.25</v>
      </c>
      <c r="H1070" s="42">
        <v>48.65</v>
      </c>
      <c r="I1070" s="42">
        <v>54.7</v>
      </c>
      <c r="J1070" s="42">
        <v>58.82</v>
      </c>
      <c r="K1070" s="42">
        <v>52.14</v>
      </c>
      <c r="L1070" s="42">
        <v>55.99</v>
      </c>
      <c r="M1070" s="42">
        <f t="shared" si="67"/>
        <v>3.7700000000000031</v>
      </c>
    </row>
    <row r="1071" spans="2:13" x14ac:dyDescent="0.25">
      <c r="B1071" s="42">
        <f t="shared" si="64"/>
        <v>31</v>
      </c>
      <c r="C1071" s="42">
        <f t="shared" si="65"/>
        <v>1</v>
      </c>
      <c r="D1071" s="42">
        <f t="shared" si="66"/>
        <v>2020</v>
      </c>
      <c r="E1071" s="43">
        <v>43861</v>
      </c>
      <c r="F1071" s="42">
        <v>48.15</v>
      </c>
      <c r="G1071" s="42">
        <v>51.62</v>
      </c>
      <c r="H1071" s="42">
        <v>48.02</v>
      </c>
      <c r="I1071" s="42">
        <v>54.07</v>
      </c>
      <c r="J1071" s="42">
        <v>57.94</v>
      </c>
      <c r="K1071" s="42">
        <v>51.56</v>
      </c>
      <c r="L1071" s="42">
        <v>55.36</v>
      </c>
      <c r="M1071" s="42">
        <f t="shared" si="67"/>
        <v>3.4100000000000037</v>
      </c>
    </row>
    <row r="1072" spans="2:13" x14ac:dyDescent="0.25">
      <c r="B1072" s="42">
        <f t="shared" si="64"/>
        <v>3</v>
      </c>
      <c r="C1072" s="42">
        <f t="shared" si="65"/>
        <v>2</v>
      </c>
      <c r="D1072" s="42">
        <f t="shared" si="66"/>
        <v>2020</v>
      </c>
      <c r="E1072" s="43">
        <v>43864</v>
      </c>
      <c r="F1072" s="42">
        <v>44.44</v>
      </c>
      <c r="G1072" s="42">
        <v>47.77</v>
      </c>
      <c r="H1072" s="42">
        <v>45.47</v>
      </c>
      <c r="I1072" s="42">
        <v>53.17</v>
      </c>
      <c r="J1072" s="42">
        <v>54.87</v>
      </c>
      <c r="K1072" s="42">
        <v>50.11</v>
      </c>
      <c r="L1072" s="42">
        <v>53.91</v>
      </c>
      <c r="M1072" s="42">
        <f t="shared" si="67"/>
        <v>5.6700000000000017</v>
      </c>
    </row>
    <row r="1073" spans="2:13" x14ac:dyDescent="0.25">
      <c r="B1073" s="42">
        <f t="shared" si="64"/>
        <v>4</v>
      </c>
      <c r="C1073" s="42">
        <f t="shared" si="65"/>
        <v>2</v>
      </c>
      <c r="D1073" s="42">
        <f t="shared" si="66"/>
        <v>2020</v>
      </c>
      <c r="E1073" s="43">
        <v>43865</v>
      </c>
      <c r="F1073" s="42">
        <v>44.21</v>
      </c>
      <c r="G1073" s="42">
        <v>50.28</v>
      </c>
      <c r="H1073" s="42">
        <v>45.73</v>
      </c>
      <c r="I1073" s="42">
        <v>53.43</v>
      </c>
      <c r="J1073" s="42">
        <v>55.01</v>
      </c>
      <c r="K1073" s="42">
        <v>49.61</v>
      </c>
      <c r="L1073" s="42">
        <v>53.41</v>
      </c>
      <c r="M1073" s="42">
        <f t="shared" si="67"/>
        <v>5.3999999999999986</v>
      </c>
    </row>
    <row r="1074" spans="2:13" x14ac:dyDescent="0.25">
      <c r="B1074" s="42">
        <f t="shared" si="64"/>
        <v>5</v>
      </c>
      <c r="C1074" s="42">
        <f t="shared" si="65"/>
        <v>2</v>
      </c>
      <c r="D1074" s="42">
        <f t="shared" si="66"/>
        <v>2020</v>
      </c>
      <c r="E1074" s="43">
        <v>43866</v>
      </c>
      <c r="F1074" s="42">
        <v>45.46</v>
      </c>
      <c r="G1074" s="42">
        <v>51.01</v>
      </c>
      <c r="H1074" s="42">
        <v>46.46</v>
      </c>
      <c r="I1074" s="42">
        <v>54.16</v>
      </c>
      <c r="J1074" s="42">
        <v>56.09</v>
      </c>
      <c r="K1074" s="42">
        <v>50.75</v>
      </c>
      <c r="L1074" s="42">
        <v>54.65</v>
      </c>
      <c r="M1074" s="42">
        <f t="shared" si="67"/>
        <v>5.2899999999999991</v>
      </c>
    </row>
    <row r="1075" spans="2:13" x14ac:dyDescent="0.25">
      <c r="B1075" s="42">
        <f t="shared" si="64"/>
        <v>6</v>
      </c>
      <c r="C1075" s="42">
        <f t="shared" si="65"/>
        <v>2</v>
      </c>
      <c r="D1075" s="42">
        <f t="shared" si="66"/>
        <v>2020</v>
      </c>
      <c r="E1075" s="43">
        <v>43867</v>
      </c>
      <c r="F1075" s="42">
        <v>45.37</v>
      </c>
      <c r="G1075" s="42">
        <v>50.76</v>
      </c>
      <c r="H1075" s="42">
        <v>46.21</v>
      </c>
      <c r="I1075" s="42">
        <v>53.91</v>
      </c>
      <c r="J1075" s="42">
        <v>55.16</v>
      </c>
      <c r="K1075" s="42">
        <v>50.95</v>
      </c>
      <c r="L1075" s="42">
        <v>54.7</v>
      </c>
      <c r="M1075" s="42">
        <f t="shared" si="67"/>
        <v>5.5800000000000054</v>
      </c>
    </row>
    <row r="1076" spans="2:13" x14ac:dyDescent="0.25">
      <c r="B1076" s="42">
        <f t="shared" si="64"/>
        <v>7</v>
      </c>
      <c r="C1076" s="42">
        <f t="shared" si="65"/>
        <v>2</v>
      </c>
      <c r="D1076" s="42">
        <f t="shared" si="66"/>
        <v>2020</v>
      </c>
      <c r="E1076" s="43">
        <v>43868</v>
      </c>
      <c r="F1076" s="42">
        <v>44.82</v>
      </c>
      <c r="G1076" s="42">
        <v>50.2</v>
      </c>
      <c r="H1076" s="42">
        <v>45.65</v>
      </c>
      <c r="I1076" s="42">
        <v>53.35</v>
      </c>
      <c r="J1076" s="42">
        <v>55.11</v>
      </c>
      <c r="K1076" s="42">
        <v>50.32</v>
      </c>
      <c r="L1076" s="42">
        <v>53.97</v>
      </c>
      <c r="M1076" s="42">
        <f t="shared" si="67"/>
        <v>5.5</v>
      </c>
    </row>
    <row r="1077" spans="2:13" x14ac:dyDescent="0.25">
      <c r="B1077" s="42">
        <f t="shared" si="64"/>
        <v>10</v>
      </c>
      <c r="C1077" s="42">
        <f t="shared" si="65"/>
        <v>2</v>
      </c>
      <c r="D1077" s="42">
        <f t="shared" si="66"/>
        <v>2020</v>
      </c>
      <c r="E1077" s="43">
        <v>43871</v>
      </c>
      <c r="F1077" s="42">
        <v>43.72</v>
      </c>
      <c r="G1077" s="42">
        <v>49.18</v>
      </c>
      <c r="H1077" s="42">
        <v>44.63</v>
      </c>
      <c r="I1077" s="42">
        <v>52.33</v>
      </c>
      <c r="J1077" s="42">
        <v>53.71</v>
      </c>
      <c r="K1077" s="42">
        <v>49.57</v>
      </c>
      <c r="L1077" s="42">
        <v>53.02</v>
      </c>
      <c r="M1077" s="42">
        <f t="shared" si="67"/>
        <v>5.8500000000000014</v>
      </c>
    </row>
    <row r="1078" spans="2:13" x14ac:dyDescent="0.25">
      <c r="B1078" s="42">
        <f t="shared" si="64"/>
        <v>11</v>
      </c>
      <c r="C1078" s="42">
        <f t="shared" si="65"/>
        <v>2</v>
      </c>
      <c r="D1078" s="42">
        <f t="shared" si="66"/>
        <v>2020</v>
      </c>
      <c r="E1078" s="43">
        <v>43872</v>
      </c>
      <c r="F1078" s="42">
        <v>44.27</v>
      </c>
      <c r="G1078" s="42">
        <v>49.62</v>
      </c>
      <c r="H1078" s="42">
        <v>45.07</v>
      </c>
      <c r="I1078" s="42">
        <v>52.77</v>
      </c>
      <c r="J1078" s="42">
        <v>54.17</v>
      </c>
      <c r="K1078" s="42">
        <v>49.94</v>
      </c>
      <c r="L1078" s="42">
        <v>53.29</v>
      </c>
      <c r="M1078" s="42">
        <f t="shared" si="67"/>
        <v>5.6699999999999946</v>
      </c>
    </row>
    <row r="1079" spans="2:13" x14ac:dyDescent="0.25">
      <c r="B1079" s="42">
        <f t="shared" si="64"/>
        <v>12</v>
      </c>
      <c r="C1079" s="42">
        <f t="shared" si="65"/>
        <v>2</v>
      </c>
      <c r="D1079" s="42">
        <f t="shared" si="66"/>
        <v>2020</v>
      </c>
      <c r="E1079" s="43">
        <v>43873</v>
      </c>
      <c r="F1079" s="42">
        <v>45.9</v>
      </c>
      <c r="G1079" s="42">
        <v>51.36</v>
      </c>
      <c r="H1079" s="42">
        <v>46.81</v>
      </c>
      <c r="I1079" s="42">
        <v>54.51</v>
      </c>
      <c r="J1079" s="42">
        <v>55.78</v>
      </c>
      <c r="K1079" s="42">
        <v>51.17</v>
      </c>
      <c r="L1079" s="42">
        <v>54.67</v>
      </c>
      <c r="M1079" s="42">
        <f t="shared" si="67"/>
        <v>5.2700000000000031</v>
      </c>
    </row>
    <row r="1080" spans="2:13" x14ac:dyDescent="0.25">
      <c r="B1080" s="42">
        <f t="shared" si="64"/>
        <v>13</v>
      </c>
      <c r="C1080" s="42">
        <f t="shared" si="65"/>
        <v>2</v>
      </c>
      <c r="D1080" s="42">
        <f t="shared" si="66"/>
        <v>2020</v>
      </c>
      <c r="E1080" s="43">
        <v>43874</v>
      </c>
      <c r="F1080" s="42">
        <v>46.35</v>
      </c>
      <c r="G1080" s="42">
        <v>51.75</v>
      </c>
      <c r="H1080" s="42">
        <v>47.2</v>
      </c>
      <c r="I1080" s="42">
        <v>54.9</v>
      </c>
      <c r="J1080" s="42">
        <v>56.23</v>
      </c>
      <c r="K1080" s="42">
        <v>51.42</v>
      </c>
      <c r="L1080" s="42">
        <v>54.97</v>
      </c>
      <c r="M1080" s="42">
        <f t="shared" si="67"/>
        <v>5.07</v>
      </c>
    </row>
    <row r="1081" spans="2:13" x14ac:dyDescent="0.25">
      <c r="B1081" s="42">
        <f t="shared" si="64"/>
        <v>14</v>
      </c>
      <c r="C1081" s="42">
        <f t="shared" si="65"/>
        <v>2</v>
      </c>
      <c r="D1081" s="42">
        <f t="shared" si="66"/>
        <v>2020</v>
      </c>
      <c r="E1081" s="43">
        <v>43875</v>
      </c>
      <c r="F1081" s="42">
        <v>47.23</v>
      </c>
      <c r="G1081" s="42">
        <v>52.52</v>
      </c>
      <c r="H1081" s="42">
        <v>47.97</v>
      </c>
      <c r="I1081" s="42">
        <v>55.67</v>
      </c>
      <c r="J1081" s="42">
        <v>57.18</v>
      </c>
      <c r="K1081" s="42">
        <v>52.05</v>
      </c>
      <c r="L1081" s="42">
        <v>55.75</v>
      </c>
      <c r="M1081" s="42">
        <f t="shared" si="67"/>
        <v>4.82</v>
      </c>
    </row>
    <row r="1082" spans="2:13" x14ac:dyDescent="0.25">
      <c r="B1082" s="42">
        <f t="shared" si="64"/>
        <v>17</v>
      </c>
      <c r="C1082" s="42">
        <f t="shared" si="65"/>
        <v>2</v>
      </c>
      <c r="D1082" s="42">
        <f t="shared" si="66"/>
        <v>2020</v>
      </c>
      <c r="E1082" s="43">
        <v>43878</v>
      </c>
      <c r="F1082" s="42">
        <v>47.23</v>
      </c>
      <c r="G1082" s="42">
        <v>52.52</v>
      </c>
      <c r="H1082" s="42">
        <v>47.97</v>
      </c>
      <c r="I1082" s="42">
        <v>55.67</v>
      </c>
      <c r="J1082" s="42">
        <v>57.33</v>
      </c>
      <c r="K1082" s="42">
        <v>52.05</v>
      </c>
      <c r="L1082" s="42">
        <v>55.75</v>
      </c>
      <c r="M1082" s="42">
        <f t="shared" si="67"/>
        <v>4.82</v>
      </c>
    </row>
    <row r="1083" spans="2:13" x14ac:dyDescent="0.25">
      <c r="B1083" s="42">
        <f t="shared" si="64"/>
        <v>18</v>
      </c>
      <c r="C1083" s="42">
        <f t="shared" si="65"/>
        <v>2</v>
      </c>
      <c r="D1083" s="42">
        <f t="shared" si="66"/>
        <v>2020</v>
      </c>
      <c r="E1083" s="43">
        <v>43879</v>
      </c>
      <c r="F1083" s="42">
        <v>47.49</v>
      </c>
      <c r="G1083" s="42">
        <v>52.71</v>
      </c>
      <c r="H1083" s="42">
        <v>48.16</v>
      </c>
      <c r="I1083" s="42">
        <v>55.86</v>
      </c>
      <c r="J1083" s="42">
        <v>57.09</v>
      </c>
      <c r="K1083" s="42">
        <v>52.05</v>
      </c>
      <c r="L1083" s="42">
        <v>55.85</v>
      </c>
      <c r="M1083" s="42">
        <f t="shared" si="67"/>
        <v>4.5599999999999952</v>
      </c>
    </row>
    <row r="1084" spans="2:13" x14ac:dyDescent="0.25">
      <c r="B1084" s="42">
        <f t="shared" si="64"/>
        <v>19</v>
      </c>
      <c r="C1084" s="42">
        <f t="shared" si="65"/>
        <v>2</v>
      </c>
      <c r="D1084" s="42">
        <f t="shared" si="66"/>
        <v>2020</v>
      </c>
      <c r="E1084" s="43">
        <v>43880</v>
      </c>
      <c r="F1084" s="42">
        <v>48.85</v>
      </c>
      <c r="G1084" s="42">
        <v>54.01</v>
      </c>
      <c r="H1084" s="42">
        <v>49.46</v>
      </c>
      <c r="I1084" s="42">
        <v>57.16</v>
      </c>
      <c r="J1084" s="42">
        <v>59.35</v>
      </c>
      <c r="K1084" s="42">
        <v>53.29</v>
      </c>
      <c r="L1084" s="42">
        <v>56.64</v>
      </c>
      <c r="M1084" s="42">
        <f t="shared" si="67"/>
        <v>4.4399999999999977</v>
      </c>
    </row>
    <row r="1085" spans="2:13" x14ac:dyDescent="0.25">
      <c r="B1085" s="42">
        <f t="shared" si="64"/>
        <v>20</v>
      </c>
      <c r="C1085" s="42">
        <f t="shared" si="65"/>
        <v>2</v>
      </c>
      <c r="D1085" s="42">
        <f t="shared" si="66"/>
        <v>2020</v>
      </c>
      <c r="E1085" s="43">
        <v>43881</v>
      </c>
      <c r="F1085" s="42">
        <v>49.15</v>
      </c>
      <c r="G1085" s="42">
        <v>54.37</v>
      </c>
      <c r="H1085" s="42">
        <v>49.82</v>
      </c>
      <c r="I1085" s="42">
        <v>57.52</v>
      </c>
      <c r="J1085" s="42">
        <v>59.71</v>
      </c>
      <c r="K1085" s="42">
        <v>53.78</v>
      </c>
      <c r="L1085" s="42">
        <v>57.08</v>
      </c>
      <c r="M1085" s="42">
        <f t="shared" si="67"/>
        <v>4.6300000000000026</v>
      </c>
    </row>
    <row r="1086" spans="2:13" x14ac:dyDescent="0.25">
      <c r="B1086" s="42">
        <f t="shared" si="64"/>
        <v>21</v>
      </c>
      <c r="C1086" s="42">
        <f t="shared" si="65"/>
        <v>2</v>
      </c>
      <c r="D1086" s="42">
        <f t="shared" si="66"/>
        <v>2020</v>
      </c>
      <c r="E1086" s="43">
        <v>43882</v>
      </c>
      <c r="F1086" s="42">
        <v>48.47</v>
      </c>
      <c r="G1086" s="42">
        <v>53.74</v>
      </c>
      <c r="H1086" s="42">
        <v>49.19</v>
      </c>
      <c r="I1086" s="42">
        <v>56.89</v>
      </c>
      <c r="J1086" s="42">
        <v>58.14</v>
      </c>
      <c r="K1086" s="42">
        <v>53.31</v>
      </c>
      <c r="L1086" s="42">
        <v>56.46</v>
      </c>
      <c r="M1086" s="42">
        <f t="shared" si="67"/>
        <v>4.8400000000000034</v>
      </c>
    </row>
    <row r="1087" spans="2:13" x14ac:dyDescent="0.25">
      <c r="B1087" s="42">
        <f t="shared" si="64"/>
        <v>24</v>
      </c>
      <c r="C1087" s="42">
        <f t="shared" si="65"/>
        <v>2</v>
      </c>
      <c r="D1087" s="42">
        <f t="shared" si="66"/>
        <v>2020</v>
      </c>
      <c r="E1087" s="43">
        <v>43885</v>
      </c>
      <c r="F1087" s="42">
        <v>46.41</v>
      </c>
      <c r="G1087" s="42">
        <v>51.7</v>
      </c>
      <c r="H1087" s="42">
        <v>47.15</v>
      </c>
      <c r="I1087" s="42">
        <v>54.85</v>
      </c>
      <c r="J1087" s="42">
        <v>55.67</v>
      </c>
      <c r="K1087" s="42">
        <v>51.35</v>
      </c>
      <c r="L1087" s="42">
        <v>54.45</v>
      </c>
      <c r="M1087" s="42">
        <f t="shared" si="67"/>
        <v>4.9400000000000048</v>
      </c>
    </row>
    <row r="1088" spans="2:13" x14ac:dyDescent="0.25">
      <c r="B1088" s="42">
        <f t="shared" si="64"/>
        <v>25</v>
      </c>
      <c r="C1088" s="42">
        <f t="shared" si="65"/>
        <v>2</v>
      </c>
      <c r="D1088" s="42">
        <f t="shared" si="66"/>
        <v>2020</v>
      </c>
      <c r="E1088" s="43">
        <v>43886</v>
      </c>
      <c r="F1088" s="42">
        <v>44.94</v>
      </c>
      <c r="G1088" s="42">
        <v>49.87</v>
      </c>
      <c r="H1088" s="42">
        <v>45.32</v>
      </c>
      <c r="I1088" s="42">
        <v>53.02</v>
      </c>
      <c r="J1088" s="42">
        <v>55.75</v>
      </c>
      <c r="K1088" s="42">
        <v>49.82</v>
      </c>
      <c r="L1088" s="42">
        <v>52.92</v>
      </c>
      <c r="M1088" s="42">
        <f t="shared" si="67"/>
        <v>4.8800000000000026</v>
      </c>
    </row>
    <row r="1089" spans="2:13" x14ac:dyDescent="0.25">
      <c r="B1089" s="42">
        <f t="shared" si="64"/>
        <v>26</v>
      </c>
      <c r="C1089" s="42">
        <f t="shared" si="65"/>
        <v>2</v>
      </c>
      <c r="D1089" s="42">
        <f t="shared" si="66"/>
        <v>2020</v>
      </c>
      <c r="E1089" s="43">
        <v>43887</v>
      </c>
      <c r="F1089" s="42">
        <v>43.46</v>
      </c>
      <c r="G1089" s="42">
        <v>48.68</v>
      </c>
      <c r="H1089" s="42">
        <v>44.13</v>
      </c>
      <c r="I1089" s="42">
        <v>51.83</v>
      </c>
      <c r="J1089" s="42">
        <v>54.73</v>
      </c>
      <c r="K1089" s="42">
        <v>48.73</v>
      </c>
      <c r="L1089" s="42">
        <v>51.58</v>
      </c>
      <c r="M1089" s="42">
        <f t="shared" si="67"/>
        <v>5.269999999999996</v>
      </c>
    </row>
    <row r="1090" spans="2:13" x14ac:dyDescent="0.25">
      <c r="B1090" s="42">
        <f t="shared" si="64"/>
        <v>27</v>
      </c>
      <c r="C1090" s="42">
        <f t="shared" si="65"/>
        <v>2</v>
      </c>
      <c r="D1090" s="42">
        <f t="shared" si="66"/>
        <v>2020</v>
      </c>
      <c r="E1090" s="43">
        <v>43888</v>
      </c>
      <c r="F1090" s="42">
        <v>42.05</v>
      </c>
      <c r="G1090" s="42">
        <v>47.16</v>
      </c>
      <c r="H1090" s="42">
        <v>42.61</v>
      </c>
      <c r="I1090" s="42">
        <v>50.31</v>
      </c>
      <c r="J1090" s="42">
        <v>51.79</v>
      </c>
      <c r="K1090" s="42">
        <v>47.09</v>
      </c>
      <c r="L1090" s="42">
        <v>49.94</v>
      </c>
      <c r="M1090" s="42">
        <f t="shared" si="67"/>
        <v>5.0400000000000063</v>
      </c>
    </row>
    <row r="1091" spans="2:13" x14ac:dyDescent="0.25">
      <c r="B1091" s="42">
        <f t="shared" si="64"/>
        <v>28</v>
      </c>
      <c r="C1091" s="42">
        <f t="shared" si="65"/>
        <v>2</v>
      </c>
      <c r="D1091" s="42">
        <f t="shared" si="66"/>
        <v>2020</v>
      </c>
      <c r="E1091" s="43">
        <v>43889</v>
      </c>
      <c r="F1091" s="42">
        <v>39.76</v>
      </c>
      <c r="G1091" s="42">
        <v>45.29</v>
      </c>
      <c r="H1091" s="42">
        <v>40.74</v>
      </c>
      <c r="I1091" s="42">
        <v>48.44</v>
      </c>
      <c r="J1091" s="42">
        <v>49.94</v>
      </c>
      <c r="K1091" s="42">
        <v>44.76</v>
      </c>
      <c r="L1091" s="42">
        <v>47.96</v>
      </c>
      <c r="M1091" s="42">
        <f t="shared" si="67"/>
        <v>5</v>
      </c>
    </row>
    <row r="1092" spans="2:13" x14ac:dyDescent="0.25">
      <c r="B1092" s="42">
        <f t="shared" si="64"/>
        <v>2</v>
      </c>
      <c r="C1092" s="42">
        <f t="shared" si="65"/>
        <v>3</v>
      </c>
      <c r="D1092" s="42">
        <f t="shared" si="66"/>
        <v>2020</v>
      </c>
      <c r="E1092" s="43">
        <v>43892</v>
      </c>
      <c r="F1092" s="42">
        <v>41.85</v>
      </c>
      <c r="G1092" s="42">
        <v>45.41</v>
      </c>
      <c r="H1092" s="42">
        <v>42.76</v>
      </c>
      <c r="I1092" s="42">
        <v>50.21</v>
      </c>
      <c r="J1092" s="42">
        <v>51.63</v>
      </c>
      <c r="K1092" s="42">
        <v>46.75</v>
      </c>
      <c r="L1092" s="42">
        <v>49.85</v>
      </c>
      <c r="M1092" s="42">
        <f t="shared" si="67"/>
        <v>4.8999999999999986</v>
      </c>
    </row>
    <row r="1093" spans="2:13" x14ac:dyDescent="0.25">
      <c r="B1093" s="42">
        <f t="shared" si="64"/>
        <v>3</v>
      </c>
      <c r="C1093" s="42">
        <f t="shared" si="65"/>
        <v>3</v>
      </c>
      <c r="D1093" s="42">
        <f t="shared" si="66"/>
        <v>2020</v>
      </c>
      <c r="E1093" s="43">
        <v>43893</v>
      </c>
      <c r="F1093" s="42">
        <v>42.02</v>
      </c>
      <c r="G1093" s="42">
        <v>45.44</v>
      </c>
      <c r="H1093" s="42">
        <v>42.79</v>
      </c>
      <c r="I1093" s="42">
        <v>50.24</v>
      </c>
      <c r="J1093" s="42">
        <v>52.13</v>
      </c>
      <c r="K1093" s="42">
        <v>47.18</v>
      </c>
      <c r="L1093" s="42">
        <v>50.33</v>
      </c>
      <c r="M1093" s="42">
        <f t="shared" si="67"/>
        <v>5.1599999999999966</v>
      </c>
    </row>
    <row r="1094" spans="2:13" x14ac:dyDescent="0.25">
      <c r="B1094" s="42">
        <f t="shared" si="64"/>
        <v>4</v>
      </c>
      <c r="C1094" s="42">
        <f t="shared" si="65"/>
        <v>3</v>
      </c>
      <c r="D1094" s="42">
        <f t="shared" si="66"/>
        <v>2020</v>
      </c>
      <c r="E1094" s="43">
        <v>43894</v>
      </c>
      <c r="F1094" s="42">
        <v>41.37</v>
      </c>
      <c r="G1094" s="42">
        <v>44.88</v>
      </c>
      <c r="H1094" s="42">
        <v>42.23</v>
      </c>
      <c r="I1094" s="42">
        <v>49.68</v>
      </c>
      <c r="J1094" s="42">
        <v>51.83</v>
      </c>
      <c r="K1094" s="42">
        <v>46.78</v>
      </c>
      <c r="L1094" s="42">
        <v>49.98</v>
      </c>
      <c r="M1094" s="42">
        <f t="shared" si="67"/>
        <v>5.4100000000000037</v>
      </c>
    </row>
    <row r="1095" spans="2:13" x14ac:dyDescent="0.25">
      <c r="B1095" s="42">
        <f t="shared" ref="B1095:B1158" si="68">DAY(E1095)</f>
        <v>5</v>
      </c>
      <c r="C1095" s="42">
        <f t="shared" ref="C1095:C1158" si="69">MONTH(E1095)</f>
        <v>3</v>
      </c>
      <c r="D1095" s="42">
        <f t="shared" ref="D1095:D1158" si="70">YEAR(E1095)</f>
        <v>2020</v>
      </c>
      <c r="E1095" s="43">
        <v>43895</v>
      </c>
      <c r="F1095" s="42">
        <v>40.32</v>
      </c>
      <c r="G1095" s="42">
        <v>43.67</v>
      </c>
      <c r="H1095" s="42">
        <v>41.02</v>
      </c>
      <c r="I1095" s="42">
        <v>48.47</v>
      </c>
      <c r="J1095" s="42">
        <v>51.41</v>
      </c>
      <c r="K1095" s="42">
        <v>45.9</v>
      </c>
      <c r="L1095" s="42">
        <v>49.05</v>
      </c>
      <c r="M1095" s="42">
        <f t="shared" ref="M1095:M1158" si="71">K1095-F1095</f>
        <v>5.5799999999999983</v>
      </c>
    </row>
    <row r="1096" spans="2:13" x14ac:dyDescent="0.25">
      <c r="B1096" s="42">
        <f t="shared" si="68"/>
        <v>6</v>
      </c>
      <c r="C1096" s="42">
        <f t="shared" si="69"/>
        <v>3</v>
      </c>
      <c r="D1096" s="42">
        <f t="shared" si="70"/>
        <v>2020</v>
      </c>
      <c r="E1096" s="43">
        <v>43896</v>
      </c>
      <c r="F1096" s="42">
        <v>35.75</v>
      </c>
      <c r="G1096" s="42">
        <v>38.96</v>
      </c>
      <c r="H1096" s="42">
        <v>36.31</v>
      </c>
      <c r="I1096" s="42">
        <v>43.76</v>
      </c>
      <c r="J1096" s="42">
        <v>45.56</v>
      </c>
      <c r="K1096" s="42">
        <v>41.28</v>
      </c>
      <c r="L1096" s="42">
        <v>44.08</v>
      </c>
      <c r="M1096" s="42">
        <f t="shared" si="71"/>
        <v>5.5300000000000011</v>
      </c>
    </row>
    <row r="1097" spans="2:13" x14ac:dyDescent="0.25">
      <c r="B1097" s="42">
        <f t="shared" si="68"/>
        <v>9</v>
      </c>
      <c r="C1097" s="42">
        <f t="shared" si="69"/>
        <v>3</v>
      </c>
      <c r="D1097" s="42">
        <f t="shared" si="70"/>
        <v>2020</v>
      </c>
      <c r="E1097" s="43">
        <v>43899</v>
      </c>
      <c r="F1097" s="42">
        <v>24.43</v>
      </c>
      <c r="G1097" s="42">
        <v>27.98</v>
      </c>
      <c r="H1097" s="42">
        <v>25.33</v>
      </c>
      <c r="I1097" s="42">
        <v>32.78</v>
      </c>
      <c r="J1097" s="42">
        <v>36.409999999999997</v>
      </c>
      <c r="K1097" s="42">
        <v>31.13</v>
      </c>
      <c r="L1097" s="42">
        <v>32.130000000000003</v>
      </c>
      <c r="M1097" s="42">
        <f t="shared" si="71"/>
        <v>6.6999999999999993</v>
      </c>
    </row>
    <row r="1098" spans="2:13" x14ac:dyDescent="0.25">
      <c r="B1098" s="42">
        <f t="shared" si="68"/>
        <v>10</v>
      </c>
      <c r="C1098" s="42">
        <f t="shared" si="69"/>
        <v>3</v>
      </c>
      <c r="D1098" s="42">
        <f t="shared" si="70"/>
        <v>2020</v>
      </c>
      <c r="E1098" s="43">
        <v>43900</v>
      </c>
      <c r="F1098" s="42">
        <v>27.4</v>
      </c>
      <c r="G1098" s="42">
        <v>31.24</v>
      </c>
      <c r="H1098" s="42">
        <v>28.59</v>
      </c>
      <c r="I1098" s="42">
        <v>36.04</v>
      </c>
      <c r="J1098" s="42">
        <v>36.76</v>
      </c>
      <c r="K1098" s="42">
        <v>34.36</v>
      </c>
      <c r="L1098" s="42">
        <v>35.61</v>
      </c>
      <c r="M1098" s="42">
        <f t="shared" si="71"/>
        <v>6.9600000000000009</v>
      </c>
    </row>
    <row r="1099" spans="2:13" x14ac:dyDescent="0.25">
      <c r="B1099" s="42">
        <f t="shared" si="68"/>
        <v>11</v>
      </c>
      <c r="C1099" s="42">
        <f t="shared" si="69"/>
        <v>3</v>
      </c>
      <c r="D1099" s="42">
        <f t="shared" si="70"/>
        <v>2020</v>
      </c>
      <c r="E1099" s="43">
        <v>43901</v>
      </c>
      <c r="F1099" s="42">
        <v>25.93</v>
      </c>
      <c r="G1099" s="42">
        <v>29.22</v>
      </c>
      <c r="H1099" s="42">
        <v>26.57</v>
      </c>
      <c r="I1099" s="42">
        <v>34.020000000000003</v>
      </c>
      <c r="J1099" s="42">
        <v>36.22</v>
      </c>
      <c r="K1099" s="42">
        <v>32.979999999999997</v>
      </c>
      <c r="L1099" s="42">
        <v>33.93</v>
      </c>
      <c r="M1099" s="42">
        <f t="shared" si="71"/>
        <v>7.0499999999999972</v>
      </c>
    </row>
    <row r="1100" spans="2:13" x14ac:dyDescent="0.25">
      <c r="B1100" s="42">
        <f t="shared" si="68"/>
        <v>12</v>
      </c>
      <c r="C1100" s="42">
        <f t="shared" si="69"/>
        <v>3</v>
      </c>
      <c r="D1100" s="42">
        <f t="shared" si="70"/>
        <v>2020</v>
      </c>
      <c r="E1100" s="43">
        <v>43902</v>
      </c>
      <c r="F1100" s="42">
        <v>23.58</v>
      </c>
      <c r="G1100" s="42">
        <v>26.95</v>
      </c>
      <c r="H1100" s="42">
        <v>24.3</v>
      </c>
      <c r="I1100" s="42">
        <v>31.75</v>
      </c>
      <c r="J1100" s="42">
        <v>32.76</v>
      </c>
      <c r="K1100" s="42">
        <v>31.5</v>
      </c>
      <c r="L1100" s="42">
        <v>32.1</v>
      </c>
      <c r="M1100" s="42">
        <f t="shared" si="71"/>
        <v>7.9200000000000017</v>
      </c>
    </row>
    <row r="1101" spans="2:13" x14ac:dyDescent="0.25">
      <c r="B1101" s="42">
        <f t="shared" si="68"/>
        <v>13</v>
      </c>
      <c r="C1101" s="42">
        <f t="shared" si="69"/>
        <v>3</v>
      </c>
      <c r="D1101" s="42">
        <f t="shared" si="70"/>
        <v>2020</v>
      </c>
      <c r="E1101" s="43">
        <v>43903</v>
      </c>
      <c r="F1101" s="42">
        <v>24.19</v>
      </c>
      <c r="G1101" s="42">
        <v>27.73</v>
      </c>
      <c r="H1101" s="42">
        <v>25.08</v>
      </c>
      <c r="I1101" s="42">
        <v>32.53</v>
      </c>
      <c r="J1101" s="42">
        <v>33.46</v>
      </c>
      <c r="K1101" s="42">
        <v>31.73</v>
      </c>
      <c r="L1101" s="42">
        <v>32.18</v>
      </c>
      <c r="M1101" s="42">
        <f t="shared" si="71"/>
        <v>7.5399999999999991</v>
      </c>
    </row>
    <row r="1102" spans="2:13" x14ac:dyDescent="0.25">
      <c r="B1102" s="42">
        <f t="shared" si="68"/>
        <v>16</v>
      </c>
      <c r="C1102" s="42">
        <f t="shared" si="69"/>
        <v>3</v>
      </c>
      <c r="D1102" s="42">
        <f t="shared" si="70"/>
        <v>2020</v>
      </c>
      <c r="E1102" s="43">
        <v>43906</v>
      </c>
      <c r="F1102" s="42">
        <v>21.03</v>
      </c>
      <c r="G1102" s="42">
        <v>23.88</v>
      </c>
      <c r="H1102" s="42">
        <v>21.23</v>
      </c>
      <c r="I1102" s="42">
        <v>28.68</v>
      </c>
      <c r="J1102" s="42">
        <v>29.95</v>
      </c>
      <c r="K1102" s="42">
        <v>28.7</v>
      </c>
      <c r="L1102" s="42">
        <v>28.9</v>
      </c>
      <c r="M1102" s="42">
        <f t="shared" si="71"/>
        <v>7.6699999999999982</v>
      </c>
    </row>
    <row r="1103" spans="2:13" x14ac:dyDescent="0.25">
      <c r="B1103" s="42">
        <f t="shared" si="68"/>
        <v>17</v>
      </c>
      <c r="C1103" s="42">
        <f t="shared" si="69"/>
        <v>3</v>
      </c>
      <c r="D1103" s="42">
        <f t="shared" si="70"/>
        <v>2020</v>
      </c>
      <c r="E1103" s="43">
        <v>43907</v>
      </c>
      <c r="F1103" s="42">
        <v>18.78</v>
      </c>
      <c r="G1103" s="42">
        <v>21.84</v>
      </c>
      <c r="H1103" s="42">
        <v>19.190000000000001</v>
      </c>
      <c r="I1103" s="42">
        <v>26.64</v>
      </c>
      <c r="J1103" s="42">
        <v>29.69</v>
      </c>
      <c r="K1103" s="42">
        <v>26.95</v>
      </c>
      <c r="L1103" s="42">
        <v>26.6</v>
      </c>
      <c r="M1103" s="42">
        <f t="shared" si="71"/>
        <v>8.1699999999999982</v>
      </c>
    </row>
    <row r="1104" spans="2:13" x14ac:dyDescent="0.25">
      <c r="B1104" s="42">
        <f t="shared" si="68"/>
        <v>18</v>
      </c>
      <c r="C1104" s="42">
        <f t="shared" si="69"/>
        <v>3</v>
      </c>
      <c r="D1104" s="42">
        <f t="shared" si="70"/>
        <v>2020</v>
      </c>
      <c r="E1104" s="43">
        <v>43908</v>
      </c>
      <c r="F1104" s="42">
        <v>14.54</v>
      </c>
      <c r="G1104" s="42">
        <v>16.29</v>
      </c>
      <c r="H1104" s="42">
        <v>13.64</v>
      </c>
      <c r="I1104" s="42">
        <v>21.09</v>
      </c>
      <c r="J1104" s="42">
        <v>25.26</v>
      </c>
      <c r="K1104" s="42">
        <v>20.37</v>
      </c>
      <c r="L1104" s="42">
        <v>19.12</v>
      </c>
      <c r="M1104" s="42">
        <f t="shared" si="71"/>
        <v>5.8300000000000018</v>
      </c>
    </row>
    <row r="1105" spans="2:13" x14ac:dyDescent="0.25">
      <c r="B1105" s="42">
        <f t="shared" si="68"/>
        <v>19</v>
      </c>
      <c r="C1105" s="42">
        <f t="shared" si="69"/>
        <v>3</v>
      </c>
      <c r="D1105" s="42">
        <f t="shared" si="70"/>
        <v>2020</v>
      </c>
      <c r="E1105" s="43">
        <v>43909</v>
      </c>
      <c r="F1105" s="42">
        <v>17.7</v>
      </c>
      <c r="G1105" s="42">
        <v>20.420000000000002</v>
      </c>
      <c r="H1105" s="42">
        <v>17.77</v>
      </c>
      <c r="I1105" s="42">
        <v>25.22</v>
      </c>
      <c r="J1105" s="42">
        <v>26.79</v>
      </c>
      <c r="K1105" s="42">
        <v>25.22</v>
      </c>
      <c r="L1105" s="42">
        <v>23.27</v>
      </c>
      <c r="M1105" s="42">
        <f t="shared" si="71"/>
        <v>7.52</v>
      </c>
    </row>
    <row r="1106" spans="2:13" x14ac:dyDescent="0.25">
      <c r="B1106" s="42">
        <f t="shared" si="68"/>
        <v>20</v>
      </c>
      <c r="C1106" s="42">
        <f t="shared" si="69"/>
        <v>3</v>
      </c>
      <c r="D1106" s="42">
        <f t="shared" si="70"/>
        <v>2020</v>
      </c>
      <c r="E1106" s="43">
        <v>43910</v>
      </c>
      <c r="F1106" s="42">
        <v>15.78</v>
      </c>
      <c r="G1106" s="42">
        <v>18.489999999999998</v>
      </c>
      <c r="H1106" s="42">
        <v>15.84</v>
      </c>
      <c r="I1106" s="42">
        <v>23.29</v>
      </c>
      <c r="J1106" s="42">
        <v>27.94</v>
      </c>
      <c r="K1106" s="42">
        <v>22.43</v>
      </c>
      <c r="L1106" s="42">
        <v>19.63</v>
      </c>
      <c r="M1106" s="42">
        <f t="shared" si="71"/>
        <v>6.65</v>
      </c>
    </row>
    <row r="1107" spans="2:13" x14ac:dyDescent="0.25">
      <c r="B1107" s="42">
        <f t="shared" si="68"/>
        <v>23</v>
      </c>
      <c r="C1107" s="42">
        <f t="shared" si="69"/>
        <v>3</v>
      </c>
      <c r="D1107" s="42">
        <f t="shared" si="70"/>
        <v>2020</v>
      </c>
      <c r="E1107" s="43">
        <v>43913</v>
      </c>
      <c r="F1107" s="42">
        <v>15.33</v>
      </c>
      <c r="G1107" s="42">
        <v>17.93</v>
      </c>
      <c r="H1107" s="42">
        <v>15.28</v>
      </c>
      <c r="I1107" s="42">
        <v>22.73</v>
      </c>
      <c r="J1107" s="42">
        <v>25.24</v>
      </c>
      <c r="K1107" s="42">
        <v>20.36</v>
      </c>
      <c r="L1107" s="42">
        <v>19.21</v>
      </c>
      <c r="M1107" s="42">
        <f t="shared" si="71"/>
        <v>5.0299999999999994</v>
      </c>
    </row>
    <row r="1108" spans="2:13" x14ac:dyDescent="0.25">
      <c r="B1108" s="42">
        <f t="shared" si="68"/>
        <v>24</v>
      </c>
      <c r="C1108" s="42">
        <f t="shared" si="69"/>
        <v>3</v>
      </c>
      <c r="D1108" s="42">
        <f t="shared" si="70"/>
        <v>2020</v>
      </c>
      <c r="E1108" s="43">
        <v>43914</v>
      </c>
      <c r="F1108" s="42">
        <v>16.059999999999999</v>
      </c>
      <c r="G1108" s="42">
        <v>19.03</v>
      </c>
      <c r="H1108" s="42">
        <v>16.38</v>
      </c>
      <c r="I1108" s="42">
        <v>23.83</v>
      </c>
      <c r="J1108" s="42">
        <v>27.4</v>
      </c>
      <c r="K1108" s="42">
        <v>20.76</v>
      </c>
      <c r="L1108" s="42">
        <v>22.01</v>
      </c>
      <c r="M1108" s="42">
        <f t="shared" si="71"/>
        <v>4.7000000000000028</v>
      </c>
    </row>
    <row r="1109" spans="2:13" x14ac:dyDescent="0.25">
      <c r="B1109" s="42">
        <f t="shared" si="68"/>
        <v>25</v>
      </c>
      <c r="C1109" s="42">
        <f t="shared" si="69"/>
        <v>3</v>
      </c>
      <c r="D1109" s="42">
        <f t="shared" si="70"/>
        <v>2020</v>
      </c>
      <c r="E1109" s="43">
        <v>43915</v>
      </c>
      <c r="F1109" s="42">
        <v>16.84</v>
      </c>
      <c r="G1109" s="42">
        <v>19.170000000000002</v>
      </c>
      <c r="H1109" s="42">
        <v>16.52</v>
      </c>
      <c r="I1109" s="42">
        <v>23.97</v>
      </c>
      <c r="J1109" s="42">
        <v>26.68</v>
      </c>
      <c r="K1109" s="42">
        <v>17.989999999999998</v>
      </c>
      <c r="L1109" s="42">
        <v>19.239999999999998</v>
      </c>
      <c r="M1109" s="42">
        <f t="shared" si="71"/>
        <v>1.1499999999999986</v>
      </c>
    </row>
    <row r="1110" spans="2:13" x14ac:dyDescent="0.25">
      <c r="B1110" s="42">
        <f t="shared" si="68"/>
        <v>26</v>
      </c>
      <c r="C1110" s="42">
        <f t="shared" si="69"/>
        <v>3</v>
      </c>
      <c r="D1110" s="42">
        <f t="shared" si="70"/>
        <v>2020</v>
      </c>
      <c r="E1110" s="43">
        <v>43916</v>
      </c>
      <c r="F1110" s="42">
        <v>14.67</v>
      </c>
      <c r="G1110" s="42">
        <v>16.93</v>
      </c>
      <c r="H1110" s="42">
        <v>14.28</v>
      </c>
      <c r="I1110" s="42">
        <v>21.73</v>
      </c>
      <c r="J1110" s="42">
        <v>26.79</v>
      </c>
      <c r="K1110" s="42">
        <v>22.6</v>
      </c>
      <c r="L1110" s="42">
        <v>19.8</v>
      </c>
      <c r="M1110" s="42">
        <f t="shared" si="71"/>
        <v>7.9300000000000015</v>
      </c>
    </row>
    <row r="1111" spans="2:13" x14ac:dyDescent="0.25">
      <c r="B1111" s="42">
        <f t="shared" si="68"/>
        <v>27</v>
      </c>
      <c r="C1111" s="42">
        <f t="shared" si="69"/>
        <v>3</v>
      </c>
      <c r="D1111" s="42">
        <f t="shared" si="70"/>
        <v>2020</v>
      </c>
      <c r="E1111" s="43">
        <v>43917</v>
      </c>
      <c r="F1111" s="42">
        <v>13.01</v>
      </c>
      <c r="G1111" s="42">
        <v>14.33</v>
      </c>
      <c r="H1111" s="42">
        <v>11.68</v>
      </c>
      <c r="I1111" s="42">
        <v>19.13</v>
      </c>
      <c r="J1111" s="42">
        <v>24.2</v>
      </c>
      <c r="K1111" s="42">
        <v>21.51</v>
      </c>
      <c r="L1111" s="42">
        <v>16.809999999999999</v>
      </c>
      <c r="M1111" s="42">
        <f t="shared" si="71"/>
        <v>8.5000000000000018</v>
      </c>
    </row>
    <row r="1112" spans="2:13" x14ac:dyDescent="0.25">
      <c r="B1112" s="42">
        <f t="shared" si="68"/>
        <v>30</v>
      </c>
      <c r="C1112" s="42">
        <f t="shared" si="69"/>
        <v>3</v>
      </c>
      <c r="D1112" s="42">
        <f t="shared" si="70"/>
        <v>2020</v>
      </c>
      <c r="E1112" s="43">
        <v>43920</v>
      </c>
      <c r="F1112" s="42">
        <v>10.37</v>
      </c>
      <c r="G1112" s="42">
        <v>11.7</v>
      </c>
      <c r="H1112" s="42">
        <v>9.0500000000000007</v>
      </c>
      <c r="I1112" s="42">
        <v>16.5</v>
      </c>
      <c r="J1112" s="42">
        <v>21.85</v>
      </c>
      <c r="K1112" s="42">
        <v>20.09</v>
      </c>
      <c r="L1112" s="42">
        <v>13.09</v>
      </c>
      <c r="M1112" s="42">
        <f t="shared" si="71"/>
        <v>9.7200000000000006</v>
      </c>
    </row>
    <row r="1113" spans="2:13" x14ac:dyDescent="0.25">
      <c r="B1113" s="42">
        <f t="shared" si="68"/>
        <v>31</v>
      </c>
      <c r="C1113" s="42">
        <f t="shared" si="69"/>
        <v>3</v>
      </c>
      <c r="D1113" s="42">
        <f t="shared" si="70"/>
        <v>2020</v>
      </c>
      <c r="E1113" s="43">
        <v>43921</v>
      </c>
      <c r="F1113" s="42">
        <v>10.76</v>
      </c>
      <c r="G1113" s="42">
        <v>12.95</v>
      </c>
      <c r="H1113" s="42">
        <v>10.3</v>
      </c>
      <c r="I1113" s="42">
        <v>17.75</v>
      </c>
      <c r="J1113" s="42">
        <v>22.01</v>
      </c>
      <c r="K1113" s="42">
        <v>20.48</v>
      </c>
      <c r="L1113" s="42">
        <v>13.23</v>
      </c>
      <c r="M1113" s="42">
        <f t="shared" si="71"/>
        <v>9.7200000000000006</v>
      </c>
    </row>
    <row r="1114" spans="2:13" x14ac:dyDescent="0.25">
      <c r="B1114" s="42">
        <f t="shared" si="68"/>
        <v>1</v>
      </c>
      <c r="C1114" s="42">
        <f t="shared" si="69"/>
        <v>4</v>
      </c>
      <c r="D1114" s="42">
        <f t="shared" si="70"/>
        <v>2020</v>
      </c>
      <c r="E1114" s="43">
        <v>43922</v>
      </c>
      <c r="F1114" s="42">
        <v>10.61</v>
      </c>
      <c r="G1114" s="42">
        <v>10.89</v>
      </c>
      <c r="H1114" s="42">
        <v>9.89</v>
      </c>
      <c r="I1114" s="42">
        <v>17.190000000000001</v>
      </c>
      <c r="J1114" s="42">
        <v>24.59</v>
      </c>
      <c r="K1114" s="42">
        <v>20.309999999999999</v>
      </c>
      <c r="L1114" s="42">
        <v>13.06</v>
      </c>
      <c r="M1114" s="42">
        <f t="shared" si="71"/>
        <v>9.6999999999999993</v>
      </c>
    </row>
    <row r="1115" spans="2:13" x14ac:dyDescent="0.25">
      <c r="B1115" s="42">
        <f t="shared" si="68"/>
        <v>2</v>
      </c>
      <c r="C1115" s="42">
        <f t="shared" si="69"/>
        <v>4</v>
      </c>
      <c r="D1115" s="42">
        <f t="shared" si="70"/>
        <v>2020</v>
      </c>
      <c r="E1115" s="43">
        <v>43923</v>
      </c>
      <c r="F1115" s="42">
        <v>16.05</v>
      </c>
      <c r="G1115" s="42">
        <v>15.44</v>
      </c>
      <c r="H1115" s="42">
        <v>14.44</v>
      </c>
      <c r="I1115" s="42">
        <v>21.74</v>
      </c>
      <c r="J1115" s="42">
        <v>28.15</v>
      </c>
      <c r="K1115" s="42">
        <v>25.32</v>
      </c>
      <c r="L1115" s="42">
        <v>18.07</v>
      </c>
      <c r="M1115" s="42">
        <f t="shared" si="71"/>
        <v>9.27</v>
      </c>
    </row>
    <row r="1116" spans="2:13" x14ac:dyDescent="0.25">
      <c r="B1116" s="42">
        <f t="shared" si="68"/>
        <v>3</v>
      </c>
      <c r="C1116" s="42">
        <f t="shared" si="69"/>
        <v>4</v>
      </c>
      <c r="D1116" s="42">
        <f t="shared" si="70"/>
        <v>2020</v>
      </c>
      <c r="E1116" s="43">
        <v>43924</v>
      </c>
      <c r="F1116" s="42">
        <v>20.48</v>
      </c>
      <c r="G1116" s="42">
        <v>20.62</v>
      </c>
      <c r="H1116" s="42">
        <v>19.62</v>
      </c>
      <c r="I1116" s="42">
        <v>26.92</v>
      </c>
      <c r="J1116" s="42">
        <v>32.58</v>
      </c>
      <c r="K1116" s="42">
        <v>28.34</v>
      </c>
      <c r="L1116" s="42">
        <v>22.64</v>
      </c>
      <c r="M1116" s="42">
        <f t="shared" si="71"/>
        <v>7.8599999999999994</v>
      </c>
    </row>
    <row r="1117" spans="2:13" x14ac:dyDescent="0.25">
      <c r="B1117" s="42">
        <f t="shared" si="68"/>
        <v>6</v>
      </c>
      <c r="C1117" s="42">
        <f t="shared" si="69"/>
        <v>4</v>
      </c>
      <c r="D1117" s="42">
        <f t="shared" si="70"/>
        <v>2020</v>
      </c>
      <c r="E1117" s="43">
        <v>43927</v>
      </c>
      <c r="F1117" s="42">
        <v>18.66</v>
      </c>
      <c r="G1117" s="42">
        <v>18.14</v>
      </c>
      <c r="H1117" s="42">
        <v>17.14</v>
      </c>
      <c r="I1117" s="42">
        <v>24.44</v>
      </c>
      <c r="J1117" s="42">
        <v>31.97</v>
      </c>
      <c r="K1117" s="42">
        <v>26.08</v>
      </c>
      <c r="L1117" s="42">
        <v>21.58</v>
      </c>
      <c r="M1117" s="42">
        <f t="shared" si="71"/>
        <v>7.4199999999999982</v>
      </c>
    </row>
    <row r="1118" spans="2:13" x14ac:dyDescent="0.25">
      <c r="B1118" s="42">
        <f t="shared" si="68"/>
        <v>7</v>
      </c>
      <c r="C1118" s="42">
        <f t="shared" si="69"/>
        <v>4</v>
      </c>
      <c r="D1118" s="42">
        <f t="shared" si="70"/>
        <v>2020</v>
      </c>
      <c r="E1118" s="43">
        <v>43928</v>
      </c>
      <c r="F1118" s="42">
        <v>16.649999999999999</v>
      </c>
      <c r="G1118" s="42">
        <v>16.45</v>
      </c>
      <c r="H1118" s="42">
        <v>15.45</v>
      </c>
      <c r="I1118" s="42">
        <v>22.75</v>
      </c>
      <c r="J1118" s="42">
        <v>32.99</v>
      </c>
      <c r="K1118" s="42">
        <v>23.63</v>
      </c>
      <c r="L1118" s="42">
        <v>19.13</v>
      </c>
      <c r="M1118" s="42">
        <f t="shared" si="71"/>
        <v>6.98</v>
      </c>
    </row>
    <row r="1119" spans="2:13" x14ac:dyDescent="0.25">
      <c r="B1119" s="42">
        <f t="shared" si="68"/>
        <v>8</v>
      </c>
      <c r="C1119" s="42">
        <f t="shared" si="69"/>
        <v>4</v>
      </c>
      <c r="D1119" s="42">
        <f t="shared" si="70"/>
        <v>2020</v>
      </c>
      <c r="E1119" s="43">
        <v>43929</v>
      </c>
      <c r="F1119" s="42">
        <v>17.89</v>
      </c>
      <c r="G1119" s="42">
        <v>17.739999999999998</v>
      </c>
      <c r="H1119" s="42">
        <v>16.739999999999998</v>
      </c>
      <c r="I1119" s="42">
        <v>24.04</v>
      </c>
      <c r="J1119" s="42">
        <v>32.03</v>
      </c>
      <c r="K1119" s="42">
        <v>25.09</v>
      </c>
      <c r="L1119" s="42">
        <v>19.84</v>
      </c>
      <c r="M1119" s="42">
        <f t="shared" si="71"/>
        <v>7.1999999999999993</v>
      </c>
    </row>
    <row r="1120" spans="2:13" x14ac:dyDescent="0.25">
      <c r="B1120" s="42">
        <f t="shared" si="68"/>
        <v>9</v>
      </c>
      <c r="C1120" s="42">
        <f t="shared" si="69"/>
        <v>4</v>
      </c>
      <c r="D1120" s="42">
        <f t="shared" si="70"/>
        <v>2020</v>
      </c>
      <c r="E1120" s="43">
        <v>43930</v>
      </c>
      <c r="F1120" s="42">
        <v>16.54</v>
      </c>
      <c r="G1120" s="42">
        <v>16.170000000000002</v>
      </c>
      <c r="H1120" s="42">
        <v>15.17</v>
      </c>
      <c r="I1120" s="42">
        <v>22.47</v>
      </c>
      <c r="J1120" s="42">
        <v>32.93</v>
      </c>
      <c r="K1120" s="42">
        <v>22.76</v>
      </c>
      <c r="L1120" s="42">
        <v>19.559999999999999</v>
      </c>
      <c r="M1120" s="42">
        <f t="shared" si="71"/>
        <v>6.2200000000000024</v>
      </c>
    </row>
    <row r="1121" spans="2:13" x14ac:dyDescent="0.25">
      <c r="B1121" s="42">
        <f t="shared" si="68"/>
        <v>10</v>
      </c>
      <c r="C1121" s="42">
        <f t="shared" si="69"/>
        <v>4</v>
      </c>
      <c r="D1121" s="42">
        <f t="shared" si="70"/>
        <v>2020</v>
      </c>
      <c r="E1121" s="43">
        <v>43931</v>
      </c>
      <c r="F1121" s="42">
        <v>16.54</v>
      </c>
      <c r="G1121" s="42">
        <v>16.170000000000002</v>
      </c>
      <c r="H1121" s="42">
        <v>15.17</v>
      </c>
      <c r="I1121" s="42">
        <v>22.47</v>
      </c>
      <c r="J1121" s="42">
        <v>32.93</v>
      </c>
      <c r="K1121" s="42">
        <v>22.76</v>
      </c>
      <c r="L1121" s="42">
        <v>19.559999999999999</v>
      </c>
      <c r="M1121" s="42">
        <f t="shared" si="71"/>
        <v>6.2200000000000024</v>
      </c>
    </row>
    <row r="1122" spans="2:13" x14ac:dyDescent="0.25">
      <c r="B1122" s="42">
        <f t="shared" si="68"/>
        <v>13</v>
      </c>
      <c r="C1122" s="42">
        <f t="shared" si="69"/>
        <v>4</v>
      </c>
      <c r="D1122" s="42">
        <f t="shared" si="70"/>
        <v>2020</v>
      </c>
      <c r="E1122" s="43">
        <v>43934</v>
      </c>
      <c r="F1122" s="42">
        <v>17.16</v>
      </c>
      <c r="G1122" s="42">
        <v>17.010000000000002</v>
      </c>
      <c r="H1122" s="42">
        <v>16.010000000000002</v>
      </c>
      <c r="I1122" s="42">
        <v>23.31</v>
      </c>
      <c r="J1122" s="42">
        <v>32.93</v>
      </c>
      <c r="K1122" s="42">
        <v>22.41</v>
      </c>
      <c r="L1122" s="42">
        <v>21.46</v>
      </c>
      <c r="M1122" s="42">
        <f t="shared" si="71"/>
        <v>5.25</v>
      </c>
    </row>
    <row r="1123" spans="2:13" x14ac:dyDescent="0.25">
      <c r="B1123" s="42">
        <f t="shared" si="68"/>
        <v>14</v>
      </c>
      <c r="C1123" s="42">
        <f t="shared" si="69"/>
        <v>4</v>
      </c>
      <c r="D1123" s="42">
        <f t="shared" si="70"/>
        <v>2020</v>
      </c>
      <c r="E1123" s="43">
        <v>43935</v>
      </c>
      <c r="F1123" s="42">
        <v>15.3</v>
      </c>
      <c r="G1123" s="42">
        <v>15.38</v>
      </c>
      <c r="H1123" s="42">
        <v>14.38</v>
      </c>
      <c r="I1123" s="42">
        <v>21.68</v>
      </c>
      <c r="J1123" s="42">
        <v>30.03</v>
      </c>
      <c r="K1123" s="42">
        <v>20.11</v>
      </c>
      <c r="L1123" s="42">
        <v>20.66</v>
      </c>
      <c r="M1123" s="42">
        <f t="shared" si="71"/>
        <v>4.8099999999999987</v>
      </c>
    </row>
    <row r="1124" spans="2:13" x14ac:dyDescent="0.25">
      <c r="B1124" s="42">
        <f t="shared" si="68"/>
        <v>15</v>
      </c>
      <c r="C1124" s="42">
        <f t="shared" si="69"/>
        <v>4</v>
      </c>
      <c r="D1124" s="42">
        <f t="shared" si="70"/>
        <v>2020</v>
      </c>
      <c r="E1124" s="43">
        <v>43936</v>
      </c>
      <c r="F1124" s="42">
        <v>14.23</v>
      </c>
      <c r="G1124" s="42">
        <v>14.86</v>
      </c>
      <c r="H1124" s="42">
        <v>13.86</v>
      </c>
      <c r="I1124" s="42">
        <v>21.16</v>
      </c>
      <c r="J1124" s="42">
        <v>27.25</v>
      </c>
      <c r="K1124" s="42">
        <v>19.87</v>
      </c>
      <c r="L1124" s="42">
        <v>20.87</v>
      </c>
      <c r="M1124" s="42">
        <f t="shared" si="71"/>
        <v>5.6400000000000006</v>
      </c>
    </row>
    <row r="1125" spans="2:13" x14ac:dyDescent="0.25">
      <c r="B1125" s="42">
        <f t="shared" si="68"/>
        <v>16</v>
      </c>
      <c r="C1125" s="42">
        <f t="shared" si="69"/>
        <v>4</v>
      </c>
      <c r="D1125" s="42">
        <f t="shared" si="70"/>
        <v>2020</v>
      </c>
      <c r="E1125" s="43">
        <v>43937</v>
      </c>
      <c r="F1125" s="42">
        <v>14.17</v>
      </c>
      <c r="G1125" s="42">
        <v>14.83</v>
      </c>
      <c r="H1125" s="42">
        <v>13.83</v>
      </c>
      <c r="I1125" s="42">
        <v>21.13</v>
      </c>
      <c r="J1125" s="42">
        <v>27.44</v>
      </c>
      <c r="K1125" s="42">
        <v>19.87</v>
      </c>
      <c r="L1125" s="42">
        <v>21.87</v>
      </c>
      <c r="M1125" s="42">
        <f t="shared" si="71"/>
        <v>5.7000000000000011</v>
      </c>
    </row>
    <row r="1126" spans="2:13" x14ac:dyDescent="0.25">
      <c r="B1126" s="42">
        <f t="shared" si="68"/>
        <v>17</v>
      </c>
      <c r="C1126" s="42">
        <f t="shared" si="69"/>
        <v>4</v>
      </c>
      <c r="D1126" s="42">
        <f t="shared" si="70"/>
        <v>2020</v>
      </c>
      <c r="E1126" s="43">
        <v>43938</v>
      </c>
      <c r="F1126" s="42">
        <v>14.35</v>
      </c>
      <c r="G1126" s="42">
        <v>14.81</v>
      </c>
      <c r="H1126" s="42">
        <v>13.81</v>
      </c>
      <c r="I1126" s="42">
        <v>21.11</v>
      </c>
      <c r="J1126" s="42">
        <v>27.98</v>
      </c>
      <c r="K1126" s="42">
        <v>18.27</v>
      </c>
      <c r="L1126" s="42">
        <v>21.72</v>
      </c>
      <c r="M1126" s="42">
        <f t="shared" si="71"/>
        <v>3.92</v>
      </c>
    </row>
    <row r="1127" spans="2:13" x14ac:dyDescent="0.25">
      <c r="B1127" s="42">
        <f t="shared" si="68"/>
        <v>20</v>
      </c>
      <c r="C1127" s="42">
        <f t="shared" si="69"/>
        <v>4</v>
      </c>
      <c r="D1127" s="42">
        <f t="shared" si="70"/>
        <v>2020</v>
      </c>
      <c r="E1127" s="43">
        <v>43941</v>
      </c>
      <c r="F1127" s="42">
        <v>-2.37</v>
      </c>
      <c r="G1127" s="42">
        <v>-6.56</v>
      </c>
      <c r="H1127" s="42">
        <v>-7.56</v>
      </c>
      <c r="I1127" s="42">
        <v>-0.26</v>
      </c>
      <c r="J1127" s="42">
        <v>26.21</v>
      </c>
      <c r="K1127" s="42">
        <v>-37.630000000000003</v>
      </c>
      <c r="L1127" s="42">
        <v>11.74</v>
      </c>
      <c r="M1127" s="42">
        <f t="shared" si="71"/>
        <v>-35.260000000000005</v>
      </c>
    </row>
    <row r="1128" spans="2:13" x14ac:dyDescent="0.25">
      <c r="B1128" s="42">
        <f t="shared" si="68"/>
        <v>21</v>
      </c>
      <c r="C1128" s="42">
        <f t="shared" si="69"/>
        <v>4</v>
      </c>
      <c r="D1128" s="42">
        <f t="shared" si="70"/>
        <v>2020</v>
      </c>
      <c r="E1128" s="43">
        <v>43942</v>
      </c>
      <c r="F1128" s="42">
        <v>7.12</v>
      </c>
      <c r="G1128" s="42">
        <v>6.38</v>
      </c>
      <c r="H1128" s="42">
        <v>5.38</v>
      </c>
      <c r="I1128" s="42">
        <v>12.68</v>
      </c>
      <c r="J1128" s="42">
        <v>19.670000000000002</v>
      </c>
      <c r="K1128" s="42">
        <v>10.01</v>
      </c>
      <c r="L1128" s="42">
        <v>16.059999999999999</v>
      </c>
      <c r="M1128" s="42">
        <f t="shared" si="71"/>
        <v>2.8899999999999997</v>
      </c>
    </row>
    <row r="1129" spans="2:13" x14ac:dyDescent="0.25">
      <c r="B1129" s="42">
        <f t="shared" si="68"/>
        <v>22</v>
      </c>
      <c r="C1129" s="42">
        <f t="shared" si="69"/>
        <v>4</v>
      </c>
      <c r="D1129" s="42">
        <f t="shared" si="70"/>
        <v>2020</v>
      </c>
      <c r="E1129" s="43">
        <v>43943</v>
      </c>
      <c r="F1129" s="42">
        <v>7.19</v>
      </c>
      <c r="G1129" s="42">
        <v>8.41</v>
      </c>
      <c r="H1129" s="42">
        <v>7.41</v>
      </c>
      <c r="I1129" s="42">
        <v>14.71</v>
      </c>
      <c r="J1129" s="42">
        <v>20.239999999999998</v>
      </c>
      <c r="K1129" s="42">
        <v>11.78</v>
      </c>
      <c r="L1129" s="42">
        <v>17.829999999999998</v>
      </c>
      <c r="M1129" s="42">
        <f t="shared" si="71"/>
        <v>4.589999999999999</v>
      </c>
    </row>
    <row r="1130" spans="2:13" x14ac:dyDescent="0.25">
      <c r="B1130" s="42">
        <f t="shared" si="68"/>
        <v>23</v>
      </c>
      <c r="C1130" s="42">
        <f t="shared" si="69"/>
        <v>4</v>
      </c>
      <c r="D1130" s="42">
        <f t="shared" si="70"/>
        <v>2020</v>
      </c>
      <c r="E1130" s="43">
        <v>43944</v>
      </c>
      <c r="F1130" s="42">
        <v>8.5399999999999991</v>
      </c>
      <c r="G1130" s="42">
        <v>10.66</v>
      </c>
      <c r="H1130" s="42">
        <v>9.66</v>
      </c>
      <c r="I1130" s="42">
        <v>16.96</v>
      </c>
      <c r="J1130" s="42">
        <v>22.26</v>
      </c>
      <c r="K1130" s="42">
        <v>15.7</v>
      </c>
      <c r="L1130" s="42">
        <v>21.75</v>
      </c>
      <c r="M1130" s="42">
        <f t="shared" si="71"/>
        <v>7.16</v>
      </c>
    </row>
    <row r="1131" spans="2:13" x14ac:dyDescent="0.25">
      <c r="B1131" s="42">
        <f t="shared" si="68"/>
        <v>24</v>
      </c>
      <c r="C1131" s="42">
        <f t="shared" si="69"/>
        <v>4</v>
      </c>
      <c r="D1131" s="42">
        <f t="shared" si="70"/>
        <v>2020</v>
      </c>
      <c r="E1131" s="43">
        <v>43945</v>
      </c>
      <c r="F1131" s="42">
        <v>8.5299999999999994</v>
      </c>
      <c r="G1131" s="42">
        <v>9.99</v>
      </c>
      <c r="H1131" s="42">
        <v>8.99</v>
      </c>
      <c r="I1131" s="42">
        <v>16.29</v>
      </c>
      <c r="J1131" s="42">
        <v>21.4</v>
      </c>
      <c r="K1131" s="42">
        <v>16.29</v>
      </c>
      <c r="L1131" s="42">
        <v>20.239999999999998</v>
      </c>
      <c r="M1131" s="42">
        <f t="shared" si="71"/>
        <v>7.76</v>
      </c>
    </row>
    <row r="1132" spans="2:13" x14ac:dyDescent="0.25">
      <c r="B1132" s="42">
        <f t="shared" si="68"/>
        <v>27</v>
      </c>
      <c r="C1132" s="42">
        <f t="shared" si="69"/>
        <v>4</v>
      </c>
      <c r="D1132" s="42">
        <f t="shared" si="70"/>
        <v>2020</v>
      </c>
      <c r="E1132" s="43">
        <v>43948</v>
      </c>
      <c r="F1132" s="42">
        <v>6.55</v>
      </c>
      <c r="G1132" s="42">
        <v>7.92</v>
      </c>
      <c r="H1132" s="42">
        <v>6.92</v>
      </c>
      <c r="I1132" s="42">
        <v>14.22</v>
      </c>
      <c r="J1132" s="42">
        <v>19.149999999999999</v>
      </c>
      <c r="K1132" s="42">
        <v>12.78</v>
      </c>
      <c r="L1132" s="42">
        <v>15.98</v>
      </c>
      <c r="M1132" s="42">
        <f t="shared" si="71"/>
        <v>6.2299999999999995</v>
      </c>
    </row>
    <row r="1133" spans="2:13" x14ac:dyDescent="0.25">
      <c r="B1133" s="42">
        <f t="shared" si="68"/>
        <v>28</v>
      </c>
      <c r="C1133" s="42">
        <f t="shared" si="69"/>
        <v>4</v>
      </c>
      <c r="D1133" s="42">
        <f t="shared" si="70"/>
        <v>2020</v>
      </c>
      <c r="E1133" s="43">
        <v>43949</v>
      </c>
      <c r="F1133" s="42">
        <v>7.33</v>
      </c>
      <c r="G1133" s="42">
        <v>8.86</v>
      </c>
      <c r="H1133" s="42">
        <v>7.86</v>
      </c>
      <c r="I1133" s="42">
        <v>15.16</v>
      </c>
      <c r="J1133" s="42">
        <v>20.010000000000002</v>
      </c>
      <c r="K1133" s="42">
        <v>12.34</v>
      </c>
      <c r="L1133" s="42">
        <v>17.59</v>
      </c>
      <c r="M1133" s="42">
        <f t="shared" si="71"/>
        <v>5.01</v>
      </c>
    </row>
    <row r="1134" spans="2:13" x14ac:dyDescent="0.25">
      <c r="B1134" s="42">
        <f t="shared" si="68"/>
        <v>29</v>
      </c>
      <c r="C1134" s="42">
        <f t="shared" si="69"/>
        <v>4</v>
      </c>
      <c r="D1134" s="42">
        <f t="shared" si="70"/>
        <v>2020</v>
      </c>
      <c r="E1134" s="43">
        <v>43950</v>
      </c>
      <c r="F1134" s="42">
        <v>9.44</v>
      </c>
      <c r="G1134" s="42">
        <v>10.97</v>
      </c>
      <c r="H1134" s="42">
        <v>9.9700000000000006</v>
      </c>
      <c r="I1134" s="42">
        <v>17.27</v>
      </c>
      <c r="J1134" s="42">
        <v>22.53</v>
      </c>
      <c r="K1134" s="42">
        <v>15.06</v>
      </c>
      <c r="L1134" s="42">
        <v>19.71</v>
      </c>
      <c r="M1134" s="42">
        <f t="shared" si="71"/>
        <v>5.620000000000001</v>
      </c>
    </row>
    <row r="1135" spans="2:13" x14ac:dyDescent="0.25">
      <c r="B1135" s="42">
        <f t="shared" si="68"/>
        <v>30</v>
      </c>
      <c r="C1135" s="42">
        <f t="shared" si="69"/>
        <v>4</v>
      </c>
      <c r="D1135" s="42">
        <f t="shared" si="70"/>
        <v>2020</v>
      </c>
      <c r="E1135" s="43">
        <v>43951</v>
      </c>
      <c r="F1135" s="42">
        <v>12.5</v>
      </c>
      <c r="G1135" s="42">
        <v>14.15</v>
      </c>
      <c r="H1135" s="42">
        <v>13.15</v>
      </c>
      <c r="I1135" s="42">
        <v>20.45</v>
      </c>
      <c r="J1135" s="42">
        <v>25.42</v>
      </c>
      <c r="K1135" s="42">
        <v>18.84</v>
      </c>
      <c r="L1135" s="42">
        <v>23.39</v>
      </c>
      <c r="M1135" s="42">
        <f t="shared" si="71"/>
        <v>6.34</v>
      </c>
    </row>
    <row r="1136" spans="2:13" x14ac:dyDescent="0.25">
      <c r="B1136" s="42">
        <f t="shared" si="68"/>
        <v>1</v>
      </c>
      <c r="C1136" s="42">
        <f t="shared" si="69"/>
        <v>5</v>
      </c>
      <c r="D1136" s="42">
        <f t="shared" si="70"/>
        <v>2020</v>
      </c>
      <c r="E1136" s="43">
        <v>43952</v>
      </c>
      <c r="F1136" s="42">
        <v>12.5</v>
      </c>
      <c r="G1136" s="42">
        <v>22.22</v>
      </c>
      <c r="H1136" s="42">
        <v>18.82</v>
      </c>
      <c r="I1136" s="42">
        <v>22.87</v>
      </c>
      <c r="J1136" s="42">
        <v>26.25</v>
      </c>
      <c r="K1136" s="42">
        <v>19.78</v>
      </c>
      <c r="L1136" s="42">
        <v>24.33</v>
      </c>
      <c r="M1136" s="42">
        <f t="shared" si="71"/>
        <v>7.2800000000000011</v>
      </c>
    </row>
    <row r="1137" spans="2:13" x14ac:dyDescent="0.25">
      <c r="B1137" s="42">
        <f t="shared" si="68"/>
        <v>4</v>
      </c>
      <c r="C1137" s="42">
        <f t="shared" si="69"/>
        <v>5</v>
      </c>
      <c r="D1137" s="42">
        <f t="shared" si="70"/>
        <v>2020</v>
      </c>
      <c r="E1137" s="43">
        <v>43955</v>
      </c>
      <c r="F1137" s="42">
        <v>18.170000000000002</v>
      </c>
      <c r="G1137" s="42">
        <v>22.99</v>
      </c>
      <c r="H1137" s="42">
        <v>19.59</v>
      </c>
      <c r="I1137" s="42">
        <v>23.64</v>
      </c>
      <c r="J1137" s="42">
        <v>26.19</v>
      </c>
      <c r="K1137" s="42">
        <v>20.39</v>
      </c>
      <c r="L1137" s="42">
        <v>25.49</v>
      </c>
      <c r="M1137" s="42">
        <f t="shared" si="71"/>
        <v>2.2199999999999989</v>
      </c>
    </row>
    <row r="1138" spans="2:13" x14ac:dyDescent="0.25">
      <c r="B1138" s="42">
        <f t="shared" si="68"/>
        <v>5</v>
      </c>
      <c r="C1138" s="42">
        <f t="shared" si="69"/>
        <v>5</v>
      </c>
      <c r="D1138" s="42">
        <f t="shared" si="70"/>
        <v>2020</v>
      </c>
      <c r="E1138" s="43">
        <v>43956</v>
      </c>
      <c r="F1138" s="42">
        <v>21.67</v>
      </c>
      <c r="G1138" s="42">
        <v>26.7</v>
      </c>
      <c r="H1138" s="42">
        <v>23.3</v>
      </c>
      <c r="I1138" s="42">
        <v>27.35</v>
      </c>
      <c r="J1138" s="42">
        <v>29.91</v>
      </c>
      <c r="K1138" s="42">
        <v>24.56</v>
      </c>
      <c r="L1138" s="42">
        <v>28.01</v>
      </c>
      <c r="M1138" s="42">
        <f t="shared" si="71"/>
        <v>2.889999999999997</v>
      </c>
    </row>
    <row r="1139" spans="2:13" x14ac:dyDescent="0.25">
      <c r="B1139" s="42">
        <f t="shared" si="68"/>
        <v>6</v>
      </c>
      <c r="C1139" s="42">
        <f t="shared" si="69"/>
        <v>5</v>
      </c>
      <c r="D1139" s="42">
        <f t="shared" si="70"/>
        <v>2020</v>
      </c>
      <c r="E1139" s="43">
        <v>43957</v>
      </c>
      <c r="F1139" s="42">
        <v>21.1</v>
      </c>
      <c r="G1139" s="42">
        <v>25.96</v>
      </c>
      <c r="H1139" s="42">
        <v>22.56</v>
      </c>
      <c r="I1139" s="42">
        <v>26.61</v>
      </c>
      <c r="J1139" s="42">
        <v>29.13</v>
      </c>
      <c r="K1139" s="42">
        <v>23.99</v>
      </c>
      <c r="L1139" s="42">
        <v>27.59</v>
      </c>
      <c r="M1139" s="42">
        <f t="shared" si="71"/>
        <v>2.889999999999997</v>
      </c>
    </row>
    <row r="1140" spans="2:13" x14ac:dyDescent="0.25">
      <c r="B1140" s="42">
        <f t="shared" si="68"/>
        <v>7</v>
      </c>
      <c r="C1140" s="42">
        <f t="shared" si="69"/>
        <v>5</v>
      </c>
      <c r="D1140" s="42">
        <f t="shared" si="70"/>
        <v>2020</v>
      </c>
      <c r="E1140" s="43">
        <v>43958</v>
      </c>
      <c r="F1140" s="42">
        <v>21.1</v>
      </c>
      <c r="G1140" s="42">
        <v>25.08</v>
      </c>
      <c r="H1140" s="42">
        <v>21.68</v>
      </c>
      <c r="I1140" s="42">
        <v>25.73</v>
      </c>
      <c r="J1140" s="42">
        <v>30.89</v>
      </c>
      <c r="K1140" s="42">
        <v>23.55</v>
      </c>
      <c r="L1140" s="42">
        <v>27</v>
      </c>
      <c r="M1140" s="42">
        <f t="shared" si="71"/>
        <v>2.4499999999999993</v>
      </c>
    </row>
    <row r="1141" spans="2:13" x14ac:dyDescent="0.25">
      <c r="B1141" s="42">
        <f t="shared" si="68"/>
        <v>8</v>
      </c>
      <c r="C1141" s="42">
        <f t="shared" si="69"/>
        <v>5</v>
      </c>
      <c r="D1141" s="42">
        <f t="shared" si="70"/>
        <v>2020</v>
      </c>
      <c r="E1141" s="43">
        <v>43959</v>
      </c>
      <c r="F1141" s="42">
        <v>21.89</v>
      </c>
      <c r="G1141" s="42">
        <v>26.55</v>
      </c>
      <c r="H1141" s="42">
        <v>23.15</v>
      </c>
      <c r="I1141" s="42">
        <v>27.2</v>
      </c>
      <c r="J1141" s="42">
        <v>30.89</v>
      </c>
      <c r="K1141" s="42">
        <v>24.74</v>
      </c>
      <c r="L1141" s="42">
        <v>28.54</v>
      </c>
      <c r="M1141" s="42">
        <f t="shared" si="71"/>
        <v>2.8499999999999979</v>
      </c>
    </row>
    <row r="1142" spans="2:13" x14ac:dyDescent="0.25">
      <c r="B1142" s="42">
        <f t="shared" si="68"/>
        <v>11</v>
      </c>
      <c r="C1142" s="42">
        <f t="shared" si="69"/>
        <v>5</v>
      </c>
      <c r="D1142" s="42">
        <f t="shared" si="70"/>
        <v>2020</v>
      </c>
      <c r="E1142" s="43">
        <v>43962</v>
      </c>
      <c r="F1142" s="42">
        <v>21.05</v>
      </c>
      <c r="G1142" s="42">
        <v>26.03</v>
      </c>
      <c r="H1142" s="42">
        <v>22.63</v>
      </c>
      <c r="I1142" s="42">
        <v>26.68</v>
      </c>
      <c r="J1142" s="42">
        <v>29.81</v>
      </c>
      <c r="K1142" s="42">
        <v>24.14</v>
      </c>
      <c r="L1142" s="42">
        <v>27.94</v>
      </c>
      <c r="M1142" s="42">
        <f t="shared" si="71"/>
        <v>3.09</v>
      </c>
    </row>
    <row r="1143" spans="2:13" x14ac:dyDescent="0.25">
      <c r="B1143" s="42">
        <f t="shared" si="68"/>
        <v>12</v>
      </c>
      <c r="C1143" s="42">
        <f t="shared" si="69"/>
        <v>5</v>
      </c>
      <c r="D1143" s="42">
        <f t="shared" si="70"/>
        <v>2020</v>
      </c>
      <c r="E1143" s="43">
        <v>43963</v>
      </c>
      <c r="F1143" s="42">
        <v>21.95</v>
      </c>
      <c r="G1143" s="42">
        <v>23.87</v>
      </c>
      <c r="H1143" s="42">
        <v>23.47</v>
      </c>
      <c r="I1143" s="42">
        <v>27.52</v>
      </c>
      <c r="J1143" s="42">
        <v>29.94</v>
      </c>
      <c r="K1143" s="42">
        <v>25.78</v>
      </c>
      <c r="L1143" s="42">
        <v>29.58</v>
      </c>
      <c r="M1143" s="42">
        <f t="shared" si="71"/>
        <v>3.8300000000000018</v>
      </c>
    </row>
    <row r="1144" spans="2:13" x14ac:dyDescent="0.25">
      <c r="B1144" s="42">
        <f t="shared" si="68"/>
        <v>13</v>
      </c>
      <c r="C1144" s="42">
        <f t="shared" si="69"/>
        <v>5</v>
      </c>
      <c r="D1144" s="42">
        <f t="shared" si="70"/>
        <v>2020</v>
      </c>
      <c r="E1144" s="43">
        <v>43964</v>
      </c>
      <c r="F1144" s="42">
        <v>21.13</v>
      </c>
      <c r="G1144" s="42">
        <v>22.94</v>
      </c>
      <c r="H1144" s="42">
        <v>22.54</v>
      </c>
      <c r="I1144" s="42">
        <v>26.59</v>
      </c>
      <c r="J1144" s="42">
        <v>29.76</v>
      </c>
      <c r="K1144" s="42">
        <v>25.29</v>
      </c>
      <c r="L1144" s="42">
        <v>29.09</v>
      </c>
      <c r="M1144" s="42">
        <f t="shared" si="71"/>
        <v>4.16</v>
      </c>
    </row>
    <row r="1145" spans="2:13" x14ac:dyDescent="0.25">
      <c r="B1145" s="42">
        <f t="shared" si="68"/>
        <v>14</v>
      </c>
      <c r="C1145" s="42">
        <f t="shared" si="69"/>
        <v>5</v>
      </c>
      <c r="D1145" s="42">
        <f t="shared" si="70"/>
        <v>2020</v>
      </c>
      <c r="E1145" s="43">
        <v>43965</v>
      </c>
      <c r="F1145" s="42">
        <v>23.08</v>
      </c>
      <c r="G1145" s="42">
        <v>24.95</v>
      </c>
      <c r="H1145" s="42">
        <v>24.55</v>
      </c>
      <c r="I1145" s="42">
        <v>28.6</v>
      </c>
      <c r="J1145" s="42">
        <v>29.99</v>
      </c>
      <c r="K1145" s="42">
        <v>27.56</v>
      </c>
      <c r="L1145" s="42">
        <v>31.06</v>
      </c>
      <c r="M1145" s="42">
        <f t="shared" si="71"/>
        <v>4.4800000000000004</v>
      </c>
    </row>
    <row r="1146" spans="2:13" x14ac:dyDescent="0.25">
      <c r="B1146" s="42">
        <f t="shared" si="68"/>
        <v>15</v>
      </c>
      <c r="C1146" s="42">
        <f t="shared" si="69"/>
        <v>5</v>
      </c>
      <c r="D1146" s="42">
        <f t="shared" si="70"/>
        <v>2020</v>
      </c>
      <c r="E1146" s="43">
        <v>43966</v>
      </c>
      <c r="F1146" s="42">
        <v>24.74</v>
      </c>
      <c r="G1146" s="42">
        <v>26.47</v>
      </c>
      <c r="H1146" s="42">
        <v>26.07</v>
      </c>
      <c r="I1146" s="42">
        <v>30.12</v>
      </c>
      <c r="J1146" s="42">
        <v>31.8</v>
      </c>
      <c r="K1146" s="42">
        <v>29.43</v>
      </c>
      <c r="L1146" s="42">
        <v>32.78</v>
      </c>
      <c r="M1146" s="42">
        <f t="shared" si="71"/>
        <v>4.6900000000000013</v>
      </c>
    </row>
    <row r="1147" spans="2:13" x14ac:dyDescent="0.25">
      <c r="B1147" s="42">
        <f t="shared" si="68"/>
        <v>18</v>
      </c>
      <c r="C1147" s="42">
        <f t="shared" si="69"/>
        <v>5</v>
      </c>
      <c r="D1147" s="42">
        <f t="shared" si="70"/>
        <v>2020</v>
      </c>
      <c r="E1147" s="43">
        <v>43969</v>
      </c>
      <c r="F1147" s="42">
        <v>26.73</v>
      </c>
      <c r="G1147" s="42">
        <v>28.61</v>
      </c>
      <c r="H1147" s="42">
        <v>28.21</v>
      </c>
      <c r="I1147" s="42">
        <v>32.26</v>
      </c>
      <c r="J1147" s="42">
        <v>35.619999999999997</v>
      </c>
      <c r="K1147" s="42">
        <v>31.82</v>
      </c>
      <c r="L1147" s="42">
        <v>34.57</v>
      </c>
      <c r="M1147" s="42">
        <f t="shared" si="71"/>
        <v>5.09</v>
      </c>
    </row>
    <row r="1148" spans="2:13" x14ac:dyDescent="0.25">
      <c r="B1148" s="42">
        <f t="shared" si="68"/>
        <v>19</v>
      </c>
      <c r="C1148" s="42">
        <f t="shared" si="69"/>
        <v>5</v>
      </c>
      <c r="D1148" s="42">
        <f t="shared" si="70"/>
        <v>2020</v>
      </c>
      <c r="E1148" s="43">
        <v>43970</v>
      </c>
      <c r="F1148" s="42">
        <v>26.55</v>
      </c>
      <c r="G1148" s="42">
        <v>28.2</v>
      </c>
      <c r="H1148" s="42">
        <v>27.8</v>
      </c>
      <c r="I1148" s="42">
        <v>31.85</v>
      </c>
      <c r="J1148" s="42">
        <v>34.67</v>
      </c>
      <c r="K1148" s="42">
        <v>32.54</v>
      </c>
      <c r="L1148" s="42">
        <v>34.54</v>
      </c>
      <c r="M1148" s="42">
        <f t="shared" si="71"/>
        <v>5.9899999999999984</v>
      </c>
    </row>
    <row r="1149" spans="2:13" x14ac:dyDescent="0.25">
      <c r="B1149" s="42">
        <f t="shared" si="68"/>
        <v>20</v>
      </c>
      <c r="C1149" s="42">
        <f t="shared" si="69"/>
        <v>5</v>
      </c>
      <c r="D1149" s="42">
        <f t="shared" si="70"/>
        <v>2020</v>
      </c>
      <c r="E1149" s="43">
        <v>43971</v>
      </c>
      <c r="F1149" s="42">
        <v>27.71</v>
      </c>
      <c r="G1149" s="42">
        <v>29.82</v>
      </c>
      <c r="H1149" s="42">
        <v>29.42</v>
      </c>
      <c r="I1149" s="42">
        <v>33.47</v>
      </c>
      <c r="J1149" s="42">
        <v>35.700000000000003</v>
      </c>
      <c r="K1149" s="42">
        <v>33.81</v>
      </c>
      <c r="L1149" s="42">
        <v>35.31</v>
      </c>
      <c r="M1149" s="42">
        <f t="shared" si="71"/>
        <v>6.1000000000000014</v>
      </c>
    </row>
    <row r="1150" spans="2:13" x14ac:dyDescent="0.25">
      <c r="B1150" s="42">
        <f t="shared" si="68"/>
        <v>21</v>
      </c>
      <c r="C1150" s="42">
        <f t="shared" si="69"/>
        <v>5</v>
      </c>
      <c r="D1150" s="42">
        <f t="shared" si="70"/>
        <v>2020</v>
      </c>
      <c r="E1150" s="43">
        <v>43972</v>
      </c>
      <c r="F1150" s="42">
        <v>28.03</v>
      </c>
      <c r="G1150" s="42">
        <v>30.08</v>
      </c>
      <c r="H1150" s="42">
        <v>29.68</v>
      </c>
      <c r="I1150" s="42">
        <v>33.729999999999997</v>
      </c>
      <c r="J1150" s="42">
        <v>36</v>
      </c>
      <c r="K1150" s="42">
        <v>34.14</v>
      </c>
      <c r="L1150" s="42">
        <v>35.39</v>
      </c>
      <c r="M1150" s="42">
        <f t="shared" si="71"/>
        <v>6.1099999999999994</v>
      </c>
    </row>
    <row r="1151" spans="2:13" x14ac:dyDescent="0.25">
      <c r="B1151" s="42">
        <f t="shared" si="68"/>
        <v>22</v>
      </c>
      <c r="C1151" s="42">
        <f t="shared" si="69"/>
        <v>5</v>
      </c>
      <c r="D1151" s="42">
        <f t="shared" si="70"/>
        <v>2020</v>
      </c>
      <c r="E1151" s="43">
        <v>43973</v>
      </c>
      <c r="F1151" s="42">
        <v>27.3</v>
      </c>
      <c r="G1151" s="42">
        <v>29.33</v>
      </c>
      <c r="H1151" s="42">
        <v>28.93</v>
      </c>
      <c r="I1151" s="42">
        <v>32.979999999999997</v>
      </c>
      <c r="J1151" s="42">
        <v>34.68</v>
      </c>
      <c r="K1151" s="42">
        <v>33.549999999999997</v>
      </c>
      <c r="L1151" s="42">
        <v>34.799999999999997</v>
      </c>
      <c r="M1151" s="42">
        <f t="shared" si="71"/>
        <v>6.2499999999999964</v>
      </c>
    </row>
    <row r="1152" spans="2:13" x14ac:dyDescent="0.25">
      <c r="B1152" s="42">
        <f t="shared" si="68"/>
        <v>25</v>
      </c>
      <c r="C1152" s="42">
        <f t="shared" si="69"/>
        <v>5</v>
      </c>
      <c r="D1152" s="42">
        <f t="shared" si="70"/>
        <v>2020</v>
      </c>
      <c r="E1152" s="43">
        <v>43976</v>
      </c>
      <c r="F1152" s="42">
        <v>27.3</v>
      </c>
      <c r="G1152" s="42">
        <v>29.33</v>
      </c>
      <c r="H1152" s="42">
        <v>28.93</v>
      </c>
      <c r="I1152" s="42">
        <v>32.979999999999997</v>
      </c>
      <c r="J1152" s="42">
        <v>34.68</v>
      </c>
      <c r="K1152" s="42">
        <v>33.549999999999997</v>
      </c>
      <c r="L1152" s="42">
        <v>34.799999999999997</v>
      </c>
      <c r="M1152" s="42">
        <f t="shared" si="71"/>
        <v>6.2499999999999964</v>
      </c>
    </row>
    <row r="1153" spans="2:13" x14ac:dyDescent="0.25">
      <c r="B1153" s="42">
        <f t="shared" si="68"/>
        <v>26</v>
      </c>
      <c r="C1153" s="42">
        <f t="shared" si="69"/>
        <v>5</v>
      </c>
      <c r="D1153" s="42">
        <f t="shared" si="70"/>
        <v>2020</v>
      </c>
      <c r="E1153" s="43">
        <v>43977</v>
      </c>
      <c r="F1153" s="42">
        <v>28.65</v>
      </c>
      <c r="G1153" s="42">
        <v>30.54</v>
      </c>
      <c r="H1153" s="42">
        <v>30.14</v>
      </c>
      <c r="I1153" s="42">
        <v>34.19</v>
      </c>
      <c r="J1153" s="42">
        <v>35.6</v>
      </c>
      <c r="K1153" s="42">
        <v>34.35</v>
      </c>
      <c r="L1153" s="42">
        <v>36</v>
      </c>
      <c r="M1153" s="42">
        <f t="shared" si="71"/>
        <v>5.7000000000000028</v>
      </c>
    </row>
    <row r="1154" spans="2:13" x14ac:dyDescent="0.25">
      <c r="B1154" s="42">
        <f t="shared" si="68"/>
        <v>27</v>
      </c>
      <c r="C1154" s="42">
        <f t="shared" si="69"/>
        <v>5</v>
      </c>
      <c r="D1154" s="42">
        <f t="shared" si="70"/>
        <v>2020</v>
      </c>
      <c r="E1154" s="43">
        <v>43978</v>
      </c>
      <c r="F1154" s="42">
        <v>27.37</v>
      </c>
      <c r="G1154" s="42">
        <v>29.17</v>
      </c>
      <c r="H1154" s="42">
        <v>28.77</v>
      </c>
      <c r="I1154" s="42">
        <v>32.82</v>
      </c>
      <c r="J1154" s="42">
        <v>34.35</v>
      </c>
      <c r="K1154" s="42">
        <v>32.81</v>
      </c>
      <c r="L1154" s="42">
        <v>34.31</v>
      </c>
      <c r="M1154" s="42">
        <f t="shared" si="71"/>
        <v>5.4400000000000013</v>
      </c>
    </row>
    <row r="1155" spans="2:13" x14ac:dyDescent="0.25">
      <c r="B1155" s="42">
        <f t="shared" si="68"/>
        <v>28</v>
      </c>
      <c r="C1155" s="42">
        <f t="shared" si="69"/>
        <v>5</v>
      </c>
      <c r="D1155" s="42">
        <f t="shared" si="70"/>
        <v>2020</v>
      </c>
      <c r="E1155" s="43">
        <v>43979</v>
      </c>
      <c r="F1155" s="42">
        <v>27.92</v>
      </c>
      <c r="G1155" s="42">
        <v>29.86</v>
      </c>
      <c r="H1155" s="42">
        <v>29.46</v>
      </c>
      <c r="I1155" s="42">
        <v>33.51</v>
      </c>
      <c r="J1155" s="42">
        <v>34.630000000000003</v>
      </c>
      <c r="K1155" s="42">
        <v>33.71</v>
      </c>
      <c r="L1155" s="42">
        <v>35.56</v>
      </c>
      <c r="M1155" s="42">
        <f t="shared" si="71"/>
        <v>5.7899999999999991</v>
      </c>
    </row>
    <row r="1156" spans="2:13" x14ac:dyDescent="0.25">
      <c r="B1156" s="42">
        <f t="shared" si="68"/>
        <v>29</v>
      </c>
      <c r="C1156" s="42">
        <f t="shared" si="69"/>
        <v>5</v>
      </c>
      <c r="D1156" s="42">
        <f t="shared" si="70"/>
        <v>2020</v>
      </c>
      <c r="E1156" s="43">
        <v>43980</v>
      </c>
      <c r="F1156" s="42">
        <v>29.87</v>
      </c>
      <c r="G1156" s="42">
        <v>30.96</v>
      </c>
      <c r="H1156" s="42">
        <v>30.56</v>
      </c>
      <c r="I1156" s="42">
        <v>34.61</v>
      </c>
      <c r="J1156" s="42">
        <v>35.6</v>
      </c>
      <c r="K1156" s="42">
        <v>35.49</v>
      </c>
      <c r="L1156" s="42">
        <v>36.99</v>
      </c>
      <c r="M1156" s="42">
        <f t="shared" si="71"/>
        <v>5.620000000000001</v>
      </c>
    </row>
    <row r="1157" spans="2:13" x14ac:dyDescent="0.25">
      <c r="B1157" s="42">
        <f t="shared" si="68"/>
        <v>1</v>
      </c>
      <c r="C1157" s="42">
        <f t="shared" si="69"/>
        <v>6</v>
      </c>
      <c r="D1157" s="42">
        <f t="shared" si="70"/>
        <v>2020</v>
      </c>
      <c r="E1157" s="43">
        <v>43983</v>
      </c>
      <c r="F1157" s="42">
        <v>31.14</v>
      </c>
      <c r="G1157" s="42">
        <v>33.56</v>
      </c>
      <c r="H1157" s="42">
        <v>33.26</v>
      </c>
      <c r="I1157" s="42">
        <v>36.909999999999997</v>
      </c>
      <c r="J1157" s="42">
        <v>37.549999999999997</v>
      </c>
      <c r="K1157" s="42">
        <v>35.44</v>
      </c>
      <c r="L1157" s="42">
        <v>36.69</v>
      </c>
      <c r="M1157" s="42">
        <f t="shared" si="71"/>
        <v>4.2999999999999972</v>
      </c>
    </row>
    <row r="1158" spans="2:13" x14ac:dyDescent="0.25">
      <c r="B1158" s="42">
        <f t="shared" si="68"/>
        <v>2</v>
      </c>
      <c r="C1158" s="42">
        <f t="shared" si="69"/>
        <v>6</v>
      </c>
      <c r="D1158" s="42">
        <f t="shared" si="70"/>
        <v>2020</v>
      </c>
      <c r="E1158" s="43">
        <v>43984</v>
      </c>
      <c r="F1158" s="42">
        <v>32.4</v>
      </c>
      <c r="G1158" s="42">
        <v>34.869999999999997</v>
      </c>
      <c r="H1158" s="42">
        <v>34.57</v>
      </c>
      <c r="I1158" s="42">
        <v>38.22</v>
      </c>
      <c r="J1158" s="42">
        <v>39.51</v>
      </c>
      <c r="K1158" s="42">
        <v>36.81</v>
      </c>
      <c r="L1158" s="42">
        <v>38.31</v>
      </c>
      <c r="M1158" s="42">
        <f t="shared" si="71"/>
        <v>4.4100000000000037</v>
      </c>
    </row>
    <row r="1159" spans="2:13" x14ac:dyDescent="0.25">
      <c r="B1159" s="42">
        <f t="shared" ref="B1159:B1222" si="72">DAY(E1159)</f>
        <v>3</v>
      </c>
      <c r="C1159" s="42">
        <f t="shared" ref="C1159:C1222" si="73">MONTH(E1159)</f>
        <v>6</v>
      </c>
      <c r="D1159" s="42">
        <f t="shared" ref="D1159:D1222" si="74">YEAR(E1159)</f>
        <v>2020</v>
      </c>
      <c r="E1159" s="43">
        <v>43985</v>
      </c>
      <c r="F1159" s="42">
        <v>32.64</v>
      </c>
      <c r="G1159" s="42">
        <v>34.9</v>
      </c>
      <c r="H1159" s="42">
        <v>34.6</v>
      </c>
      <c r="I1159" s="42">
        <v>38.25</v>
      </c>
      <c r="J1159" s="42">
        <v>39.520000000000003</v>
      </c>
      <c r="K1159" s="42">
        <v>37.29</v>
      </c>
      <c r="L1159" s="42">
        <v>38.79</v>
      </c>
      <c r="M1159" s="42">
        <f t="shared" ref="M1159:M1222" si="75">K1159-F1159</f>
        <v>4.6499999999999986</v>
      </c>
    </row>
    <row r="1160" spans="2:13" x14ac:dyDescent="0.25">
      <c r="B1160" s="42">
        <f t="shared" si="72"/>
        <v>4</v>
      </c>
      <c r="C1160" s="42">
        <f t="shared" si="73"/>
        <v>6</v>
      </c>
      <c r="D1160" s="42">
        <f t="shared" si="74"/>
        <v>2020</v>
      </c>
      <c r="E1160" s="43">
        <v>43986</v>
      </c>
      <c r="F1160" s="42">
        <v>32.61</v>
      </c>
      <c r="G1160" s="42">
        <v>35.1</v>
      </c>
      <c r="H1160" s="42">
        <v>34.799999999999997</v>
      </c>
      <c r="I1160" s="42">
        <v>38.450000000000003</v>
      </c>
      <c r="J1160" s="42">
        <v>39.26</v>
      </c>
      <c r="K1160" s="42">
        <v>37.409999999999997</v>
      </c>
      <c r="L1160" s="42">
        <v>38.76</v>
      </c>
      <c r="M1160" s="42">
        <f t="shared" si="75"/>
        <v>4.7999999999999972</v>
      </c>
    </row>
    <row r="1161" spans="2:13" x14ac:dyDescent="0.25">
      <c r="B1161" s="42">
        <f t="shared" si="72"/>
        <v>5</v>
      </c>
      <c r="C1161" s="42">
        <f t="shared" si="73"/>
        <v>6</v>
      </c>
      <c r="D1161" s="42">
        <f t="shared" si="74"/>
        <v>2020</v>
      </c>
      <c r="E1161" s="43">
        <v>43987</v>
      </c>
      <c r="F1161" s="42">
        <v>34.770000000000003</v>
      </c>
      <c r="G1161" s="42">
        <v>37.19</v>
      </c>
      <c r="H1161" s="42">
        <v>36.89</v>
      </c>
      <c r="I1161" s="42">
        <v>40.54</v>
      </c>
      <c r="J1161" s="42">
        <v>42.19</v>
      </c>
      <c r="K1161" s="42">
        <v>39.549999999999997</v>
      </c>
      <c r="L1161" s="42">
        <v>40.9</v>
      </c>
      <c r="M1161" s="42">
        <f t="shared" si="75"/>
        <v>4.779999999999994</v>
      </c>
    </row>
    <row r="1162" spans="2:13" x14ac:dyDescent="0.25">
      <c r="B1162" s="42">
        <f t="shared" si="72"/>
        <v>8</v>
      </c>
      <c r="C1162" s="42">
        <f t="shared" si="73"/>
        <v>6</v>
      </c>
      <c r="D1162" s="42">
        <f t="shared" si="74"/>
        <v>2020</v>
      </c>
      <c r="E1162" s="43">
        <v>43990</v>
      </c>
      <c r="F1162" s="42">
        <v>33.880000000000003</v>
      </c>
      <c r="G1162" s="42">
        <v>35.979999999999997</v>
      </c>
      <c r="H1162" s="42">
        <v>35.68</v>
      </c>
      <c r="I1162" s="42">
        <v>39.33</v>
      </c>
      <c r="J1162" s="42">
        <v>41.32</v>
      </c>
      <c r="K1162" s="42">
        <v>38.19</v>
      </c>
      <c r="L1162" s="42">
        <v>39.54</v>
      </c>
      <c r="M1162" s="42">
        <f t="shared" si="75"/>
        <v>4.3099999999999952</v>
      </c>
    </row>
    <row r="1163" spans="2:13" x14ac:dyDescent="0.25">
      <c r="B1163" s="42">
        <f t="shared" si="72"/>
        <v>9</v>
      </c>
      <c r="C1163" s="42">
        <f t="shared" si="73"/>
        <v>6</v>
      </c>
      <c r="D1163" s="42">
        <f t="shared" si="74"/>
        <v>2020</v>
      </c>
      <c r="E1163" s="43">
        <v>43991</v>
      </c>
      <c r="F1163" s="42">
        <v>33.97</v>
      </c>
      <c r="G1163" s="42">
        <v>36.39</v>
      </c>
      <c r="H1163" s="42">
        <v>36.090000000000003</v>
      </c>
      <c r="I1163" s="42">
        <v>39.74</v>
      </c>
      <c r="J1163" s="42">
        <v>40.770000000000003</v>
      </c>
      <c r="K1163" s="42">
        <v>38.94</v>
      </c>
      <c r="L1163" s="42">
        <v>39.94</v>
      </c>
      <c r="M1163" s="42">
        <f t="shared" si="75"/>
        <v>4.9699999999999989</v>
      </c>
    </row>
    <row r="1164" spans="2:13" x14ac:dyDescent="0.25">
      <c r="B1164" s="42">
        <f t="shared" si="72"/>
        <v>10</v>
      </c>
      <c r="C1164" s="42">
        <f t="shared" si="73"/>
        <v>6</v>
      </c>
      <c r="D1164" s="42">
        <f t="shared" si="74"/>
        <v>2020</v>
      </c>
      <c r="E1164" s="43">
        <v>43992</v>
      </c>
      <c r="F1164" s="42">
        <v>34.43</v>
      </c>
      <c r="G1164" s="42">
        <v>36.75</v>
      </c>
      <c r="H1164" s="42">
        <v>36.450000000000003</v>
      </c>
      <c r="I1164" s="42">
        <v>40.1</v>
      </c>
      <c r="J1164" s="42">
        <v>40.950000000000003</v>
      </c>
      <c r="K1164" s="42">
        <v>39.6</v>
      </c>
      <c r="L1164" s="42">
        <v>40.6</v>
      </c>
      <c r="M1164" s="42">
        <f t="shared" si="75"/>
        <v>5.1700000000000017</v>
      </c>
    </row>
    <row r="1165" spans="2:13" x14ac:dyDescent="0.25">
      <c r="B1165" s="42">
        <f t="shared" si="72"/>
        <v>11</v>
      </c>
      <c r="C1165" s="42">
        <f t="shared" si="73"/>
        <v>6</v>
      </c>
      <c r="D1165" s="42">
        <f t="shared" si="74"/>
        <v>2020</v>
      </c>
      <c r="E1165" s="43">
        <v>43993</v>
      </c>
      <c r="F1165" s="42">
        <v>31.59</v>
      </c>
      <c r="G1165" s="42">
        <v>33.700000000000003</v>
      </c>
      <c r="H1165" s="42">
        <v>33.4</v>
      </c>
      <c r="I1165" s="42">
        <v>37.049999999999997</v>
      </c>
      <c r="J1165" s="42">
        <v>39</v>
      </c>
      <c r="K1165" s="42">
        <v>36.340000000000003</v>
      </c>
      <c r="L1165" s="42">
        <v>37.49</v>
      </c>
      <c r="M1165" s="42">
        <f t="shared" si="75"/>
        <v>4.7500000000000036</v>
      </c>
    </row>
    <row r="1166" spans="2:13" x14ac:dyDescent="0.25">
      <c r="B1166" s="42">
        <f t="shared" si="72"/>
        <v>12</v>
      </c>
      <c r="C1166" s="42">
        <f t="shared" si="73"/>
        <v>6</v>
      </c>
      <c r="D1166" s="42">
        <f t="shared" si="74"/>
        <v>2020</v>
      </c>
      <c r="E1166" s="43">
        <v>43994</v>
      </c>
      <c r="F1166" s="42">
        <v>31.42</v>
      </c>
      <c r="G1166" s="42">
        <v>33.82</v>
      </c>
      <c r="H1166" s="42">
        <v>33.520000000000003</v>
      </c>
      <c r="I1166" s="42">
        <v>37.17</v>
      </c>
      <c r="J1166" s="42">
        <v>38.840000000000003</v>
      </c>
      <c r="K1166" s="42">
        <v>36.26</v>
      </c>
      <c r="L1166" s="42">
        <v>37.409999999999997</v>
      </c>
      <c r="M1166" s="42">
        <f t="shared" si="75"/>
        <v>4.8399999999999963</v>
      </c>
    </row>
    <row r="1167" spans="2:13" x14ac:dyDescent="0.25">
      <c r="B1167" s="42">
        <f t="shared" si="72"/>
        <v>15</v>
      </c>
      <c r="C1167" s="42">
        <f t="shared" si="73"/>
        <v>6</v>
      </c>
      <c r="D1167" s="42">
        <f t="shared" si="74"/>
        <v>2020</v>
      </c>
      <c r="E1167" s="43">
        <v>43997</v>
      </c>
      <c r="F1167" s="42">
        <v>32.33</v>
      </c>
      <c r="G1167" s="42">
        <v>34.9</v>
      </c>
      <c r="H1167" s="42">
        <v>34.6</v>
      </c>
      <c r="I1167" s="42">
        <v>38.25</v>
      </c>
      <c r="J1167" s="42">
        <v>39.090000000000003</v>
      </c>
      <c r="K1167" s="42">
        <v>37.119999999999997</v>
      </c>
      <c r="L1167" s="42">
        <v>38.270000000000003</v>
      </c>
      <c r="M1167" s="42">
        <f t="shared" si="75"/>
        <v>4.7899999999999991</v>
      </c>
    </row>
    <row r="1168" spans="2:13" x14ac:dyDescent="0.25">
      <c r="B1168" s="42">
        <f t="shared" si="72"/>
        <v>16</v>
      </c>
      <c r="C1168" s="42">
        <f t="shared" si="73"/>
        <v>6</v>
      </c>
      <c r="D1168" s="42">
        <f t="shared" si="74"/>
        <v>2020</v>
      </c>
      <c r="E1168" s="43">
        <v>43998</v>
      </c>
      <c r="F1168" s="42">
        <v>33.630000000000003</v>
      </c>
      <c r="G1168" s="42">
        <v>36.049999999999997</v>
      </c>
      <c r="H1168" s="42">
        <v>35.75</v>
      </c>
      <c r="I1168" s="42">
        <v>39.4</v>
      </c>
      <c r="J1168" s="42">
        <v>40.450000000000003</v>
      </c>
      <c r="K1168" s="42">
        <v>38.380000000000003</v>
      </c>
      <c r="L1168" s="42">
        <v>39.729999999999997</v>
      </c>
      <c r="M1168" s="42">
        <f t="shared" si="75"/>
        <v>4.75</v>
      </c>
    </row>
    <row r="1169" spans="2:13" x14ac:dyDescent="0.25">
      <c r="B1169" s="42">
        <f t="shared" si="72"/>
        <v>17</v>
      </c>
      <c r="C1169" s="42">
        <f t="shared" si="73"/>
        <v>6</v>
      </c>
      <c r="D1169" s="42">
        <f t="shared" si="74"/>
        <v>2020</v>
      </c>
      <c r="E1169" s="43">
        <v>43999</v>
      </c>
      <c r="F1169" s="42">
        <v>33.51</v>
      </c>
      <c r="G1169" s="42">
        <v>35.65</v>
      </c>
      <c r="H1169" s="42">
        <v>35.35</v>
      </c>
      <c r="I1169" s="42">
        <v>39</v>
      </c>
      <c r="J1169" s="42">
        <v>40.770000000000003</v>
      </c>
      <c r="K1169" s="42">
        <v>37.96</v>
      </c>
      <c r="L1169" s="42">
        <v>39.26</v>
      </c>
      <c r="M1169" s="42">
        <f t="shared" si="75"/>
        <v>4.4500000000000028</v>
      </c>
    </row>
    <row r="1170" spans="2:13" x14ac:dyDescent="0.25">
      <c r="B1170" s="42">
        <f t="shared" si="72"/>
        <v>18</v>
      </c>
      <c r="C1170" s="42">
        <f t="shared" si="73"/>
        <v>6</v>
      </c>
      <c r="D1170" s="42">
        <f t="shared" si="74"/>
        <v>2020</v>
      </c>
      <c r="E1170" s="43">
        <v>44000</v>
      </c>
      <c r="F1170" s="42">
        <v>34.17</v>
      </c>
      <c r="G1170" s="42">
        <v>36.56</v>
      </c>
      <c r="H1170" s="42">
        <v>36.26</v>
      </c>
      <c r="I1170" s="42">
        <v>39.909999999999997</v>
      </c>
      <c r="J1170" s="42">
        <v>41.44</v>
      </c>
      <c r="K1170" s="42">
        <v>38.840000000000003</v>
      </c>
      <c r="L1170" s="42">
        <v>40.14</v>
      </c>
      <c r="M1170" s="42">
        <f t="shared" si="75"/>
        <v>4.6700000000000017</v>
      </c>
    </row>
    <row r="1171" spans="2:13" x14ac:dyDescent="0.25">
      <c r="B1171" s="42">
        <f t="shared" si="72"/>
        <v>19</v>
      </c>
      <c r="C1171" s="42">
        <f t="shared" si="73"/>
        <v>6</v>
      </c>
      <c r="D1171" s="42">
        <f t="shared" si="74"/>
        <v>2020</v>
      </c>
      <c r="E1171" s="43">
        <v>44001</v>
      </c>
      <c r="F1171" s="42">
        <v>35.04</v>
      </c>
      <c r="G1171" s="42">
        <v>37.29</v>
      </c>
      <c r="H1171" s="42">
        <v>36.99</v>
      </c>
      <c r="I1171" s="42">
        <v>40.64</v>
      </c>
      <c r="J1171" s="42">
        <v>42.83</v>
      </c>
      <c r="K1171" s="42">
        <v>39.75</v>
      </c>
      <c r="L1171" s="42">
        <v>40.9</v>
      </c>
      <c r="M1171" s="42">
        <f t="shared" si="75"/>
        <v>4.7100000000000009</v>
      </c>
    </row>
    <row r="1172" spans="2:13" x14ac:dyDescent="0.25">
      <c r="B1172" s="42">
        <f t="shared" si="72"/>
        <v>22</v>
      </c>
      <c r="C1172" s="42">
        <f t="shared" si="73"/>
        <v>6</v>
      </c>
      <c r="D1172" s="42">
        <f t="shared" si="74"/>
        <v>2020</v>
      </c>
      <c r="E1172" s="43">
        <v>44004</v>
      </c>
      <c r="F1172" s="42">
        <v>35.49</v>
      </c>
      <c r="G1172" s="42">
        <v>37.770000000000003</v>
      </c>
      <c r="H1172" s="42">
        <v>37.47</v>
      </c>
      <c r="I1172" s="42">
        <v>41.12</v>
      </c>
      <c r="J1172" s="42">
        <v>42.8</v>
      </c>
      <c r="K1172" s="42">
        <v>40.46</v>
      </c>
      <c r="L1172" s="42">
        <v>41.26</v>
      </c>
      <c r="M1172" s="42">
        <f t="shared" si="75"/>
        <v>4.9699999999999989</v>
      </c>
    </row>
    <row r="1173" spans="2:13" x14ac:dyDescent="0.25">
      <c r="B1173" s="42">
        <f t="shared" si="72"/>
        <v>23</v>
      </c>
      <c r="C1173" s="42">
        <f t="shared" si="73"/>
        <v>6</v>
      </c>
      <c r="D1173" s="42">
        <f t="shared" si="74"/>
        <v>2020</v>
      </c>
      <c r="E1173" s="43">
        <v>44005</v>
      </c>
      <c r="F1173" s="42">
        <v>35.42</v>
      </c>
      <c r="G1173" s="42">
        <v>37.53</v>
      </c>
      <c r="H1173" s="42">
        <v>37.229999999999997</v>
      </c>
      <c r="I1173" s="42">
        <v>40.880000000000003</v>
      </c>
      <c r="J1173" s="42">
        <v>43.71</v>
      </c>
      <c r="K1173" s="42">
        <v>40.270000000000003</v>
      </c>
      <c r="L1173" s="42">
        <v>41.07</v>
      </c>
      <c r="M1173" s="42">
        <f t="shared" si="75"/>
        <v>4.8500000000000014</v>
      </c>
    </row>
    <row r="1174" spans="2:13" x14ac:dyDescent="0.25">
      <c r="B1174" s="42">
        <f t="shared" si="72"/>
        <v>24</v>
      </c>
      <c r="C1174" s="42">
        <f t="shared" si="73"/>
        <v>6</v>
      </c>
      <c r="D1174" s="42">
        <f t="shared" si="74"/>
        <v>2020</v>
      </c>
      <c r="E1174" s="43">
        <v>44006</v>
      </c>
      <c r="F1174" s="42">
        <v>33.15</v>
      </c>
      <c r="G1174" s="42">
        <v>35.14</v>
      </c>
      <c r="H1174" s="42">
        <v>34.840000000000003</v>
      </c>
      <c r="I1174" s="42">
        <v>38.49</v>
      </c>
      <c r="J1174" s="42">
        <v>40.56</v>
      </c>
      <c r="K1174" s="42">
        <v>37.909999999999997</v>
      </c>
      <c r="L1174" s="42">
        <v>38.71</v>
      </c>
      <c r="M1174" s="42">
        <f t="shared" si="75"/>
        <v>4.759999999999998</v>
      </c>
    </row>
    <row r="1175" spans="2:13" x14ac:dyDescent="0.25">
      <c r="B1175" s="42">
        <f t="shared" si="72"/>
        <v>25</v>
      </c>
      <c r="C1175" s="42">
        <f t="shared" si="73"/>
        <v>6</v>
      </c>
      <c r="D1175" s="42">
        <f t="shared" si="74"/>
        <v>2020</v>
      </c>
      <c r="E1175" s="43">
        <v>44007</v>
      </c>
      <c r="F1175" s="42">
        <v>33.67</v>
      </c>
      <c r="G1175" s="42">
        <v>36.229999999999997</v>
      </c>
      <c r="H1175" s="42">
        <v>35.93</v>
      </c>
      <c r="I1175" s="42">
        <v>39.58</v>
      </c>
      <c r="J1175" s="42">
        <v>40.950000000000003</v>
      </c>
      <c r="K1175" s="42">
        <v>38.67</v>
      </c>
      <c r="L1175" s="42">
        <v>39.57</v>
      </c>
      <c r="M1175" s="42">
        <f t="shared" si="75"/>
        <v>5</v>
      </c>
    </row>
    <row r="1176" spans="2:13" x14ac:dyDescent="0.25">
      <c r="B1176" s="42">
        <f t="shared" si="72"/>
        <v>26</v>
      </c>
      <c r="C1176" s="42">
        <f t="shared" si="73"/>
        <v>6</v>
      </c>
      <c r="D1176" s="42">
        <f t="shared" si="74"/>
        <v>2020</v>
      </c>
      <c r="E1176" s="43">
        <v>44008</v>
      </c>
      <c r="F1176" s="42">
        <v>33.89</v>
      </c>
      <c r="G1176" s="42">
        <v>36.01</v>
      </c>
      <c r="H1176" s="42">
        <v>35.71</v>
      </c>
      <c r="I1176" s="42">
        <v>39.36</v>
      </c>
      <c r="J1176" s="42">
        <v>40.630000000000003</v>
      </c>
      <c r="K1176" s="42">
        <v>38.49</v>
      </c>
      <c r="L1176" s="42">
        <v>39.74</v>
      </c>
      <c r="M1176" s="42">
        <f t="shared" si="75"/>
        <v>4.6000000000000014</v>
      </c>
    </row>
    <row r="1177" spans="2:13" x14ac:dyDescent="0.25">
      <c r="B1177" s="42">
        <f t="shared" si="72"/>
        <v>29</v>
      </c>
      <c r="C1177" s="42">
        <f t="shared" si="73"/>
        <v>6</v>
      </c>
      <c r="D1177" s="42">
        <f t="shared" si="74"/>
        <v>2020</v>
      </c>
      <c r="E1177" s="43">
        <v>44011</v>
      </c>
      <c r="F1177" s="42">
        <v>34.51</v>
      </c>
      <c r="G1177" s="42">
        <v>37.07</v>
      </c>
      <c r="H1177" s="42">
        <v>36.770000000000003</v>
      </c>
      <c r="I1177" s="42">
        <v>40.42</v>
      </c>
      <c r="J1177" s="42">
        <v>41.32</v>
      </c>
      <c r="K1177" s="42">
        <v>39.700000000000003</v>
      </c>
      <c r="L1177" s="42">
        <v>41.05</v>
      </c>
      <c r="M1177" s="42">
        <f t="shared" si="75"/>
        <v>5.1900000000000048</v>
      </c>
    </row>
    <row r="1178" spans="2:13" x14ac:dyDescent="0.25">
      <c r="B1178" s="42">
        <f t="shared" si="72"/>
        <v>30</v>
      </c>
      <c r="C1178" s="42">
        <f t="shared" si="73"/>
        <v>6</v>
      </c>
      <c r="D1178" s="42">
        <f t="shared" si="74"/>
        <v>2020</v>
      </c>
      <c r="E1178" s="43">
        <v>44012</v>
      </c>
      <c r="F1178" s="42">
        <v>34.28</v>
      </c>
      <c r="G1178" s="42">
        <v>36.61</v>
      </c>
      <c r="H1178" s="42">
        <v>36.31</v>
      </c>
      <c r="I1178" s="42">
        <v>39.96</v>
      </c>
      <c r="J1178" s="42">
        <v>41.37</v>
      </c>
      <c r="K1178" s="42">
        <v>39.270000000000003</v>
      </c>
      <c r="L1178" s="42">
        <v>40.520000000000003</v>
      </c>
      <c r="M1178" s="42">
        <f t="shared" si="75"/>
        <v>4.990000000000002</v>
      </c>
    </row>
    <row r="1179" spans="2:13" x14ac:dyDescent="0.25">
      <c r="B1179" s="42">
        <f t="shared" si="72"/>
        <v>1</v>
      </c>
      <c r="C1179" s="42">
        <f t="shared" si="73"/>
        <v>7</v>
      </c>
      <c r="D1179" s="42">
        <f t="shared" si="74"/>
        <v>2020</v>
      </c>
      <c r="E1179" s="43">
        <v>44013</v>
      </c>
      <c r="F1179" s="42">
        <v>36.43</v>
      </c>
      <c r="G1179" s="42">
        <v>37.700000000000003</v>
      </c>
      <c r="H1179" s="42">
        <v>37.65</v>
      </c>
      <c r="I1179" s="42">
        <v>39.1</v>
      </c>
      <c r="J1179" s="42">
        <v>42.22</v>
      </c>
      <c r="K1179" s="42">
        <v>39.82</v>
      </c>
      <c r="L1179" s="42">
        <v>41.12</v>
      </c>
      <c r="M1179" s="42">
        <f t="shared" si="75"/>
        <v>3.3900000000000006</v>
      </c>
    </row>
    <row r="1180" spans="2:13" x14ac:dyDescent="0.25">
      <c r="B1180" s="42">
        <f t="shared" si="72"/>
        <v>2</v>
      </c>
      <c r="C1180" s="42">
        <f t="shared" si="73"/>
        <v>7</v>
      </c>
      <c r="D1180" s="42">
        <f t="shared" si="74"/>
        <v>2020</v>
      </c>
      <c r="E1180" s="43">
        <v>44014</v>
      </c>
      <c r="F1180" s="42">
        <v>37.35</v>
      </c>
      <c r="G1180" s="42">
        <v>38.69</v>
      </c>
      <c r="H1180" s="42">
        <v>38.64</v>
      </c>
      <c r="I1180" s="42">
        <v>40.090000000000003</v>
      </c>
      <c r="J1180" s="42">
        <v>42.78</v>
      </c>
      <c r="K1180" s="42">
        <v>40.65</v>
      </c>
      <c r="L1180" s="42">
        <v>41.95</v>
      </c>
      <c r="M1180" s="42">
        <f t="shared" si="75"/>
        <v>3.2999999999999972</v>
      </c>
    </row>
    <row r="1181" spans="2:13" x14ac:dyDescent="0.25">
      <c r="B1181" s="42">
        <f t="shared" si="72"/>
        <v>3</v>
      </c>
      <c r="C1181" s="42">
        <f t="shared" si="73"/>
        <v>7</v>
      </c>
      <c r="D1181" s="42">
        <f t="shared" si="74"/>
        <v>2020</v>
      </c>
      <c r="E1181" s="43">
        <v>44015</v>
      </c>
      <c r="F1181" s="42">
        <v>37.35</v>
      </c>
      <c r="G1181" s="42">
        <v>38.69</v>
      </c>
      <c r="H1181" s="42">
        <v>38.64</v>
      </c>
      <c r="I1181" s="42">
        <v>40.090000000000003</v>
      </c>
      <c r="J1181" s="42">
        <v>42.99</v>
      </c>
      <c r="K1181" s="42">
        <v>40.65</v>
      </c>
      <c r="L1181" s="42">
        <v>41.95</v>
      </c>
      <c r="M1181" s="42">
        <f t="shared" si="75"/>
        <v>3.2999999999999972</v>
      </c>
    </row>
    <row r="1182" spans="2:13" x14ac:dyDescent="0.25">
      <c r="B1182" s="42">
        <f t="shared" si="72"/>
        <v>6</v>
      </c>
      <c r="C1182" s="42">
        <f t="shared" si="73"/>
        <v>7</v>
      </c>
      <c r="D1182" s="42">
        <f t="shared" si="74"/>
        <v>2020</v>
      </c>
      <c r="E1182" s="43">
        <v>44018</v>
      </c>
      <c r="F1182" s="42">
        <v>37.54</v>
      </c>
      <c r="G1182" s="42">
        <v>38.86</v>
      </c>
      <c r="H1182" s="42">
        <v>38.81</v>
      </c>
      <c r="I1182" s="42">
        <v>40.26</v>
      </c>
      <c r="J1182" s="42">
        <v>43.6</v>
      </c>
      <c r="K1182" s="42">
        <v>40.630000000000003</v>
      </c>
      <c r="L1182" s="42">
        <v>42.13</v>
      </c>
      <c r="M1182" s="42">
        <f t="shared" si="75"/>
        <v>3.0900000000000034</v>
      </c>
    </row>
    <row r="1183" spans="2:13" x14ac:dyDescent="0.25">
      <c r="B1183" s="42">
        <f t="shared" si="72"/>
        <v>7</v>
      </c>
      <c r="C1183" s="42">
        <f t="shared" si="73"/>
        <v>7</v>
      </c>
      <c r="D1183" s="42">
        <f t="shared" si="74"/>
        <v>2020</v>
      </c>
      <c r="E1183" s="43">
        <v>44019</v>
      </c>
      <c r="F1183" s="42">
        <v>37.450000000000003</v>
      </c>
      <c r="G1183" s="42">
        <v>38.799999999999997</v>
      </c>
      <c r="H1183" s="42">
        <v>38.75</v>
      </c>
      <c r="I1183" s="42">
        <v>40.200000000000003</v>
      </c>
      <c r="J1183" s="42">
        <v>43.57</v>
      </c>
      <c r="K1183" s="42">
        <v>40.619999999999997</v>
      </c>
      <c r="L1183" s="42">
        <v>42.62</v>
      </c>
      <c r="M1183" s="42">
        <f t="shared" si="75"/>
        <v>3.1699999999999946</v>
      </c>
    </row>
    <row r="1184" spans="2:13" x14ac:dyDescent="0.25">
      <c r="B1184" s="42">
        <f t="shared" si="72"/>
        <v>8</v>
      </c>
      <c r="C1184" s="42">
        <f t="shared" si="73"/>
        <v>7</v>
      </c>
      <c r="D1184" s="42">
        <f t="shared" si="74"/>
        <v>2020</v>
      </c>
      <c r="E1184" s="43">
        <v>44020</v>
      </c>
      <c r="F1184" s="42">
        <v>37.69</v>
      </c>
      <c r="G1184" s="42">
        <v>39.020000000000003</v>
      </c>
      <c r="H1184" s="42">
        <v>38.97</v>
      </c>
      <c r="I1184" s="42">
        <v>40.42</v>
      </c>
      <c r="J1184" s="42">
        <v>43.18</v>
      </c>
      <c r="K1184" s="42">
        <v>40.9</v>
      </c>
      <c r="L1184" s="42">
        <v>42.75</v>
      </c>
      <c r="M1184" s="42">
        <f t="shared" si="75"/>
        <v>3.2100000000000009</v>
      </c>
    </row>
    <row r="1185" spans="2:13" x14ac:dyDescent="0.25">
      <c r="B1185" s="42">
        <f t="shared" si="72"/>
        <v>9</v>
      </c>
      <c r="C1185" s="42">
        <f t="shared" si="73"/>
        <v>7</v>
      </c>
      <c r="D1185" s="42">
        <f t="shared" si="74"/>
        <v>2020</v>
      </c>
      <c r="E1185" s="43">
        <v>44021</v>
      </c>
      <c r="F1185" s="42">
        <v>36.78</v>
      </c>
      <c r="G1185" s="42">
        <v>37.86</v>
      </c>
      <c r="H1185" s="42">
        <v>37.81</v>
      </c>
      <c r="I1185" s="42">
        <v>39.26</v>
      </c>
      <c r="J1185" s="42">
        <v>42.66</v>
      </c>
      <c r="K1185" s="42">
        <v>39.619999999999997</v>
      </c>
      <c r="L1185" s="42">
        <v>41.42</v>
      </c>
      <c r="M1185" s="42">
        <f t="shared" si="75"/>
        <v>2.8399999999999963</v>
      </c>
    </row>
    <row r="1186" spans="2:13" x14ac:dyDescent="0.25">
      <c r="B1186" s="42">
        <f t="shared" si="72"/>
        <v>10</v>
      </c>
      <c r="C1186" s="42">
        <f t="shared" si="73"/>
        <v>7</v>
      </c>
      <c r="D1186" s="42">
        <f t="shared" si="74"/>
        <v>2020</v>
      </c>
      <c r="E1186" s="43">
        <v>44022</v>
      </c>
      <c r="F1186" s="42">
        <v>36.78</v>
      </c>
      <c r="G1186" s="42">
        <v>38.81</v>
      </c>
      <c r="H1186" s="42">
        <v>38.76</v>
      </c>
      <c r="I1186" s="42">
        <v>40.21</v>
      </c>
      <c r="J1186" s="42">
        <v>43.14</v>
      </c>
      <c r="K1186" s="42">
        <v>40.549999999999997</v>
      </c>
      <c r="L1186" s="42">
        <v>42.65</v>
      </c>
      <c r="M1186" s="42">
        <f t="shared" si="75"/>
        <v>3.769999999999996</v>
      </c>
    </row>
    <row r="1187" spans="2:13" x14ac:dyDescent="0.25">
      <c r="B1187" s="42">
        <f t="shared" si="72"/>
        <v>13</v>
      </c>
      <c r="C1187" s="42">
        <f t="shared" si="73"/>
        <v>7</v>
      </c>
      <c r="D1187" s="42">
        <f t="shared" si="74"/>
        <v>2020</v>
      </c>
      <c r="E1187" s="43">
        <v>44025</v>
      </c>
      <c r="F1187" s="42">
        <v>37.1</v>
      </c>
      <c r="G1187" s="42">
        <v>38.17</v>
      </c>
      <c r="H1187" s="42">
        <v>38.119999999999997</v>
      </c>
      <c r="I1187" s="42">
        <v>39.57</v>
      </c>
      <c r="J1187" s="42">
        <v>43.27</v>
      </c>
      <c r="K1187" s="42">
        <v>40.1</v>
      </c>
      <c r="L1187" s="42">
        <v>42.2</v>
      </c>
      <c r="M1187" s="42">
        <f t="shared" si="75"/>
        <v>3</v>
      </c>
    </row>
    <row r="1188" spans="2:13" x14ac:dyDescent="0.25">
      <c r="B1188" s="42">
        <f t="shared" si="72"/>
        <v>14</v>
      </c>
      <c r="C1188" s="42">
        <f t="shared" si="73"/>
        <v>7</v>
      </c>
      <c r="D1188" s="42">
        <f t="shared" si="74"/>
        <v>2020</v>
      </c>
      <c r="E1188" s="43">
        <v>44026</v>
      </c>
      <c r="F1188" s="42">
        <v>37.15</v>
      </c>
      <c r="G1188" s="42">
        <v>38.43</v>
      </c>
      <c r="H1188" s="42">
        <v>38.380000000000003</v>
      </c>
      <c r="I1188" s="42">
        <v>39.83</v>
      </c>
      <c r="J1188" s="42">
        <v>43.24</v>
      </c>
      <c r="K1188" s="42">
        <v>40.29</v>
      </c>
      <c r="L1188" s="42">
        <v>41.94</v>
      </c>
      <c r="M1188" s="42">
        <f t="shared" si="75"/>
        <v>3.1400000000000006</v>
      </c>
    </row>
    <row r="1189" spans="2:13" x14ac:dyDescent="0.25">
      <c r="B1189" s="42">
        <f t="shared" si="72"/>
        <v>15</v>
      </c>
      <c r="C1189" s="42">
        <f t="shared" si="73"/>
        <v>7</v>
      </c>
      <c r="D1189" s="42">
        <f t="shared" si="74"/>
        <v>2020</v>
      </c>
      <c r="E1189" s="43">
        <v>44027</v>
      </c>
      <c r="F1189" s="42">
        <v>38.090000000000003</v>
      </c>
      <c r="G1189" s="42">
        <v>39.299999999999997</v>
      </c>
      <c r="H1189" s="42">
        <v>39.25</v>
      </c>
      <c r="I1189" s="42">
        <v>40.700000000000003</v>
      </c>
      <c r="J1189" s="42">
        <v>43.67</v>
      </c>
      <c r="K1189" s="42">
        <v>41.2</v>
      </c>
      <c r="L1189" s="42">
        <v>42.7</v>
      </c>
      <c r="M1189" s="42">
        <f t="shared" si="75"/>
        <v>3.1099999999999994</v>
      </c>
    </row>
    <row r="1190" spans="2:13" x14ac:dyDescent="0.25">
      <c r="B1190" s="42">
        <f t="shared" si="72"/>
        <v>16</v>
      </c>
      <c r="C1190" s="42">
        <f t="shared" si="73"/>
        <v>7</v>
      </c>
      <c r="D1190" s="42">
        <f t="shared" si="74"/>
        <v>2020</v>
      </c>
      <c r="E1190" s="43">
        <v>44028</v>
      </c>
      <c r="F1190" s="42">
        <v>37.58</v>
      </c>
      <c r="G1190" s="42">
        <v>38.79</v>
      </c>
      <c r="H1190" s="42">
        <v>38.74</v>
      </c>
      <c r="I1190" s="42">
        <v>40.19</v>
      </c>
      <c r="J1190" s="42">
        <v>43.81</v>
      </c>
      <c r="K1190" s="42">
        <v>40.75</v>
      </c>
      <c r="L1190" s="42">
        <v>42.25</v>
      </c>
      <c r="M1190" s="42">
        <f t="shared" si="75"/>
        <v>3.1700000000000017</v>
      </c>
    </row>
    <row r="1191" spans="2:13" x14ac:dyDescent="0.25">
      <c r="B1191" s="42">
        <f t="shared" si="72"/>
        <v>17</v>
      </c>
      <c r="C1191" s="42">
        <f t="shared" si="73"/>
        <v>7</v>
      </c>
      <c r="D1191" s="42">
        <f t="shared" si="74"/>
        <v>2020</v>
      </c>
      <c r="E1191" s="43">
        <v>44029</v>
      </c>
      <c r="F1191" s="42">
        <v>37.270000000000003</v>
      </c>
      <c r="G1191" s="42">
        <v>38.5</v>
      </c>
      <c r="H1191" s="42">
        <v>38.450000000000003</v>
      </c>
      <c r="I1191" s="42">
        <v>39.9</v>
      </c>
      <c r="J1191" s="42">
        <v>43.34</v>
      </c>
      <c r="K1191" s="42">
        <v>40.590000000000003</v>
      </c>
      <c r="L1191" s="42">
        <v>42.09</v>
      </c>
      <c r="M1191" s="42">
        <f t="shared" si="75"/>
        <v>3.3200000000000003</v>
      </c>
    </row>
    <row r="1192" spans="2:13" x14ac:dyDescent="0.25">
      <c r="B1192" s="42">
        <f t="shared" si="72"/>
        <v>20</v>
      </c>
      <c r="C1192" s="42">
        <f t="shared" si="73"/>
        <v>7</v>
      </c>
      <c r="D1192" s="42">
        <f t="shared" si="74"/>
        <v>2020</v>
      </c>
      <c r="E1192" s="43">
        <v>44032</v>
      </c>
      <c r="F1192" s="42">
        <v>37.340000000000003</v>
      </c>
      <c r="G1192" s="42">
        <v>38.58</v>
      </c>
      <c r="H1192" s="42">
        <v>38.53</v>
      </c>
      <c r="I1192" s="42">
        <v>39.979999999999997</v>
      </c>
      <c r="J1192" s="42">
        <v>43.05</v>
      </c>
      <c r="K1192" s="42">
        <v>40.81</v>
      </c>
      <c r="L1192" s="42">
        <v>42.26</v>
      </c>
      <c r="M1192" s="42">
        <f t="shared" si="75"/>
        <v>3.4699999999999989</v>
      </c>
    </row>
    <row r="1193" spans="2:13" x14ac:dyDescent="0.25">
      <c r="B1193" s="42">
        <f t="shared" si="72"/>
        <v>21</v>
      </c>
      <c r="C1193" s="42">
        <f t="shared" si="73"/>
        <v>7</v>
      </c>
      <c r="D1193" s="42">
        <f t="shared" si="74"/>
        <v>2020</v>
      </c>
      <c r="E1193" s="43">
        <v>44033</v>
      </c>
      <c r="F1193" s="42">
        <v>38.39</v>
      </c>
      <c r="G1193" s="42">
        <v>39.630000000000003</v>
      </c>
      <c r="H1193" s="42">
        <v>39.58</v>
      </c>
      <c r="I1193" s="42">
        <v>41.03</v>
      </c>
      <c r="J1193" s="42">
        <v>44.68</v>
      </c>
      <c r="K1193" s="42">
        <v>41.99</v>
      </c>
      <c r="L1193" s="42">
        <v>43.39</v>
      </c>
      <c r="M1193" s="42">
        <f t="shared" si="75"/>
        <v>3.6000000000000014</v>
      </c>
    </row>
    <row r="1194" spans="2:13" x14ac:dyDescent="0.25">
      <c r="B1194" s="42">
        <f t="shared" si="72"/>
        <v>22</v>
      </c>
      <c r="C1194" s="42">
        <f t="shared" si="73"/>
        <v>7</v>
      </c>
      <c r="D1194" s="42">
        <f t="shared" si="74"/>
        <v>2020</v>
      </c>
      <c r="E1194" s="43">
        <v>44034</v>
      </c>
      <c r="F1194" s="42">
        <v>38.43</v>
      </c>
      <c r="G1194" s="42">
        <v>39.72</v>
      </c>
      <c r="H1194" s="42">
        <v>39.67</v>
      </c>
      <c r="I1194" s="42">
        <v>41.12</v>
      </c>
      <c r="J1194" s="42">
        <v>43.78</v>
      </c>
      <c r="K1194" s="42">
        <v>41.84</v>
      </c>
      <c r="L1194" s="42">
        <v>43.24</v>
      </c>
      <c r="M1194" s="42">
        <f t="shared" si="75"/>
        <v>3.4100000000000037</v>
      </c>
    </row>
    <row r="1195" spans="2:13" x14ac:dyDescent="0.25">
      <c r="B1195" s="42">
        <f t="shared" si="72"/>
        <v>23</v>
      </c>
      <c r="C1195" s="42">
        <f t="shared" si="73"/>
        <v>7</v>
      </c>
      <c r="D1195" s="42">
        <f t="shared" si="74"/>
        <v>2020</v>
      </c>
      <c r="E1195" s="43">
        <v>44035</v>
      </c>
      <c r="F1195" s="42">
        <v>37.68</v>
      </c>
      <c r="G1195" s="42">
        <v>38.74</v>
      </c>
      <c r="H1195" s="42">
        <v>38.69</v>
      </c>
      <c r="I1195" s="42">
        <v>40.14</v>
      </c>
      <c r="J1195" s="42">
        <v>43.97</v>
      </c>
      <c r="K1195" s="42">
        <v>41.02</v>
      </c>
      <c r="L1195" s="42">
        <v>42.42</v>
      </c>
      <c r="M1195" s="42">
        <f t="shared" si="75"/>
        <v>3.3400000000000034</v>
      </c>
    </row>
    <row r="1196" spans="2:13" x14ac:dyDescent="0.25">
      <c r="B1196" s="42">
        <f t="shared" si="72"/>
        <v>24</v>
      </c>
      <c r="C1196" s="42">
        <f t="shared" si="73"/>
        <v>7</v>
      </c>
      <c r="D1196" s="42">
        <f t="shared" si="74"/>
        <v>2020</v>
      </c>
      <c r="E1196" s="43">
        <v>44036</v>
      </c>
      <c r="F1196" s="42">
        <v>37.54</v>
      </c>
      <c r="G1196" s="42">
        <v>38.880000000000003</v>
      </c>
      <c r="H1196" s="42">
        <v>38.83</v>
      </c>
      <c r="I1196" s="42">
        <v>40.28</v>
      </c>
      <c r="J1196" s="42">
        <v>43.13</v>
      </c>
      <c r="K1196" s="42">
        <v>41.14</v>
      </c>
      <c r="L1196" s="42">
        <v>43.14</v>
      </c>
      <c r="M1196" s="42">
        <f t="shared" si="75"/>
        <v>3.6000000000000014</v>
      </c>
    </row>
    <row r="1197" spans="2:13" x14ac:dyDescent="0.25">
      <c r="B1197" s="42">
        <f t="shared" si="72"/>
        <v>27</v>
      </c>
      <c r="C1197" s="42">
        <f t="shared" si="73"/>
        <v>7</v>
      </c>
      <c r="D1197" s="42">
        <f t="shared" si="74"/>
        <v>2020</v>
      </c>
      <c r="E1197" s="43">
        <v>44039</v>
      </c>
      <c r="F1197" s="42">
        <v>37.770000000000003</v>
      </c>
      <c r="G1197" s="42">
        <v>39.229999999999997</v>
      </c>
      <c r="H1197" s="42">
        <v>39.18</v>
      </c>
      <c r="I1197" s="42">
        <v>40.630000000000003</v>
      </c>
      <c r="J1197" s="42">
        <v>42.49</v>
      </c>
      <c r="K1197" s="42">
        <v>41.6</v>
      </c>
      <c r="L1197" s="42">
        <v>43.25</v>
      </c>
      <c r="M1197" s="42">
        <f t="shared" si="75"/>
        <v>3.8299999999999983</v>
      </c>
    </row>
    <row r="1198" spans="2:13" x14ac:dyDescent="0.25">
      <c r="B1198" s="42">
        <f t="shared" si="72"/>
        <v>28</v>
      </c>
      <c r="C1198" s="42">
        <f t="shared" si="73"/>
        <v>7</v>
      </c>
      <c r="D1198" s="42">
        <f t="shared" si="74"/>
        <v>2020</v>
      </c>
      <c r="E1198" s="43">
        <v>44040</v>
      </c>
      <c r="F1198" s="42">
        <v>37.42</v>
      </c>
      <c r="G1198" s="42">
        <v>38.700000000000003</v>
      </c>
      <c r="H1198" s="42">
        <v>38.65</v>
      </c>
      <c r="I1198" s="42">
        <v>40.1</v>
      </c>
      <c r="J1198" s="42">
        <v>43.23</v>
      </c>
      <c r="K1198" s="42">
        <v>41.04</v>
      </c>
      <c r="L1198" s="42">
        <v>42.19</v>
      </c>
      <c r="M1198" s="42">
        <f t="shared" si="75"/>
        <v>3.6199999999999974</v>
      </c>
    </row>
    <row r="1199" spans="2:13" x14ac:dyDescent="0.25">
      <c r="B1199" s="42">
        <f t="shared" si="72"/>
        <v>29</v>
      </c>
      <c r="C1199" s="42">
        <f t="shared" si="73"/>
        <v>7</v>
      </c>
      <c r="D1199" s="42">
        <f t="shared" si="74"/>
        <v>2020</v>
      </c>
      <c r="E1199" s="43">
        <v>44041</v>
      </c>
      <c r="F1199" s="42">
        <v>37.82</v>
      </c>
      <c r="G1199" s="42">
        <v>39.130000000000003</v>
      </c>
      <c r="H1199" s="42">
        <v>39.08</v>
      </c>
      <c r="I1199" s="42">
        <v>40.53</v>
      </c>
      <c r="J1199" s="42">
        <v>43.9</v>
      </c>
      <c r="K1199" s="42">
        <v>41.27</v>
      </c>
      <c r="L1199" s="42">
        <v>42.52</v>
      </c>
      <c r="M1199" s="42">
        <f t="shared" si="75"/>
        <v>3.4500000000000028</v>
      </c>
    </row>
    <row r="1200" spans="2:13" x14ac:dyDescent="0.25">
      <c r="B1200" s="42">
        <f t="shared" si="72"/>
        <v>30</v>
      </c>
      <c r="C1200" s="42">
        <f t="shared" si="73"/>
        <v>7</v>
      </c>
      <c r="D1200" s="42">
        <f t="shared" si="74"/>
        <v>2020</v>
      </c>
      <c r="E1200" s="43">
        <v>44042</v>
      </c>
      <c r="F1200" s="42">
        <v>36.94</v>
      </c>
      <c r="G1200" s="42">
        <v>38.18</v>
      </c>
      <c r="H1200" s="42">
        <v>38.130000000000003</v>
      </c>
      <c r="I1200" s="42">
        <v>39.58</v>
      </c>
      <c r="J1200" s="42">
        <v>42.63</v>
      </c>
      <c r="K1200" s="42">
        <v>39.92</v>
      </c>
      <c r="L1200" s="42">
        <v>41.52</v>
      </c>
      <c r="M1200" s="42">
        <f t="shared" si="75"/>
        <v>2.980000000000004</v>
      </c>
    </row>
    <row r="1201" spans="2:13" x14ac:dyDescent="0.25">
      <c r="B1201" s="42">
        <f t="shared" si="72"/>
        <v>31</v>
      </c>
      <c r="C1201" s="42">
        <f t="shared" si="73"/>
        <v>7</v>
      </c>
      <c r="D1201" s="42">
        <f t="shared" si="74"/>
        <v>2020</v>
      </c>
      <c r="E1201" s="43">
        <v>44043</v>
      </c>
      <c r="F1201" s="42">
        <v>36.94</v>
      </c>
      <c r="G1201" s="42">
        <v>38.380000000000003</v>
      </c>
      <c r="H1201" s="42">
        <v>38.33</v>
      </c>
      <c r="I1201" s="42">
        <v>39.78</v>
      </c>
      <c r="J1201" s="42">
        <v>43.04</v>
      </c>
      <c r="K1201" s="42">
        <v>40.270000000000003</v>
      </c>
      <c r="L1201" s="42">
        <v>41.87</v>
      </c>
      <c r="M1201" s="42">
        <f t="shared" si="75"/>
        <v>3.3300000000000054</v>
      </c>
    </row>
    <row r="1202" spans="2:13" x14ac:dyDescent="0.25">
      <c r="B1202" s="42">
        <f t="shared" si="72"/>
        <v>3</v>
      </c>
      <c r="C1202" s="42">
        <f t="shared" si="73"/>
        <v>8</v>
      </c>
      <c r="D1202" s="42">
        <f t="shared" si="74"/>
        <v>2020</v>
      </c>
      <c r="E1202" s="43">
        <v>44046</v>
      </c>
      <c r="F1202" s="42">
        <v>39.049999999999997</v>
      </c>
      <c r="G1202" s="42">
        <v>40.21</v>
      </c>
      <c r="H1202" s="42">
        <v>39.61</v>
      </c>
      <c r="I1202" s="42">
        <v>41.56</v>
      </c>
      <c r="J1202" s="42">
        <v>44.34</v>
      </c>
      <c r="K1202" s="42">
        <v>41.01</v>
      </c>
      <c r="L1202" s="42">
        <v>42.61</v>
      </c>
      <c r="M1202" s="42">
        <f t="shared" si="75"/>
        <v>1.9600000000000009</v>
      </c>
    </row>
    <row r="1203" spans="2:13" x14ac:dyDescent="0.25">
      <c r="B1203" s="42">
        <f t="shared" si="72"/>
        <v>4</v>
      </c>
      <c r="C1203" s="42">
        <f t="shared" si="73"/>
        <v>8</v>
      </c>
      <c r="D1203" s="42">
        <f t="shared" si="74"/>
        <v>2020</v>
      </c>
      <c r="E1203" s="43">
        <v>44047</v>
      </c>
      <c r="F1203" s="42">
        <v>39.5</v>
      </c>
      <c r="G1203" s="42">
        <v>40.770000000000003</v>
      </c>
      <c r="H1203" s="42">
        <v>40.17</v>
      </c>
      <c r="I1203" s="42">
        <v>42.12</v>
      </c>
      <c r="J1203" s="42">
        <v>44.5</v>
      </c>
      <c r="K1203" s="42">
        <v>41.7</v>
      </c>
      <c r="L1203" s="42">
        <v>43.35</v>
      </c>
      <c r="M1203" s="42">
        <f t="shared" si="75"/>
        <v>2.2000000000000028</v>
      </c>
    </row>
    <row r="1204" spans="2:13" x14ac:dyDescent="0.25">
      <c r="B1204" s="42">
        <f t="shared" si="72"/>
        <v>5</v>
      </c>
      <c r="C1204" s="42">
        <f t="shared" si="73"/>
        <v>8</v>
      </c>
      <c r="D1204" s="42">
        <f t="shared" si="74"/>
        <v>2020</v>
      </c>
      <c r="E1204" s="43">
        <v>44048</v>
      </c>
      <c r="F1204" s="42">
        <v>40.229999999999997</v>
      </c>
      <c r="G1204" s="42">
        <v>41.38</v>
      </c>
      <c r="H1204" s="42">
        <v>40.78</v>
      </c>
      <c r="I1204" s="42">
        <v>42.73</v>
      </c>
      <c r="J1204" s="42">
        <v>46.19</v>
      </c>
      <c r="K1204" s="42">
        <v>42.19</v>
      </c>
      <c r="L1204" s="42">
        <v>43.74</v>
      </c>
      <c r="M1204" s="42">
        <f t="shared" si="75"/>
        <v>1.9600000000000009</v>
      </c>
    </row>
    <row r="1205" spans="2:13" x14ac:dyDescent="0.25">
      <c r="B1205" s="42">
        <f t="shared" si="72"/>
        <v>6</v>
      </c>
      <c r="C1205" s="42">
        <f t="shared" si="73"/>
        <v>8</v>
      </c>
      <c r="D1205" s="42">
        <f t="shared" si="74"/>
        <v>2020</v>
      </c>
      <c r="E1205" s="43">
        <v>44049</v>
      </c>
      <c r="F1205" s="42">
        <v>40.119999999999997</v>
      </c>
      <c r="G1205" s="42">
        <v>41.25</v>
      </c>
      <c r="H1205" s="42">
        <v>40.65</v>
      </c>
      <c r="I1205" s="42">
        <v>42.6</v>
      </c>
      <c r="J1205" s="42">
        <v>45.44</v>
      </c>
      <c r="K1205" s="42">
        <v>41.95</v>
      </c>
      <c r="L1205" s="42">
        <v>43.6</v>
      </c>
      <c r="M1205" s="42">
        <f t="shared" si="75"/>
        <v>1.8300000000000054</v>
      </c>
    </row>
    <row r="1206" spans="2:13" x14ac:dyDescent="0.25">
      <c r="B1206" s="42">
        <f t="shared" si="72"/>
        <v>7</v>
      </c>
      <c r="C1206" s="42">
        <f t="shared" si="73"/>
        <v>8</v>
      </c>
      <c r="D1206" s="42">
        <f t="shared" si="74"/>
        <v>2020</v>
      </c>
      <c r="E1206" s="43">
        <v>44050</v>
      </c>
      <c r="F1206" s="42">
        <v>39.57</v>
      </c>
      <c r="G1206" s="42">
        <v>40.630000000000003</v>
      </c>
      <c r="H1206" s="42">
        <v>40.03</v>
      </c>
      <c r="I1206" s="42">
        <v>41.98</v>
      </c>
      <c r="J1206" s="42">
        <v>44.58</v>
      </c>
      <c r="K1206" s="42">
        <v>41.22</v>
      </c>
      <c r="L1206" s="42">
        <v>43.02</v>
      </c>
      <c r="M1206" s="42">
        <f t="shared" si="75"/>
        <v>1.6499999999999986</v>
      </c>
    </row>
    <row r="1207" spans="2:13" x14ac:dyDescent="0.25">
      <c r="B1207" s="42">
        <f t="shared" si="72"/>
        <v>10</v>
      </c>
      <c r="C1207" s="42">
        <f t="shared" si="73"/>
        <v>8</v>
      </c>
      <c r="D1207" s="42">
        <f t="shared" si="74"/>
        <v>2020</v>
      </c>
      <c r="E1207" s="43">
        <v>44053</v>
      </c>
      <c r="F1207" s="42">
        <v>39.57</v>
      </c>
      <c r="G1207" s="42">
        <v>41.25</v>
      </c>
      <c r="H1207" s="42">
        <v>40.65</v>
      </c>
      <c r="I1207" s="42">
        <v>42.6</v>
      </c>
      <c r="J1207" s="42">
        <v>44.97</v>
      </c>
      <c r="K1207" s="42">
        <v>41.94</v>
      </c>
      <c r="L1207" s="42">
        <v>43.64</v>
      </c>
      <c r="M1207" s="42">
        <f t="shared" si="75"/>
        <v>2.3699999999999974</v>
      </c>
    </row>
    <row r="1208" spans="2:13" x14ac:dyDescent="0.25">
      <c r="B1208" s="42">
        <f t="shared" si="72"/>
        <v>11</v>
      </c>
      <c r="C1208" s="42">
        <f t="shared" si="73"/>
        <v>8</v>
      </c>
      <c r="D1208" s="42">
        <f t="shared" si="74"/>
        <v>2020</v>
      </c>
      <c r="E1208" s="43">
        <v>44054</v>
      </c>
      <c r="F1208" s="42">
        <v>39.78</v>
      </c>
      <c r="G1208" s="42">
        <v>40.83</v>
      </c>
      <c r="H1208" s="42">
        <v>40.229999999999997</v>
      </c>
      <c r="I1208" s="42">
        <v>42.18</v>
      </c>
      <c r="J1208" s="42">
        <v>45.25</v>
      </c>
      <c r="K1208" s="42">
        <v>41.61</v>
      </c>
      <c r="L1208" s="42">
        <v>43.31</v>
      </c>
      <c r="M1208" s="42">
        <f t="shared" si="75"/>
        <v>1.8299999999999983</v>
      </c>
    </row>
    <row r="1209" spans="2:13" x14ac:dyDescent="0.25">
      <c r="B1209" s="42">
        <f t="shared" si="72"/>
        <v>12</v>
      </c>
      <c r="C1209" s="42">
        <f t="shared" si="73"/>
        <v>8</v>
      </c>
      <c r="D1209" s="42">
        <f t="shared" si="74"/>
        <v>2020</v>
      </c>
      <c r="E1209" s="43">
        <v>44055</v>
      </c>
      <c r="F1209" s="42">
        <v>40.57</v>
      </c>
      <c r="G1209" s="42">
        <v>41.8</v>
      </c>
      <c r="H1209" s="42">
        <v>41.2</v>
      </c>
      <c r="I1209" s="42">
        <v>43.15</v>
      </c>
      <c r="J1209" s="42">
        <v>45.41</v>
      </c>
      <c r="K1209" s="42">
        <v>42.67</v>
      </c>
      <c r="L1209" s="42">
        <v>44.37</v>
      </c>
      <c r="M1209" s="42">
        <f t="shared" si="75"/>
        <v>2.1000000000000014</v>
      </c>
    </row>
    <row r="1210" spans="2:13" x14ac:dyDescent="0.25">
      <c r="B1210" s="42">
        <f t="shared" si="72"/>
        <v>13</v>
      </c>
      <c r="C1210" s="42">
        <f t="shared" si="73"/>
        <v>8</v>
      </c>
      <c r="D1210" s="42">
        <f t="shared" si="74"/>
        <v>2020</v>
      </c>
      <c r="E1210" s="43">
        <v>44056</v>
      </c>
      <c r="F1210" s="42">
        <v>40.229999999999997</v>
      </c>
      <c r="G1210" s="42">
        <v>41.36</v>
      </c>
      <c r="H1210" s="42">
        <v>40.76</v>
      </c>
      <c r="I1210" s="42">
        <v>42.71</v>
      </c>
      <c r="J1210" s="42">
        <v>45.29</v>
      </c>
      <c r="K1210" s="42">
        <v>42.24</v>
      </c>
      <c r="L1210" s="42">
        <v>43.94</v>
      </c>
      <c r="M1210" s="42">
        <f t="shared" si="75"/>
        <v>2.0100000000000051</v>
      </c>
    </row>
    <row r="1211" spans="2:13" x14ac:dyDescent="0.25">
      <c r="B1211" s="42">
        <f t="shared" si="72"/>
        <v>14</v>
      </c>
      <c r="C1211" s="42">
        <f t="shared" si="73"/>
        <v>8</v>
      </c>
      <c r="D1211" s="42">
        <f t="shared" si="74"/>
        <v>2020</v>
      </c>
      <c r="E1211" s="43">
        <v>44057</v>
      </c>
      <c r="F1211" s="42">
        <v>39.93</v>
      </c>
      <c r="G1211" s="42">
        <v>41.12</v>
      </c>
      <c r="H1211" s="42">
        <v>40.520000000000003</v>
      </c>
      <c r="I1211" s="42">
        <v>42.47</v>
      </c>
      <c r="J1211" s="42">
        <v>44.85</v>
      </c>
      <c r="K1211" s="42">
        <v>42.01</v>
      </c>
      <c r="L1211" s="42">
        <v>43.51</v>
      </c>
      <c r="M1211" s="42">
        <f t="shared" si="75"/>
        <v>2.0799999999999983</v>
      </c>
    </row>
    <row r="1212" spans="2:13" x14ac:dyDescent="0.25">
      <c r="B1212" s="42">
        <f t="shared" si="72"/>
        <v>17</v>
      </c>
      <c r="C1212" s="42">
        <f t="shared" si="73"/>
        <v>8</v>
      </c>
      <c r="D1212" s="42">
        <f t="shared" si="74"/>
        <v>2020</v>
      </c>
      <c r="E1212" s="43">
        <v>44060</v>
      </c>
      <c r="F1212" s="42">
        <v>40.58</v>
      </c>
      <c r="G1212" s="42">
        <v>41.8</v>
      </c>
      <c r="H1212" s="42">
        <v>41.2</v>
      </c>
      <c r="I1212" s="42">
        <v>43.15</v>
      </c>
      <c r="J1212" s="42">
        <v>45.18</v>
      </c>
      <c r="K1212" s="42">
        <v>42.89</v>
      </c>
      <c r="L1212" s="42">
        <v>44.54</v>
      </c>
      <c r="M1212" s="42">
        <f t="shared" si="75"/>
        <v>2.3100000000000023</v>
      </c>
    </row>
    <row r="1213" spans="2:13" x14ac:dyDescent="0.25">
      <c r="B1213" s="42">
        <f t="shared" si="72"/>
        <v>18</v>
      </c>
      <c r="C1213" s="42">
        <f t="shared" si="73"/>
        <v>8</v>
      </c>
      <c r="D1213" s="42">
        <f t="shared" si="74"/>
        <v>2020</v>
      </c>
      <c r="E1213" s="43">
        <v>44061</v>
      </c>
      <c r="F1213" s="42">
        <v>40.74</v>
      </c>
      <c r="G1213" s="42">
        <v>41.83</v>
      </c>
      <c r="H1213" s="42">
        <v>41.23</v>
      </c>
      <c r="I1213" s="42">
        <v>43.18</v>
      </c>
      <c r="J1213" s="42">
        <v>45.38</v>
      </c>
      <c r="K1213" s="42">
        <v>42.89</v>
      </c>
      <c r="L1213" s="42">
        <v>44.24</v>
      </c>
      <c r="M1213" s="42">
        <f t="shared" si="75"/>
        <v>2.1499999999999986</v>
      </c>
    </row>
    <row r="1214" spans="2:13" x14ac:dyDescent="0.25">
      <c r="B1214" s="42">
        <f t="shared" si="72"/>
        <v>19</v>
      </c>
      <c r="C1214" s="42">
        <f t="shared" si="73"/>
        <v>8</v>
      </c>
      <c r="D1214" s="42">
        <f t="shared" si="74"/>
        <v>2020</v>
      </c>
      <c r="E1214" s="43">
        <v>44062</v>
      </c>
      <c r="F1214" s="42">
        <v>40.68</v>
      </c>
      <c r="G1214" s="42">
        <v>41.93</v>
      </c>
      <c r="H1214" s="42">
        <v>41.33</v>
      </c>
      <c r="I1214" s="42">
        <v>43.28</v>
      </c>
      <c r="J1214" s="42">
        <v>45.3</v>
      </c>
      <c r="K1214" s="42">
        <v>42.93</v>
      </c>
      <c r="L1214" s="42">
        <v>44.53</v>
      </c>
      <c r="M1214" s="42">
        <f t="shared" si="75"/>
        <v>2.25</v>
      </c>
    </row>
    <row r="1215" spans="2:13" x14ac:dyDescent="0.25">
      <c r="B1215" s="42">
        <f t="shared" si="72"/>
        <v>20</v>
      </c>
      <c r="C1215" s="42">
        <f t="shared" si="73"/>
        <v>8</v>
      </c>
      <c r="D1215" s="42">
        <f t="shared" si="74"/>
        <v>2020</v>
      </c>
      <c r="E1215" s="43">
        <v>44063</v>
      </c>
      <c r="F1215" s="42">
        <v>40.33</v>
      </c>
      <c r="G1215" s="42">
        <v>41.57</v>
      </c>
      <c r="H1215" s="42">
        <v>40.97</v>
      </c>
      <c r="I1215" s="42">
        <v>42.92</v>
      </c>
      <c r="J1215" s="42">
        <v>44.74</v>
      </c>
      <c r="K1215" s="42">
        <v>42.58</v>
      </c>
      <c r="L1215" s="42">
        <v>44.03</v>
      </c>
      <c r="M1215" s="42">
        <f t="shared" si="75"/>
        <v>2.25</v>
      </c>
    </row>
    <row r="1216" spans="2:13" x14ac:dyDescent="0.25">
      <c r="B1216" s="42">
        <f t="shared" si="72"/>
        <v>21</v>
      </c>
      <c r="C1216" s="42">
        <f t="shared" si="73"/>
        <v>8</v>
      </c>
      <c r="D1216" s="42">
        <f t="shared" si="74"/>
        <v>2020</v>
      </c>
      <c r="E1216" s="43">
        <v>44064</v>
      </c>
      <c r="F1216" s="42">
        <v>40</v>
      </c>
      <c r="G1216" s="42">
        <v>41.26</v>
      </c>
      <c r="H1216" s="42">
        <v>40.659999999999997</v>
      </c>
      <c r="I1216" s="42">
        <v>42.61</v>
      </c>
      <c r="J1216" s="42">
        <v>43.87</v>
      </c>
      <c r="K1216" s="42">
        <v>42.18</v>
      </c>
      <c r="L1216" s="42">
        <v>43.73</v>
      </c>
      <c r="M1216" s="42">
        <f t="shared" si="75"/>
        <v>2.1799999999999997</v>
      </c>
    </row>
    <row r="1217" spans="2:13" x14ac:dyDescent="0.25">
      <c r="B1217" s="42">
        <f t="shared" si="72"/>
        <v>24</v>
      </c>
      <c r="C1217" s="42">
        <f t="shared" si="73"/>
        <v>8</v>
      </c>
      <c r="D1217" s="42">
        <f t="shared" si="74"/>
        <v>2020</v>
      </c>
      <c r="E1217" s="43">
        <v>44067</v>
      </c>
      <c r="F1217" s="42">
        <v>40.5</v>
      </c>
      <c r="G1217" s="42">
        <v>41.72</v>
      </c>
      <c r="H1217" s="42">
        <v>41.12</v>
      </c>
      <c r="I1217" s="42">
        <v>43.07</v>
      </c>
      <c r="J1217" s="42">
        <v>45.04</v>
      </c>
      <c r="K1217" s="42">
        <v>42.46</v>
      </c>
      <c r="L1217" s="42">
        <v>45.21</v>
      </c>
      <c r="M1217" s="42">
        <f t="shared" si="75"/>
        <v>1.9600000000000009</v>
      </c>
    </row>
    <row r="1218" spans="2:13" x14ac:dyDescent="0.25">
      <c r="B1218" s="42">
        <f t="shared" si="72"/>
        <v>25</v>
      </c>
      <c r="C1218" s="42">
        <f t="shared" si="73"/>
        <v>8</v>
      </c>
      <c r="D1218" s="42">
        <f t="shared" si="74"/>
        <v>2020</v>
      </c>
      <c r="E1218" s="43">
        <v>44068</v>
      </c>
      <c r="F1218" s="42">
        <v>41.12</v>
      </c>
      <c r="G1218" s="42">
        <v>42.44</v>
      </c>
      <c r="H1218" s="42">
        <v>41.84</v>
      </c>
      <c r="I1218" s="42">
        <v>43.79</v>
      </c>
      <c r="J1218" s="42">
        <v>45.99</v>
      </c>
      <c r="K1218" s="42">
        <v>43.19</v>
      </c>
      <c r="L1218" s="42">
        <v>45.54</v>
      </c>
      <c r="M1218" s="42">
        <f t="shared" si="75"/>
        <v>2.0700000000000003</v>
      </c>
    </row>
    <row r="1219" spans="2:13" x14ac:dyDescent="0.25">
      <c r="B1219" s="42">
        <f t="shared" si="72"/>
        <v>26</v>
      </c>
      <c r="C1219" s="42">
        <f t="shared" si="73"/>
        <v>8</v>
      </c>
      <c r="D1219" s="42">
        <f t="shared" si="74"/>
        <v>2020</v>
      </c>
      <c r="E1219" s="43">
        <v>44069</v>
      </c>
      <c r="F1219" s="42">
        <v>41.11</v>
      </c>
      <c r="G1219" s="42">
        <v>42.31</v>
      </c>
      <c r="H1219" s="42">
        <v>41.71</v>
      </c>
      <c r="I1219" s="42">
        <v>43.66</v>
      </c>
      <c r="J1219" s="42">
        <v>45.61</v>
      </c>
      <c r="K1219" s="42">
        <v>43.39</v>
      </c>
      <c r="L1219" s="42">
        <v>44.49</v>
      </c>
      <c r="M1219" s="42">
        <f t="shared" si="75"/>
        <v>2.2800000000000011</v>
      </c>
    </row>
    <row r="1220" spans="2:13" x14ac:dyDescent="0.25">
      <c r="B1220" s="42">
        <f t="shared" si="72"/>
        <v>27</v>
      </c>
      <c r="C1220" s="42">
        <f t="shared" si="73"/>
        <v>8</v>
      </c>
      <c r="D1220" s="42">
        <f t="shared" si="74"/>
        <v>2020</v>
      </c>
      <c r="E1220" s="43">
        <v>44070</v>
      </c>
      <c r="F1220" s="42">
        <v>40.729999999999997</v>
      </c>
      <c r="G1220" s="42">
        <v>41.92</v>
      </c>
      <c r="H1220" s="42">
        <v>41.32</v>
      </c>
      <c r="I1220" s="42">
        <v>43.27</v>
      </c>
      <c r="J1220" s="42">
        <v>44.93</v>
      </c>
      <c r="K1220" s="42">
        <v>43.04</v>
      </c>
      <c r="L1220" s="42">
        <v>44.54</v>
      </c>
      <c r="M1220" s="42">
        <f t="shared" si="75"/>
        <v>2.3100000000000023</v>
      </c>
    </row>
    <row r="1221" spans="2:13" x14ac:dyDescent="0.25">
      <c r="B1221" s="42">
        <f t="shared" si="72"/>
        <v>28</v>
      </c>
      <c r="C1221" s="42">
        <f t="shared" si="73"/>
        <v>8</v>
      </c>
      <c r="D1221" s="42">
        <f t="shared" si="74"/>
        <v>2020</v>
      </c>
      <c r="E1221" s="43">
        <v>44071</v>
      </c>
      <c r="F1221" s="42">
        <v>40.58</v>
      </c>
      <c r="G1221" s="42">
        <v>41.87</v>
      </c>
      <c r="H1221" s="42">
        <v>41.27</v>
      </c>
      <c r="I1221" s="42">
        <v>43.22</v>
      </c>
      <c r="J1221" s="42">
        <v>45.15</v>
      </c>
      <c r="K1221" s="42">
        <v>42.97</v>
      </c>
      <c r="L1221" s="42">
        <v>44.17</v>
      </c>
      <c r="M1221" s="42">
        <f t="shared" si="75"/>
        <v>2.3900000000000006</v>
      </c>
    </row>
    <row r="1222" spans="2:13" x14ac:dyDescent="0.25">
      <c r="B1222" s="42">
        <f t="shared" si="72"/>
        <v>31</v>
      </c>
      <c r="C1222" s="42">
        <f t="shared" si="73"/>
        <v>8</v>
      </c>
      <c r="D1222" s="42">
        <f t="shared" si="74"/>
        <v>2020</v>
      </c>
      <c r="E1222" s="43">
        <v>44074</v>
      </c>
      <c r="F1222" s="42">
        <v>40.85</v>
      </c>
      <c r="G1222" s="42">
        <v>41.86</v>
      </c>
      <c r="H1222" s="42">
        <v>41.26</v>
      </c>
      <c r="I1222" s="42">
        <v>43.21</v>
      </c>
      <c r="J1222" s="42">
        <v>45.15</v>
      </c>
      <c r="K1222" s="42">
        <v>42.61</v>
      </c>
      <c r="L1222" s="42">
        <v>43.86</v>
      </c>
      <c r="M1222" s="42">
        <f t="shared" si="75"/>
        <v>1.759999999999998</v>
      </c>
    </row>
    <row r="1223" spans="2:13" x14ac:dyDescent="0.25">
      <c r="B1223" s="42">
        <f t="shared" ref="B1223:B1286" si="76">DAY(E1223)</f>
        <v>1</v>
      </c>
      <c r="C1223" s="42">
        <f t="shared" ref="C1223:C1286" si="77">MONTH(E1223)</f>
        <v>9</v>
      </c>
      <c r="D1223" s="42">
        <f t="shared" ref="D1223:D1286" si="78">YEAR(E1223)</f>
        <v>2020</v>
      </c>
      <c r="E1223" s="43">
        <v>44075</v>
      </c>
      <c r="F1223" s="42">
        <v>41.12</v>
      </c>
      <c r="G1223" s="42">
        <v>42.01</v>
      </c>
      <c r="H1223" s="42">
        <v>41.41</v>
      </c>
      <c r="I1223" s="42">
        <v>43.56</v>
      </c>
      <c r="J1223" s="42">
        <v>45.75</v>
      </c>
      <c r="K1223" s="42">
        <v>42.76</v>
      </c>
      <c r="L1223" s="42">
        <v>44.06</v>
      </c>
      <c r="M1223" s="42">
        <f t="shared" ref="M1223:M1286" si="79">K1223-F1223</f>
        <v>1.6400000000000006</v>
      </c>
    </row>
    <row r="1224" spans="2:13" x14ac:dyDescent="0.25">
      <c r="B1224" s="42">
        <f t="shared" si="76"/>
        <v>2</v>
      </c>
      <c r="C1224" s="42">
        <f t="shared" si="77"/>
        <v>9</v>
      </c>
      <c r="D1224" s="42">
        <f t="shared" si="78"/>
        <v>2020</v>
      </c>
      <c r="E1224" s="43">
        <v>44076</v>
      </c>
      <c r="F1224" s="42">
        <v>40.17</v>
      </c>
      <c r="G1224" s="42">
        <v>40.729999999999997</v>
      </c>
      <c r="H1224" s="42">
        <v>40.130000000000003</v>
      </c>
      <c r="I1224" s="42">
        <v>42.28</v>
      </c>
      <c r="J1224" s="42">
        <v>44.77</v>
      </c>
      <c r="K1224" s="42">
        <v>41.51</v>
      </c>
      <c r="L1224" s="42">
        <v>42.81</v>
      </c>
      <c r="M1224" s="42">
        <f t="shared" si="79"/>
        <v>1.3399999999999963</v>
      </c>
    </row>
    <row r="1225" spans="2:13" x14ac:dyDescent="0.25">
      <c r="B1225" s="42">
        <f t="shared" si="76"/>
        <v>3</v>
      </c>
      <c r="C1225" s="42">
        <f t="shared" si="77"/>
        <v>9</v>
      </c>
      <c r="D1225" s="42">
        <f t="shared" si="78"/>
        <v>2020</v>
      </c>
      <c r="E1225" s="43">
        <v>44077</v>
      </c>
      <c r="F1225" s="42">
        <v>39.619999999999997</v>
      </c>
      <c r="G1225" s="42">
        <v>40.520000000000003</v>
      </c>
      <c r="H1225" s="42">
        <v>39.92</v>
      </c>
      <c r="I1225" s="42">
        <v>42.07</v>
      </c>
      <c r="J1225" s="42">
        <v>43.27</v>
      </c>
      <c r="K1225" s="42">
        <v>41.37</v>
      </c>
      <c r="L1225" s="42">
        <v>42.82</v>
      </c>
      <c r="M1225" s="42">
        <f t="shared" si="79"/>
        <v>1.75</v>
      </c>
    </row>
    <row r="1226" spans="2:13" x14ac:dyDescent="0.25">
      <c r="B1226" s="42">
        <f t="shared" si="76"/>
        <v>4</v>
      </c>
      <c r="C1226" s="42">
        <f t="shared" si="77"/>
        <v>9</v>
      </c>
      <c r="D1226" s="42">
        <f t="shared" si="78"/>
        <v>2020</v>
      </c>
      <c r="E1226" s="43">
        <v>44078</v>
      </c>
      <c r="F1226" s="42">
        <v>38.450000000000003</v>
      </c>
      <c r="G1226" s="42">
        <v>38.96</v>
      </c>
      <c r="H1226" s="42">
        <v>38.35</v>
      </c>
      <c r="I1226" s="42">
        <v>40.51</v>
      </c>
      <c r="J1226" s="42">
        <v>42.81</v>
      </c>
      <c r="K1226" s="42">
        <v>39.770000000000003</v>
      </c>
      <c r="L1226" s="42">
        <v>41.22</v>
      </c>
      <c r="M1226" s="42">
        <f t="shared" si="79"/>
        <v>1.3200000000000003</v>
      </c>
    </row>
    <row r="1227" spans="2:13" x14ac:dyDescent="0.25">
      <c r="B1227" s="42">
        <f t="shared" si="76"/>
        <v>7</v>
      </c>
      <c r="C1227" s="42">
        <f t="shared" si="77"/>
        <v>9</v>
      </c>
      <c r="D1227" s="42">
        <f t="shared" si="78"/>
        <v>2020</v>
      </c>
      <c r="E1227" s="43">
        <v>44081</v>
      </c>
      <c r="F1227" s="42">
        <v>38.450000000000003</v>
      </c>
      <c r="G1227" s="42">
        <v>38.96</v>
      </c>
      <c r="H1227" s="42">
        <v>38.35</v>
      </c>
      <c r="I1227" s="42">
        <v>40.51</v>
      </c>
      <c r="J1227" s="42">
        <v>41.93</v>
      </c>
      <c r="K1227" s="42">
        <v>39.770000000000003</v>
      </c>
      <c r="L1227" s="42">
        <v>41.22</v>
      </c>
      <c r="M1227" s="42">
        <f t="shared" si="79"/>
        <v>1.3200000000000003</v>
      </c>
    </row>
    <row r="1228" spans="2:13" x14ac:dyDescent="0.25">
      <c r="B1228" s="42">
        <f t="shared" si="76"/>
        <v>8</v>
      </c>
      <c r="C1228" s="42">
        <f t="shared" si="77"/>
        <v>9</v>
      </c>
      <c r="D1228" s="42">
        <f t="shared" si="78"/>
        <v>2020</v>
      </c>
      <c r="E1228" s="43">
        <v>44082</v>
      </c>
      <c r="F1228" s="42">
        <v>35.5</v>
      </c>
      <c r="G1228" s="42">
        <v>36.119999999999997</v>
      </c>
      <c r="H1228" s="42">
        <v>35.520000000000003</v>
      </c>
      <c r="I1228" s="42">
        <v>37.67</v>
      </c>
      <c r="J1228" s="42">
        <v>39.770000000000003</v>
      </c>
      <c r="K1228" s="42">
        <v>36.76</v>
      </c>
      <c r="L1228" s="42">
        <v>38.31</v>
      </c>
      <c r="M1228" s="42">
        <f t="shared" si="79"/>
        <v>1.259999999999998</v>
      </c>
    </row>
    <row r="1229" spans="2:13" x14ac:dyDescent="0.25">
      <c r="B1229" s="42">
        <f t="shared" si="76"/>
        <v>9</v>
      </c>
      <c r="C1229" s="42">
        <f t="shared" si="77"/>
        <v>9</v>
      </c>
      <c r="D1229" s="42">
        <f t="shared" si="78"/>
        <v>2020</v>
      </c>
      <c r="E1229" s="43">
        <v>44083</v>
      </c>
      <c r="F1229" s="42">
        <v>36.200000000000003</v>
      </c>
      <c r="G1229" s="42">
        <v>37.22</v>
      </c>
      <c r="H1229" s="42">
        <v>36.619999999999997</v>
      </c>
      <c r="I1229" s="42">
        <v>38.770000000000003</v>
      </c>
      <c r="J1229" s="42">
        <v>40.74</v>
      </c>
      <c r="K1229" s="42">
        <v>38.049999999999997</v>
      </c>
      <c r="L1229" s="42">
        <v>39.65</v>
      </c>
      <c r="M1229" s="42">
        <f t="shared" si="79"/>
        <v>1.8499999999999943</v>
      </c>
    </row>
    <row r="1230" spans="2:13" x14ac:dyDescent="0.25">
      <c r="B1230" s="42">
        <f t="shared" si="76"/>
        <v>10</v>
      </c>
      <c r="C1230" s="42">
        <f t="shared" si="77"/>
        <v>9</v>
      </c>
      <c r="D1230" s="42">
        <f t="shared" si="78"/>
        <v>2020</v>
      </c>
      <c r="E1230" s="43">
        <v>44084</v>
      </c>
      <c r="F1230" s="42">
        <v>35.659999999999997</v>
      </c>
      <c r="G1230" s="42">
        <v>36.44</v>
      </c>
      <c r="H1230" s="42">
        <v>35.840000000000003</v>
      </c>
      <c r="I1230" s="42">
        <v>37.99</v>
      </c>
      <c r="J1230" s="42">
        <v>40.380000000000003</v>
      </c>
      <c r="K1230" s="42">
        <v>37.299999999999997</v>
      </c>
      <c r="L1230" s="42">
        <v>38.9</v>
      </c>
      <c r="M1230" s="42">
        <f t="shared" si="79"/>
        <v>1.6400000000000006</v>
      </c>
    </row>
    <row r="1231" spans="2:13" x14ac:dyDescent="0.25">
      <c r="B1231" s="42">
        <f t="shared" si="76"/>
        <v>11</v>
      </c>
      <c r="C1231" s="42">
        <f t="shared" si="77"/>
        <v>9</v>
      </c>
      <c r="D1231" s="42">
        <f t="shared" si="78"/>
        <v>2020</v>
      </c>
      <c r="E1231" s="43">
        <v>44085</v>
      </c>
      <c r="F1231" s="42">
        <v>35.46</v>
      </c>
      <c r="G1231" s="42">
        <v>36.39</v>
      </c>
      <c r="H1231" s="42">
        <v>35.79</v>
      </c>
      <c r="I1231" s="42">
        <v>37.94</v>
      </c>
      <c r="J1231" s="42">
        <v>39.99</v>
      </c>
      <c r="K1231" s="42">
        <v>37.33</v>
      </c>
      <c r="L1231" s="42">
        <v>38.83</v>
      </c>
      <c r="M1231" s="42">
        <f t="shared" si="79"/>
        <v>1.8699999999999974</v>
      </c>
    </row>
    <row r="1232" spans="2:13" x14ac:dyDescent="0.25">
      <c r="B1232" s="42">
        <f t="shared" si="76"/>
        <v>14</v>
      </c>
      <c r="C1232" s="42">
        <f t="shared" si="77"/>
        <v>9</v>
      </c>
      <c r="D1232" s="42">
        <f t="shared" si="78"/>
        <v>2020</v>
      </c>
      <c r="E1232" s="43">
        <v>44088</v>
      </c>
      <c r="F1232" s="42">
        <v>35.25</v>
      </c>
      <c r="G1232" s="42">
        <v>36.299999999999997</v>
      </c>
      <c r="H1232" s="42">
        <v>35.700000000000003</v>
      </c>
      <c r="I1232" s="42">
        <v>37.85</v>
      </c>
      <c r="J1232" s="42">
        <v>39.549999999999997</v>
      </c>
      <c r="K1232" s="42">
        <v>37.26</v>
      </c>
      <c r="L1232" s="42">
        <v>38.81</v>
      </c>
      <c r="M1232" s="42">
        <f t="shared" si="79"/>
        <v>2.009999999999998</v>
      </c>
    </row>
    <row r="1233" spans="2:13" x14ac:dyDescent="0.25">
      <c r="B1233" s="42">
        <f t="shared" si="76"/>
        <v>15</v>
      </c>
      <c r="C1233" s="42">
        <f t="shared" si="77"/>
        <v>9</v>
      </c>
      <c r="D1233" s="42">
        <f t="shared" si="78"/>
        <v>2020</v>
      </c>
      <c r="E1233" s="43">
        <v>44089</v>
      </c>
      <c r="F1233" s="42">
        <v>36.08</v>
      </c>
      <c r="G1233" s="42">
        <v>37.32</v>
      </c>
      <c r="H1233" s="42">
        <v>36.72</v>
      </c>
      <c r="I1233" s="42">
        <v>38.869999999999997</v>
      </c>
      <c r="J1233" s="42">
        <v>40.1</v>
      </c>
      <c r="K1233" s="42">
        <v>38.28</v>
      </c>
      <c r="L1233" s="42">
        <v>39.83</v>
      </c>
      <c r="M1233" s="42">
        <f t="shared" si="79"/>
        <v>2.2000000000000028</v>
      </c>
    </row>
    <row r="1234" spans="2:13" x14ac:dyDescent="0.25">
      <c r="B1234" s="42">
        <f t="shared" si="76"/>
        <v>16</v>
      </c>
      <c r="C1234" s="42">
        <f t="shared" si="77"/>
        <v>9</v>
      </c>
      <c r="D1234" s="42">
        <f t="shared" si="78"/>
        <v>2020</v>
      </c>
      <c r="E1234" s="43">
        <v>44090</v>
      </c>
      <c r="F1234" s="42">
        <v>36.08</v>
      </c>
      <c r="G1234" s="42">
        <v>39.049999999999997</v>
      </c>
      <c r="H1234" s="42">
        <v>38.450000000000003</v>
      </c>
      <c r="I1234" s="42">
        <v>40.6</v>
      </c>
      <c r="J1234" s="42">
        <v>41.9</v>
      </c>
      <c r="K1234" s="42">
        <v>40.159999999999997</v>
      </c>
      <c r="L1234" s="42">
        <v>41.71</v>
      </c>
      <c r="M1234" s="42">
        <f t="shared" si="79"/>
        <v>4.0799999999999983</v>
      </c>
    </row>
    <row r="1235" spans="2:13" x14ac:dyDescent="0.25">
      <c r="B1235" s="42">
        <f t="shared" si="76"/>
        <v>17</v>
      </c>
      <c r="C1235" s="42">
        <f t="shared" si="77"/>
        <v>9</v>
      </c>
      <c r="D1235" s="42">
        <f t="shared" si="78"/>
        <v>2020</v>
      </c>
      <c r="E1235" s="43">
        <v>44091</v>
      </c>
      <c r="F1235" s="42">
        <v>38.76</v>
      </c>
      <c r="G1235" s="42">
        <v>39.97</v>
      </c>
      <c r="H1235" s="42">
        <v>39.369999999999997</v>
      </c>
      <c r="I1235" s="42">
        <v>41.52</v>
      </c>
      <c r="J1235" s="42">
        <v>43.33</v>
      </c>
      <c r="K1235" s="42">
        <v>40.97</v>
      </c>
      <c r="L1235" s="42">
        <v>42.52</v>
      </c>
      <c r="M1235" s="42">
        <f t="shared" si="79"/>
        <v>2.2100000000000009</v>
      </c>
    </row>
    <row r="1236" spans="2:13" x14ac:dyDescent="0.25">
      <c r="B1236" s="42">
        <f t="shared" si="76"/>
        <v>18</v>
      </c>
      <c r="C1236" s="42">
        <f t="shared" si="77"/>
        <v>9</v>
      </c>
      <c r="D1236" s="42">
        <f t="shared" si="78"/>
        <v>2020</v>
      </c>
      <c r="E1236" s="43">
        <v>44092</v>
      </c>
      <c r="F1236" s="42">
        <v>38.97</v>
      </c>
      <c r="G1236" s="42">
        <v>39.94</v>
      </c>
      <c r="H1236" s="42">
        <v>39.340000000000003</v>
      </c>
      <c r="I1236" s="42">
        <v>41.49</v>
      </c>
      <c r="J1236" s="42">
        <v>43.35</v>
      </c>
      <c r="K1236" s="42">
        <v>41.11</v>
      </c>
      <c r="L1236" s="42">
        <v>42.46</v>
      </c>
      <c r="M1236" s="42">
        <f t="shared" si="79"/>
        <v>2.1400000000000006</v>
      </c>
    </row>
    <row r="1237" spans="2:13" x14ac:dyDescent="0.25">
      <c r="B1237" s="42">
        <f t="shared" si="76"/>
        <v>21</v>
      </c>
      <c r="C1237" s="42">
        <f t="shared" si="77"/>
        <v>9</v>
      </c>
      <c r="D1237" s="42">
        <f t="shared" si="78"/>
        <v>2020</v>
      </c>
      <c r="E1237" s="43">
        <v>44095</v>
      </c>
      <c r="F1237" s="42">
        <v>37.26</v>
      </c>
      <c r="G1237" s="42">
        <v>38.21</v>
      </c>
      <c r="H1237" s="42">
        <v>37.61</v>
      </c>
      <c r="I1237" s="42">
        <v>39.76</v>
      </c>
      <c r="J1237" s="42">
        <v>41.25</v>
      </c>
      <c r="K1237" s="42">
        <v>39.31</v>
      </c>
      <c r="L1237" s="42">
        <v>40.51</v>
      </c>
      <c r="M1237" s="42">
        <f t="shared" si="79"/>
        <v>2.0500000000000043</v>
      </c>
    </row>
    <row r="1238" spans="2:13" x14ac:dyDescent="0.25">
      <c r="B1238" s="42">
        <f t="shared" si="76"/>
        <v>22</v>
      </c>
      <c r="C1238" s="42">
        <f t="shared" si="77"/>
        <v>9</v>
      </c>
      <c r="D1238" s="42">
        <f t="shared" si="78"/>
        <v>2020</v>
      </c>
      <c r="E1238" s="43">
        <v>44096</v>
      </c>
      <c r="F1238" s="42">
        <v>37.44</v>
      </c>
      <c r="G1238" s="42">
        <v>38.520000000000003</v>
      </c>
      <c r="H1238" s="42">
        <v>37.92</v>
      </c>
      <c r="I1238" s="42">
        <v>40.07</v>
      </c>
      <c r="J1238" s="42">
        <v>41.9</v>
      </c>
      <c r="K1238" s="42">
        <v>39.6</v>
      </c>
      <c r="L1238" s="42">
        <v>40.85</v>
      </c>
      <c r="M1238" s="42">
        <f t="shared" si="79"/>
        <v>2.1600000000000037</v>
      </c>
    </row>
    <row r="1239" spans="2:13" x14ac:dyDescent="0.25">
      <c r="B1239" s="42">
        <f t="shared" si="76"/>
        <v>23</v>
      </c>
      <c r="C1239" s="42">
        <f t="shared" si="77"/>
        <v>9</v>
      </c>
      <c r="D1239" s="42">
        <f t="shared" si="78"/>
        <v>2020</v>
      </c>
      <c r="E1239" s="43">
        <v>44097</v>
      </c>
      <c r="F1239" s="42">
        <v>37.58</v>
      </c>
      <c r="G1239" s="42">
        <v>38.56</v>
      </c>
      <c r="H1239" s="42">
        <v>37.96</v>
      </c>
      <c r="I1239" s="42">
        <v>40.11</v>
      </c>
      <c r="J1239" s="42">
        <v>42.19</v>
      </c>
      <c r="K1239" s="42">
        <v>39.75</v>
      </c>
      <c r="L1239" s="42">
        <v>41.3</v>
      </c>
      <c r="M1239" s="42">
        <f t="shared" si="79"/>
        <v>2.1700000000000017</v>
      </c>
    </row>
    <row r="1240" spans="2:13" x14ac:dyDescent="0.25">
      <c r="B1240" s="42">
        <f t="shared" si="76"/>
        <v>24</v>
      </c>
      <c r="C1240" s="42">
        <f t="shared" si="77"/>
        <v>9</v>
      </c>
      <c r="D1240" s="42">
        <f t="shared" si="78"/>
        <v>2020</v>
      </c>
      <c r="E1240" s="43">
        <v>44098</v>
      </c>
      <c r="F1240" s="42">
        <v>37.74</v>
      </c>
      <c r="G1240" s="42">
        <v>38.909999999999997</v>
      </c>
      <c r="H1240" s="42">
        <v>38.31</v>
      </c>
      <c r="I1240" s="42">
        <v>40.46</v>
      </c>
      <c r="J1240" s="42">
        <v>41.62</v>
      </c>
      <c r="K1240" s="42">
        <v>40.130000000000003</v>
      </c>
      <c r="L1240" s="42">
        <v>41.63</v>
      </c>
      <c r="M1240" s="42">
        <f t="shared" si="79"/>
        <v>2.3900000000000006</v>
      </c>
    </row>
    <row r="1241" spans="2:13" x14ac:dyDescent="0.25">
      <c r="B1241" s="42">
        <f t="shared" si="76"/>
        <v>25</v>
      </c>
      <c r="C1241" s="42">
        <f t="shared" si="77"/>
        <v>9</v>
      </c>
      <c r="D1241" s="42">
        <f t="shared" si="78"/>
        <v>2020</v>
      </c>
      <c r="E1241" s="43">
        <v>44099</v>
      </c>
      <c r="F1241" s="42">
        <v>37.86</v>
      </c>
      <c r="G1241" s="42">
        <v>38.92</v>
      </c>
      <c r="H1241" s="42">
        <v>38.32</v>
      </c>
      <c r="I1241" s="42">
        <v>40.47</v>
      </c>
      <c r="J1241" s="42">
        <v>41.91</v>
      </c>
      <c r="K1241" s="42">
        <v>40.11</v>
      </c>
      <c r="L1241" s="42">
        <v>41.46</v>
      </c>
      <c r="M1241" s="42">
        <f t="shared" si="79"/>
        <v>2.25</v>
      </c>
    </row>
    <row r="1242" spans="2:13" x14ac:dyDescent="0.25">
      <c r="B1242" s="42">
        <f t="shared" si="76"/>
        <v>28</v>
      </c>
      <c r="C1242" s="42">
        <f t="shared" si="77"/>
        <v>9</v>
      </c>
      <c r="D1242" s="42">
        <f t="shared" si="78"/>
        <v>2020</v>
      </c>
      <c r="E1242" s="43">
        <v>44102</v>
      </c>
      <c r="F1242" s="42">
        <v>38.15</v>
      </c>
      <c r="G1242" s="42">
        <v>39.36</v>
      </c>
      <c r="H1242" s="42">
        <v>38.76</v>
      </c>
      <c r="I1242" s="42">
        <v>40.909999999999997</v>
      </c>
      <c r="J1242" s="42">
        <v>42.24</v>
      </c>
      <c r="K1242" s="42">
        <v>40.6</v>
      </c>
      <c r="L1242" s="42">
        <v>41.85</v>
      </c>
      <c r="M1242" s="42">
        <f t="shared" si="79"/>
        <v>2.4500000000000028</v>
      </c>
    </row>
    <row r="1243" spans="2:13" x14ac:dyDescent="0.25">
      <c r="B1243" s="42">
        <f t="shared" si="76"/>
        <v>29</v>
      </c>
      <c r="C1243" s="42">
        <f t="shared" si="77"/>
        <v>9</v>
      </c>
      <c r="D1243" s="42">
        <f t="shared" si="78"/>
        <v>2020</v>
      </c>
      <c r="E1243" s="43">
        <v>44103</v>
      </c>
      <c r="F1243" s="42">
        <v>37.11</v>
      </c>
      <c r="G1243" s="42">
        <v>37.93</v>
      </c>
      <c r="H1243" s="42">
        <v>37.33</v>
      </c>
      <c r="I1243" s="42">
        <v>39.479999999999997</v>
      </c>
      <c r="J1243" s="42">
        <v>40.950000000000003</v>
      </c>
      <c r="K1243" s="42">
        <v>39.29</v>
      </c>
      <c r="L1243" s="42">
        <v>40.74</v>
      </c>
      <c r="M1243" s="42">
        <f t="shared" si="79"/>
        <v>2.1799999999999997</v>
      </c>
    </row>
    <row r="1244" spans="2:13" x14ac:dyDescent="0.25">
      <c r="B1244" s="42">
        <f t="shared" si="76"/>
        <v>30</v>
      </c>
      <c r="C1244" s="42">
        <f t="shared" si="77"/>
        <v>9</v>
      </c>
      <c r="D1244" s="42">
        <f t="shared" si="78"/>
        <v>2020</v>
      </c>
      <c r="E1244" s="43">
        <v>44104</v>
      </c>
      <c r="F1244" s="42">
        <v>37.119999999999997</v>
      </c>
      <c r="G1244" s="42">
        <v>38.549999999999997</v>
      </c>
      <c r="H1244" s="42">
        <v>37.950000000000003</v>
      </c>
      <c r="I1244" s="42">
        <v>40.1</v>
      </c>
      <c r="J1244" s="42">
        <v>41.2</v>
      </c>
      <c r="K1244" s="42">
        <v>40.22</v>
      </c>
      <c r="L1244" s="42">
        <v>41.62</v>
      </c>
      <c r="M1244" s="42">
        <f t="shared" si="79"/>
        <v>3.1000000000000014</v>
      </c>
    </row>
    <row r="1245" spans="2:13" x14ac:dyDescent="0.25">
      <c r="B1245" s="42">
        <f t="shared" si="76"/>
        <v>1</v>
      </c>
      <c r="C1245" s="42">
        <f t="shared" si="77"/>
        <v>10</v>
      </c>
      <c r="D1245" s="42">
        <f t="shared" si="78"/>
        <v>2020</v>
      </c>
      <c r="E1245" s="43">
        <v>44105</v>
      </c>
      <c r="F1245" s="42">
        <v>35.94</v>
      </c>
      <c r="G1245" s="42">
        <v>37.81</v>
      </c>
      <c r="H1245" s="42">
        <v>36.31</v>
      </c>
      <c r="I1245" s="42">
        <v>40.01</v>
      </c>
      <c r="J1245" s="42">
        <v>40.28</v>
      </c>
      <c r="K1245" s="42">
        <v>38.72</v>
      </c>
      <c r="L1245" s="42">
        <v>40.07</v>
      </c>
      <c r="M1245" s="42">
        <f t="shared" si="79"/>
        <v>2.7800000000000011</v>
      </c>
    </row>
    <row r="1246" spans="2:13" x14ac:dyDescent="0.25">
      <c r="B1246" s="42">
        <f t="shared" si="76"/>
        <v>2</v>
      </c>
      <c r="C1246" s="42">
        <f t="shared" si="77"/>
        <v>10</v>
      </c>
      <c r="D1246" s="42">
        <f t="shared" si="78"/>
        <v>2020</v>
      </c>
      <c r="E1246" s="43">
        <v>44106</v>
      </c>
      <c r="F1246" s="42">
        <v>34.159999999999997</v>
      </c>
      <c r="G1246" s="42">
        <v>36.119999999999997</v>
      </c>
      <c r="H1246" s="42">
        <v>34.619999999999997</v>
      </c>
      <c r="I1246" s="42">
        <v>38.32</v>
      </c>
      <c r="J1246" s="42">
        <v>39.78</v>
      </c>
      <c r="K1246" s="42">
        <v>37.07</v>
      </c>
      <c r="L1246" s="42">
        <v>37.770000000000003</v>
      </c>
      <c r="M1246" s="42">
        <f t="shared" si="79"/>
        <v>2.9100000000000037</v>
      </c>
    </row>
    <row r="1247" spans="2:13" x14ac:dyDescent="0.25">
      <c r="B1247" s="42">
        <f t="shared" si="76"/>
        <v>5</v>
      </c>
      <c r="C1247" s="42">
        <f t="shared" si="77"/>
        <v>10</v>
      </c>
      <c r="D1247" s="42">
        <f t="shared" si="78"/>
        <v>2020</v>
      </c>
      <c r="E1247" s="43">
        <v>44109</v>
      </c>
      <c r="F1247" s="42">
        <v>36.020000000000003</v>
      </c>
      <c r="G1247" s="42">
        <v>38.39</v>
      </c>
      <c r="H1247" s="42">
        <v>36.89</v>
      </c>
      <c r="I1247" s="42">
        <v>40.590000000000003</v>
      </c>
      <c r="J1247" s="42">
        <v>41.5</v>
      </c>
      <c r="K1247" s="42">
        <v>39.22</v>
      </c>
      <c r="L1247" s="42">
        <v>40.07</v>
      </c>
      <c r="M1247" s="42">
        <f t="shared" si="79"/>
        <v>3.1999999999999957</v>
      </c>
    </row>
    <row r="1248" spans="2:13" x14ac:dyDescent="0.25">
      <c r="B1248" s="42">
        <f t="shared" si="76"/>
        <v>6</v>
      </c>
      <c r="C1248" s="42">
        <f t="shared" si="77"/>
        <v>10</v>
      </c>
      <c r="D1248" s="42">
        <f t="shared" si="78"/>
        <v>2020</v>
      </c>
      <c r="E1248" s="43">
        <v>44110</v>
      </c>
      <c r="F1248" s="42">
        <v>37.380000000000003</v>
      </c>
      <c r="G1248" s="42">
        <v>39.54</v>
      </c>
      <c r="H1248" s="42">
        <v>38.04</v>
      </c>
      <c r="I1248" s="42">
        <v>41.74</v>
      </c>
      <c r="J1248" s="42">
        <v>42.44</v>
      </c>
      <c r="K1248" s="42">
        <v>40.69</v>
      </c>
      <c r="L1248" s="42">
        <v>41.54</v>
      </c>
      <c r="M1248" s="42">
        <f t="shared" si="79"/>
        <v>3.3099999999999952</v>
      </c>
    </row>
    <row r="1249" spans="2:13" x14ac:dyDescent="0.25">
      <c r="B1249" s="42">
        <f t="shared" si="76"/>
        <v>7</v>
      </c>
      <c r="C1249" s="42">
        <f t="shared" si="77"/>
        <v>10</v>
      </c>
      <c r="D1249" s="42">
        <f t="shared" si="78"/>
        <v>2020</v>
      </c>
      <c r="E1249" s="43">
        <v>44111</v>
      </c>
      <c r="F1249" s="42">
        <v>36.909999999999997</v>
      </c>
      <c r="G1249" s="42">
        <v>39.04</v>
      </c>
      <c r="H1249" s="42">
        <v>37.54</v>
      </c>
      <c r="I1249" s="42">
        <v>41.24</v>
      </c>
      <c r="J1249" s="42">
        <v>41.53</v>
      </c>
      <c r="K1249" s="42">
        <v>39.950000000000003</v>
      </c>
      <c r="L1249" s="42">
        <v>41.2</v>
      </c>
      <c r="M1249" s="42">
        <f t="shared" si="79"/>
        <v>3.0400000000000063</v>
      </c>
    </row>
    <row r="1250" spans="2:13" x14ac:dyDescent="0.25">
      <c r="B1250" s="42">
        <f t="shared" si="76"/>
        <v>8</v>
      </c>
      <c r="C1250" s="42">
        <f t="shared" si="77"/>
        <v>10</v>
      </c>
      <c r="D1250" s="42">
        <f t="shared" si="78"/>
        <v>2020</v>
      </c>
      <c r="E1250" s="43">
        <v>44112</v>
      </c>
      <c r="F1250" s="42">
        <v>38.04</v>
      </c>
      <c r="G1250" s="42">
        <v>40.32</v>
      </c>
      <c r="H1250" s="42">
        <v>38.82</v>
      </c>
      <c r="I1250" s="42">
        <v>42.52</v>
      </c>
      <c r="J1250" s="42">
        <v>42.83</v>
      </c>
      <c r="K1250" s="42">
        <v>41.19</v>
      </c>
      <c r="L1250" s="42">
        <v>42.44</v>
      </c>
      <c r="M1250" s="42">
        <f t="shared" si="79"/>
        <v>3.1499999999999986</v>
      </c>
    </row>
    <row r="1251" spans="2:13" x14ac:dyDescent="0.25">
      <c r="B1251" s="42">
        <f t="shared" si="76"/>
        <v>9</v>
      </c>
      <c r="C1251" s="42">
        <f t="shared" si="77"/>
        <v>10</v>
      </c>
      <c r="D1251" s="42">
        <f t="shared" si="78"/>
        <v>2020</v>
      </c>
      <c r="E1251" s="43">
        <v>44113</v>
      </c>
      <c r="F1251" s="42">
        <v>37.71</v>
      </c>
      <c r="G1251" s="42">
        <v>39.729999999999997</v>
      </c>
      <c r="H1251" s="42">
        <v>38.229999999999997</v>
      </c>
      <c r="I1251" s="42">
        <v>41.93</v>
      </c>
      <c r="J1251" s="42">
        <v>43.16</v>
      </c>
      <c r="K1251" s="42">
        <v>40.6</v>
      </c>
      <c r="L1251" s="42">
        <v>41.85</v>
      </c>
      <c r="M1251" s="42">
        <f t="shared" si="79"/>
        <v>2.8900000000000006</v>
      </c>
    </row>
    <row r="1252" spans="2:13" x14ac:dyDescent="0.25">
      <c r="B1252" s="42">
        <f t="shared" si="76"/>
        <v>12</v>
      </c>
      <c r="C1252" s="42">
        <f t="shared" si="77"/>
        <v>10</v>
      </c>
      <c r="D1252" s="42">
        <f t="shared" si="78"/>
        <v>2020</v>
      </c>
      <c r="E1252" s="43">
        <v>44116</v>
      </c>
      <c r="F1252" s="42">
        <v>37.71</v>
      </c>
      <c r="G1252" s="42">
        <v>38.6</v>
      </c>
      <c r="H1252" s="42">
        <v>37.1</v>
      </c>
      <c r="I1252" s="42">
        <v>40.799999999999997</v>
      </c>
      <c r="J1252" s="42">
        <v>41.72</v>
      </c>
      <c r="K1252" s="42">
        <v>39.43</v>
      </c>
      <c r="L1252" s="42">
        <v>40.68</v>
      </c>
      <c r="M1252" s="42">
        <f t="shared" si="79"/>
        <v>1.7199999999999989</v>
      </c>
    </row>
    <row r="1253" spans="2:13" x14ac:dyDescent="0.25">
      <c r="B1253" s="42">
        <f t="shared" si="76"/>
        <v>13</v>
      </c>
      <c r="C1253" s="42">
        <f t="shared" si="77"/>
        <v>10</v>
      </c>
      <c r="D1253" s="42">
        <f t="shared" si="78"/>
        <v>2020</v>
      </c>
      <c r="E1253" s="43">
        <v>44117</v>
      </c>
      <c r="F1253" s="42">
        <v>37.25</v>
      </c>
      <c r="G1253" s="42">
        <v>39.33</v>
      </c>
      <c r="H1253" s="42">
        <v>37.83</v>
      </c>
      <c r="I1253" s="42">
        <v>41.53</v>
      </c>
      <c r="J1253" s="42">
        <v>42.48</v>
      </c>
      <c r="K1253" s="42">
        <v>40.200000000000003</v>
      </c>
      <c r="L1253" s="42">
        <v>41.5</v>
      </c>
      <c r="M1253" s="42">
        <f t="shared" si="79"/>
        <v>2.9500000000000028</v>
      </c>
    </row>
    <row r="1254" spans="2:13" x14ac:dyDescent="0.25">
      <c r="B1254" s="42">
        <f t="shared" si="76"/>
        <v>14</v>
      </c>
      <c r="C1254" s="42">
        <f t="shared" si="77"/>
        <v>10</v>
      </c>
      <c r="D1254" s="42">
        <f t="shared" si="78"/>
        <v>2020</v>
      </c>
      <c r="E1254" s="43">
        <v>44118</v>
      </c>
      <c r="F1254" s="42">
        <v>38.049999999999997</v>
      </c>
      <c r="G1254" s="42">
        <v>40.29</v>
      </c>
      <c r="H1254" s="42">
        <v>38.79</v>
      </c>
      <c r="I1254" s="42">
        <v>42.49</v>
      </c>
      <c r="J1254" s="42">
        <v>43.12</v>
      </c>
      <c r="K1254" s="42">
        <v>41.04</v>
      </c>
      <c r="L1254" s="42">
        <v>42.34</v>
      </c>
      <c r="M1254" s="42">
        <f t="shared" si="79"/>
        <v>2.990000000000002</v>
      </c>
    </row>
    <row r="1255" spans="2:13" x14ac:dyDescent="0.25">
      <c r="B1255" s="42">
        <f t="shared" si="76"/>
        <v>15</v>
      </c>
      <c r="C1255" s="42">
        <f t="shared" si="77"/>
        <v>10</v>
      </c>
      <c r="D1255" s="42">
        <f t="shared" si="78"/>
        <v>2020</v>
      </c>
      <c r="E1255" s="43">
        <v>44119</v>
      </c>
      <c r="F1255" s="42">
        <v>38.01</v>
      </c>
      <c r="G1255" s="42">
        <v>40.18</v>
      </c>
      <c r="H1255" s="42">
        <v>38.68</v>
      </c>
      <c r="I1255" s="42">
        <v>42.38</v>
      </c>
      <c r="J1255" s="42">
        <v>42.54</v>
      </c>
      <c r="K1255" s="42">
        <v>40.96</v>
      </c>
      <c r="L1255" s="42">
        <v>42.36</v>
      </c>
      <c r="M1255" s="42">
        <f t="shared" si="79"/>
        <v>2.9500000000000028</v>
      </c>
    </row>
    <row r="1256" spans="2:13" x14ac:dyDescent="0.25">
      <c r="B1256" s="42">
        <f t="shared" si="76"/>
        <v>16</v>
      </c>
      <c r="C1256" s="42">
        <f t="shared" si="77"/>
        <v>10</v>
      </c>
      <c r="D1256" s="42">
        <f t="shared" si="78"/>
        <v>2020</v>
      </c>
      <c r="E1256" s="43">
        <v>44120</v>
      </c>
      <c r="F1256" s="42">
        <v>37.869999999999997</v>
      </c>
      <c r="G1256" s="42">
        <v>40</v>
      </c>
      <c r="H1256" s="42">
        <v>38.5</v>
      </c>
      <c r="I1256" s="42">
        <v>42.2</v>
      </c>
      <c r="J1256" s="42">
        <v>43.08</v>
      </c>
      <c r="K1256" s="42">
        <v>40.880000000000003</v>
      </c>
      <c r="L1256" s="42">
        <v>42.28</v>
      </c>
      <c r="M1256" s="42">
        <f t="shared" si="79"/>
        <v>3.0100000000000051</v>
      </c>
    </row>
    <row r="1257" spans="2:13" x14ac:dyDescent="0.25">
      <c r="B1257" s="42">
        <f t="shared" si="76"/>
        <v>19</v>
      </c>
      <c r="C1257" s="42">
        <f t="shared" si="77"/>
        <v>10</v>
      </c>
      <c r="D1257" s="42">
        <f t="shared" si="78"/>
        <v>2020</v>
      </c>
      <c r="E1257" s="43">
        <v>44123</v>
      </c>
      <c r="F1257" s="42">
        <v>37.64</v>
      </c>
      <c r="G1257" s="42">
        <v>39.770000000000003</v>
      </c>
      <c r="H1257" s="42">
        <v>38.270000000000003</v>
      </c>
      <c r="I1257" s="42">
        <v>41.97</v>
      </c>
      <c r="J1257" s="42">
        <v>43.06</v>
      </c>
      <c r="K1257" s="42">
        <v>40.83</v>
      </c>
      <c r="L1257" s="42">
        <v>42.23</v>
      </c>
      <c r="M1257" s="42">
        <f t="shared" si="79"/>
        <v>3.1899999999999977</v>
      </c>
    </row>
    <row r="1258" spans="2:13" x14ac:dyDescent="0.25">
      <c r="B1258" s="42">
        <f t="shared" si="76"/>
        <v>20</v>
      </c>
      <c r="C1258" s="42">
        <f t="shared" si="77"/>
        <v>10</v>
      </c>
      <c r="D1258" s="42">
        <f t="shared" si="78"/>
        <v>2020</v>
      </c>
      <c r="E1258" s="43">
        <v>44124</v>
      </c>
      <c r="F1258" s="42">
        <v>38.08</v>
      </c>
      <c r="G1258" s="42">
        <v>40.270000000000003</v>
      </c>
      <c r="H1258" s="42">
        <v>38.770000000000003</v>
      </c>
      <c r="I1258" s="42">
        <v>42.47</v>
      </c>
      <c r="J1258" s="42">
        <v>42.46</v>
      </c>
      <c r="K1258" s="42">
        <v>41.46</v>
      </c>
      <c r="L1258" s="42">
        <v>42.86</v>
      </c>
      <c r="M1258" s="42">
        <f t="shared" si="79"/>
        <v>3.3800000000000026</v>
      </c>
    </row>
    <row r="1259" spans="2:13" x14ac:dyDescent="0.25">
      <c r="B1259" s="42">
        <f t="shared" si="76"/>
        <v>21</v>
      </c>
      <c r="C1259" s="42">
        <f t="shared" si="77"/>
        <v>10</v>
      </c>
      <c r="D1259" s="42">
        <f t="shared" si="78"/>
        <v>2020</v>
      </c>
      <c r="E1259" s="43">
        <v>44125</v>
      </c>
      <c r="F1259" s="42">
        <v>36.81</v>
      </c>
      <c r="G1259" s="42">
        <v>38.85</v>
      </c>
      <c r="H1259" s="42">
        <v>37.35</v>
      </c>
      <c r="I1259" s="42">
        <v>41.05</v>
      </c>
      <c r="J1259" s="42">
        <v>41.99</v>
      </c>
      <c r="K1259" s="42">
        <v>39.83</v>
      </c>
      <c r="L1259" s="42">
        <v>41.33</v>
      </c>
      <c r="M1259" s="42">
        <f t="shared" si="79"/>
        <v>3.019999999999996</v>
      </c>
    </row>
    <row r="1260" spans="2:13" x14ac:dyDescent="0.25">
      <c r="B1260" s="42">
        <f t="shared" si="76"/>
        <v>22</v>
      </c>
      <c r="C1260" s="42">
        <f t="shared" si="77"/>
        <v>10</v>
      </c>
      <c r="D1260" s="42">
        <f t="shared" si="78"/>
        <v>2020</v>
      </c>
      <c r="E1260" s="43">
        <v>44126</v>
      </c>
      <c r="F1260" s="42">
        <v>37.35</v>
      </c>
      <c r="G1260" s="42">
        <v>39.51</v>
      </c>
      <c r="H1260" s="42">
        <v>38.01</v>
      </c>
      <c r="I1260" s="42">
        <v>41.71</v>
      </c>
      <c r="J1260" s="42">
        <v>42.78</v>
      </c>
      <c r="K1260" s="42">
        <v>40.44</v>
      </c>
      <c r="L1260" s="42">
        <v>41.94</v>
      </c>
      <c r="M1260" s="42">
        <f t="shared" si="79"/>
        <v>3.0899999999999963</v>
      </c>
    </row>
    <row r="1261" spans="2:13" x14ac:dyDescent="0.25">
      <c r="B1261" s="42">
        <f t="shared" si="76"/>
        <v>23</v>
      </c>
      <c r="C1261" s="42">
        <f t="shared" si="77"/>
        <v>10</v>
      </c>
      <c r="D1261" s="42">
        <f t="shared" si="78"/>
        <v>2020</v>
      </c>
      <c r="E1261" s="43">
        <v>44127</v>
      </c>
      <c r="F1261" s="42">
        <v>36.799999999999997</v>
      </c>
      <c r="G1261" s="42">
        <v>38.840000000000003</v>
      </c>
      <c r="H1261" s="42">
        <v>37.340000000000003</v>
      </c>
      <c r="I1261" s="42">
        <v>41.04</v>
      </c>
      <c r="J1261" s="42">
        <v>42.45</v>
      </c>
      <c r="K1261" s="42">
        <v>39.65</v>
      </c>
      <c r="L1261" s="42">
        <v>41.15</v>
      </c>
      <c r="M1261" s="42">
        <f t="shared" si="79"/>
        <v>2.8500000000000014</v>
      </c>
    </row>
    <row r="1262" spans="2:13" x14ac:dyDescent="0.25">
      <c r="B1262" s="42">
        <f t="shared" si="76"/>
        <v>26</v>
      </c>
      <c r="C1262" s="42">
        <f t="shared" si="77"/>
        <v>10</v>
      </c>
      <c r="D1262" s="42">
        <f t="shared" si="78"/>
        <v>2020</v>
      </c>
      <c r="E1262" s="43">
        <v>44130</v>
      </c>
      <c r="F1262" s="42">
        <v>35.46</v>
      </c>
      <c r="G1262" s="42">
        <v>37.54</v>
      </c>
      <c r="H1262" s="42">
        <v>36.04</v>
      </c>
      <c r="I1262" s="42">
        <v>39.74</v>
      </c>
      <c r="J1262" s="42">
        <v>40.450000000000003</v>
      </c>
      <c r="K1262" s="42">
        <v>38.56</v>
      </c>
      <c r="L1262" s="42">
        <v>39.909999999999997</v>
      </c>
      <c r="M1262" s="42">
        <f t="shared" si="79"/>
        <v>3.1000000000000014</v>
      </c>
    </row>
    <row r="1263" spans="2:13" x14ac:dyDescent="0.25">
      <c r="B1263" s="42">
        <f t="shared" si="76"/>
        <v>27</v>
      </c>
      <c r="C1263" s="42">
        <f t="shared" si="77"/>
        <v>10</v>
      </c>
      <c r="D1263" s="42">
        <f t="shared" si="78"/>
        <v>2020</v>
      </c>
      <c r="E1263" s="43">
        <v>44131</v>
      </c>
      <c r="F1263" s="42">
        <v>36.200000000000003</v>
      </c>
      <c r="G1263" s="42">
        <v>38.51</v>
      </c>
      <c r="H1263" s="42">
        <v>37.01</v>
      </c>
      <c r="I1263" s="42">
        <v>40.71</v>
      </c>
      <c r="J1263" s="42">
        <v>41.37</v>
      </c>
      <c r="K1263" s="42">
        <v>39.57</v>
      </c>
      <c r="L1263" s="42">
        <v>40.770000000000003</v>
      </c>
      <c r="M1263" s="42">
        <f t="shared" si="79"/>
        <v>3.3699999999999974</v>
      </c>
    </row>
    <row r="1264" spans="2:13" x14ac:dyDescent="0.25">
      <c r="B1264" s="42">
        <f t="shared" si="76"/>
        <v>28</v>
      </c>
      <c r="C1264" s="42">
        <f t="shared" si="77"/>
        <v>10</v>
      </c>
      <c r="D1264" s="42">
        <f t="shared" si="78"/>
        <v>2020</v>
      </c>
      <c r="E1264" s="43">
        <v>44132</v>
      </c>
      <c r="F1264" s="42">
        <v>34.31</v>
      </c>
      <c r="G1264" s="42">
        <v>36.4</v>
      </c>
      <c r="H1264" s="42">
        <v>34.9</v>
      </c>
      <c r="I1264" s="42">
        <v>38.6</v>
      </c>
      <c r="J1264" s="42">
        <v>39.17</v>
      </c>
      <c r="K1264" s="42">
        <v>37.39</v>
      </c>
      <c r="L1264" s="42">
        <v>38.590000000000003</v>
      </c>
      <c r="M1264" s="42">
        <f t="shared" si="79"/>
        <v>3.0799999999999983</v>
      </c>
    </row>
    <row r="1265" spans="2:13" x14ac:dyDescent="0.25">
      <c r="B1265" s="42">
        <f t="shared" si="76"/>
        <v>29</v>
      </c>
      <c r="C1265" s="42">
        <f t="shared" si="77"/>
        <v>10</v>
      </c>
      <c r="D1265" s="42">
        <f t="shared" si="78"/>
        <v>2020</v>
      </c>
      <c r="E1265" s="43">
        <v>44133</v>
      </c>
      <c r="F1265" s="42">
        <v>32.979999999999997</v>
      </c>
      <c r="G1265" s="42">
        <v>35.119999999999997</v>
      </c>
      <c r="H1265" s="42">
        <v>33.619999999999997</v>
      </c>
      <c r="I1265" s="42">
        <v>37.32</v>
      </c>
      <c r="J1265" s="42">
        <v>37.39</v>
      </c>
      <c r="K1265" s="42">
        <v>36.17</v>
      </c>
      <c r="L1265" s="42">
        <v>37.369999999999997</v>
      </c>
      <c r="M1265" s="42">
        <f t="shared" si="79"/>
        <v>3.1900000000000048</v>
      </c>
    </row>
    <row r="1266" spans="2:13" x14ac:dyDescent="0.25">
      <c r="B1266" s="42">
        <f t="shared" si="76"/>
        <v>30</v>
      </c>
      <c r="C1266" s="42">
        <f t="shared" si="77"/>
        <v>10</v>
      </c>
      <c r="D1266" s="42">
        <f t="shared" si="78"/>
        <v>2020</v>
      </c>
      <c r="E1266" s="43">
        <v>44134</v>
      </c>
      <c r="F1266" s="42">
        <v>32.58</v>
      </c>
      <c r="G1266" s="42">
        <v>34.75</v>
      </c>
      <c r="H1266" s="42">
        <v>33.25</v>
      </c>
      <c r="I1266" s="42">
        <v>36.950000000000003</v>
      </c>
      <c r="J1266" s="42">
        <v>37.19</v>
      </c>
      <c r="K1266" s="42">
        <v>35.79</v>
      </c>
      <c r="L1266" s="42">
        <v>37.04</v>
      </c>
      <c r="M1266" s="42">
        <f t="shared" si="79"/>
        <v>3.2100000000000009</v>
      </c>
    </row>
    <row r="1267" spans="2:13" x14ac:dyDescent="0.25">
      <c r="B1267" s="42">
        <f t="shared" si="76"/>
        <v>2</v>
      </c>
      <c r="C1267" s="42">
        <f t="shared" si="77"/>
        <v>11</v>
      </c>
      <c r="D1267" s="42">
        <f t="shared" si="78"/>
        <v>2020</v>
      </c>
      <c r="E1267" s="43">
        <v>44137</v>
      </c>
      <c r="F1267" s="42">
        <v>32.58</v>
      </c>
      <c r="G1267" s="42">
        <v>35.92</v>
      </c>
      <c r="H1267" s="42">
        <v>34.520000000000003</v>
      </c>
      <c r="I1267" s="42">
        <v>37.770000000000003</v>
      </c>
      <c r="J1267" s="42">
        <v>38.159999999999997</v>
      </c>
      <c r="K1267" s="42">
        <v>36.81</v>
      </c>
      <c r="L1267" s="42">
        <v>38.06</v>
      </c>
      <c r="M1267" s="42">
        <f t="shared" si="79"/>
        <v>4.230000000000004</v>
      </c>
    </row>
    <row r="1268" spans="2:13" x14ac:dyDescent="0.25">
      <c r="B1268" s="42">
        <f t="shared" si="76"/>
        <v>3</v>
      </c>
      <c r="C1268" s="42">
        <f t="shared" si="77"/>
        <v>11</v>
      </c>
      <c r="D1268" s="42">
        <f t="shared" si="78"/>
        <v>2020</v>
      </c>
      <c r="E1268" s="43">
        <v>44138</v>
      </c>
      <c r="F1268" s="42">
        <v>35</v>
      </c>
      <c r="G1268" s="42">
        <v>36.76</v>
      </c>
      <c r="H1268" s="42">
        <v>35.36</v>
      </c>
      <c r="I1268" s="42">
        <v>38.61</v>
      </c>
      <c r="J1268" s="42">
        <v>39.479999999999997</v>
      </c>
      <c r="K1268" s="42">
        <v>37.659999999999997</v>
      </c>
      <c r="L1268" s="42">
        <v>38.909999999999997</v>
      </c>
      <c r="M1268" s="42">
        <f t="shared" si="79"/>
        <v>2.6599999999999966</v>
      </c>
    </row>
    <row r="1269" spans="2:13" x14ac:dyDescent="0.25">
      <c r="B1269" s="42">
        <f t="shared" si="76"/>
        <v>4</v>
      </c>
      <c r="C1269" s="42">
        <f t="shared" si="77"/>
        <v>11</v>
      </c>
      <c r="D1269" s="42">
        <f t="shared" si="78"/>
        <v>2020</v>
      </c>
      <c r="E1269" s="43">
        <v>44139</v>
      </c>
      <c r="F1269" s="42">
        <v>36.36</v>
      </c>
      <c r="G1269" s="42">
        <v>38.11</v>
      </c>
      <c r="H1269" s="42">
        <v>36.71</v>
      </c>
      <c r="I1269" s="42">
        <v>39.96</v>
      </c>
      <c r="J1269" s="42">
        <v>40.799999999999997</v>
      </c>
      <c r="K1269" s="42">
        <v>39.15</v>
      </c>
      <c r="L1269" s="42">
        <v>40.4</v>
      </c>
      <c r="M1269" s="42">
        <f t="shared" si="79"/>
        <v>2.7899999999999991</v>
      </c>
    </row>
    <row r="1270" spans="2:13" x14ac:dyDescent="0.25">
      <c r="B1270" s="42">
        <f t="shared" si="76"/>
        <v>5</v>
      </c>
      <c r="C1270" s="42">
        <f t="shared" si="77"/>
        <v>11</v>
      </c>
      <c r="D1270" s="42">
        <f t="shared" si="78"/>
        <v>2020</v>
      </c>
      <c r="E1270" s="43">
        <v>44140</v>
      </c>
      <c r="F1270" s="42">
        <v>36.21</v>
      </c>
      <c r="G1270" s="42">
        <v>37.71</v>
      </c>
      <c r="H1270" s="42">
        <v>36.31</v>
      </c>
      <c r="I1270" s="42">
        <v>39.56</v>
      </c>
      <c r="J1270" s="42">
        <v>40.97</v>
      </c>
      <c r="K1270" s="42">
        <v>38.79</v>
      </c>
      <c r="L1270" s="42">
        <v>40.090000000000003</v>
      </c>
      <c r="M1270" s="42">
        <f t="shared" si="79"/>
        <v>2.5799999999999983</v>
      </c>
    </row>
    <row r="1271" spans="2:13" x14ac:dyDescent="0.25">
      <c r="B1271" s="42">
        <f t="shared" si="76"/>
        <v>6</v>
      </c>
      <c r="C1271" s="42">
        <f t="shared" si="77"/>
        <v>11</v>
      </c>
      <c r="D1271" s="42">
        <f t="shared" si="78"/>
        <v>2020</v>
      </c>
      <c r="E1271" s="43">
        <v>44141</v>
      </c>
      <c r="F1271" s="42">
        <v>34.83</v>
      </c>
      <c r="G1271" s="42">
        <v>36.32</v>
      </c>
      <c r="H1271" s="42">
        <v>34.92</v>
      </c>
      <c r="I1271" s="42">
        <v>38.17</v>
      </c>
      <c r="J1271" s="42">
        <v>39.75</v>
      </c>
      <c r="K1271" s="42">
        <v>37.14</v>
      </c>
      <c r="L1271" s="42">
        <v>38.49</v>
      </c>
      <c r="M1271" s="42">
        <f t="shared" si="79"/>
        <v>2.3100000000000023</v>
      </c>
    </row>
    <row r="1272" spans="2:13" x14ac:dyDescent="0.25">
      <c r="B1272" s="42">
        <f t="shared" si="76"/>
        <v>9</v>
      </c>
      <c r="C1272" s="42">
        <f t="shared" si="77"/>
        <v>11</v>
      </c>
      <c r="D1272" s="42">
        <f t="shared" si="78"/>
        <v>2020</v>
      </c>
      <c r="E1272" s="43">
        <v>44144</v>
      </c>
      <c r="F1272" s="42">
        <v>37.46</v>
      </c>
      <c r="G1272" s="42">
        <v>39.19</v>
      </c>
      <c r="H1272" s="42">
        <v>37.79</v>
      </c>
      <c r="I1272" s="42">
        <v>41.04</v>
      </c>
      <c r="J1272" s="42">
        <v>42.69</v>
      </c>
      <c r="K1272" s="42">
        <v>40.29</v>
      </c>
      <c r="L1272" s="42">
        <v>41.64</v>
      </c>
      <c r="M1272" s="42">
        <f t="shared" si="79"/>
        <v>2.8299999999999983</v>
      </c>
    </row>
    <row r="1273" spans="2:13" x14ac:dyDescent="0.25">
      <c r="B1273" s="42">
        <f t="shared" si="76"/>
        <v>10</v>
      </c>
      <c r="C1273" s="42">
        <f t="shared" si="77"/>
        <v>11</v>
      </c>
      <c r="D1273" s="42">
        <f t="shared" si="78"/>
        <v>2020</v>
      </c>
      <c r="E1273" s="43">
        <v>44145</v>
      </c>
      <c r="F1273" s="42">
        <v>38.74</v>
      </c>
      <c r="G1273" s="42">
        <v>40.47</v>
      </c>
      <c r="H1273" s="42">
        <v>39.07</v>
      </c>
      <c r="I1273" s="42">
        <v>42.32</v>
      </c>
      <c r="J1273" s="42">
        <v>43.08</v>
      </c>
      <c r="K1273" s="42">
        <v>41.36</v>
      </c>
      <c r="L1273" s="42">
        <v>42.71</v>
      </c>
      <c r="M1273" s="42">
        <f t="shared" si="79"/>
        <v>2.6199999999999974</v>
      </c>
    </row>
    <row r="1274" spans="2:13" x14ac:dyDescent="0.25">
      <c r="B1274" s="42">
        <f t="shared" si="76"/>
        <v>11</v>
      </c>
      <c r="C1274" s="42">
        <f t="shared" si="77"/>
        <v>11</v>
      </c>
      <c r="D1274" s="42">
        <f t="shared" si="78"/>
        <v>2020</v>
      </c>
      <c r="E1274" s="43">
        <v>44146</v>
      </c>
      <c r="F1274" s="42">
        <v>39.15</v>
      </c>
      <c r="G1274" s="42">
        <v>40.64</v>
      </c>
      <c r="H1274" s="42">
        <v>39.24</v>
      </c>
      <c r="I1274" s="42">
        <v>42.49</v>
      </c>
      <c r="J1274" s="42">
        <v>44.39</v>
      </c>
      <c r="K1274" s="42">
        <v>41.45</v>
      </c>
      <c r="L1274" s="42">
        <v>42.7</v>
      </c>
      <c r="M1274" s="42">
        <f t="shared" si="79"/>
        <v>2.3000000000000043</v>
      </c>
    </row>
    <row r="1275" spans="2:13" x14ac:dyDescent="0.25">
      <c r="B1275" s="42">
        <f t="shared" si="76"/>
        <v>12</v>
      </c>
      <c r="C1275" s="42">
        <f t="shared" si="77"/>
        <v>11</v>
      </c>
      <c r="D1275" s="42">
        <f t="shared" si="78"/>
        <v>2020</v>
      </c>
      <c r="E1275" s="43">
        <v>44147</v>
      </c>
      <c r="F1275" s="42">
        <v>38.83</v>
      </c>
      <c r="G1275" s="42">
        <v>40.270000000000003</v>
      </c>
      <c r="H1275" s="42">
        <v>38.869999999999997</v>
      </c>
      <c r="I1275" s="42">
        <v>42.12</v>
      </c>
      <c r="J1275" s="42">
        <v>44.04</v>
      </c>
      <c r="K1275" s="42">
        <v>41.12</v>
      </c>
      <c r="L1275" s="42">
        <v>42.37</v>
      </c>
      <c r="M1275" s="42">
        <f t="shared" si="79"/>
        <v>2.2899999999999991</v>
      </c>
    </row>
    <row r="1276" spans="2:13" x14ac:dyDescent="0.25">
      <c r="B1276" s="42">
        <f t="shared" si="76"/>
        <v>13</v>
      </c>
      <c r="C1276" s="42">
        <f t="shared" si="77"/>
        <v>11</v>
      </c>
      <c r="D1276" s="42">
        <f t="shared" si="78"/>
        <v>2020</v>
      </c>
      <c r="E1276" s="43">
        <v>44148</v>
      </c>
      <c r="F1276" s="42">
        <v>38</v>
      </c>
      <c r="G1276" s="42">
        <v>40.049999999999997</v>
      </c>
      <c r="H1276" s="42">
        <v>38.65</v>
      </c>
      <c r="I1276" s="42">
        <v>41.9</v>
      </c>
      <c r="J1276" s="42">
        <v>43.01</v>
      </c>
      <c r="K1276" s="42">
        <v>40.130000000000003</v>
      </c>
      <c r="L1276" s="42">
        <v>41.33</v>
      </c>
      <c r="M1276" s="42">
        <f t="shared" si="79"/>
        <v>2.1300000000000026</v>
      </c>
    </row>
    <row r="1277" spans="2:13" x14ac:dyDescent="0.25">
      <c r="B1277" s="42">
        <f t="shared" si="76"/>
        <v>16</v>
      </c>
      <c r="C1277" s="42">
        <f t="shared" si="77"/>
        <v>11</v>
      </c>
      <c r="D1277" s="42">
        <f t="shared" si="78"/>
        <v>2020</v>
      </c>
      <c r="E1277" s="43">
        <v>44151</v>
      </c>
      <c r="F1277" s="42">
        <v>38</v>
      </c>
      <c r="G1277" s="42">
        <v>40.6</v>
      </c>
      <c r="H1277" s="42">
        <v>39.200000000000003</v>
      </c>
      <c r="I1277" s="42">
        <v>42.45</v>
      </c>
      <c r="J1277" s="42">
        <v>44.12</v>
      </c>
      <c r="K1277" s="42">
        <v>41.34</v>
      </c>
      <c r="L1277" s="42">
        <v>42.54</v>
      </c>
      <c r="M1277" s="42">
        <f t="shared" si="79"/>
        <v>3.3400000000000034</v>
      </c>
    </row>
    <row r="1278" spans="2:13" x14ac:dyDescent="0.25">
      <c r="B1278" s="42">
        <f t="shared" si="76"/>
        <v>17</v>
      </c>
      <c r="C1278" s="42">
        <f t="shared" si="77"/>
        <v>11</v>
      </c>
      <c r="D1278" s="42">
        <f t="shared" si="78"/>
        <v>2020</v>
      </c>
      <c r="E1278" s="43">
        <v>44152</v>
      </c>
      <c r="F1278" s="42">
        <v>39.06</v>
      </c>
      <c r="G1278" s="42">
        <v>40.68</v>
      </c>
      <c r="H1278" s="42">
        <v>39.28</v>
      </c>
      <c r="I1278" s="42">
        <v>42.53</v>
      </c>
      <c r="J1278" s="42">
        <v>43.3</v>
      </c>
      <c r="K1278" s="42">
        <v>41.43</v>
      </c>
      <c r="L1278" s="42">
        <v>42.58</v>
      </c>
      <c r="M1278" s="42">
        <f t="shared" si="79"/>
        <v>2.3699999999999974</v>
      </c>
    </row>
    <row r="1279" spans="2:13" x14ac:dyDescent="0.25">
      <c r="B1279" s="42">
        <f t="shared" si="76"/>
        <v>18</v>
      </c>
      <c r="C1279" s="42">
        <f t="shared" si="77"/>
        <v>11</v>
      </c>
      <c r="D1279" s="42">
        <f t="shared" si="78"/>
        <v>2020</v>
      </c>
      <c r="E1279" s="43">
        <v>44153</v>
      </c>
      <c r="F1279" s="42">
        <v>39.51</v>
      </c>
      <c r="G1279" s="42">
        <v>41.15</v>
      </c>
      <c r="H1279" s="42">
        <v>39.75</v>
      </c>
      <c r="I1279" s="42">
        <v>43</v>
      </c>
      <c r="J1279" s="42">
        <v>44.58</v>
      </c>
      <c r="K1279" s="42">
        <v>41.82</v>
      </c>
      <c r="L1279" s="42">
        <v>43.12</v>
      </c>
      <c r="M1279" s="42">
        <f t="shared" si="79"/>
        <v>2.3100000000000023</v>
      </c>
    </row>
    <row r="1280" spans="2:13" x14ac:dyDescent="0.25">
      <c r="B1280" s="42">
        <f t="shared" si="76"/>
        <v>19</v>
      </c>
      <c r="C1280" s="42">
        <f t="shared" si="77"/>
        <v>11</v>
      </c>
      <c r="D1280" s="42">
        <f t="shared" si="78"/>
        <v>2020</v>
      </c>
      <c r="E1280" s="43">
        <v>44154</v>
      </c>
      <c r="F1280" s="42">
        <v>39.43</v>
      </c>
      <c r="G1280" s="42">
        <v>41.06</v>
      </c>
      <c r="H1280" s="42">
        <v>39.659999999999997</v>
      </c>
      <c r="I1280" s="42">
        <v>42.91</v>
      </c>
      <c r="J1280" s="42">
        <v>43.97</v>
      </c>
      <c r="K1280" s="42">
        <v>41.74</v>
      </c>
      <c r="L1280" s="42">
        <v>43.04</v>
      </c>
      <c r="M1280" s="42">
        <f t="shared" si="79"/>
        <v>2.3100000000000023</v>
      </c>
    </row>
    <row r="1281" spans="2:13" x14ac:dyDescent="0.25">
      <c r="B1281" s="42">
        <f t="shared" si="76"/>
        <v>20</v>
      </c>
      <c r="C1281" s="42">
        <f t="shared" si="77"/>
        <v>11</v>
      </c>
      <c r="D1281" s="42">
        <f t="shared" si="78"/>
        <v>2020</v>
      </c>
      <c r="E1281" s="43">
        <v>44155</v>
      </c>
      <c r="F1281" s="42">
        <v>40.01</v>
      </c>
      <c r="G1281" s="42">
        <v>41.57</v>
      </c>
      <c r="H1281" s="42">
        <v>40.17</v>
      </c>
      <c r="I1281" s="42">
        <v>43.42</v>
      </c>
      <c r="J1281" s="42">
        <v>44.42</v>
      </c>
      <c r="K1281" s="42">
        <v>42.15</v>
      </c>
      <c r="L1281" s="42">
        <v>43.45</v>
      </c>
      <c r="M1281" s="42">
        <f t="shared" si="79"/>
        <v>2.1400000000000006</v>
      </c>
    </row>
    <row r="1282" spans="2:13" x14ac:dyDescent="0.25">
      <c r="B1282" s="42">
        <f t="shared" si="76"/>
        <v>23</v>
      </c>
      <c r="C1282" s="42">
        <f t="shared" si="77"/>
        <v>11</v>
      </c>
      <c r="D1282" s="42">
        <f t="shared" si="78"/>
        <v>2020</v>
      </c>
      <c r="E1282" s="43">
        <v>44158</v>
      </c>
      <c r="F1282" s="42">
        <v>41.07</v>
      </c>
      <c r="G1282" s="42">
        <v>42.45</v>
      </c>
      <c r="H1282" s="42">
        <v>41.05</v>
      </c>
      <c r="I1282" s="42">
        <v>44.3</v>
      </c>
      <c r="J1282" s="42">
        <v>45.9</v>
      </c>
      <c r="K1282" s="42">
        <v>42.88</v>
      </c>
      <c r="L1282" s="42">
        <v>44.23</v>
      </c>
      <c r="M1282" s="42">
        <f t="shared" si="79"/>
        <v>1.8100000000000023</v>
      </c>
    </row>
    <row r="1283" spans="2:13" x14ac:dyDescent="0.25">
      <c r="B1283" s="42">
        <f t="shared" si="76"/>
        <v>24</v>
      </c>
      <c r="C1283" s="42">
        <f t="shared" si="77"/>
        <v>11</v>
      </c>
      <c r="D1283" s="42">
        <f t="shared" si="78"/>
        <v>2020</v>
      </c>
      <c r="E1283" s="43">
        <v>44159</v>
      </c>
      <c r="F1283" s="42">
        <v>42.65</v>
      </c>
      <c r="G1283" s="42">
        <v>44.32</v>
      </c>
      <c r="H1283" s="42">
        <v>42.92</v>
      </c>
      <c r="I1283" s="42">
        <v>46.17</v>
      </c>
      <c r="J1283" s="42">
        <v>47.72</v>
      </c>
      <c r="K1283" s="42">
        <v>44.73</v>
      </c>
      <c r="L1283" s="42">
        <v>46.28</v>
      </c>
      <c r="M1283" s="42">
        <f t="shared" si="79"/>
        <v>2.0799999999999983</v>
      </c>
    </row>
    <row r="1284" spans="2:13" x14ac:dyDescent="0.25">
      <c r="B1284" s="42">
        <f t="shared" si="76"/>
        <v>25</v>
      </c>
      <c r="C1284" s="42">
        <f t="shared" si="77"/>
        <v>11</v>
      </c>
      <c r="D1284" s="42">
        <f t="shared" si="78"/>
        <v>2020</v>
      </c>
      <c r="E1284" s="43">
        <v>44160</v>
      </c>
      <c r="F1284" s="42">
        <v>43.64</v>
      </c>
      <c r="G1284" s="42">
        <v>45.16</v>
      </c>
      <c r="H1284" s="42">
        <v>43.76</v>
      </c>
      <c r="I1284" s="42">
        <v>47.01</v>
      </c>
      <c r="J1284" s="42">
        <v>48.24</v>
      </c>
      <c r="K1284" s="42">
        <v>45.51</v>
      </c>
      <c r="L1284" s="42">
        <v>47.06</v>
      </c>
      <c r="M1284" s="42">
        <f t="shared" si="79"/>
        <v>1.8699999999999974</v>
      </c>
    </row>
    <row r="1285" spans="2:13" x14ac:dyDescent="0.25">
      <c r="B1285" s="42">
        <f t="shared" si="76"/>
        <v>26</v>
      </c>
      <c r="C1285" s="42">
        <f t="shared" si="77"/>
        <v>11</v>
      </c>
      <c r="D1285" s="42">
        <f t="shared" si="78"/>
        <v>2020</v>
      </c>
      <c r="E1285" s="43">
        <v>44161</v>
      </c>
      <c r="F1285" s="42">
        <v>43.64</v>
      </c>
      <c r="G1285" s="42">
        <v>45.16</v>
      </c>
      <c r="H1285" s="42">
        <v>43.76</v>
      </c>
      <c r="I1285" s="42">
        <v>47.01</v>
      </c>
      <c r="J1285" s="42">
        <v>47.82</v>
      </c>
      <c r="K1285" s="42">
        <v>45.51</v>
      </c>
      <c r="L1285" s="42">
        <v>47.06</v>
      </c>
      <c r="M1285" s="42">
        <f t="shared" si="79"/>
        <v>1.8699999999999974</v>
      </c>
    </row>
    <row r="1286" spans="2:13" x14ac:dyDescent="0.25">
      <c r="B1286" s="42">
        <f t="shared" si="76"/>
        <v>27</v>
      </c>
      <c r="C1286" s="42">
        <f t="shared" si="77"/>
        <v>11</v>
      </c>
      <c r="D1286" s="42">
        <f t="shared" si="78"/>
        <v>2020</v>
      </c>
      <c r="E1286" s="43">
        <v>44162</v>
      </c>
      <c r="F1286" s="42">
        <v>43.64</v>
      </c>
      <c r="G1286" s="42">
        <v>45.16</v>
      </c>
      <c r="H1286" s="42">
        <v>43.76</v>
      </c>
      <c r="I1286" s="42">
        <v>47.01</v>
      </c>
      <c r="J1286" s="42">
        <v>48.07</v>
      </c>
      <c r="K1286" s="42">
        <v>45.51</v>
      </c>
      <c r="L1286" s="42">
        <v>47.06</v>
      </c>
      <c r="M1286" s="42">
        <f t="shared" si="79"/>
        <v>1.8699999999999974</v>
      </c>
    </row>
    <row r="1287" spans="2:13" x14ac:dyDescent="0.25">
      <c r="B1287" s="42">
        <f t="shared" ref="B1287:B1350" si="80">DAY(E1287)</f>
        <v>30</v>
      </c>
      <c r="C1287" s="42">
        <f t="shared" ref="C1287:C1350" si="81">MONTH(E1287)</f>
        <v>11</v>
      </c>
      <c r="D1287" s="42">
        <f t="shared" ref="D1287:D1350" si="82">YEAR(E1287)</f>
        <v>2020</v>
      </c>
      <c r="E1287" s="43">
        <v>44165</v>
      </c>
      <c r="F1287" s="42">
        <v>42.95</v>
      </c>
      <c r="G1287" s="42">
        <v>44.69</v>
      </c>
      <c r="H1287" s="42">
        <v>43.29</v>
      </c>
      <c r="I1287" s="42">
        <v>46.54</v>
      </c>
      <c r="J1287" s="42">
        <v>47.2</v>
      </c>
      <c r="K1287" s="42">
        <v>45.34</v>
      </c>
      <c r="L1287" s="42">
        <v>46.89</v>
      </c>
      <c r="M1287" s="42">
        <f t="shared" ref="M1287:M1350" si="83">K1287-F1287</f>
        <v>2.3900000000000006</v>
      </c>
    </row>
    <row r="1288" spans="2:13" x14ac:dyDescent="0.25">
      <c r="B1288" s="42">
        <f t="shared" si="80"/>
        <v>1</v>
      </c>
      <c r="C1288" s="42">
        <f t="shared" si="81"/>
        <v>12</v>
      </c>
      <c r="D1288" s="42">
        <f t="shared" si="82"/>
        <v>2020</v>
      </c>
      <c r="E1288" s="43">
        <v>44166</v>
      </c>
      <c r="F1288" s="42">
        <v>42.92</v>
      </c>
      <c r="G1288" s="42">
        <v>44.21</v>
      </c>
      <c r="H1288" s="42">
        <v>42.81</v>
      </c>
      <c r="I1288" s="42">
        <v>46.16</v>
      </c>
      <c r="J1288" s="42">
        <v>47.53</v>
      </c>
      <c r="K1288" s="42">
        <v>44.55</v>
      </c>
      <c r="L1288" s="42">
        <v>46.2</v>
      </c>
      <c r="M1288" s="42">
        <f t="shared" si="83"/>
        <v>1.6299999999999955</v>
      </c>
    </row>
    <row r="1289" spans="2:13" x14ac:dyDescent="0.25">
      <c r="B1289" s="42">
        <f t="shared" si="80"/>
        <v>2</v>
      </c>
      <c r="C1289" s="42">
        <f t="shared" si="81"/>
        <v>12</v>
      </c>
      <c r="D1289" s="42">
        <f t="shared" si="82"/>
        <v>2020</v>
      </c>
      <c r="E1289" s="43">
        <v>44167</v>
      </c>
      <c r="F1289" s="42">
        <v>43.49</v>
      </c>
      <c r="G1289" s="42">
        <v>44.98</v>
      </c>
      <c r="H1289" s="42">
        <v>43.58</v>
      </c>
      <c r="I1289" s="42">
        <v>46.93</v>
      </c>
      <c r="J1289" s="42">
        <v>48.34</v>
      </c>
      <c r="K1289" s="42">
        <v>45.28</v>
      </c>
      <c r="L1289" s="42">
        <v>47.03</v>
      </c>
      <c r="M1289" s="42">
        <f t="shared" si="83"/>
        <v>1.7899999999999991</v>
      </c>
    </row>
    <row r="1290" spans="2:13" x14ac:dyDescent="0.25">
      <c r="B1290" s="42">
        <f t="shared" si="80"/>
        <v>3</v>
      </c>
      <c r="C1290" s="42">
        <f t="shared" si="81"/>
        <v>12</v>
      </c>
      <c r="D1290" s="42">
        <f t="shared" si="82"/>
        <v>2020</v>
      </c>
      <c r="E1290" s="43">
        <v>44168</v>
      </c>
      <c r="F1290" s="42">
        <v>44.04</v>
      </c>
      <c r="G1290" s="42">
        <v>45.44</v>
      </c>
      <c r="H1290" s="42">
        <v>44.04</v>
      </c>
      <c r="I1290" s="42">
        <v>47.39</v>
      </c>
      <c r="J1290" s="42">
        <v>48.69</v>
      </c>
      <c r="K1290" s="42">
        <v>45.64</v>
      </c>
      <c r="L1290" s="42">
        <v>47.44</v>
      </c>
      <c r="M1290" s="42">
        <f t="shared" si="83"/>
        <v>1.6000000000000014</v>
      </c>
    </row>
    <row r="1291" spans="2:13" x14ac:dyDescent="0.25">
      <c r="B1291" s="42">
        <f t="shared" si="80"/>
        <v>4</v>
      </c>
      <c r="C1291" s="42">
        <f t="shared" si="81"/>
        <v>12</v>
      </c>
      <c r="D1291" s="42">
        <f t="shared" si="82"/>
        <v>2020</v>
      </c>
      <c r="E1291" s="43">
        <v>44169</v>
      </c>
      <c r="F1291" s="42">
        <v>44.7</v>
      </c>
      <c r="G1291" s="42">
        <v>45.97</v>
      </c>
      <c r="H1291" s="42">
        <v>44.57</v>
      </c>
      <c r="I1291" s="42">
        <v>47.92</v>
      </c>
      <c r="J1291" s="42">
        <v>49.28</v>
      </c>
      <c r="K1291" s="42">
        <v>46.26</v>
      </c>
      <c r="L1291" s="42">
        <v>48.21</v>
      </c>
      <c r="M1291" s="42">
        <f t="shared" si="83"/>
        <v>1.5599999999999952</v>
      </c>
    </row>
    <row r="1292" spans="2:13" x14ac:dyDescent="0.25">
      <c r="B1292" s="42">
        <f t="shared" si="80"/>
        <v>7</v>
      </c>
      <c r="C1292" s="42">
        <f t="shared" si="81"/>
        <v>12</v>
      </c>
      <c r="D1292" s="42">
        <f t="shared" si="82"/>
        <v>2020</v>
      </c>
      <c r="E1292" s="43">
        <v>44172</v>
      </c>
      <c r="F1292" s="42">
        <v>44.16</v>
      </c>
      <c r="G1292" s="42">
        <v>45.53</v>
      </c>
      <c r="H1292" s="42">
        <v>44.13</v>
      </c>
      <c r="I1292" s="42">
        <v>47.48</v>
      </c>
      <c r="J1292" s="42">
        <v>49.2</v>
      </c>
      <c r="K1292" s="42">
        <v>45.76</v>
      </c>
      <c r="L1292" s="42">
        <v>47.51</v>
      </c>
      <c r="M1292" s="42">
        <f t="shared" si="83"/>
        <v>1.6000000000000014</v>
      </c>
    </row>
    <row r="1293" spans="2:13" x14ac:dyDescent="0.25">
      <c r="B1293" s="42">
        <f t="shared" si="80"/>
        <v>8</v>
      </c>
      <c r="C1293" s="42">
        <f t="shared" si="81"/>
        <v>12</v>
      </c>
      <c r="D1293" s="42">
        <f t="shared" si="82"/>
        <v>2020</v>
      </c>
      <c r="E1293" s="43">
        <v>44173</v>
      </c>
      <c r="F1293" s="42">
        <v>44.17</v>
      </c>
      <c r="G1293" s="42">
        <v>45.55</v>
      </c>
      <c r="H1293" s="42">
        <v>44.15</v>
      </c>
      <c r="I1293" s="42">
        <v>47.5</v>
      </c>
      <c r="J1293" s="42">
        <v>49.01</v>
      </c>
      <c r="K1293" s="42">
        <v>45.6</v>
      </c>
      <c r="L1293" s="42">
        <v>47.45</v>
      </c>
      <c r="M1293" s="42">
        <f t="shared" si="83"/>
        <v>1.4299999999999997</v>
      </c>
    </row>
    <row r="1294" spans="2:13" x14ac:dyDescent="0.25">
      <c r="B1294" s="42">
        <f t="shared" si="80"/>
        <v>9</v>
      </c>
      <c r="C1294" s="42">
        <f t="shared" si="81"/>
        <v>12</v>
      </c>
      <c r="D1294" s="42">
        <f t="shared" si="82"/>
        <v>2020</v>
      </c>
      <c r="E1294" s="43">
        <v>44174</v>
      </c>
      <c r="F1294" s="42">
        <v>44.3</v>
      </c>
      <c r="G1294" s="42">
        <v>45.54</v>
      </c>
      <c r="H1294" s="42">
        <v>44.14</v>
      </c>
      <c r="I1294" s="42">
        <v>47.49</v>
      </c>
      <c r="J1294" s="42">
        <v>48.77</v>
      </c>
      <c r="K1294" s="42">
        <v>45.52</v>
      </c>
      <c r="L1294" s="42">
        <v>47.42</v>
      </c>
      <c r="M1294" s="42">
        <f t="shared" si="83"/>
        <v>1.220000000000006</v>
      </c>
    </row>
    <row r="1295" spans="2:13" x14ac:dyDescent="0.25">
      <c r="B1295" s="42">
        <f t="shared" si="80"/>
        <v>10</v>
      </c>
      <c r="C1295" s="42">
        <f t="shared" si="81"/>
        <v>12</v>
      </c>
      <c r="D1295" s="42">
        <f t="shared" si="82"/>
        <v>2020</v>
      </c>
      <c r="E1295" s="43">
        <v>44175</v>
      </c>
      <c r="F1295" s="42">
        <v>45.42</v>
      </c>
      <c r="G1295" s="42">
        <v>46.92</v>
      </c>
      <c r="H1295" s="42">
        <v>45.52</v>
      </c>
      <c r="I1295" s="42">
        <v>48.87</v>
      </c>
      <c r="J1295" s="42">
        <v>51.03</v>
      </c>
      <c r="K1295" s="42">
        <v>46.78</v>
      </c>
      <c r="L1295" s="42">
        <v>48.73</v>
      </c>
      <c r="M1295" s="42">
        <f t="shared" si="83"/>
        <v>1.3599999999999994</v>
      </c>
    </row>
    <row r="1296" spans="2:13" x14ac:dyDescent="0.25">
      <c r="B1296" s="42">
        <f t="shared" si="80"/>
        <v>11</v>
      </c>
      <c r="C1296" s="42">
        <f t="shared" si="81"/>
        <v>12</v>
      </c>
      <c r="D1296" s="42">
        <f t="shared" si="82"/>
        <v>2020</v>
      </c>
      <c r="E1296" s="43">
        <v>44176</v>
      </c>
      <c r="F1296" s="42">
        <v>45.5</v>
      </c>
      <c r="G1296" s="42">
        <v>46.73</v>
      </c>
      <c r="H1296" s="42">
        <v>45.33</v>
      </c>
      <c r="I1296" s="42">
        <v>48.68</v>
      </c>
      <c r="J1296" s="42">
        <v>50.21</v>
      </c>
      <c r="K1296" s="42">
        <v>46.57</v>
      </c>
      <c r="L1296" s="42">
        <v>48.72</v>
      </c>
      <c r="M1296" s="42">
        <f t="shared" si="83"/>
        <v>1.0700000000000003</v>
      </c>
    </row>
    <row r="1297" spans="2:13" x14ac:dyDescent="0.25">
      <c r="B1297" s="42">
        <f t="shared" si="80"/>
        <v>14</v>
      </c>
      <c r="C1297" s="42">
        <f t="shared" si="81"/>
        <v>12</v>
      </c>
      <c r="D1297" s="42">
        <f t="shared" si="82"/>
        <v>2020</v>
      </c>
      <c r="E1297" s="43">
        <v>44179</v>
      </c>
      <c r="F1297" s="42">
        <v>45.84</v>
      </c>
      <c r="G1297" s="42">
        <v>47.16</v>
      </c>
      <c r="H1297" s="42">
        <v>45.76</v>
      </c>
      <c r="I1297" s="42">
        <v>49.11</v>
      </c>
      <c r="J1297" s="42">
        <v>49.75</v>
      </c>
      <c r="K1297" s="42">
        <v>46.99</v>
      </c>
      <c r="L1297" s="42">
        <v>49.04</v>
      </c>
      <c r="M1297" s="42">
        <f t="shared" si="83"/>
        <v>1.1499999999999986</v>
      </c>
    </row>
    <row r="1298" spans="2:13" x14ac:dyDescent="0.25">
      <c r="B1298" s="42">
        <f t="shared" si="80"/>
        <v>15</v>
      </c>
      <c r="C1298" s="42">
        <f t="shared" si="81"/>
        <v>12</v>
      </c>
      <c r="D1298" s="42">
        <f t="shared" si="82"/>
        <v>2020</v>
      </c>
      <c r="E1298" s="43">
        <v>44180</v>
      </c>
      <c r="F1298" s="42">
        <v>46.14</v>
      </c>
      <c r="G1298" s="42">
        <v>47.53</v>
      </c>
      <c r="H1298" s="42">
        <v>46.13</v>
      </c>
      <c r="I1298" s="42">
        <v>49.48</v>
      </c>
      <c r="J1298" s="42">
        <v>50.85</v>
      </c>
      <c r="K1298" s="42">
        <v>47.62</v>
      </c>
      <c r="L1298" s="42">
        <v>49.47</v>
      </c>
      <c r="M1298" s="42">
        <f t="shared" si="83"/>
        <v>1.4799999999999969</v>
      </c>
    </row>
    <row r="1299" spans="2:13" x14ac:dyDescent="0.25">
      <c r="B1299" s="42">
        <f t="shared" si="80"/>
        <v>16</v>
      </c>
      <c r="C1299" s="42">
        <f t="shared" si="81"/>
        <v>12</v>
      </c>
      <c r="D1299" s="42">
        <f t="shared" si="82"/>
        <v>2020</v>
      </c>
      <c r="E1299" s="43">
        <v>44181</v>
      </c>
      <c r="F1299" s="42">
        <v>46.47</v>
      </c>
      <c r="G1299" s="42">
        <v>47.82</v>
      </c>
      <c r="H1299" s="42">
        <v>46.42</v>
      </c>
      <c r="I1299" s="42">
        <v>49.77</v>
      </c>
      <c r="J1299" s="42">
        <v>50.88</v>
      </c>
      <c r="K1299" s="42">
        <v>47.82</v>
      </c>
      <c r="L1299" s="42">
        <v>49.67</v>
      </c>
      <c r="M1299" s="42">
        <f t="shared" si="83"/>
        <v>1.3500000000000014</v>
      </c>
    </row>
    <row r="1300" spans="2:13" x14ac:dyDescent="0.25">
      <c r="B1300" s="42">
        <f t="shared" si="80"/>
        <v>17</v>
      </c>
      <c r="C1300" s="42">
        <f t="shared" si="81"/>
        <v>12</v>
      </c>
      <c r="D1300" s="42">
        <f t="shared" si="82"/>
        <v>2020</v>
      </c>
      <c r="E1300" s="43">
        <v>44182</v>
      </c>
      <c r="F1300" s="42">
        <v>46.96</v>
      </c>
      <c r="G1300" s="42">
        <v>48.31</v>
      </c>
      <c r="H1300" s="42">
        <v>46.91</v>
      </c>
      <c r="I1300" s="42">
        <v>50.26</v>
      </c>
      <c r="J1300" s="42">
        <v>51.6</v>
      </c>
      <c r="K1300" s="42">
        <v>48.36</v>
      </c>
      <c r="L1300" s="42">
        <v>50.16</v>
      </c>
      <c r="M1300" s="42">
        <f t="shared" si="83"/>
        <v>1.3999999999999986</v>
      </c>
    </row>
    <row r="1301" spans="2:13" x14ac:dyDescent="0.25">
      <c r="B1301" s="42">
        <f t="shared" si="80"/>
        <v>18</v>
      </c>
      <c r="C1301" s="42">
        <f t="shared" si="81"/>
        <v>12</v>
      </c>
      <c r="D1301" s="42">
        <f t="shared" si="82"/>
        <v>2020</v>
      </c>
      <c r="E1301" s="43">
        <v>44183</v>
      </c>
      <c r="F1301" s="42">
        <v>47.5</v>
      </c>
      <c r="G1301" s="42">
        <v>48.98</v>
      </c>
      <c r="H1301" s="42">
        <v>47.58</v>
      </c>
      <c r="I1301" s="42">
        <v>50.93</v>
      </c>
      <c r="J1301" s="42">
        <v>52.09</v>
      </c>
      <c r="K1301" s="42">
        <v>49.1</v>
      </c>
      <c r="L1301" s="42">
        <v>50.9</v>
      </c>
      <c r="M1301" s="42">
        <f t="shared" si="83"/>
        <v>1.6000000000000014</v>
      </c>
    </row>
    <row r="1302" spans="2:13" x14ac:dyDescent="0.25">
      <c r="B1302" s="42">
        <f t="shared" si="80"/>
        <v>21</v>
      </c>
      <c r="C1302" s="42">
        <f t="shared" si="81"/>
        <v>12</v>
      </c>
      <c r="D1302" s="42">
        <f t="shared" si="82"/>
        <v>2020</v>
      </c>
      <c r="E1302" s="43">
        <v>44186</v>
      </c>
      <c r="F1302" s="42">
        <v>46.25</v>
      </c>
      <c r="G1302" s="42">
        <v>47.57</v>
      </c>
      <c r="H1302" s="42">
        <v>46.17</v>
      </c>
      <c r="I1302" s="42">
        <v>49.52</v>
      </c>
      <c r="J1302" s="42">
        <v>50.25</v>
      </c>
      <c r="K1302" s="42">
        <v>47.74</v>
      </c>
      <c r="L1302" s="42">
        <v>49.54</v>
      </c>
      <c r="M1302" s="42">
        <f t="shared" si="83"/>
        <v>1.490000000000002</v>
      </c>
    </row>
    <row r="1303" spans="2:13" x14ac:dyDescent="0.25">
      <c r="B1303" s="42">
        <f t="shared" si="80"/>
        <v>22</v>
      </c>
      <c r="C1303" s="42">
        <f t="shared" si="81"/>
        <v>12</v>
      </c>
      <c r="D1303" s="42">
        <f t="shared" si="82"/>
        <v>2020</v>
      </c>
      <c r="E1303" s="43">
        <v>44187</v>
      </c>
      <c r="F1303" s="42">
        <v>45.5</v>
      </c>
      <c r="G1303" s="42">
        <v>46.81</v>
      </c>
      <c r="H1303" s="42">
        <v>45.41</v>
      </c>
      <c r="I1303" s="42">
        <v>48.76</v>
      </c>
      <c r="J1303" s="42">
        <v>50.49</v>
      </c>
      <c r="K1303" s="42">
        <v>46.89</v>
      </c>
      <c r="L1303" s="42">
        <v>48.69</v>
      </c>
      <c r="M1303" s="42">
        <f t="shared" si="83"/>
        <v>1.3900000000000006</v>
      </c>
    </row>
    <row r="1304" spans="2:13" x14ac:dyDescent="0.25">
      <c r="B1304" s="42">
        <f t="shared" si="80"/>
        <v>23</v>
      </c>
      <c r="C1304" s="42">
        <f t="shared" si="81"/>
        <v>12</v>
      </c>
      <c r="D1304" s="42">
        <f t="shared" si="82"/>
        <v>2020</v>
      </c>
      <c r="E1304" s="43">
        <v>44188</v>
      </c>
      <c r="F1304" s="42">
        <v>46.46</v>
      </c>
      <c r="G1304" s="42">
        <v>48.02</v>
      </c>
      <c r="H1304" s="42">
        <v>46.62</v>
      </c>
      <c r="I1304" s="42">
        <v>49.97</v>
      </c>
      <c r="J1304" s="42">
        <v>51.36</v>
      </c>
      <c r="K1304" s="42">
        <v>47.99</v>
      </c>
      <c r="L1304" s="42">
        <v>49.84</v>
      </c>
      <c r="M1304" s="42">
        <f t="shared" si="83"/>
        <v>1.5300000000000011</v>
      </c>
    </row>
    <row r="1305" spans="2:13" x14ac:dyDescent="0.25">
      <c r="B1305" s="42">
        <f t="shared" si="80"/>
        <v>24</v>
      </c>
      <c r="C1305" s="42">
        <f t="shared" si="81"/>
        <v>12</v>
      </c>
      <c r="D1305" s="42">
        <f t="shared" si="82"/>
        <v>2020</v>
      </c>
      <c r="E1305" s="43">
        <v>44189</v>
      </c>
      <c r="F1305" s="42">
        <v>46.46</v>
      </c>
      <c r="G1305" s="42">
        <v>48.19</v>
      </c>
      <c r="H1305" s="42">
        <v>46.79</v>
      </c>
      <c r="I1305" s="42">
        <v>50.14</v>
      </c>
      <c r="J1305" s="42">
        <v>50.79</v>
      </c>
      <c r="K1305" s="42">
        <v>48.1</v>
      </c>
      <c r="L1305" s="42">
        <v>49.95</v>
      </c>
      <c r="M1305" s="42">
        <f t="shared" si="83"/>
        <v>1.6400000000000006</v>
      </c>
    </row>
    <row r="1306" spans="2:13" x14ac:dyDescent="0.25">
      <c r="B1306" s="42">
        <f t="shared" si="80"/>
        <v>25</v>
      </c>
      <c r="C1306" s="42">
        <f t="shared" si="81"/>
        <v>12</v>
      </c>
      <c r="D1306" s="42">
        <f t="shared" si="82"/>
        <v>2020</v>
      </c>
      <c r="E1306" s="43">
        <v>44190</v>
      </c>
      <c r="F1306" s="42">
        <v>46.46</v>
      </c>
      <c r="G1306" s="42">
        <v>48.19</v>
      </c>
      <c r="H1306" s="42">
        <v>46.79</v>
      </c>
      <c r="I1306" s="42">
        <v>50.14</v>
      </c>
      <c r="J1306" s="42">
        <v>50.79</v>
      </c>
      <c r="K1306" s="42">
        <v>48.1</v>
      </c>
      <c r="L1306" s="42">
        <v>49.95</v>
      </c>
      <c r="M1306" s="42">
        <f t="shared" si="83"/>
        <v>1.6400000000000006</v>
      </c>
    </row>
    <row r="1307" spans="2:13" x14ac:dyDescent="0.25">
      <c r="B1307" s="42">
        <f t="shared" si="80"/>
        <v>28</v>
      </c>
      <c r="C1307" s="42">
        <f t="shared" si="81"/>
        <v>12</v>
      </c>
      <c r="D1307" s="42">
        <f t="shared" si="82"/>
        <v>2020</v>
      </c>
      <c r="E1307" s="43">
        <v>44193</v>
      </c>
      <c r="F1307" s="42">
        <v>46.34</v>
      </c>
      <c r="G1307" s="42">
        <v>47.65</v>
      </c>
      <c r="H1307" s="42">
        <v>46.25</v>
      </c>
      <c r="I1307" s="42">
        <v>49.6</v>
      </c>
      <c r="J1307" s="42">
        <v>50.79</v>
      </c>
      <c r="K1307" s="42">
        <v>47.62</v>
      </c>
      <c r="L1307" s="42">
        <v>49.52</v>
      </c>
      <c r="M1307" s="42">
        <f t="shared" si="83"/>
        <v>1.279999999999994</v>
      </c>
    </row>
    <row r="1308" spans="2:13" x14ac:dyDescent="0.25">
      <c r="B1308" s="42">
        <f t="shared" si="80"/>
        <v>29</v>
      </c>
      <c r="C1308" s="42">
        <f t="shared" si="81"/>
        <v>12</v>
      </c>
      <c r="D1308" s="42">
        <f t="shared" si="82"/>
        <v>2020</v>
      </c>
      <c r="E1308" s="43">
        <v>44194</v>
      </c>
      <c r="F1308" s="42">
        <v>46.6</v>
      </c>
      <c r="G1308" s="42">
        <v>48</v>
      </c>
      <c r="H1308" s="42">
        <v>46.6</v>
      </c>
      <c r="I1308" s="42">
        <v>49.95</v>
      </c>
      <c r="J1308" s="42">
        <v>51.13</v>
      </c>
      <c r="K1308" s="42">
        <v>48</v>
      </c>
      <c r="L1308" s="42">
        <v>50.05</v>
      </c>
      <c r="M1308" s="42">
        <f t="shared" si="83"/>
        <v>1.3999999999999986</v>
      </c>
    </row>
    <row r="1309" spans="2:13" x14ac:dyDescent="0.25">
      <c r="B1309" s="42">
        <f t="shared" si="80"/>
        <v>30</v>
      </c>
      <c r="C1309" s="42">
        <f t="shared" si="81"/>
        <v>12</v>
      </c>
      <c r="D1309" s="42">
        <f t="shared" si="82"/>
        <v>2020</v>
      </c>
      <c r="E1309" s="43">
        <v>44195</v>
      </c>
      <c r="F1309" s="42">
        <v>46.88</v>
      </c>
      <c r="G1309" s="42">
        <v>48.38</v>
      </c>
      <c r="H1309" s="42">
        <v>46.98</v>
      </c>
      <c r="I1309" s="42">
        <v>50.33</v>
      </c>
      <c r="J1309" s="42">
        <v>51.11</v>
      </c>
      <c r="K1309" s="42">
        <v>48.4</v>
      </c>
      <c r="L1309" s="42">
        <v>50.55</v>
      </c>
      <c r="M1309" s="42">
        <f t="shared" si="83"/>
        <v>1.519999999999996</v>
      </c>
    </row>
    <row r="1310" spans="2:13" x14ac:dyDescent="0.25">
      <c r="B1310" s="42">
        <f t="shared" si="80"/>
        <v>31</v>
      </c>
      <c r="C1310" s="42">
        <f t="shared" si="81"/>
        <v>12</v>
      </c>
      <c r="D1310" s="42">
        <f t="shared" si="82"/>
        <v>2020</v>
      </c>
      <c r="E1310" s="43">
        <v>44196</v>
      </c>
      <c r="F1310" s="42">
        <v>47.16</v>
      </c>
      <c r="G1310" s="42">
        <v>48.59</v>
      </c>
      <c r="H1310" s="42">
        <v>47.19</v>
      </c>
      <c r="I1310" s="42">
        <v>50.54</v>
      </c>
      <c r="J1310" s="42">
        <v>50.83</v>
      </c>
      <c r="K1310" s="42">
        <v>48.52</v>
      </c>
      <c r="L1310" s="42">
        <v>50.67</v>
      </c>
      <c r="M1310" s="42">
        <f t="shared" si="83"/>
        <v>1.3600000000000065</v>
      </c>
    </row>
    <row r="1311" spans="2:13" x14ac:dyDescent="0.25">
      <c r="B1311" s="42">
        <f t="shared" si="80"/>
        <v>1</v>
      </c>
      <c r="C1311" s="42">
        <f t="shared" si="81"/>
        <v>1</v>
      </c>
      <c r="D1311" s="42">
        <f t="shared" si="82"/>
        <v>2021</v>
      </c>
      <c r="E1311" s="43">
        <v>44197</v>
      </c>
      <c r="F1311" s="42">
        <v>47.16</v>
      </c>
      <c r="G1311" s="42">
        <v>48.59</v>
      </c>
      <c r="H1311" s="42">
        <v>47.19</v>
      </c>
      <c r="I1311" s="42">
        <v>50.54</v>
      </c>
      <c r="J1311" s="42">
        <v>50.83</v>
      </c>
      <c r="K1311" s="42">
        <v>48.52</v>
      </c>
      <c r="L1311" s="42">
        <v>50.67</v>
      </c>
      <c r="M1311" s="42">
        <f t="shared" si="83"/>
        <v>1.3600000000000065</v>
      </c>
    </row>
    <row r="1312" spans="2:13" x14ac:dyDescent="0.25">
      <c r="B1312" s="42">
        <f t="shared" si="80"/>
        <v>4</v>
      </c>
      <c r="C1312" s="42">
        <f t="shared" si="81"/>
        <v>1</v>
      </c>
      <c r="D1312" s="42">
        <f t="shared" si="82"/>
        <v>2021</v>
      </c>
      <c r="E1312" s="43">
        <v>44200</v>
      </c>
      <c r="F1312" s="42">
        <v>47.12</v>
      </c>
      <c r="G1312" s="42">
        <v>47.19</v>
      </c>
      <c r="H1312" s="42">
        <v>46.69</v>
      </c>
      <c r="I1312" s="42">
        <v>50.04</v>
      </c>
      <c r="J1312" s="42">
        <v>51.01</v>
      </c>
      <c r="K1312" s="42">
        <v>47.62</v>
      </c>
      <c r="L1312" s="42">
        <v>49.82</v>
      </c>
      <c r="M1312" s="42">
        <f t="shared" si="83"/>
        <v>0.5</v>
      </c>
    </row>
    <row r="1313" spans="2:13" x14ac:dyDescent="0.25">
      <c r="B1313" s="42">
        <f t="shared" si="80"/>
        <v>5</v>
      </c>
      <c r="C1313" s="42">
        <f t="shared" si="81"/>
        <v>1</v>
      </c>
      <c r="D1313" s="42">
        <f t="shared" si="82"/>
        <v>2021</v>
      </c>
      <c r="E1313" s="43">
        <v>44201</v>
      </c>
      <c r="F1313" s="42">
        <v>48.81</v>
      </c>
      <c r="G1313" s="42">
        <v>49.57</v>
      </c>
      <c r="H1313" s="42">
        <v>49.07</v>
      </c>
      <c r="I1313" s="42">
        <v>52.42</v>
      </c>
      <c r="J1313" s="42">
        <v>53.01</v>
      </c>
      <c r="K1313" s="42">
        <v>49.93</v>
      </c>
      <c r="L1313" s="42">
        <v>52.13</v>
      </c>
      <c r="M1313" s="42">
        <f t="shared" si="83"/>
        <v>1.1199999999999974</v>
      </c>
    </row>
    <row r="1314" spans="2:13" x14ac:dyDescent="0.25">
      <c r="B1314" s="42">
        <f t="shared" si="80"/>
        <v>6</v>
      </c>
      <c r="C1314" s="42">
        <f t="shared" si="81"/>
        <v>1</v>
      </c>
      <c r="D1314" s="42">
        <f t="shared" si="82"/>
        <v>2021</v>
      </c>
      <c r="E1314" s="43">
        <v>44202</v>
      </c>
      <c r="F1314" s="42">
        <v>49.96</v>
      </c>
      <c r="G1314" s="42">
        <v>50.5</v>
      </c>
      <c r="H1314" s="42">
        <v>50</v>
      </c>
      <c r="I1314" s="42">
        <v>53.35</v>
      </c>
      <c r="J1314" s="42">
        <v>54.74</v>
      </c>
      <c r="K1314" s="42">
        <v>50.63</v>
      </c>
      <c r="L1314" s="42">
        <v>52.98</v>
      </c>
      <c r="M1314" s="42">
        <f t="shared" si="83"/>
        <v>0.67000000000000171</v>
      </c>
    </row>
    <row r="1315" spans="2:13" x14ac:dyDescent="0.25">
      <c r="B1315" s="42">
        <f t="shared" si="80"/>
        <v>7</v>
      </c>
      <c r="C1315" s="42">
        <f t="shared" si="81"/>
        <v>1</v>
      </c>
      <c r="D1315" s="42">
        <f t="shared" si="82"/>
        <v>2021</v>
      </c>
      <c r="E1315" s="43">
        <v>44203</v>
      </c>
      <c r="F1315" s="42">
        <v>50.23</v>
      </c>
      <c r="G1315" s="42">
        <v>50.62</v>
      </c>
      <c r="H1315" s="42">
        <v>50.12</v>
      </c>
      <c r="I1315" s="42">
        <v>53.47</v>
      </c>
      <c r="J1315" s="42">
        <v>54.79</v>
      </c>
      <c r="K1315" s="42">
        <v>50.83</v>
      </c>
      <c r="L1315" s="42">
        <v>53.13</v>
      </c>
      <c r="M1315" s="42">
        <f t="shared" si="83"/>
        <v>0.60000000000000142</v>
      </c>
    </row>
    <row r="1316" spans="2:13" x14ac:dyDescent="0.25">
      <c r="B1316" s="42">
        <f t="shared" si="80"/>
        <v>8</v>
      </c>
      <c r="C1316" s="42">
        <f t="shared" si="81"/>
        <v>1</v>
      </c>
      <c r="D1316" s="42">
        <f t="shared" si="82"/>
        <v>2021</v>
      </c>
      <c r="E1316" s="43">
        <v>44204</v>
      </c>
      <c r="F1316" s="42">
        <v>51.52</v>
      </c>
      <c r="G1316" s="42">
        <v>52.14</v>
      </c>
      <c r="H1316" s="42">
        <v>51.64</v>
      </c>
      <c r="I1316" s="42">
        <v>54.99</v>
      </c>
      <c r="J1316" s="42">
        <v>55.65</v>
      </c>
      <c r="K1316" s="42">
        <v>52.24</v>
      </c>
      <c r="L1316" s="42">
        <v>54.54</v>
      </c>
      <c r="M1316" s="42">
        <f t="shared" si="83"/>
        <v>0.71999999999999886</v>
      </c>
    </row>
    <row r="1317" spans="2:13" x14ac:dyDescent="0.25">
      <c r="B1317" s="42">
        <f t="shared" si="80"/>
        <v>11</v>
      </c>
      <c r="C1317" s="42">
        <f t="shared" si="81"/>
        <v>1</v>
      </c>
      <c r="D1317" s="42">
        <f t="shared" si="82"/>
        <v>2021</v>
      </c>
      <c r="E1317" s="43">
        <v>44207</v>
      </c>
      <c r="F1317" s="42">
        <v>51.41</v>
      </c>
      <c r="G1317" s="42">
        <v>51.9</v>
      </c>
      <c r="H1317" s="42">
        <v>51.4</v>
      </c>
      <c r="I1317" s="42">
        <v>54.75</v>
      </c>
      <c r="J1317" s="42">
        <v>55.72</v>
      </c>
      <c r="K1317" s="42">
        <v>52.25</v>
      </c>
      <c r="L1317" s="42">
        <v>54.35</v>
      </c>
      <c r="M1317" s="42">
        <f t="shared" si="83"/>
        <v>0.84000000000000341</v>
      </c>
    </row>
    <row r="1318" spans="2:13" x14ac:dyDescent="0.25">
      <c r="B1318" s="42">
        <f t="shared" si="80"/>
        <v>12</v>
      </c>
      <c r="C1318" s="42">
        <f t="shared" si="81"/>
        <v>1</v>
      </c>
      <c r="D1318" s="42">
        <f t="shared" si="82"/>
        <v>2021</v>
      </c>
      <c r="E1318" s="43">
        <v>44208</v>
      </c>
      <c r="F1318" s="42">
        <v>52.25</v>
      </c>
      <c r="G1318" s="42">
        <v>52.81</v>
      </c>
      <c r="H1318" s="42">
        <v>52.31</v>
      </c>
      <c r="I1318" s="42">
        <v>55.66</v>
      </c>
      <c r="J1318" s="42">
        <v>56.72</v>
      </c>
      <c r="K1318" s="42">
        <v>53.21</v>
      </c>
      <c r="L1318" s="42">
        <v>55.51</v>
      </c>
      <c r="M1318" s="42">
        <f t="shared" si="83"/>
        <v>0.96000000000000085</v>
      </c>
    </row>
    <row r="1319" spans="2:13" x14ac:dyDescent="0.25">
      <c r="B1319" s="42">
        <f t="shared" si="80"/>
        <v>13</v>
      </c>
      <c r="C1319" s="42">
        <f t="shared" si="81"/>
        <v>1</v>
      </c>
      <c r="D1319" s="42">
        <f t="shared" si="82"/>
        <v>2021</v>
      </c>
      <c r="E1319" s="43">
        <v>44209</v>
      </c>
      <c r="F1319" s="42">
        <v>51.91</v>
      </c>
      <c r="G1319" s="42">
        <v>52.34</v>
      </c>
      <c r="H1319" s="42">
        <v>51.84</v>
      </c>
      <c r="I1319" s="42">
        <v>55.19</v>
      </c>
      <c r="J1319" s="42">
        <v>56.35</v>
      </c>
      <c r="K1319" s="42">
        <v>52.91</v>
      </c>
      <c r="L1319" s="42">
        <v>55.16</v>
      </c>
      <c r="M1319" s="42">
        <f t="shared" si="83"/>
        <v>1</v>
      </c>
    </row>
    <row r="1320" spans="2:13" x14ac:dyDescent="0.25">
      <c r="B1320" s="42">
        <f t="shared" si="80"/>
        <v>14</v>
      </c>
      <c r="C1320" s="42">
        <f t="shared" si="81"/>
        <v>1</v>
      </c>
      <c r="D1320" s="42">
        <f t="shared" si="82"/>
        <v>2021</v>
      </c>
      <c r="E1320" s="43">
        <v>44210</v>
      </c>
      <c r="F1320" s="42">
        <v>52.15</v>
      </c>
      <c r="G1320" s="42">
        <v>52.7</v>
      </c>
      <c r="H1320" s="42">
        <v>52.2</v>
      </c>
      <c r="I1320" s="42">
        <v>55.55</v>
      </c>
      <c r="J1320" s="42">
        <v>55.76</v>
      </c>
      <c r="K1320" s="42">
        <v>53.57</v>
      </c>
      <c r="L1320" s="42">
        <v>55.52</v>
      </c>
      <c r="M1320" s="42">
        <f t="shared" si="83"/>
        <v>1.4200000000000017</v>
      </c>
    </row>
    <row r="1321" spans="2:13" x14ac:dyDescent="0.25">
      <c r="B1321" s="42">
        <f t="shared" si="80"/>
        <v>15</v>
      </c>
      <c r="C1321" s="42">
        <f t="shared" si="81"/>
        <v>1</v>
      </c>
      <c r="D1321" s="42">
        <f t="shared" si="82"/>
        <v>2021</v>
      </c>
      <c r="E1321" s="43">
        <v>44211</v>
      </c>
      <c r="F1321" s="42">
        <v>51.05</v>
      </c>
      <c r="G1321" s="42">
        <v>51.45</v>
      </c>
      <c r="H1321" s="42">
        <v>50.95</v>
      </c>
      <c r="I1321" s="42">
        <v>54.3</v>
      </c>
      <c r="J1321" s="42">
        <v>54.98</v>
      </c>
      <c r="K1321" s="42">
        <v>52.36</v>
      </c>
      <c r="L1321" s="42">
        <v>54.31</v>
      </c>
      <c r="M1321" s="42">
        <f t="shared" si="83"/>
        <v>1.3100000000000023</v>
      </c>
    </row>
    <row r="1322" spans="2:13" x14ac:dyDescent="0.25">
      <c r="B1322" s="42">
        <f t="shared" si="80"/>
        <v>18</v>
      </c>
      <c r="C1322" s="42">
        <f t="shared" si="81"/>
        <v>1</v>
      </c>
      <c r="D1322" s="42">
        <f t="shared" si="82"/>
        <v>2021</v>
      </c>
      <c r="E1322" s="43">
        <v>44214</v>
      </c>
      <c r="F1322" s="42">
        <v>51.05</v>
      </c>
      <c r="G1322" s="42">
        <v>51.45</v>
      </c>
      <c r="H1322" s="42">
        <v>50.95</v>
      </c>
      <c r="I1322" s="42">
        <v>54.3</v>
      </c>
      <c r="J1322" s="42">
        <v>55.15</v>
      </c>
      <c r="K1322" s="42">
        <v>52.36</v>
      </c>
      <c r="L1322" s="42">
        <v>54.31</v>
      </c>
      <c r="M1322" s="42">
        <f t="shared" si="83"/>
        <v>1.3100000000000023</v>
      </c>
    </row>
    <row r="1323" spans="2:13" x14ac:dyDescent="0.25">
      <c r="B1323" s="42">
        <f t="shared" si="80"/>
        <v>19</v>
      </c>
      <c r="C1323" s="42">
        <f t="shared" si="81"/>
        <v>1</v>
      </c>
      <c r="D1323" s="42">
        <f t="shared" si="82"/>
        <v>2021</v>
      </c>
      <c r="E1323" s="43">
        <v>44215</v>
      </c>
      <c r="F1323" s="42">
        <v>51.67</v>
      </c>
      <c r="G1323" s="42">
        <v>52.23</v>
      </c>
      <c r="H1323" s="42">
        <v>51.73</v>
      </c>
      <c r="I1323" s="42">
        <v>55.08</v>
      </c>
      <c r="J1323" s="42">
        <v>56.05</v>
      </c>
      <c r="K1323" s="42">
        <v>52.98</v>
      </c>
      <c r="L1323" s="42">
        <v>55.08</v>
      </c>
      <c r="M1323" s="42">
        <f t="shared" si="83"/>
        <v>1.3099999999999952</v>
      </c>
    </row>
    <row r="1324" spans="2:13" x14ac:dyDescent="0.25">
      <c r="B1324" s="42">
        <f t="shared" si="80"/>
        <v>20</v>
      </c>
      <c r="C1324" s="42">
        <f t="shared" si="81"/>
        <v>1</v>
      </c>
      <c r="D1324" s="42">
        <f t="shared" si="82"/>
        <v>2021</v>
      </c>
      <c r="E1324" s="43">
        <v>44216</v>
      </c>
      <c r="F1324" s="42">
        <v>51.97</v>
      </c>
      <c r="G1324" s="42">
        <v>52.33</v>
      </c>
      <c r="H1324" s="42">
        <v>51.83</v>
      </c>
      <c r="I1324" s="42">
        <v>55.18</v>
      </c>
      <c r="J1324" s="42">
        <v>56.55</v>
      </c>
      <c r="K1324" s="42">
        <v>53.24</v>
      </c>
      <c r="L1324" s="42">
        <v>55.24</v>
      </c>
      <c r="M1324" s="42">
        <f t="shared" si="83"/>
        <v>1.2700000000000031</v>
      </c>
    </row>
    <row r="1325" spans="2:13" x14ac:dyDescent="0.25">
      <c r="B1325" s="42">
        <f t="shared" si="80"/>
        <v>21</v>
      </c>
      <c r="C1325" s="42">
        <f t="shared" si="81"/>
        <v>1</v>
      </c>
      <c r="D1325" s="42">
        <f t="shared" si="82"/>
        <v>2021</v>
      </c>
      <c r="E1325" s="43">
        <v>44217</v>
      </c>
      <c r="F1325" s="42">
        <v>51.73</v>
      </c>
      <c r="G1325" s="42">
        <v>52.14</v>
      </c>
      <c r="H1325" s="42">
        <v>51.64</v>
      </c>
      <c r="I1325" s="42">
        <v>54.99</v>
      </c>
      <c r="J1325" s="42">
        <v>56.11</v>
      </c>
      <c r="K1325" s="42">
        <v>53.09</v>
      </c>
      <c r="L1325" s="42">
        <v>55.04</v>
      </c>
      <c r="M1325" s="42">
        <f t="shared" si="83"/>
        <v>1.3600000000000065</v>
      </c>
    </row>
    <row r="1326" spans="2:13" x14ac:dyDescent="0.25">
      <c r="B1326" s="42">
        <f t="shared" si="80"/>
        <v>22</v>
      </c>
      <c r="C1326" s="42">
        <f t="shared" si="81"/>
        <v>1</v>
      </c>
      <c r="D1326" s="42">
        <f t="shared" si="82"/>
        <v>2021</v>
      </c>
      <c r="E1326" s="43">
        <v>44218</v>
      </c>
      <c r="F1326" s="42">
        <v>51.11</v>
      </c>
      <c r="G1326" s="42">
        <v>51.34</v>
      </c>
      <c r="H1326" s="42">
        <v>50.84</v>
      </c>
      <c r="I1326" s="42">
        <v>54.19</v>
      </c>
      <c r="J1326" s="42">
        <v>55.43</v>
      </c>
      <c r="K1326" s="42">
        <v>52.23</v>
      </c>
      <c r="L1326" s="42">
        <v>54.18</v>
      </c>
      <c r="M1326" s="42">
        <f t="shared" si="83"/>
        <v>1.1199999999999974</v>
      </c>
    </row>
    <row r="1327" spans="2:13" x14ac:dyDescent="0.25">
      <c r="B1327" s="42">
        <f t="shared" si="80"/>
        <v>25</v>
      </c>
      <c r="C1327" s="42">
        <f t="shared" si="81"/>
        <v>1</v>
      </c>
      <c r="D1327" s="42">
        <f t="shared" si="82"/>
        <v>2021</v>
      </c>
      <c r="E1327" s="43">
        <v>44221</v>
      </c>
      <c r="F1327" s="42">
        <v>51.61</v>
      </c>
      <c r="G1327" s="42">
        <v>52.08</v>
      </c>
      <c r="H1327" s="42">
        <v>51.58</v>
      </c>
      <c r="I1327" s="42">
        <v>54.93</v>
      </c>
      <c r="J1327" s="42">
        <v>55.39</v>
      </c>
      <c r="K1327" s="42">
        <v>52.76</v>
      </c>
      <c r="L1327" s="42">
        <v>54.66</v>
      </c>
      <c r="M1327" s="42">
        <f t="shared" si="83"/>
        <v>1.1499999999999986</v>
      </c>
    </row>
    <row r="1328" spans="2:13" x14ac:dyDescent="0.25">
      <c r="B1328" s="42">
        <f t="shared" si="80"/>
        <v>26</v>
      </c>
      <c r="C1328" s="42">
        <f t="shared" si="81"/>
        <v>1</v>
      </c>
      <c r="D1328" s="42">
        <f t="shared" si="82"/>
        <v>2021</v>
      </c>
      <c r="E1328" s="43">
        <v>44222</v>
      </c>
      <c r="F1328" s="42">
        <v>51.58</v>
      </c>
      <c r="G1328" s="42">
        <v>52.02</v>
      </c>
      <c r="H1328" s="42">
        <v>51.52</v>
      </c>
      <c r="I1328" s="42">
        <v>54.87</v>
      </c>
      <c r="J1328" s="42">
        <v>55.9</v>
      </c>
      <c r="K1328" s="42">
        <v>52.61</v>
      </c>
      <c r="L1328" s="42">
        <v>54.71</v>
      </c>
      <c r="M1328" s="42">
        <f t="shared" si="83"/>
        <v>1.0300000000000011</v>
      </c>
    </row>
    <row r="1329" spans="2:13" x14ac:dyDescent="0.25">
      <c r="B1329" s="42">
        <f t="shared" si="80"/>
        <v>27</v>
      </c>
      <c r="C1329" s="42">
        <f t="shared" si="81"/>
        <v>1</v>
      </c>
      <c r="D1329" s="42">
        <f t="shared" si="82"/>
        <v>2021</v>
      </c>
      <c r="E1329" s="43">
        <v>44223</v>
      </c>
      <c r="F1329" s="42">
        <v>51.66</v>
      </c>
      <c r="G1329" s="42">
        <v>52.14</v>
      </c>
      <c r="H1329" s="42">
        <v>51.64</v>
      </c>
      <c r="I1329" s="42">
        <v>54.99</v>
      </c>
      <c r="J1329" s="42">
        <v>56.26</v>
      </c>
      <c r="K1329" s="42">
        <v>52.85</v>
      </c>
      <c r="L1329" s="42">
        <v>54.95</v>
      </c>
      <c r="M1329" s="42">
        <f t="shared" si="83"/>
        <v>1.1900000000000048</v>
      </c>
    </row>
    <row r="1330" spans="2:13" x14ac:dyDescent="0.25">
      <c r="B1330" s="42">
        <f t="shared" si="80"/>
        <v>28</v>
      </c>
      <c r="C1330" s="42">
        <f t="shared" si="81"/>
        <v>1</v>
      </c>
      <c r="D1330" s="42">
        <f t="shared" si="82"/>
        <v>2021</v>
      </c>
      <c r="E1330" s="43">
        <v>44224</v>
      </c>
      <c r="F1330" s="42">
        <v>51.13</v>
      </c>
      <c r="G1330" s="42">
        <v>51.58</v>
      </c>
      <c r="H1330" s="42">
        <v>51.08</v>
      </c>
      <c r="I1330" s="42">
        <v>54.43</v>
      </c>
      <c r="J1330" s="42">
        <v>55.75</v>
      </c>
      <c r="K1330" s="42">
        <v>52.34</v>
      </c>
      <c r="L1330" s="42">
        <v>54.34</v>
      </c>
      <c r="M1330" s="42">
        <f t="shared" si="83"/>
        <v>1.2100000000000009</v>
      </c>
    </row>
    <row r="1331" spans="2:13" x14ac:dyDescent="0.25">
      <c r="B1331" s="42">
        <f t="shared" si="80"/>
        <v>29</v>
      </c>
      <c r="C1331" s="42">
        <f t="shared" si="81"/>
        <v>1</v>
      </c>
      <c r="D1331" s="42">
        <f t="shared" si="82"/>
        <v>2021</v>
      </c>
      <c r="E1331" s="43">
        <v>44225</v>
      </c>
      <c r="F1331" s="42">
        <v>51.18</v>
      </c>
      <c r="G1331" s="42">
        <v>51.55</v>
      </c>
      <c r="H1331" s="42">
        <v>51.05</v>
      </c>
      <c r="I1331" s="42">
        <v>54.4</v>
      </c>
      <c r="J1331" s="42">
        <v>55.87</v>
      </c>
      <c r="K1331" s="42">
        <v>52.2</v>
      </c>
      <c r="L1331" s="42">
        <v>54.15</v>
      </c>
      <c r="M1331" s="42">
        <f t="shared" si="83"/>
        <v>1.0200000000000031</v>
      </c>
    </row>
    <row r="1332" spans="2:13" x14ac:dyDescent="0.25">
      <c r="B1332" s="42">
        <f t="shared" si="80"/>
        <v>1</v>
      </c>
      <c r="C1332" s="42">
        <f t="shared" si="81"/>
        <v>2</v>
      </c>
      <c r="D1332" s="42">
        <f t="shared" si="82"/>
        <v>2021</v>
      </c>
      <c r="E1332" s="43">
        <v>44228</v>
      </c>
      <c r="F1332" s="42">
        <v>51.18</v>
      </c>
      <c r="G1332" s="42">
        <v>52.31</v>
      </c>
      <c r="H1332" s="42">
        <v>51.96</v>
      </c>
      <c r="I1332" s="42">
        <v>55.26</v>
      </c>
      <c r="J1332" s="42">
        <v>55.96</v>
      </c>
      <c r="K1332" s="42">
        <v>53.55</v>
      </c>
      <c r="L1332" s="42">
        <v>55.5</v>
      </c>
      <c r="M1332" s="42">
        <f t="shared" si="83"/>
        <v>2.3699999999999974</v>
      </c>
    </row>
    <row r="1333" spans="2:13" x14ac:dyDescent="0.25">
      <c r="B1333" s="42">
        <f t="shared" si="80"/>
        <v>2</v>
      </c>
      <c r="C1333" s="42">
        <f t="shared" si="81"/>
        <v>2</v>
      </c>
      <c r="D1333" s="42">
        <f t="shared" si="82"/>
        <v>2021</v>
      </c>
      <c r="E1333" s="43">
        <v>44229</v>
      </c>
      <c r="F1333" s="42">
        <v>53.05</v>
      </c>
      <c r="G1333" s="42">
        <v>53.45</v>
      </c>
      <c r="H1333" s="42">
        <v>53.1</v>
      </c>
      <c r="I1333" s="42">
        <v>56.4</v>
      </c>
      <c r="J1333" s="42">
        <v>57.82</v>
      </c>
      <c r="K1333" s="42">
        <v>54.76</v>
      </c>
      <c r="L1333" s="42">
        <v>56.71</v>
      </c>
      <c r="M1333" s="42">
        <f t="shared" si="83"/>
        <v>1.7100000000000009</v>
      </c>
    </row>
    <row r="1334" spans="2:13" x14ac:dyDescent="0.25">
      <c r="B1334" s="42">
        <f t="shared" si="80"/>
        <v>3</v>
      </c>
      <c r="C1334" s="42">
        <f t="shared" si="81"/>
        <v>2</v>
      </c>
      <c r="D1334" s="42">
        <f t="shared" si="82"/>
        <v>2021</v>
      </c>
      <c r="E1334" s="43">
        <v>44230</v>
      </c>
      <c r="F1334" s="42">
        <v>54.04</v>
      </c>
      <c r="G1334" s="42">
        <v>54.44</v>
      </c>
      <c r="H1334" s="42">
        <v>54.09</v>
      </c>
      <c r="I1334" s="42">
        <v>57.39</v>
      </c>
      <c r="J1334" s="42">
        <v>58.73</v>
      </c>
      <c r="K1334" s="42">
        <v>55.69</v>
      </c>
      <c r="L1334" s="42">
        <v>57.64</v>
      </c>
      <c r="M1334" s="42">
        <f t="shared" si="83"/>
        <v>1.6499999999999986</v>
      </c>
    </row>
    <row r="1335" spans="2:13" x14ac:dyDescent="0.25">
      <c r="B1335" s="42">
        <f t="shared" si="80"/>
        <v>4</v>
      </c>
      <c r="C1335" s="42">
        <f t="shared" si="81"/>
        <v>2</v>
      </c>
      <c r="D1335" s="42">
        <f t="shared" si="82"/>
        <v>2021</v>
      </c>
      <c r="E1335" s="43">
        <v>44231</v>
      </c>
      <c r="F1335" s="42">
        <v>54.57</v>
      </c>
      <c r="G1335" s="42">
        <v>55.02</v>
      </c>
      <c r="H1335" s="42">
        <v>54.67</v>
      </c>
      <c r="I1335" s="42">
        <v>57.97</v>
      </c>
      <c r="J1335" s="42">
        <v>58.64</v>
      </c>
      <c r="K1335" s="42">
        <v>56.23</v>
      </c>
      <c r="L1335" s="42">
        <v>58.03</v>
      </c>
      <c r="M1335" s="42">
        <f t="shared" si="83"/>
        <v>1.6599999999999966</v>
      </c>
    </row>
    <row r="1336" spans="2:13" x14ac:dyDescent="0.25">
      <c r="B1336" s="42">
        <f t="shared" si="80"/>
        <v>5</v>
      </c>
      <c r="C1336" s="42">
        <f t="shared" si="81"/>
        <v>2</v>
      </c>
      <c r="D1336" s="42">
        <f t="shared" si="82"/>
        <v>2021</v>
      </c>
      <c r="E1336" s="43">
        <v>44232</v>
      </c>
      <c r="F1336" s="42">
        <v>55.17</v>
      </c>
      <c r="G1336" s="42">
        <v>55.6</v>
      </c>
      <c r="H1336" s="42">
        <v>55.25</v>
      </c>
      <c r="I1336" s="42">
        <v>58.55</v>
      </c>
      <c r="J1336" s="42">
        <v>59.77</v>
      </c>
      <c r="K1336" s="42">
        <v>56.85</v>
      </c>
      <c r="L1336" s="42">
        <v>58.65</v>
      </c>
      <c r="M1336" s="42">
        <f t="shared" si="83"/>
        <v>1.6799999999999997</v>
      </c>
    </row>
    <row r="1337" spans="2:13" x14ac:dyDescent="0.25">
      <c r="B1337" s="42">
        <f t="shared" si="80"/>
        <v>8</v>
      </c>
      <c r="C1337" s="42">
        <f t="shared" si="81"/>
        <v>2</v>
      </c>
      <c r="D1337" s="42">
        <f t="shared" si="82"/>
        <v>2021</v>
      </c>
      <c r="E1337" s="43">
        <v>44235</v>
      </c>
      <c r="F1337" s="42">
        <v>56.31</v>
      </c>
      <c r="G1337" s="42">
        <v>56.75</v>
      </c>
      <c r="H1337" s="42">
        <v>56.4</v>
      </c>
      <c r="I1337" s="42">
        <v>59.7</v>
      </c>
      <c r="J1337" s="42">
        <v>60.37</v>
      </c>
      <c r="K1337" s="42">
        <v>57.97</v>
      </c>
      <c r="L1337" s="42">
        <v>59.77</v>
      </c>
      <c r="M1337" s="42">
        <f t="shared" si="83"/>
        <v>1.6599999999999966</v>
      </c>
    </row>
    <row r="1338" spans="2:13" x14ac:dyDescent="0.25">
      <c r="B1338" s="42">
        <f t="shared" si="80"/>
        <v>9</v>
      </c>
      <c r="C1338" s="42">
        <f t="shared" si="81"/>
        <v>2</v>
      </c>
      <c r="D1338" s="42">
        <f t="shared" si="82"/>
        <v>2021</v>
      </c>
      <c r="E1338" s="43">
        <v>44236</v>
      </c>
      <c r="F1338" s="42">
        <v>56.84</v>
      </c>
      <c r="G1338" s="42">
        <v>57.26</v>
      </c>
      <c r="H1338" s="42">
        <v>56.91</v>
      </c>
      <c r="I1338" s="42">
        <v>60.21</v>
      </c>
      <c r="J1338" s="42">
        <v>60.97</v>
      </c>
      <c r="K1338" s="42">
        <v>58.36</v>
      </c>
      <c r="L1338" s="42">
        <v>60.21</v>
      </c>
      <c r="M1338" s="42">
        <f t="shared" si="83"/>
        <v>1.519999999999996</v>
      </c>
    </row>
    <row r="1339" spans="2:13" x14ac:dyDescent="0.25">
      <c r="B1339" s="42">
        <f t="shared" si="80"/>
        <v>10</v>
      </c>
      <c r="C1339" s="42">
        <f t="shared" si="81"/>
        <v>2</v>
      </c>
      <c r="D1339" s="42">
        <f t="shared" si="82"/>
        <v>2021</v>
      </c>
      <c r="E1339" s="43">
        <v>44237</v>
      </c>
      <c r="F1339" s="42">
        <v>57.13</v>
      </c>
      <c r="G1339" s="42">
        <v>57.66</v>
      </c>
      <c r="H1339" s="42">
        <v>57.31</v>
      </c>
      <c r="I1339" s="42">
        <v>60.61</v>
      </c>
      <c r="J1339" s="42">
        <v>61.65</v>
      </c>
      <c r="K1339" s="42">
        <v>58.68</v>
      </c>
      <c r="L1339" s="42">
        <v>60.53</v>
      </c>
      <c r="M1339" s="42">
        <f t="shared" si="83"/>
        <v>1.5499999999999972</v>
      </c>
    </row>
    <row r="1340" spans="2:13" x14ac:dyDescent="0.25">
      <c r="B1340" s="42">
        <f t="shared" si="80"/>
        <v>11</v>
      </c>
      <c r="C1340" s="42">
        <f t="shared" si="81"/>
        <v>2</v>
      </c>
      <c r="D1340" s="42">
        <f t="shared" si="82"/>
        <v>2021</v>
      </c>
      <c r="E1340" s="43">
        <v>44238</v>
      </c>
      <c r="F1340" s="42">
        <v>56.8</v>
      </c>
      <c r="G1340" s="42">
        <v>57.23</v>
      </c>
      <c r="H1340" s="42">
        <v>56.88</v>
      </c>
      <c r="I1340" s="42">
        <v>60.18</v>
      </c>
      <c r="J1340" s="42">
        <v>61.52</v>
      </c>
      <c r="K1340" s="42">
        <v>58.24</v>
      </c>
      <c r="L1340" s="42">
        <v>60.09</v>
      </c>
      <c r="M1340" s="42">
        <f t="shared" si="83"/>
        <v>1.4400000000000048</v>
      </c>
    </row>
    <row r="1341" spans="2:13" x14ac:dyDescent="0.25">
      <c r="B1341" s="42">
        <f t="shared" si="80"/>
        <v>12</v>
      </c>
      <c r="C1341" s="42">
        <f t="shared" si="81"/>
        <v>2</v>
      </c>
      <c r="D1341" s="42">
        <f t="shared" si="82"/>
        <v>2021</v>
      </c>
      <c r="E1341" s="43">
        <v>44239</v>
      </c>
      <c r="F1341" s="42">
        <v>57.89</v>
      </c>
      <c r="G1341" s="42">
        <v>58.48</v>
      </c>
      <c r="H1341" s="42">
        <v>58.13</v>
      </c>
      <c r="I1341" s="42">
        <v>61.43</v>
      </c>
      <c r="J1341" s="42">
        <v>62.03</v>
      </c>
      <c r="K1341" s="42">
        <v>59.47</v>
      </c>
      <c r="L1341" s="42">
        <v>61.32</v>
      </c>
      <c r="M1341" s="42">
        <f t="shared" si="83"/>
        <v>1.5799999999999983</v>
      </c>
    </row>
    <row r="1342" spans="2:13" x14ac:dyDescent="0.25">
      <c r="B1342" s="42">
        <f t="shared" si="80"/>
        <v>15</v>
      </c>
      <c r="C1342" s="42">
        <f t="shared" si="81"/>
        <v>2</v>
      </c>
      <c r="D1342" s="42">
        <f t="shared" si="82"/>
        <v>2021</v>
      </c>
      <c r="E1342" s="43">
        <v>44242</v>
      </c>
      <c r="F1342" s="42">
        <v>57.89</v>
      </c>
      <c r="G1342" s="42">
        <v>58.48</v>
      </c>
      <c r="H1342" s="42">
        <v>58.13</v>
      </c>
      <c r="I1342" s="42">
        <v>61.43</v>
      </c>
      <c r="J1342" s="42">
        <v>63.67</v>
      </c>
      <c r="K1342" s="42">
        <v>59.47</v>
      </c>
      <c r="L1342" s="42">
        <v>61.32</v>
      </c>
      <c r="M1342" s="42">
        <f t="shared" si="83"/>
        <v>1.5799999999999983</v>
      </c>
    </row>
    <row r="1343" spans="2:13" x14ac:dyDescent="0.25">
      <c r="B1343" s="42">
        <f t="shared" si="80"/>
        <v>16</v>
      </c>
      <c r="C1343" s="42">
        <f t="shared" si="81"/>
        <v>2</v>
      </c>
      <c r="D1343" s="42">
        <f t="shared" si="82"/>
        <v>2021</v>
      </c>
      <c r="E1343" s="43">
        <v>44243</v>
      </c>
      <c r="F1343" s="42">
        <v>58.8</v>
      </c>
      <c r="G1343" s="42">
        <v>59.15</v>
      </c>
      <c r="H1343" s="42">
        <v>58.8</v>
      </c>
      <c r="I1343" s="42">
        <v>62.1</v>
      </c>
      <c r="J1343" s="42">
        <v>63.24</v>
      </c>
      <c r="K1343" s="42">
        <v>60.05</v>
      </c>
      <c r="L1343" s="42">
        <v>61.9</v>
      </c>
      <c r="M1343" s="42">
        <f t="shared" si="83"/>
        <v>1.25</v>
      </c>
    </row>
    <row r="1344" spans="2:13" x14ac:dyDescent="0.25">
      <c r="B1344" s="42">
        <f t="shared" si="80"/>
        <v>17</v>
      </c>
      <c r="C1344" s="42">
        <f t="shared" si="81"/>
        <v>2</v>
      </c>
      <c r="D1344" s="42">
        <f t="shared" si="82"/>
        <v>2021</v>
      </c>
      <c r="E1344" s="43">
        <v>44244</v>
      </c>
      <c r="F1344" s="42">
        <v>59.8</v>
      </c>
      <c r="G1344" s="42">
        <v>60.24</v>
      </c>
      <c r="H1344" s="42">
        <v>59.89</v>
      </c>
      <c r="I1344" s="42">
        <v>63.19</v>
      </c>
      <c r="J1344" s="42">
        <v>63.9</v>
      </c>
      <c r="K1344" s="42">
        <v>61.14</v>
      </c>
      <c r="L1344" s="42">
        <v>63.34</v>
      </c>
      <c r="M1344" s="42">
        <f t="shared" si="83"/>
        <v>1.3400000000000034</v>
      </c>
    </row>
    <row r="1345" spans="2:13" x14ac:dyDescent="0.25">
      <c r="B1345" s="42">
        <f t="shared" si="80"/>
        <v>18</v>
      </c>
      <c r="C1345" s="42">
        <f t="shared" si="81"/>
        <v>2</v>
      </c>
      <c r="D1345" s="42">
        <f t="shared" si="82"/>
        <v>2021</v>
      </c>
      <c r="E1345" s="43">
        <v>44245</v>
      </c>
      <c r="F1345" s="42">
        <v>59.4</v>
      </c>
      <c r="G1345" s="42">
        <v>59.62</v>
      </c>
      <c r="H1345" s="42">
        <v>59.27</v>
      </c>
      <c r="I1345" s="42">
        <v>62.57</v>
      </c>
      <c r="J1345" s="42">
        <v>64.58</v>
      </c>
      <c r="K1345" s="42">
        <v>60.52</v>
      </c>
      <c r="L1345" s="42">
        <v>62.77</v>
      </c>
      <c r="M1345" s="42">
        <f t="shared" si="83"/>
        <v>1.1200000000000045</v>
      </c>
    </row>
    <row r="1346" spans="2:13" x14ac:dyDescent="0.25">
      <c r="B1346" s="42">
        <f t="shared" si="80"/>
        <v>19</v>
      </c>
      <c r="C1346" s="42">
        <f t="shared" si="81"/>
        <v>2</v>
      </c>
      <c r="D1346" s="42">
        <f t="shared" si="82"/>
        <v>2021</v>
      </c>
      <c r="E1346" s="43">
        <v>44246</v>
      </c>
      <c r="F1346" s="42">
        <v>60.1</v>
      </c>
      <c r="G1346" s="42">
        <v>58.43</v>
      </c>
      <c r="H1346" s="42">
        <v>58.08</v>
      </c>
      <c r="I1346" s="42">
        <v>61.38</v>
      </c>
      <c r="J1346" s="42">
        <v>63.64</v>
      </c>
      <c r="K1346" s="42">
        <v>59.24</v>
      </c>
      <c r="L1346" s="42">
        <v>61.49</v>
      </c>
      <c r="M1346" s="42">
        <f t="shared" si="83"/>
        <v>-0.85999999999999943</v>
      </c>
    </row>
    <row r="1347" spans="2:13" x14ac:dyDescent="0.25">
      <c r="B1347" s="42">
        <f t="shared" si="80"/>
        <v>22</v>
      </c>
      <c r="C1347" s="42">
        <f t="shared" si="81"/>
        <v>2</v>
      </c>
      <c r="D1347" s="42">
        <f t="shared" si="82"/>
        <v>2021</v>
      </c>
      <c r="E1347" s="43">
        <v>44249</v>
      </c>
      <c r="F1347" s="42">
        <v>60.1</v>
      </c>
      <c r="G1347" s="42">
        <v>60.81</v>
      </c>
      <c r="H1347" s="42">
        <v>60.46</v>
      </c>
      <c r="I1347" s="42">
        <v>63.76</v>
      </c>
      <c r="J1347" s="42">
        <v>64.709999999999994</v>
      </c>
      <c r="K1347" s="42">
        <v>61.49</v>
      </c>
      <c r="L1347" s="42">
        <v>64.14</v>
      </c>
      <c r="M1347" s="42">
        <f t="shared" si="83"/>
        <v>1.3900000000000006</v>
      </c>
    </row>
    <row r="1348" spans="2:13" x14ac:dyDescent="0.25">
      <c r="B1348" s="42">
        <f t="shared" si="80"/>
        <v>23</v>
      </c>
      <c r="C1348" s="42">
        <f t="shared" si="81"/>
        <v>2</v>
      </c>
      <c r="D1348" s="42">
        <f t="shared" si="82"/>
        <v>2021</v>
      </c>
      <c r="E1348" s="43">
        <v>44250</v>
      </c>
      <c r="F1348" s="42">
        <v>60.53</v>
      </c>
      <c r="G1348" s="42">
        <v>60.91</v>
      </c>
      <c r="H1348" s="42">
        <v>60.56</v>
      </c>
      <c r="I1348" s="42">
        <v>63.86</v>
      </c>
      <c r="J1348" s="42">
        <v>65.47</v>
      </c>
      <c r="K1348" s="42">
        <v>61.62</v>
      </c>
      <c r="L1348" s="42">
        <v>64.47</v>
      </c>
      <c r="M1348" s="42">
        <f t="shared" si="83"/>
        <v>1.0899999999999963</v>
      </c>
    </row>
    <row r="1349" spans="2:13" x14ac:dyDescent="0.25">
      <c r="B1349" s="42">
        <f t="shared" si="80"/>
        <v>24</v>
      </c>
      <c r="C1349" s="42">
        <f t="shared" si="81"/>
        <v>2</v>
      </c>
      <c r="D1349" s="42">
        <f t="shared" si="82"/>
        <v>2021</v>
      </c>
      <c r="E1349" s="43">
        <v>44251</v>
      </c>
      <c r="F1349" s="42">
        <v>61.85</v>
      </c>
      <c r="G1349" s="42">
        <v>62.58</v>
      </c>
      <c r="H1349" s="42">
        <v>62.23</v>
      </c>
      <c r="I1349" s="42">
        <v>65.53</v>
      </c>
      <c r="J1349" s="42">
        <v>66.989999999999995</v>
      </c>
      <c r="K1349" s="42">
        <v>63.19</v>
      </c>
      <c r="L1349" s="42">
        <v>66.040000000000006</v>
      </c>
      <c r="M1349" s="42">
        <f t="shared" si="83"/>
        <v>1.3399999999999963</v>
      </c>
    </row>
    <row r="1350" spans="2:13" x14ac:dyDescent="0.25">
      <c r="B1350" s="42">
        <f t="shared" si="80"/>
        <v>25</v>
      </c>
      <c r="C1350" s="42">
        <f t="shared" si="81"/>
        <v>2</v>
      </c>
      <c r="D1350" s="42">
        <f t="shared" si="82"/>
        <v>2021</v>
      </c>
      <c r="E1350" s="43">
        <v>44252</v>
      </c>
      <c r="F1350" s="42">
        <v>62.23</v>
      </c>
      <c r="G1350" s="42">
        <v>62.73</v>
      </c>
      <c r="H1350" s="42">
        <v>62.38</v>
      </c>
      <c r="I1350" s="42">
        <v>65.680000000000007</v>
      </c>
      <c r="J1350" s="42">
        <v>67.38</v>
      </c>
      <c r="K1350" s="42">
        <v>63.56</v>
      </c>
      <c r="L1350" s="42">
        <v>66.010000000000005</v>
      </c>
      <c r="M1350" s="42">
        <f t="shared" si="83"/>
        <v>1.3300000000000054</v>
      </c>
    </row>
    <row r="1351" spans="2:13" x14ac:dyDescent="0.25">
      <c r="B1351" s="42">
        <f t="shared" ref="B1351:B1414" si="84">DAY(E1351)</f>
        <v>26</v>
      </c>
      <c r="C1351" s="42">
        <f t="shared" ref="C1351:C1414" si="85">MONTH(E1351)</f>
        <v>2</v>
      </c>
      <c r="D1351" s="42">
        <f t="shared" ref="D1351:D1414" si="86">YEAR(E1351)</f>
        <v>2021</v>
      </c>
      <c r="E1351" s="43">
        <v>44253</v>
      </c>
      <c r="F1351" s="42">
        <v>60.89</v>
      </c>
      <c r="G1351" s="42">
        <v>61.1</v>
      </c>
      <c r="H1351" s="42">
        <v>60.75</v>
      </c>
      <c r="I1351" s="42">
        <v>64.05</v>
      </c>
      <c r="J1351" s="42">
        <v>66.06</v>
      </c>
      <c r="K1351" s="42">
        <v>61.5</v>
      </c>
      <c r="L1351" s="42">
        <v>63.65</v>
      </c>
      <c r="M1351" s="42">
        <f t="shared" ref="M1351:M1414" si="87">K1351-F1351</f>
        <v>0.60999999999999943</v>
      </c>
    </row>
    <row r="1352" spans="2:13" x14ac:dyDescent="0.25">
      <c r="B1352" s="42">
        <f t="shared" si="84"/>
        <v>1</v>
      </c>
      <c r="C1352" s="42">
        <f t="shared" si="85"/>
        <v>3</v>
      </c>
      <c r="D1352" s="42">
        <f t="shared" si="86"/>
        <v>2021</v>
      </c>
      <c r="E1352" s="43">
        <v>44256</v>
      </c>
      <c r="F1352" s="42">
        <v>59.23</v>
      </c>
      <c r="G1352" s="42">
        <v>59.7</v>
      </c>
      <c r="H1352" s="42">
        <v>58.8</v>
      </c>
      <c r="I1352" s="42">
        <v>61.35</v>
      </c>
      <c r="J1352" s="42">
        <v>65.09</v>
      </c>
      <c r="K1352" s="42">
        <v>60.64</v>
      </c>
      <c r="L1352" s="42">
        <v>62.79</v>
      </c>
      <c r="M1352" s="42">
        <f t="shared" si="87"/>
        <v>1.4100000000000037</v>
      </c>
    </row>
    <row r="1353" spans="2:13" x14ac:dyDescent="0.25">
      <c r="B1353" s="42">
        <f t="shared" si="84"/>
        <v>2</v>
      </c>
      <c r="C1353" s="42">
        <f t="shared" si="85"/>
        <v>3</v>
      </c>
      <c r="D1353" s="42">
        <f t="shared" si="86"/>
        <v>2021</v>
      </c>
      <c r="E1353" s="43">
        <v>44257</v>
      </c>
      <c r="F1353" s="42">
        <v>57.97</v>
      </c>
      <c r="G1353" s="42">
        <v>58.68</v>
      </c>
      <c r="H1353" s="42">
        <v>57.78</v>
      </c>
      <c r="I1353" s="42">
        <v>60.33</v>
      </c>
      <c r="J1353" s="42">
        <v>63.72</v>
      </c>
      <c r="K1353" s="42">
        <v>59.75</v>
      </c>
      <c r="L1353" s="42">
        <v>62.1</v>
      </c>
      <c r="M1353" s="42">
        <f t="shared" si="87"/>
        <v>1.7800000000000011</v>
      </c>
    </row>
    <row r="1354" spans="2:13" x14ac:dyDescent="0.25">
      <c r="B1354" s="42">
        <f t="shared" si="84"/>
        <v>3</v>
      </c>
      <c r="C1354" s="42">
        <f t="shared" si="85"/>
        <v>3</v>
      </c>
      <c r="D1354" s="42">
        <f t="shared" si="86"/>
        <v>2021</v>
      </c>
      <c r="E1354" s="43">
        <v>44258</v>
      </c>
      <c r="F1354" s="42">
        <v>59.24</v>
      </c>
      <c r="G1354" s="42">
        <v>60.18</v>
      </c>
      <c r="H1354" s="42">
        <v>59.28</v>
      </c>
      <c r="I1354" s="42">
        <v>61.83</v>
      </c>
      <c r="J1354" s="42">
        <v>64.290000000000006</v>
      </c>
      <c r="K1354" s="42">
        <v>61.28</v>
      </c>
      <c r="L1354" s="42">
        <v>63.63</v>
      </c>
      <c r="M1354" s="42">
        <f t="shared" si="87"/>
        <v>2.0399999999999991</v>
      </c>
    </row>
    <row r="1355" spans="2:13" x14ac:dyDescent="0.25">
      <c r="B1355" s="42">
        <f t="shared" si="84"/>
        <v>4</v>
      </c>
      <c r="C1355" s="42">
        <f t="shared" si="85"/>
        <v>3</v>
      </c>
      <c r="D1355" s="42">
        <f t="shared" si="86"/>
        <v>2021</v>
      </c>
      <c r="E1355" s="43">
        <v>44259</v>
      </c>
      <c r="F1355" s="42">
        <v>61.74</v>
      </c>
      <c r="G1355" s="42">
        <v>62.78</v>
      </c>
      <c r="H1355" s="42">
        <v>61.88</v>
      </c>
      <c r="I1355" s="42">
        <v>64.430000000000007</v>
      </c>
      <c r="J1355" s="42">
        <v>67.23</v>
      </c>
      <c r="K1355" s="42">
        <v>63.83</v>
      </c>
      <c r="L1355" s="42">
        <v>66.180000000000007</v>
      </c>
      <c r="M1355" s="42">
        <f t="shared" si="87"/>
        <v>2.0899999999999963</v>
      </c>
    </row>
    <row r="1356" spans="2:13" x14ac:dyDescent="0.25">
      <c r="B1356" s="42">
        <f t="shared" si="84"/>
        <v>5</v>
      </c>
      <c r="C1356" s="42">
        <f t="shared" si="85"/>
        <v>3</v>
      </c>
      <c r="D1356" s="42">
        <f t="shared" si="86"/>
        <v>2021</v>
      </c>
      <c r="E1356" s="43">
        <v>44260</v>
      </c>
      <c r="F1356" s="42">
        <v>64.400000000000006</v>
      </c>
      <c r="G1356" s="42">
        <v>65.23</v>
      </c>
      <c r="H1356" s="42">
        <v>64.33</v>
      </c>
      <c r="I1356" s="42">
        <v>66.88</v>
      </c>
      <c r="J1356" s="42">
        <v>68.849999999999994</v>
      </c>
      <c r="K1356" s="42">
        <v>66.09</v>
      </c>
      <c r="L1356" s="42">
        <v>68.239999999999995</v>
      </c>
      <c r="M1356" s="42">
        <f t="shared" si="87"/>
        <v>1.6899999999999977</v>
      </c>
    </row>
    <row r="1357" spans="2:13" x14ac:dyDescent="0.25">
      <c r="B1357" s="42">
        <f t="shared" si="84"/>
        <v>8</v>
      </c>
      <c r="C1357" s="42">
        <f t="shared" si="85"/>
        <v>3</v>
      </c>
      <c r="D1357" s="42">
        <f t="shared" si="86"/>
        <v>2021</v>
      </c>
      <c r="E1357" s="43">
        <v>44263</v>
      </c>
      <c r="F1357" s="42">
        <v>63.67</v>
      </c>
      <c r="G1357" s="42">
        <v>64.19</v>
      </c>
      <c r="H1357" s="42">
        <v>63.29</v>
      </c>
      <c r="I1357" s="42">
        <v>65.84</v>
      </c>
      <c r="J1357" s="42">
        <v>69.08</v>
      </c>
      <c r="K1357" s="42">
        <v>65.05</v>
      </c>
      <c r="L1357" s="42">
        <v>67.2</v>
      </c>
      <c r="M1357" s="42">
        <f t="shared" si="87"/>
        <v>1.3799999999999955</v>
      </c>
    </row>
    <row r="1358" spans="2:13" x14ac:dyDescent="0.25">
      <c r="B1358" s="42">
        <f t="shared" si="84"/>
        <v>9</v>
      </c>
      <c r="C1358" s="42">
        <f t="shared" si="85"/>
        <v>3</v>
      </c>
      <c r="D1358" s="42">
        <f t="shared" si="86"/>
        <v>2021</v>
      </c>
      <c r="E1358" s="43">
        <v>44264</v>
      </c>
      <c r="F1358" s="42">
        <v>62.66</v>
      </c>
      <c r="G1358" s="42">
        <v>63.2</v>
      </c>
      <c r="H1358" s="42">
        <v>62.3</v>
      </c>
      <c r="I1358" s="42">
        <v>64.849999999999994</v>
      </c>
      <c r="J1358" s="42">
        <v>67.8</v>
      </c>
      <c r="K1358" s="42">
        <v>64.010000000000005</v>
      </c>
      <c r="L1358" s="42">
        <v>66.209999999999994</v>
      </c>
      <c r="M1358" s="42">
        <f t="shared" si="87"/>
        <v>1.3500000000000085</v>
      </c>
    </row>
    <row r="1359" spans="2:13" x14ac:dyDescent="0.25">
      <c r="B1359" s="42">
        <f t="shared" si="84"/>
        <v>10</v>
      </c>
      <c r="C1359" s="42">
        <f t="shared" si="85"/>
        <v>3</v>
      </c>
      <c r="D1359" s="42">
        <f t="shared" si="86"/>
        <v>2021</v>
      </c>
      <c r="E1359" s="43">
        <v>44265</v>
      </c>
      <c r="F1359" s="42">
        <v>62.83</v>
      </c>
      <c r="G1359" s="42">
        <v>63.61</v>
      </c>
      <c r="H1359" s="42">
        <v>62.71</v>
      </c>
      <c r="I1359" s="42">
        <v>65.260000000000005</v>
      </c>
      <c r="J1359" s="42">
        <v>67.31</v>
      </c>
      <c r="K1359" s="42">
        <v>64.44</v>
      </c>
      <c r="L1359" s="42">
        <v>66.64</v>
      </c>
      <c r="M1359" s="42">
        <f t="shared" si="87"/>
        <v>1.6099999999999994</v>
      </c>
    </row>
    <row r="1360" spans="2:13" x14ac:dyDescent="0.25">
      <c r="B1360" s="42">
        <f t="shared" si="84"/>
        <v>11</v>
      </c>
      <c r="C1360" s="42">
        <f t="shared" si="85"/>
        <v>3</v>
      </c>
      <c r="D1360" s="42">
        <f t="shared" si="86"/>
        <v>2021</v>
      </c>
      <c r="E1360" s="43">
        <v>44266</v>
      </c>
      <c r="F1360" s="42">
        <v>64.48</v>
      </c>
      <c r="G1360" s="42">
        <v>65.180000000000007</v>
      </c>
      <c r="H1360" s="42">
        <v>64.28</v>
      </c>
      <c r="I1360" s="42">
        <v>66.83</v>
      </c>
      <c r="J1360" s="42">
        <v>69.58</v>
      </c>
      <c r="K1360" s="42">
        <v>66.02</v>
      </c>
      <c r="L1360" s="42">
        <v>68.22</v>
      </c>
      <c r="M1360" s="42">
        <f t="shared" si="87"/>
        <v>1.539999999999992</v>
      </c>
    </row>
    <row r="1361" spans="2:13" x14ac:dyDescent="0.25">
      <c r="B1361" s="42">
        <f t="shared" si="84"/>
        <v>12</v>
      </c>
      <c r="C1361" s="42">
        <f t="shared" si="85"/>
        <v>3</v>
      </c>
      <c r="D1361" s="42">
        <f t="shared" si="86"/>
        <v>2021</v>
      </c>
      <c r="E1361" s="43">
        <v>44267</v>
      </c>
      <c r="F1361" s="42">
        <v>64.27</v>
      </c>
      <c r="G1361" s="42">
        <v>64.77</v>
      </c>
      <c r="H1361" s="42">
        <v>63.87</v>
      </c>
      <c r="I1361" s="42">
        <v>66.42</v>
      </c>
      <c r="J1361" s="42">
        <v>69.760000000000005</v>
      </c>
      <c r="K1361" s="42">
        <v>65.61</v>
      </c>
      <c r="L1361" s="42">
        <v>67.959999999999994</v>
      </c>
      <c r="M1361" s="42">
        <f t="shared" si="87"/>
        <v>1.3400000000000034</v>
      </c>
    </row>
    <row r="1362" spans="2:13" x14ac:dyDescent="0.25">
      <c r="B1362" s="42">
        <f t="shared" si="84"/>
        <v>15</v>
      </c>
      <c r="C1362" s="42">
        <f t="shared" si="85"/>
        <v>3</v>
      </c>
      <c r="D1362" s="42">
        <f t="shared" si="86"/>
        <v>2021</v>
      </c>
      <c r="E1362" s="43">
        <v>44270</v>
      </c>
      <c r="F1362" s="42">
        <v>64.27</v>
      </c>
      <c r="G1362" s="42">
        <v>64.44</v>
      </c>
      <c r="H1362" s="42">
        <v>63.54</v>
      </c>
      <c r="I1362" s="42">
        <v>66.09</v>
      </c>
      <c r="J1362" s="42">
        <v>68.81</v>
      </c>
      <c r="K1362" s="42">
        <v>65.39</v>
      </c>
      <c r="L1362" s="42">
        <v>67.739999999999995</v>
      </c>
      <c r="M1362" s="42">
        <f t="shared" si="87"/>
        <v>1.1200000000000045</v>
      </c>
    </row>
    <row r="1363" spans="2:13" x14ac:dyDescent="0.25">
      <c r="B1363" s="42">
        <f t="shared" si="84"/>
        <v>16</v>
      </c>
      <c r="C1363" s="42">
        <f t="shared" si="85"/>
        <v>3</v>
      </c>
      <c r="D1363" s="42">
        <f t="shared" si="86"/>
        <v>2021</v>
      </c>
      <c r="E1363" s="43">
        <v>44271</v>
      </c>
      <c r="F1363" s="42">
        <v>63.29</v>
      </c>
      <c r="G1363" s="42">
        <v>63.79</v>
      </c>
      <c r="H1363" s="42">
        <v>62.89</v>
      </c>
      <c r="I1363" s="42">
        <v>65.44</v>
      </c>
      <c r="J1363" s="42">
        <v>68.23</v>
      </c>
      <c r="K1363" s="42">
        <v>64.8</v>
      </c>
      <c r="L1363" s="42">
        <v>67.05</v>
      </c>
      <c r="M1363" s="42">
        <f t="shared" si="87"/>
        <v>1.509999999999998</v>
      </c>
    </row>
    <row r="1364" spans="2:13" x14ac:dyDescent="0.25">
      <c r="B1364" s="42">
        <f t="shared" si="84"/>
        <v>17</v>
      </c>
      <c r="C1364" s="42">
        <f t="shared" si="85"/>
        <v>3</v>
      </c>
      <c r="D1364" s="42">
        <f t="shared" si="86"/>
        <v>2021</v>
      </c>
      <c r="E1364" s="43">
        <v>44272</v>
      </c>
      <c r="F1364" s="42">
        <v>63.03</v>
      </c>
      <c r="G1364" s="42">
        <v>63.52</v>
      </c>
      <c r="H1364" s="42">
        <v>62.62</v>
      </c>
      <c r="I1364" s="42">
        <v>65.17</v>
      </c>
      <c r="J1364" s="42">
        <v>67.78</v>
      </c>
      <c r="K1364" s="42">
        <v>64.599999999999994</v>
      </c>
      <c r="L1364" s="42">
        <v>66.8</v>
      </c>
      <c r="M1364" s="42">
        <f t="shared" si="87"/>
        <v>1.5699999999999932</v>
      </c>
    </row>
    <row r="1365" spans="2:13" x14ac:dyDescent="0.25">
      <c r="B1365" s="42">
        <f t="shared" si="84"/>
        <v>18</v>
      </c>
      <c r="C1365" s="42">
        <f t="shared" si="85"/>
        <v>3</v>
      </c>
      <c r="D1365" s="42">
        <f t="shared" si="86"/>
        <v>2021</v>
      </c>
      <c r="E1365" s="43">
        <v>44273</v>
      </c>
      <c r="F1365" s="42">
        <v>58.81</v>
      </c>
      <c r="G1365" s="42">
        <v>58.88</v>
      </c>
      <c r="H1365" s="42">
        <v>57.98</v>
      </c>
      <c r="I1365" s="42">
        <v>60.53</v>
      </c>
      <c r="J1365" s="42">
        <v>65.3</v>
      </c>
      <c r="K1365" s="42">
        <v>60</v>
      </c>
      <c r="L1365" s="42">
        <v>62.05</v>
      </c>
      <c r="M1365" s="42">
        <f t="shared" si="87"/>
        <v>1.1899999999999977</v>
      </c>
    </row>
    <row r="1366" spans="2:13" x14ac:dyDescent="0.25">
      <c r="B1366" s="42">
        <f t="shared" si="84"/>
        <v>19</v>
      </c>
      <c r="C1366" s="42">
        <f t="shared" si="85"/>
        <v>3</v>
      </c>
      <c r="D1366" s="42">
        <f t="shared" si="86"/>
        <v>2021</v>
      </c>
      <c r="E1366" s="43">
        <v>44274</v>
      </c>
      <c r="F1366" s="42">
        <v>59.55</v>
      </c>
      <c r="G1366" s="42">
        <v>60.24</v>
      </c>
      <c r="H1366" s="42">
        <v>59.34</v>
      </c>
      <c r="I1366" s="42">
        <v>61.89</v>
      </c>
      <c r="J1366" s="42">
        <v>64.23</v>
      </c>
      <c r="K1366" s="42">
        <v>61.42</v>
      </c>
      <c r="L1366" s="42">
        <v>63.47</v>
      </c>
      <c r="M1366" s="42">
        <f t="shared" si="87"/>
        <v>1.8700000000000045</v>
      </c>
    </row>
    <row r="1367" spans="2:13" x14ac:dyDescent="0.25">
      <c r="B1367" s="42">
        <f t="shared" si="84"/>
        <v>22</v>
      </c>
      <c r="C1367" s="42">
        <f t="shared" si="85"/>
        <v>3</v>
      </c>
      <c r="D1367" s="42">
        <f t="shared" si="86"/>
        <v>2021</v>
      </c>
      <c r="E1367" s="43">
        <v>44277</v>
      </c>
      <c r="F1367" s="42">
        <v>59.7</v>
      </c>
      <c r="G1367" s="42">
        <v>60.29</v>
      </c>
      <c r="H1367" s="42">
        <v>59.39</v>
      </c>
      <c r="I1367" s="42">
        <v>61.94</v>
      </c>
      <c r="J1367" s="42">
        <v>64.52</v>
      </c>
      <c r="K1367" s="42">
        <v>61.55</v>
      </c>
      <c r="L1367" s="42">
        <v>63.6</v>
      </c>
      <c r="M1367" s="42">
        <f t="shared" si="87"/>
        <v>1.8499999999999943</v>
      </c>
    </row>
    <row r="1368" spans="2:13" x14ac:dyDescent="0.25">
      <c r="B1368" s="42">
        <f t="shared" si="84"/>
        <v>23</v>
      </c>
      <c r="C1368" s="42">
        <f t="shared" si="85"/>
        <v>3</v>
      </c>
      <c r="D1368" s="42">
        <f t="shared" si="86"/>
        <v>2021</v>
      </c>
      <c r="E1368" s="43">
        <v>44278</v>
      </c>
      <c r="F1368" s="42">
        <v>56.23</v>
      </c>
      <c r="G1368" s="42">
        <v>56.2</v>
      </c>
      <c r="H1368" s="42">
        <v>55.3</v>
      </c>
      <c r="I1368" s="42">
        <v>57.85</v>
      </c>
      <c r="J1368" s="42">
        <v>62.38</v>
      </c>
      <c r="K1368" s="42">
        <v>57.71</v>
      </c>
      <c r="L1368" s="42">
        <v>59.76</v>
      </c>
      <c r="M1368" s="42">
        <f t="shared" si="87"/>
        <v>1.480000000000004</v>
      </c>
    </row>
    <row r="1369" spans="2:13" x14ac:dyDescent="0.25">
      <c r="B1369" s="42">
        <f t="shared" si="84"/>
        <v>24</v>
      </c>
      <c r="C1369" s="42">
        <f t="shared" si="85"/>
        <v>3</v>
      </c>
      <c r="D1369" s="42">
        <f t="shared" si="86"/>
        <v>2021</v>
      </c>
      <c r="E1369" s="43">
        <v>44279</v>
      </c>
      <c r="F1369" s="42">
        <v>59.09</v>
      </c>
      <c r="G1369" s="42">
        <v>59.82</v>
      </c>
      <c r="H1369" s="42">
        <v>58.92</v>
      </c>
      <c r="I1369" s="42">
        <v>61.47</v>
      </c>
      <c r="J1369" s="42">
        <v>64.22</v>
      </c>
      <c r="K1369" s="42">
        <v>61.13</v>
      </c>
      <c r="L1369" s="42">
        <v>63.23</v>
      </c>
      <c r="M1369" s="42">
        <f t="shared" si="87"/>
        <v>2.0399999999999991</v>
      </c>
    </row>
    <row r="1370" spans="2:13" x14ac:dyDescent="0.25">
      <c r="B1370" s="42">
        <f t="shared" si="84"/>
        <v>25</v>
      </c>
      <c r="C1370" s="42">
        <f t="shared" si="85"/>
        <v>3</v>
      </c>
      <c r="D1370" s="42">
        <f t="shared" si="86"/>
        <v>2021</v>
      </c>
      <c r="E1370" s="43">
        <v>44280</v>
      </c>
      <c r="F1370" s="42">
        <v>57.13</v>
      </c>
      <c r="G1370" s="42">
        <v>57.25</v>
      </c>
      <c r="H1370" s="42">
        <v>56.35</v>
      </c>
      <c r="I1370" s="42">
        <v>58.9</v>
      </c>
      <c r="J1370" s="42">
        <v>61.95</v>
      </c>
      <c r="K1370" s="42">
        <v>58.51</v>
      </c>
      <c r="L1370" s="42">
        <v>60.61</v>
      </c>
      <c r="M1370" s="42">
        <f t="shared" si="87"/>
        <v>1.3799999999999955</v>
      </c>
    </row>
    <row r="1371" spans="2:13" x14ac:dyDescent="0.25">
      <c r="B1371" s="42">
        <f t="shared" si="84"/>
        <v>26</v>
      </c>
      <c r="C1371" s="42">
        <f t="shared" si="85"/>
        <v>3</v>
      </c>
      <c r="D1371" s="42">
        <f t="shared" si="86"/>
        <v>2021</v>
      </c>
      <c r="E1371" s="43">
        <v>44281</v>
      </c>
      <c r="F1371" s="42">
        <v>59.35</v>
      </c>
      <c r="G1371" s="42">
        <v>59.93</v>
      </c>
      <c r="H1371" s="42">
        <v>59.03</v>
      </c>
      <c r="I1371" s="42">
        <v>61.58</v>
      </c>
      <c r="J1371" s="42">
        <v>64.53</v>
      </c>
      <c r="K1371" s="42">
        <v>60.97</v>
      </c>
      <c r="L1371" s="42">
        <v>62.92</v>
      </c>
      <c r="M1371" s="42">
        <f t="shared" si="87"/>
        <v>1.6199999999999974</v>
      </c>
    </row>
    <row r="1372" spans="2:13" x14ac:dyDescent="0.25">
      <c r="B1372" s="42">
        <f t="shared" si="84"/>
        <v>29</v>
      </c>
      <c r="C1372" s="42">
        <f t="shared" si="85"/>
        <v>3</v>
      </c>
      <c r="D1372" s="42">
        <f t="shared" si="86"/>
        <v>2021</v>
      </c>
      <c r="E1372" s="43">
        <v>44284</v>
      </c>
      <c r="F1372" s="42">
        <v>59.98</v>
      </c>
      <c r="G1372" s="42">
        <v>60.55</v>
      </c>
      <c r="H1372" s="42">
        <v>59.65</v>
      </c>
      <c r="I1372" s="42">
        <v>62.2</v>
      </c>
      <c r="J1372" s="42">
        <v>64.25</v>
      </c>
      <c r="K1372" s="42">
        <v>61.56</v>
      </c>
      <c r="L1372" s="42">
        <v>63.61</v>
      </c>
      <c r="M1372" s="42">
        <f t="shared" si="87"/>
        <v>1.5800000000000054</v>
      </c>
    </row>
    <row r="1373" spans="2:13" x14ac:dyDescent="0.25">
      <c r="B1373" s="42">
        <f t="shared" si="84"/>
        <v>30</v>
      </c>
      <c r="C1373" s="42">
        <f t="shared" si="85"/>
        <v>3</v>
      </c>
      <c r="D1373" s="42">
        <f t="shared" si="86"/>
        <v>2021</v>
      </c>
      <c r="E1373" s="43">
        <v>44285</v>
      </c>
      <c r="F1373" s="42">
        <v>59.25</v>
      </c>
      <c r="G1373" s="42">
        <v>59.57</v>
      </c>
      <c r="H1373" s="42">
        <v>58.67</v>
      </c>
      <c r="I1373" s="42">
        <v>61.22</v>
      </c>
      <c r="J1373" s="42">
        <v>64.34</v>
      </c>
      <c r="K1373" s="42">
        <v>60.55</v>
      </c>
      <c r="L1373" s="42">
        <v>62.6</v>
      </c>
      <c r="M1373" s="42">
        <f t="shared" si="87"/>
        <v>1.2999999999999972</v>
      </c>
    </row>
    <row r="1374" spans="2:13" x14ac:dyDescent="0.25">
      <c r="B1374" s="42">
        <f t="shared" si="84"/>
        <v>31</v>
      </c>
      <c r="C1374" s="42">
        <f t="shared" si="85"/>
        <v>3</v>
      </c>
      <c r="D1374" s="42">
        <f t="shared" si="86"/>
        <v>2021</v>
      </c>
      <c r="E1374" s="43">
        <v>44286</v>
      </c>
      <c r="F1374" s="42">
        <v>58.37</v>
      </c>
      <c r="G1374" s="42">
        <v>58.46</v>
      </c>
      <c r="H1374" s="42">
        <v>57.56</v>
      </c>
      <c r="I1374" s="42">
        <v>60.11</v>
      </c>
      <c r="J1374" s="42">
        <v>64.2</v>
      </c>
      <c r="K1374" s="42">
        <v>59.16</v>
      </c>
      <c r="L1374" s="42">
        <v>61.21</v>
      </c>
      <c r="M1374" s="42">
        <f t="shared" si="87"/>
        <v>0.78999999999999915</v>
      </c>
    </row>
    <row r="1375" spans="2:13" x14ac:dyDescent="0.25">
      <c r="B1375" s="42">
        <f t="shared" si="84"/>
        <v>1</v>
      </c>
      <c r="C1375" s="42">
        <f t="shared" si="85"/>
        <v>4</v>
      </c>
      <c r="D1375" s="42">
        <f t="shared" si="86"/>
        <v>2021</v>
      </c>
      <c r="E1375" s="43">
        <v>44287</v>
      </c>
      <c r="F1375" s="42">
        <v>58.37</v>
      </c>
      <c r="G1375" s="42">
        <v>59.96</v>
      </c>
      <c r="H1375" s="42">
        <v>58.86</v>
      </c>
      <c r="I1375" s="42">
        <v>62.06</v>
      </c>
      <c r="J1375" s="42">
        <v>63.12</v>
      </c>
      <c r="K1375" s="42">
        <v>61.45</v>
      </c>
      <c r="L1375" s="42">
        <v>63.5</v>
      </c>
      <c r="M1375" s="42">
        <f t="shared" si="87"/>
        <v>3.0800000000000054</v>
      </c>
    </row>
    <row r="1376" spans="2:13" x14ac:dyDescent="0.25">
      <c r="B1376" s="42">
        <f t="shared" si="84"/>
        <v>2</v>
      </c>
      <c r="C1376" s="42">
        <f t="shared" si="85"/>
        <v>4</v>
      </c>
      <c r="D1376" s="42">
        <f t="shared" si="86"/>
        <v>2021</v>
      </c>
      <c r="E1376" s="43">
        <v>44288</v>
      </c>
      <c r="F1376" s="42">
        <v>58.37</v>
      </c>
      <c r="G1376" s="42">
        <v>59.96</v>
      </c>
      <c r="H1376" s="42">
        <v>58.86</v>
      </c>
      <c r="I1376" s="42">
        <v>62.06</v>
      </c>
      <c r="J1376" s="42">
        <v>63.12</v>
      </c>
      <c r="K1376" s="42">
        <v>61.45</v>
      </c>
      <c r="L1376" s="42">
        <v>63.5</v>
      </c>
      <c r="M1376" s="42">
        <f t="shared" si="87"/>
        <v>3.0800000000000054</v>
      </c>
    </row>
    <row r="1377" spans="2:13" x14ac:dyDescent="0.25">
      <c r="B1377" s="42">
        <f t="shared" si="84"/>
        <v>5</v>
      </c>
      <c r="C1377" s="42">
        <f t="shared" si="85"/>
        <v>4</v>
      </c>
      <c r="D1377" s="42">
        <f t="shared" si="86"/>
        <v>2021</v>
      </c>
      <c r="E1377" s="43">
        <v>44291</v>
      </c>
      <c r="F1377" s="42">
        <v>56.62</v>
      </c>
      <c r="G1377" s="42">
        <v>57.16</v>
      </c>
      <c r="H1377" s="42">
        <v>56.06</v>
      </c>
      <c r="I1377" s="42">
        <v>59.26</v>
      </c>
      <c r="J1377" s="42">
        <v>63.12</v>
      </c>
      <c r="K1377" s="42">
        <v>58.65</v>
      </c>
      <c r="L1377" s="42">
        <v>60.7</v>
      </c>
      <c r="M1377" s="42">
        <f t="shared" si="87"/>
        <v>2.0300000000000011</v>
      </c>
    </row>
    <row r="1378" spans="2:13" x14ac:dyDescent="0.25">
      <c r="B1378" s="42">
        <f t="shared" si="84"/>
        <v>6</v>
      </c>
      <c r="C1378" s="42">
        <f t="shared" si="85"/>
        <v>4</v>
      </c>
      <c r="D1378" s="42">
        <f t="shared" si="86"/>
        <v>2021</v>
      </c>
      <c r="E1378" s="43">
        <v>44292</v>
      </c>
      <c r="F1378" s="42">
        <v>57.09</v>
      </c>
      <c r="G1378" s="42">
        <v>57.74</v>
      </c>
      <c r="H1378" s="42">
        <v>56.64</v>
      </c>
      <c r="I1378" s="42">
        <v>59.84</v>
      </c>
      <c r="J1378" s="42">
        <v>63.55</v>
      </c>
      <c r="K1378" s="42">
        <v>59.33</v>
      </c>
      <c r="L1378" s="42">
        <v>61.38</v>
      </c>
      <c r="M1378" s="42">
        <f t="shared" si="87"/>
        <v>2.2399999999999949</v>
      </c>
    </row>
    <row r="1379" spans="2:13" x14ac:dyDescent="0.25">
      <c r="B1379" s="42">
        <f t="shared" si="84"/>
        <v>7</v>
      </c>
      <c r="C1379" s="42">
        <f t="shared" si="85"/>
        <v>4</v>
      </c>
      <c r="D1379" s="42">
        <f t="shared" si="86"/>
        <v>2021</v>
      </c>
      <c r="E1379" s="43">
        <v>44293</v>
      </c>
      <c r="F1379" s="42">
        <v>57.4</v>
      </c>
      <c r="G1379" s="42">
        <v>58.12</v>
      </c>
      <c r="H1379" s="42">
        <v>57.02</v>
      </c>
      <c r="I1379" s="42">
        <v>60.22</v>
      </c>
      <c r="J1379" s="42">
        <v>62.11</v>
      </c>
      <c r="K1379" s="42">
        <v>59.79</v>
      </c>
      <c r="L1379" s="42">
        <v>61.79</v>
      </c>
      <c r="M1379" s="42">
        <f t="shared" si="87"/>
        <v>2.3900000000000006</v>
      </c>
    </row>
    <row r="1380" spans="2:13" x14ac:dyDescent="0.25">
      <c r="B1380" s="42">
        <f t="shared" si="84"/>
        <v>8</v>
      </c>
      <c r="C1380" s="42">
        <f t="shared" si="85"/>
        <v>4</v>
      </c>
      <c r="D1380" s="42">
        <f t="shared" si="86"/>
        <v>2021</v>
      </c>
      <c r="E1380" s="43">
        <v>44294</v>
      </c>
      <c r="F1380" s="42">
        <v>57.39</v>
      </c>
      <c r="G1380" s="42">
        <v>58.01</v>
      </c>
      <c r="H1380" s="42">
        <v>56.91</v>
      </c>
      <c r="I1380" s="42">
        <v>60.11</v>
      </c>
      <c r="J1380" s="42">
        <v>62.99</v>
      </c>
      <c r="K1380" s="42">
        <v>59.6</v>
      </c>
      <c r="L1380" s="42">
        <v>61.6</v>
      </c>
      <c r="M1380" s="42">
        <f t="shared" si="87"/>
        <v>2.2100000000000009</v>
      </c>
    </row>
    <row r="1381" spans="2:13" x14ac:dyDescent="0.25">
      <c r="B1381" s="42">
        <f t="shared" si="84"/>
        <v>9</v>
      </c>
      <c r="C1381" s="42">
        <f t="shared" si="85"/>
        <v>4</v>
      </c>
      <c r="D1381" s="42">
        <f t="shared" si="86"/>
        <v>2021</v>
      </c>
      <c r="E1381" s="43">
        <v>44295</v>
      </c>
      <c r="F1381" s="42">
        <v>57.13</v>
      </c>
      <c r="G1381" s="42">
        <v>57.78</v>
      </c>
      <c r="H1381" s="42">
        <v>56.68</v>
      </c>
      <c r="I1381" s="42">
        <v>59.88</v>
      </c>
      <c r="J1381" s="42">
        <v>63.23</v>
      </c>
      <c r="K1381" s="42">
        <v>59.32</v>
      </c>
      <c r="L1381" s="42">
        <v>61.27</v>
      </c>
      <c r="M1381" s="42">
        <f t="shared" si="87"/>
        <v>2.1899999999999977</v>
      </c>
    </row>
    <row r="1382" spans="2:13" x14ac:dyDescent="0.25">
      <c r="B1382" s="42">
        <f t="shared" si="84"/>
        <v>12</v>
      </c>
      <c r="C1382" s="42">
        <f t="shared" si="85"/>
        <v>4</v>
      </c>
      <c r="D1382" s="42">
        <f t="shared" si="86"/>
        <v>2021</v>
      </c>
      <c r="E1382" s="43">
        <v>44298</v>
      </c>
      <c r="F1382" s="42">
        <v>57.45</v>
      </c>
      <c r="G1382" s="42">
        <v>58.17</v>
      </c>
      <c r="H1382" s="42">
        <v>57.07</v>
      </c>
      <c r="I1382" s="42">
        <v>60.27</v>
      </c>
      <c r="J1382" s="42">
        <v>63.56</v>
      </c>
      <c r="K1382" s="42">
        <v>59.7</v>
      </c>
      <c r="L1382" s="42">
        <v>61.6</v>
      </c>
      <c r="M1382" s="42">
        <f t="shared" si="87"/>
        <v>2.25</v>
      </c>
    </row>
    <row r="1383" spans="2:13" x14ac:dyDescent="0.25">
      <c r="B1383" s="42">
        <f t="shared" si="84"/>
        <v>13</v>
      </c>
      <c r="C1383" s="42">
        <f t="shared" si="85"/>
        <v>4</v>
      </c>
      <c r="D1383" s="42">
        <f t="shared" si="86"/>
        <v>2021</v>
      </c>
      <c r="E1383" s="43">
        <v>44299</v>
      </c>
      <c r="F1383" s="42">
        <v>57.9</v>
      </c>
      <c r="G1383" s="42">
        <v>58.62</v>
      </c>
      <c r="H1383" s="42">
        <v>57.52</v>
      </c>
      <c r="I1383" s="42">
        <v>60.72</v>
      </c>
      <c r="J1383" s="42">
        <v>63.93</v>
      </c>
      <c r="K1383" s="42">
        <v>60.18</v>
      </c>
      <c r="L1383" s="42">
        <v>62.08</v>
      </c>
      <c r="M1383" s="42">
        <f t="shared" si="87"/>
        <v>2.2800000000000011</v>
      </c>
    </row>
    <row r="1384" spans="2:13" x14ac:dyDescent="0.25">
      <c r="B1384" s="42">
        <f t="shared" si="84"/>
        <v>14</v>
      </c>
      <c r="C1384" s="42">
        <f t="shared" si="85"/>
        <v>4</v>
      </c>
      <c r="D1384" s="42">
        <f t="shared" si="86"/>
        <v>2021</v>
      </c>
      <c r="E1384" s="43">
        <v>44300</v>
      </c>
      <c r="F1384" s="42">
        <v>60.63</v>
      </c>
      <c r="G1384" s="42">
        <v>61.63</v>
      </c>
      <c r="H1384" s="42">
        <v>60.53</v>
      </c>
      <c r="I1384" s="42">
        <v>63.73</v>
      </c>
      <c r="J1384" s="42">
        <v>66.349999999999994</v>
      </c>
      <c r="K1384" s="42">
        <v>63.15</v>
      </c>
      <c r="L1384" s="42">
        <v>65.05</v>
      </c>
      <c r="M1384" s="42">
        <f t="shared" si="87"/>
        <v>2.519999999999996</v>
      </c>
    </row>
    <row r="1385" spans="2:13" x14ac:dyDescent="0.25">
      <c r="B1385" s="42">
        <f t="shared" si="84"/>
        <v>15</v>
      </c>
      <c r="C1385" s="42">
        <f t="shared" si="85"/>
        <v>4</v>
      </c>
      <c r="D1385" s="42">
        <f t="shared" si="86"/>
        <v>2021</v>
      </c>
      <c r="E1385" s="43">
        <v>44301</v>
      </c>
      <c r="F1385" s="42">
        <v>61.12</v>
      </c>
      <c r="G1385" s="42">
        <v>61.93</v>
      </c>
      <c r="H1385" s="42">
        <v>60.83</v>
      </c>
      <c r="I1385" s="42">
        <v>64.03</v>
      </c>
      <c r="J1385" s="42">
        <v>66.510000000000005</v>
      </c>
      <c r="K1385" s="42">
        <v>63.46</v>
      </c>
      <c r="L1385" s="42">
        <v>65.36</v>
      </c>
      <c r="M1385" s="42">
        <f t="shared" si="87"/>
        <v>2.3400000000000034</v>
      </c>
    </row>
    <row r="1386" spans="2:13" x14ac:dyDescent="0.25">
      <c r="B1386" s="42">
        <f t="shared" si="84"/>
        <v>16</v>
      </c>
      <c r="C1386" s="42">
        <f t="shared" si="85"/>
        <v>4</v>
      </c>
      <c r="D1386" s="42">
        <f t="shared" si="86"/>
        <v>2021</v>
      </c>
      <c r="E1386" s="43">
        <v>44302</v>
      </c>
      <c r="F1386" s="42">
        <v>61.03</v>
      </c>
      <c r="G1386" s="42">
        <v>61.65</v>
      </c>
      <c r="H1386" s="42">
        <v>60.55</v>
      </c>
      <c r="I1386" s="42">
        <v>63.75</v>
      </c>
      <c r="J1386" s="42">
        <v>66.739999999999995</v>
      </c>
      <c r="K1386" s="42">
        <v>63.13</v>
      </c>
      <c r="L1386" s="42">
        <v>65.03</v>
      </c>
      <c r="M1386" s="42">
        <f t="shared" si="87"/>
        <v>2.1000000000000014</v>
      </c>
    </row>
    <row r="1387" spans="2:13" x14ac:dyDescent="0.25">
      <c r="B1387" s="42">
        <f t="shared" si="84"/>
        <v>19</v>
      </c>
      <c r="C1387" s="42">
        <f t="shared" si="85"/>
        <v>4</v>
      </c>
      <c r="D1387" s="42">
        <f t="shared" si="86"/>
        <v>2021</v>
      </c>
      <c r="E1387" s="43">
        <v>44305</v>
      </c>
      <c r="F1387" s="42">
        <v>61.24</v>
      </c>
      <c r="G1387" s="42">
        <v>61.91</v>
      </c>
      <c r="H1387" s="42">
        <v>60.81</v>
      </c>
      <c r="I1387" s="42">
        <v>64.010000000000005</v>
      </c>
      <c r="J1387" s="42">
        <v>66.94</v>
      </c>
      <c r="K1387" s="42">
        <v>63.38</v>
      </c>
      <c r="L1387" s="42">
        <v>65.48</v>
      </c>
      <c r="M1387" s="42">
        <f t="shared" si="87"/>
        <v>2.1400000000000006</v>
      </c>
    </row>
    <row r="1388" spans="2:13" x14ac:dyDescent="0.25">
      <c r="B1388" s="42">
        <f t="shared" si="84"/>
        <v>20</v>
      </c>
      <c r="C1388" s="42">
        <f t="shared" si="85"/>
        <v>4</v>
      </c>
      <c r="D1388" s="42">
        <f t="shared" si="86"/>
        <v>2021</v>
      </c>
      <c r="E1388" s="43">
        <v>44306</v>
      </c>
      <c r="F1388" s="42">
        <v>60.67</v>
      </c>
      <c r="G1388" s="42">
        <v>61.14</v>
      </c>
      <c r="H1388" s="42">
        <v>60.04</v>
      </c>
      <c r="I1388" s="42">
        <v>63.24</v>
      </c>
      <c r="J1388" s="42">
        <v>65.7</v>
      </c>
      <c r="K1388" s="42">
        <v>62.44</v>
      </c>
      <c r="L1388" s="42">
        <v>64.64</v>
      </c>
      <c r="M1388" s="42">
        <f t="shared" si="87"/>
        <v>1.769999999999996</v>
      </c>
    </row>
    <row r="1389" spans="2:13" x14ac:dyDescent="0.25">
      <c r="B1389" s="42">
        <f t="shared" si="84"/>
        <v>21</v>
      </c>
      <c r="C1389" s="42">
        <f t="shared" si="85"/>
        <v>4</v>
      </c>
      <c r="D1389" s="42">
        <f t="shared" si="86"/>
        <v>2021</v>
      </c>
      <c r="E1389" s="43">
        <v>44307</v>
      </c>
      <c r="F1389" s="42">
        <v>59.39</v>
      </c>
      <c r="G1389" s="42">
        <v>59.96</v>
      </c>
      <c r="H1389" s="42">
        <v>58.86</v>
      </c>
      <c r="I1389" s="42">
        <v>62.06</v>
      </c>
      <c r="J1389" s="42">
        <v>66.02</v>
      </c>
      <c r="K1389" s="42">
        <v>61.35</v>
      </c>
      <c r="L1389" s="42">
        <v>63.5</v>
      </c>
      <c r="M1389" s="42">
        <f t="shared" si="87"/>
        <v>1.9600000000000009</v>
      </c>
    </row>
    <row r="1390" spans="2:13" x14ac:dyDescent="0.25">
      <c r="B1390" s="42">
        <f t="shared" si="84"/>
        <v>22</v>
      </c>
      <c r="C1390" s="42">
        <f t="shared" si="85"/>
        <v>4</v>
      </c>
      <c r="D1390" s="42">
        <f t="shared" si="86"/>
        <v>2021</v>
      </c>
      <c r="E1390" s="43">
        <v>44308</v>
      </c>
      <c r="F1390" s="42">
        <v>59.28</v>
      </c>
      <c r="G1390" s="42">
        <v>59.94</v>
      </c>
      <c r="H1390" s="42">
        <v>58.84</v>
      </c>
      <c r="I1390" s="42">
        <v>62.04</v>
      </c>
      <c r="J1390" s="42">
        <v>65.63</v>
      </c>
      <c r="K1390" s="42">
        <v>61.43</v>
      </c>
      <c r="L1390" s="42">
        <v>63.63</v>
      </c>
      <c r="M1390" s="42">
        <f t="shared" si="87"/>
        <v>2.1499999999999986</v>
      </c>
    </row>
    <row r="1391" spans="2:13" x14ac:dyDescent="0.25">
      <c r="B1391" s="42">
        <f t="shared" si="84"/>
        <v>23</v>
      </c>
      <c r="C1391" s="42">
        <f t="shared" si="85"/>
        <v>4</v>
      </c>
      <c r="D1391" s="42">
        <f t="shared" si="86"/>
        <v>2021</v>
      </c>
      <c r="E1391" s="43">
        <v>44309</v>
      </c>
      <c r="F1391" s="42">
        <v>59.86</v>
      </c>
      <c r="G1391" s="42">
        <v>60.51</v>
      </c>
      <c r="H1391" s="42">
        <v>59.41</v>
      </c>
      <c r="I1391" s="42">
        <v>62.61</v>
      </c>
      <c r="J1391" s="42">
        <v>66.040000000000006</v>
      </c>
      <c r="K1391" s="42">
        <v>62.18</v>
      </c>
      <c r="L1391" s="42">
        <v>64.38</v>
      </c>
      <c r="M1391" s="42">
        <f t="shared" si="87"/>
        <v>2.3200000000000003</v>
      </c>
    </row>
    <row r="1392" spans="2:13" x14ac:dyDescent="0.25">
      <c r="B1392" s="42">
        <f t="shared" si="84"/>
        <v>26</v>
      </c>
      <c r="C1392" s="42">
        <f t="shared" si="85"/>
        <v>4</v>
      </c>
      <c r="D1392" s="42">
        <f t="shared" si="86"/>
        <v>2021</v>
      </c>
      <c r="E1392" s="43">
        <v>44312</v>
      </c>
      <c r="F1392" s="42">
        <v>59.65</v>
      </c>
      <c r="G1392" s="42">
        <v>60.44</v>
      </c>
      <c r="H1392" s="42">
        <v>59.34</v>
      </c>
      <c r="I1392" s="42">
        <v>62.54</v>
      </c>
      <c r="J1392" s="42">
        <v>65.760000000000005</v>
      </c>
      <c r="K1392" s="42">
        <v>61.91</v>
      </c>
      <c r="L1392" s="42">
        <v>64.010000000000005</v>
      </c>
      <c r="M1392" s="42">
        <f t="shared" si="87"/>
        <v>2.259999999999998</v>
      </c>
    </row>
    <row r="1393" spans="2:13" x14ac:dyDescent="0.25">
      <c r="B1393" s="42">
        <f t="shared" si="84"/>
        <v>27</v>
      </c>
      <c r="C1393" s="42">
        <f t="shared" si="85"/>
        <v>4</v>
      </c>
      <c r="D1393" s="42">
        <f t="shared" si="86"/>
        <v>2021</v>
      </c>
      <c r="E1393" s="43">
        <v>44313</v>
      </c>
      <c r="F1393" s="42">
        <v>60.48</v>
      </c>
      <c r="G1393" s="42">
        <v>61.31</v>
      </c>
      <c r="H1393" s="42">
        <v>60.21</v>
      </c>
      <c r="I1393" s="42">
        <v>63.41</v>
      </c>
      <c r="J1393" s="42">
        <v>65.959999999999994</v>
      </c>
      <c r="K1393" s="42">
        <v>62.94</v>
      </c>
      <c r="L1393" s="42">
        <v>64.989999999999995</v>
      </c>
      <c r="M1393" s="42">
        <f t="shared" si="87"/>
        <v>2.4600000000000009</v>
      </c>
    </row>
    <row r="1394" spans="2:13" x14ac:dyDescent="0.25">
      <c r="B1394" s="42">
        <f t="shared" si="84"/>
        <v>28</v>
      </c>
      <c r="C1394" s="42">
        <f t="shared" si="85"/>
        <v>4</v>
      </c>
      <c r="D1394" s="42">
        <f t="shared" si="86"/>
        <v>2021</v>
      </c>
      <c r="E1394" s="43">
        <v>44314</v>
      </c>
      <c r="F1394" s="42">
        <v>61.29</v>
      </c>
      <c r="G1394" s="42">
        <v>62.17</v>
      </c>
      <c r="H1394" s="42">
        <v>61.07</v>
      </c>
      <c r="I1394" s="42">
        <v>64.27</v>
      </c>
      <c r="J1394" s="42">
        <v>67.69</v>
      </c>
      <c r="K1394" s="42">
        <v>63.86</v>
      </c>
      <c r="L1394" s="42">
        <v>65.86</v>
      </c>
      <c r="M1394" s="42">
        <f t="shared" si="87"/>
        <v>2.5700000000000003</v>
      </c>
    </row>
    <row r="1395" spans="2:13" x14ac:dyDescent="0.25">
      <c r="B1395" s="42">
        <f t="shared" si="84"/>
        <v>29</v>
      </c>
      <c r="C1395" s="42">
        <f t="shared" si="85"/>
        <v>4</v>
      </c>
      <c r="D1395" s="42">
        <f t="shared" si="86"/>
        <v>2021</v>
      </c>
      <c r="E1395" s="43">
        <v>44315</v>
      </c>
      <c r="F1395" s="42">
        <v>62.57</v>
      </c>
      <c r="G1395" s="42">
        <v>63.41</v>
      </c>
      <c r="H1395" s="42">
        <v>62.31</v>
      </c>
      <c r="I1395" s="42">
        <v>65.510000000000005</v>
      </c>
      <c r="J1395" s="42">
        <v>68.290000000000006</v>
      </c>
      <c r="K1395" s="42">
        <v>65.010000000000005</v>
      </c>
      <c r="L1395" s="42">
        <v>66.959999999999994</v>
      </c>
      <c r="M1395" s="42">
        <f t="shared" si="87"/>
        <v>2.4400000000000048</v>
      </c>
    </row>
    <row r="1396" spans="2:13" x14ac:dyDescent="0.25">
      <c r="B1396" s="42">
        <f t="shared" si="84"/>
        <v>30</v>
      </c>
      <c r="C1396" s="42">
        <f t="shared" si="85"/>
        <v>4</v>
      </c>
      <c r="D1396" s="42">
        <f t="shared" si="86"/>
        <v>2021</v>
      </c>
      <c r="E1396" s="43">
        <v>44316</v>
      </c>
      <c r="F1396" s="42">
        <v>61.39</v>
      </c>
      <c r="G1396" s="42">
        <v>62.02</v>
      </c>
      <c r="H1396" s="42">
        <v>60.92</v>
      </c>
      <c r="I1396" s="42">
        <v>64.12</v>
      </c>
      <c r="J1396" s="42">
        <v>66.84</v>
      </c>
      <c r="K1396" s="42">
        <v>63.58</v>
      </c>
      <c r="L1396" s="42">
        <v>65.53</v>
      </c>
      <c r="M1396" s="42">
        <f t="shared" si="87"/>
        <v>2.1899999999999977</v>
      </c>
    </row>
    <row r="1397" spans="2:13" x14ac:dyDescent="0.25">
      <c r="B1397" s="42">
        <f t="shared" si="84"/>
        <v>3</v>
      </c>
      <c r="C1397" s="42">
        <f t="shared" si="85"/>
        <v>5</v>
      </c>
      <c r="D1397" s="42">
        <f t="shared" si="86"/>
        <v>2021</v>
      </c>
      <c r="E1397" s="43">
        <v>44319</v>
      </c>
      <c r="F1397" s="42">
        <v>61.6</v>
      </c>
      <c r="G1397" s="42">
        <v>62.32</v>
      </c>
      <c r="H1397" s="42">
        <v>61.57</v>
      </c>
      <c r="I1397" s="42">
        <v>64.52</v>
      </c>
      <c r="J1397" s="42">
        <v>66.84</v>
      </c>
      <c r="K1397" s="42">
        <v>64.489999999999995</v>
      </c>
      <c r="L1397" s="42">
        <v>66.44</v>
      </c>
      <c r="M1397" s="42">
        <f t="shared" si="87"/>
        <v>2.8899999999999935</v>
      </c>
    </row>
    <row r="1398" spans="2:13" x14ac:dyDescent="0.25">
      <c r="B1398" s="42">
        <f t="shared" si="84"/>
        <v>4</v>
      </c>
      <c r="C1398" s="42">
        <f t="shared" si="85"/>
        <v>5</v>
      </c>
      <c r="D1398" s="42">
        <f t="shared" si="86"/>
        <v>2021</v>
      </c>
      <c r="E1398" s="43">
        <v>44320</v>
      </c>
      <c r="F1398" s="42">
        <v>62.86</v>
      </c>
      <c r="G1398" s="42">
        <v>63.53</v>
      </c>
      <c r="H1398" s="42">
        <v>62.78</v>
      </c>
      <c r="I1398" s="42">
        <v>65.73</v>
      </c>
      <c r="J1398" s="42">
        <v>68.849999999999994</v>
      </c>
      <c r="K1398" s="42">
        <v>65.69</v>
      </c>
      <c r="L1398" s="42">
        <v>67.59</v>
      </c>
      <c r="M1398" s="42">
        <f t="shared" si="87"/>
        <v>2.8299999999999983</v>
      </c>
    </row>
    <row r="1399" spans="2:13" x14ac:dyDescent="0.25">
      <c r="B1399" s="42">
        <f t="shared" si="84"/>
        <v>5</v>
      </c>
      <c r="C1399" s="42">
        <f t="shared" si="85"/>
        <v>5</v>
      </c>
      <c r="D1399" s="42">
        <f t="shared" si="86"/>
        <v>2021</v>
      </c>
      <c r="E1399" s="43">
        <v>44321</v>
      </c>
      <c r="F1399" s="42">
        <v>62.86</v>
      </c>
      <c r="G1399" s="42">
        <v>63.52</v>
      </c>
      <c r="H1399" s="42">
        <v>62.77</v>
      </c>
      <c r="I1399" s="42">
        <v>65.72</v>
      </c>
      <c r="J1399" s="42">
        <v>69.739999999999995</v>
      </c>
      <c r="K1399" s="42">
        <v>65.63</v>
      </c>
      <c r="L1399" s="42">
        <v>67.58</v>
      </c>
      <c r="M1399" s="42">
        <f t="shared" si="87"/>
        <v>2.769999999999996</v>
      </c>
    </row>
    <row r="1400" spans="2:13" x14ac:dyDescent="0.25">
      <c r="B1400" s="42">
        <f t="shared" si="84"/>
        <v>6</v>
      </c>
      <c r="C1400" s="42">
        <f t="shared" si="85"/>
        <v>5</v>
      </c>
      <c r="D1400" s="42">
        <f t="shared" si="86"/>
        <v>2021</v>
      </c>
      <c r="E1400" s="43">
        <v>44322</v>
      </c>
      <c r="F1400" s="42">
        <v>62.27</v>
      </c>
      <c r="G1400" s="42">
        <v>62.65</v>
      </c>
      <c r="H1400" s="42">
        <v>61.9</v>
      </c>
      <c r="I1400" s="42">
        <v>64.849999999999994</v>
      </c>
      <c r="J1400" s="42">
        <v>68.66</v>
      </c>
      <c r="K1400" s="42">
        <v>64.709999999999994</v>
      </c>
      <c r="L1400" s="42">
        <v>66.709999999999994</v>
      </c>
      <c r="M1400" s="42">
        <f t="shared" si="87"/>
        <v>2.4399999999999906</v>
      </c>
    </row>
    <row r="1401" spans="2:13" x14ac:dyDescent="0.25">
      <c r="B1401" s="42">
        <f t="shared" si="84"/>
        <v>7</v>
      </c>
      <c r="C1401" s="42">
        <f t="shared" si="85"/>
        <v>5</v>
      </c>
      <c r="D1401" s="42">
        <f t="shared" si="86"/>
        <v>2021</v>
      </c>
      <c r="E1401" s="43">
        <v>44323</v>
      </c>
      <c r="F1401" s="42">
        <v>62.28</v>
      </c>
      <c r="G1401" s="42">
        <v>62.77</v>
      </c>
      <c r="H1401" s="42">
        <v>62.02</v>
      </c>
      <c r="I1401" s="42">
        <v>64.97</v>
      </c>
      <c r="J1401" s="42">
        <v>68.459999999999994</v>
      </c>
      <c r="K1401" s="42">
        <v>64.900000000000006</v>
      </c>
      <c r="L1401" s="42">
        <v>66.900000000000006</v>
      </c>
      <c r="M1401" s="42">
        <f t="shared" si="87"/>
        <v>2.6200000000000045</v>
      </c>
    </row>
    <row r="1402" spans="2:13" x14ac:dyDescent="0.25">
      <c r="B1402" s="42">
        <f t="shared" si="84"/>
        <v>10</v>
      </c>
      <c r="C1402" s="42">
        <f t="shared" si="85"/>
        <v>5</v>
      </c>
      <c r="D1402" s="42">
        <f t="shared" si="86"/>
        <v>2021</v>
      </c>
      <c r="E1402" s="43">
        <v>44326</v>
      </c>
      <c r="F1402" s="42">
        <v>62.38</v>
      </c>
      <c r="G1402" s="42">
        <v>62.8</v>
      </c>
      <c r="H1402" s="42">
        <v>62.05</v>
      </c>
      <c r="I1402" s="42">
        <v>65</v>
      </c>
      <c r="J1402" s="42">
        <v>68.27</v>
      </c>
      <c r="K1402" s="42">
        <v>64.92</v>
      </c>
      <c r="L1402" s="42">
        <v>66.87</v>
      </c>
      <c r="M1402" s="42">
        <f t="shared" si="87"/>
        <v>2.5399999999999991</v>
      </c>
    </row>
    <row r="1403" spans="2:13" x14ac:dyDescent="0.25">
      <c r="B1403" s="42">
        <f t="shared" si="84"/>
        <v>11</v>
      </c>
      <c r="C1403" s="42">
        <f t="shared" si="85"/>
        <v>5</v>
      </c>
      <c r="D1403" s="42">
        <f t="shared" si="86"/>
        <v>2021</v>
      </c>
      <c r="E1403" s="43">
        <v>44327</v>
      </c>
      <c r="F1403" s="42">
        <v>62.43</v>
      </c>
      <c r="G1403" s="42">
        <v>63.01</v>
      </c>
      <c r="H1403" s="42">
        <v>62.26</v>
      </c>
      <c r="I1403" s="42">
        <v>65.209999999999994</v>
      </c>
      <c r="J1403" s="42">
        <v>68.52</v>
      </c>
      <c r="K1403" s="42">
        <v>65.28</v>
      </c>
      <c r="L1403" s="42">
        <v>67.180000000000007</v>
      </c>
      <c r="M1403" s="42">
        <f t="shared" si="87"/>
        <v>2.8500000000000014</v>
      </c>
    </row>
    <row r="1404" spans="2:13" x14ac:dyDescent="0.25">
      <c r="B1404" s="42">
        <f t="shared" si="84"/>
        <v>12</v>
      </c>
      <c r="C1404" s="42">
        <f t="shared" si="85"/>
        <v>5</v>
      </c>
      <c r="D1404" s="42">
        <f t="shared" si="86"/>
        <v>2021</v>
      </c>
      <c r="E1404" s="43">
        <v>44328</v>
      </c>
      <c r="F1404" s="42">
        <v>63.26</v>
      </c>
      <c r="G1404" s="42">
        <v>63.8</v>
      </c>
      <c r="H1404" s="42">
        <v>63.05</v>
      </c>
      <c r="I1404" s="42">
        <v>66</v>
      </c>
      <c r="J1404" s="42">
        <v>69.73</v>
      </c>
      <c r="K1404" s="42">
        <v>66.08</v>
      </c>
      <c r="L1404" s="42">
        <v>67.98</v>
      </c>
      <c r="M1404" s="42">
        <f t="shared" si="87"/>
        <v>2.8200000000000003</v>
      </c>
    </row>
    <row r="1405" spans="2:13" x14ac:dyDescent="0.25">
      <c r="B1405" s="42">
        <f t="shared" si="84"/>
        <v>13</v>
      </c>
      <c r="C1405" s="42">
        <f t="shared" si="85"/>
        <v>5</v>
      </c>
      <c r="D1405" s="42">
        <f t="shared" si="86"/>
        <v>2021</v>
      </c>
      <c r="E1405" s="43">
        <v>44329</v>
      </c>
      <c r="F1405" s="42">
        <v>63.26</v>
      </c>
      <c r="G1405" s="42">
        <v>61.64</v>
      </c>
      <c r="H1405" s="42">
        <v>60.89</v>
      </c>
      <c r="I1405" s="42">
        <v>63.84</v>
      </c>
      <c r="J1405" s="42">
        <v>67.61</v>
      </c>
      <c r="K1405" s="42">
        <v>63.82</v>
      </c>
      <c r="L1405" s="42">
        <v>65.87</v>
      </c>
      <c r="M1405" s="42">
        <f t="shared" si="87"/>
        <v>0.56000000000000227</v>
      </c>
    </row>
    <row r="1406" spans="2:13" x14ac:dyDescent="0.25">
      <c r="B1406" s="42">
        <f t="shared" si="84"/>
        <v>14</v>
      </c>
      <c r="C1406" s="42">
        <f t="shared" si="85"/>
        <v>5</v>
      </c>
      <c r="D1406" s="42">
        <f t="shared" si="86"/>
        <v>2021</v>
      </c>
      <c r="E1406" s="43">
        <v>44330</v>
      </c>
      <c r="F1406" s="42">
        <v>62.6</v>
      </c>
      <c r="G1406" s="42">
        <v>63.26</v>
      </c>
      <c r="H1406" s="42">
        <v>62.51</v>
      </c>
      <c r="I1406" s="42">
        <v>65.459999999999994</v>
      </c>
      <c r="J1406" s="42">
        <v>68.58</v>
      </c>
      <c r="K1406" s="42">
        <v>65.37</v>
      </c>
      <c r="L1406" s="42">
        <v>67.67</v>
      </c>
      <c r="M1406" s="42">
        <f t="shared" si="87"/>
        <v>2.7700000000000031</v>
      </c>
    </row>
    <row r="1407" spans="2:13" x14ac:dyDescent="0.25">
      <c r="B1407" s="42">
        <f t="shared" si="84"/>
        <v>17</v>
      </c>
      <c r="C1407" s="42">
        <f t="shared" si="85"/>
        <v>5</v>
      </c>
      <c r="D1407" s="42">
        <f t="shared" si="86"/>
        <v>2021</v>
      </c>
      <c r="E1407" s="43">
        <v>44333</v>
      </c>
      <c r="F1407" s="42">
        <v>63.55</v>
      </c>
      <c r="G1407" s="42">
        <v>64.11</v>
      </c>
      <c r="H1407" s="42">
        <v>63.36</v>
      </c>
      <c r="I1407" s="42">
        <v>66.31</v>
      </c>
      <c r="J1407" s="42">
        <v>69.260000000000005</v>
      </c>
      <c r="K1407" s="42">
        <v>66.27</v>
      </c>
      <c r="L1407" s="42">
        <v>68.569999999999993</v>
      </c>
      <c r="M1407" s="42">
        <f t="shared" si="87"/>
        <v>2.7199999999999989</v>
      </c>
    </row>
    <row r="1408" spans="2:13" x14ac:dyDescent="0.25">
      <c r="B1408" s="42">
        <f t="shared" si="84"/>
        <v>18</v>
      </c>
      <c r="C1408" s="42">
        <f t="shared" si="85"/>
        <v>5</v>
      </c>
      <c r="D1408" s="42">
        <f t="shared" si="86"/>
        <v>2021</v>
      </c>
      <c r="E1408" s="43">
        <v>44334</v>
      </c>
      <c r="F1408" s="42">
        <v>63.01</v>
      </c>
      <c r="G1408" s="42">
        <v>63.27</v>
      </c>
      <c r="H1408" s="42">
        <v>62.52</v>
      </c>
      <c r="I1408" s="42">
        <v>65.47</v>
      </c>
      <c r="J1408" s="42">
        <v>69.430000000000007</v>
      </c>
      <c r="K1408" s="42">
        <v>65.489999999999995</v>
      </c>
      <c r="L1408" s="42">
        <v>67.790000000000006</v>
      </c>
      <c r="M1408" s="42">
        <f t="shared" si="87"/>
        <v>2.4799999999999969</v>
      </c>
    </row>
    <row r="1409" spans="2:13" x14ac:dyDescent="0.25">
      <c r="B1409" s="42">
        <f t="shared" si="84"/>
        <v>19</v>
      </c>
      <c r="C1409" s="42">
        <f t="shared" si="85"/>
        <v>5</v>
      </c>
      <c r="D1409" s="42">
        <f t="shared" si="86"/>
        <v>2021</v>
      </c>
      <c r="E1409" s="43">
        <v>44335</v>
      </c>
      <c r="F1409" s="42">
        <v>60.91</v>
      </c>
      <c r="G1409" s="42">
        <v>61.17</v>
      </c>
      <c r="H1409" s="42">
        <v>60.42</v>
      </c>
      <c r="I1409" s="42">
        <v>63.37</v>
      </c>
      <c r="J1409" s="42">
        <v>66.25</v>
      </c>
      <c r="K1409" s="42">
        <v>63.36</v>
      </c>
      <c r="L1409" s="42">
        <v>65.66</v>
      </c>
      <c r="M1409" s="42">
        <f t="shared" si="87"/>
        <v>2.4500000000000028</v>
      </c>
    </row>
    <row r="1410" spans="2:13" x14ac:dyDescent="0.25">
      <c r="B1410" s="42">
        <f t="shared" si="84"/>
        <v>20</v>
      </c>
      <c r="C1410" s="42">
        <f t="shared" si="85"/>
        <v>5</v>
      </c>
      <c r="D1410" s="42">
        <f t="shared" si="86"/>
        <v>2021</v>
      </c>
      <c r="E1410" s="43">
        <v>44336</v>
      </c>
      <c r="F1410" s="42">
        <v>59.53</v>
      </c>
      <c r="G1410" s="42">
        <v>59.78</v>
      </c>
      <c r="H1410" s="42">
        <v>59.03</v>
      </c>
      <c r="I1410" s="42">
        <v>61.98</v>
      </c>
      <c r="J1410" s="42">
        <v>66.45</v>
      </c>
      <c r="K1410" s="42">
        <v>62.05</v>
      </c>
      <c r="L1410" s="42">
        <v>64.3</v>
      </c>
      <c r="M1410" s="42">
        <f t="shared" si="87"/>
        <v>2.519999999999996</v>
      </c>
    </row>
    <row r="1411" spans="2:13" x14ac:dyDescent="0.25">
      <c r="B1411" s="42">
        <f t="shared" si="84"/>
        <v>21</v>
      </c>
      <c r="C1411" s="42">
        <f t="shared" si="85"/>
        <v>5</v>
      </c>
      <c r="D1411" s="42">
        <f t="shared" si="86"/>
        <v>2021</v>
      </c>
      <c r="E1411" s="43">
        <v>44337</v>
      </c>
      <c r="F1411" s="42">
        <v>59.53</v>
      </c>
      <c r="G1411" s="42">
        <v>61.22</v>
      </c>
      <c r="H1411" s="42">
        <v>60.47</v>
      </c>
      <c r="I1411" s="42">
        <v>63.42</v>
      </c>
      <c r="J1411" s="42">
        <v>66.790000000000006</v>
      </c>
      <c r="K1411" s="42">
        <v>63.7</v>
      </c>
      <c r="L1411" s="42">
        <v>65.8</v>
      </c>
      <c r="M1411" s="42">
        <f t="shared" si="87"/>
        <v>4.1700000000000017</v>
      </c>
    </row>
    <row r="1412" spans="2:13" x14ac:dyDescent="0.25">
      <c r="B1412" s="42">
        <f t="shared" si="84"/>
        <v>24</v>
      </c>
      <c r="C1412" s="42">
        <f t="shared" si="85"/>
        <v>5</v>
      </c>
      <c r="D1412" s="42">
        <f t="shared" si="86"/>
        <v>2021</v>
      </c>
      <c r="E1412" s="43">
        <v>44340</v>
      </c>
      <c r="F1412" s="42">
        <v>62.8</v>
      </c>
      <c r="G1412" s="42">
        <v>63.48</v>
      </c>
      <c r="H1412" s="42">
        <v>62.73</v>
      </c>
      <c r="I1412" s="42">
        <v>65.680000000000007</v>
      </c>
      <c r="J1412" s="42">
        <v>68.27</v>
      </c>
      <c r="K1412" s="42">
        <v>66.2</v>
      </c>
      <c r="L1412" s="42">
        <v>68.3</v>
      </c>
      <c r="M1412" s="42">
        <f t="shared" si="87"/>
        <v>3.4000000000000057</v>
      </c>
    </row>
    <row r="1413" spans="2:13" x14ac:dyDescent="0.25">
      <c r="B1413" s="42">
        <f t="shared" si="84"/>
        <v>25</v>
      </c>
      <c r="C1413" s="42">
        <f t="shared" si="85"/>
        <v>5</v>
      </c>
      <c r="D1413" s="42">
        <f t="shared" si="86"/>
        <v>2021</v>
      </c>
      <c r="E1413" s="43">
        <v>44341</v>
      </c>
      <c r="F1413" s="42">
        <v>63.08</v>
      </c>
      <c r="G1413" s="42">
        <v>63.58</v>
      </c>
      <c r="H1413" s="42">
        <v>62.83</v>
      </c>
      <c r="I1413" s="42">
        <v>65.78</v>
      </c>
      <c r="J1413" s="42">
        <v>68.67</v>
      </c>
      <c r="K1413" s="42">
        <v>66.25</v>
      </c>
      <c r="L1413" s="42">
        <v>68.150000000000006</v>
      </c>
      <c r="M1413" s="42">
        <f t="shared" si="87"/>
        <v>3.1700000000000017</v>
      </c>
    </row>
    <row r="1414" spans="2:13" x14ac:dyDescent="0.25">
      <c r="B1414" s="42">
        <f t="shared" si="84"/>
        <v>26</v>
      </c>
      <c r="C1414" s="42">
        <f t="shared" si="85"/>
        <v>5</v>
      </c>
      <c r="D1414" s="42">
        <f t="shared" si="86"/>
        <v>2021</v>
      </c>
      <c r="E1414" s="43">
        <v>44342</v>
      </c>
      <c r="F1414" s="42">
        <v>63.08</v>
      </c>
      <c r="G1414" s="42">
        <v>63.8</v>
      </c>
      <c r="H1414" s="42">
        <v>63.05</v>
      </c>
      <c r="I1414" s="42">
        <v>66</v>
      </c>
      <c r="J1414" s="42">
        <v>69</v>
      </c>
      <c r="K1414" s="42">
        <v>66.209999999999994</v>
      </c>
      <c r="L1414" s="42">
        <v>68.16</v>
      </c>
      <c r="M1414" s="42">
        <f t="shared" si="87"/>
        <v>3.1299999999999955</v>
      </c>
    </row>
    <row r="1415" spans="2:13" x14ac:dyDescent="0.25">
      <c r="B1415" s="42">
        <f t="shared" ref="B1415:B1478" si="88">DAY(E1415)</f>
        <v>27</v>
      </c>
      <c r="C1415" s="42">
        <f t="shared" ref="C1415:C1478" si="89">MONTH(E1415)</f>
        <v>5</v>
      </c>
      <c r="D1415" s="42">
        <f t="shared" ref="D1415:D1478" si="90">YEAR(E1415)</f>
        <v>2021</v>
      </c>
      <c r="E1415" s="43">
        <v>44343</v>
      </c>
      <c r="F1415" s="42">
        <v>63.62</v>
      </c>
      <c r="G1415" s="42">
        <v>64.39</v>
      </c>
      <c r="H1415" s="42">
        <v>63.64</v>
      </c>
      <c r="I1415" s="42">
        <v>66.59</v>
      </c>
      <c r="J1415" s="42">
        <v>69.25</v>
      </c>
      <c r="K1415" s="42">
        <v>66.849999999999994</v>
      </c>
      <c r="L1415" s="42">
        <v>69</v>
      </c>
      <c r="M1415" s="42">
        <f t="shared" ref="M1415:M1478" si="91">K1415-F1415</f>
        <v>3.2299999999999969</v>
      </c>
    </row>
    <row r="1416" spans="2:13" x14ac:dyDescent="0.25">
      <c r="B1416" s="42">
        <f t="shared" si="88"/>
        <v>28</v>
      </c>
      <c r="C1416" s="42">
        <f t="shared" si="89"/>
        <v>5</v>
      </c>
      <c r="D1416" s="42">
        <f t="shared" si="90"/>
        <v>2021</v>
      </c>
      <c r="E1416" s="43">
        <v>44344</v>
      </c>
      <c r="F1416" s="42">
        <v>63.66</v>
      </c>
      <c r="G1416" s="42">
        <v>64.13</v>
      </c>
      <c r="H1416" s="42">
        <v>63.38</v>
      </c>
      <c r="I1416" s="42">
        <v>66.33</v>
      </c>
      <c r="J1416" s="42">
        <v>69.900000000000006</v>
      </c>
      <c r="K1416" s="42">
        <v>66.319999999999993</v>
      </c>
      <c r="L1416" s="42">
        <v>68.47</v>
      </c>
      <c r="M1416" s="42">
        <f t="shared" si="91"/>
        <v>2.6599999999999966</v>
      </c>
    </row>
    <row r="1417" spans="2:13" x14ac:dyDescent="0.25">
      <c r="B1417" s="42">
        <f t="shared" si="88"/>
        <v>31</v>
      </c>
      <c r="C1417" s="42">
        <f t="shared" si="89"/>
        <v>5</v>
      </c>
      <c r="D1417" s="42">
        <f t="shared" si="90"/>
        <v>2021</v>
      </c>
      <c r="E1417" s="43">
        <v>44347</v>
      </c>
      <c r="F1417" s="42">
        <v>63.66</v>
      </c>
      <c r="G1417" s="42">
        <v>64.13</v>
      </c>
      <c r="H1417" s="42">
        <v>63.38</v>
      </c>
      <c r="I1417" s="42">
        <v>66.33</v>
      </c>
      <c r="J1417" s="42">
        <v>69.900000000000006</v>
      </c>
      <c r="K1417" s="42">
        <v>66.319999999999993</v>
      </c>
      <c r="L1417" s="42">
        <v>68.47</v>
      </c>
      <c r="M1417" s="42">
        <f t="shared" si="91"/>
        <v>2.6599999999999966</v>
      </c>
    </row>
    <row r="1418" spans="2:13" x14ac:dyDescent="0.25">
      <c r="B1418" s="42">
        <f t="shared" si="88"/>
        <v>1</v>
      </c>
      <c r="C1418" s="42">
        <f t="shared" si="89"/>
        <v>6</v>
      </c>
      <c r="D1418" s="42">
        <f t="shared" si="90"/>
        <v>2021</v>
      </c>
      <c r="E1418" s="43">
        <v>44348</v>
      </c>
      <c r="F1418" s="42">
        <v>64.400000000000006</v>
      </c>
      <c r="G1418" s="42">
        <v>64.41</v>
      </c>
      <c r="H1418" s="42">
        <v>64.010000000000005</v>
      </c>
      <c r="I1418" s="42">
        <v>67.86</v>
      </c>
      <c r="J1418" s="42">
        <v>70.41</v>
      </c>
      <c r="K1418" s="42">
        <v>67.72</v>
      </c>
      <c r="L1418" s="42">
        <v>69.87</v>
      </c>
      <c r="M1418" s="42">
        <f t="shared" si="91"/>
        <v>3.3199999999999932</v>
      </c>
    </row>
    <row r="1419" spans="2:13" x14ac:dyDescent="0.25">
      <c r="B1419" s="42">
        <f t="shared" si="88"/>
        <v>2</v>
      </c>
      <c r="C1419" s="42">
        <f t="shared" si="89"/>
        <v>6</v>
      </c>
      <c r="D1419" s="42">
        <f t="shared" si="90"/>
        <v>2021</v>
      </c>
      <c r="E1419" s="43">
        <v>44349</v>
      </c>
      <c r="F1419" s="42">
        <v>65.36</v>
      </c>
      <c r="G1419" s="42">
        <v>65.58</v>
      </c>
      <c r="H1419" s="42">
        <v>65.180000000000007</v>
      </c>
      <c r="I1419" s="42">
        <v>69.03</v>
      </c>
      <c r="J1419" s="42">
        <v>71</v>
      </c>
      <c r="K1419" s="42">
        <v>68.83</v>
      </c>
      <c r="L1419" s="42">
        <v>70.98</v>
      </c>
      <c r="M1419" s="42">
        <f t="shared" si="91"/>
        <v>3.4699999999999989</v>
      </c>
    </row>
    <row r="1420" spans="2:13" x14ac:dyDescent="0.25">
      <c r="B1420" s="42">
        <f t="shared" si="88"/>
        <v>3</v>
      </c>
      <c r="C1420" s="42">
        <f t="shared" si="89"/>
        <v>6</v>
      </c>
      <c r="D1420" s="42">
        <f t="shared" si="90"/>
        <v>2021</v>
      </c>
      <c r="E1420" s="43">
        <v>44350</v>
      </c>
      <c r="F1420" s="42">
        <v>65.45</v>
      </c>
      <c r="G1420" s="42">
        <v>65.56</v>
      </c>
      <c r="H1420" s="42">
        <v>65.16</v>
      </c>
      <c r="I1420" s="42">
        <v>69.010000000000005</v>
      </c>
      <c r="J1420" s="42">
        <v>70.91</v>
      </c>
      <c r="K1420" s="42">
        <v>68.81</v>
      </c>
      <c r="L1420" s="42">
        <v>70.959999999999994</v>
      </c>
      <c r="M1420" s="42">
        <f t="shared" si="91"/>
        <v>3.3599999999999994</v>
      </c>
    </row>
    <row r="1421" spans="2:13" x14ac:dyDescent="0.25">
      <c r="B1421" s="42">
        <f t="shared" si="88"/>
        <v>4</v>
      </c>
      <c r="C1421" s="42">
        <f t="shared" si="89"/>
        <v>6</v>
      </c>
      <c r="D1421" s="42">
        <f t="shared" si="90"/>
        <v>2021</v>
      </c>
      <c r="E1421" s="43">
        <v>44351</v>
      </c>
      <c r="F1421" s="42">
        <v>66.08</v>
      </c>
      <c r="G1421" s="42">
        <v>66.28</v>
      </c>
      <c r="H1421" s="42">
        <v>65.88</v>
      </c>
      <c r="I1421" s="42">
        <v>69.73</v>
      </c>
      <c r="J1421" s="42">
        <v>71.59</v>
      </c>
      <c r="K1421" s="42">
        <v>69.62</v>
      </c>
      <c r="L1421" s="42">
        <v>71.77</v>
      </c>
      <c r="M1421" s="42">
        <f t="shared" si="91"/>
        <v>3.5400000000000063</v>
      </c>
    </row>
    <row r="1422" spans="2:13" x14ac:dyDescent="0.25">
      <c r="B1422" s="42">
        <f t="shared" si="88"/>
        <v>7</v>
      </c>
      <c r="C1422" s="42">
        <f t="shared" si="89"/>
        <v>6</v>
      </c>
      <c r="D1422" s="42">
        <f t="shared" si="90"/>
        <v>2021</v>
      </c>
      <c r="E1422" s="43">
        <v>44354</v>
      </c>
      <c r="F1422" s="42">
        <v>65.709999999999994</v>
      </c>
      <c r="G1422" s="42">
        <v>65.83</v>
      </c>
      <c r="H1422" s="42">
        <v>65.430000000000007</v>
      </c>
      <c r="I1422" s="42">
        <v>69.28</v>
      </c>
      <c r="J1422" s="42">
        <v>71.38</v>
      </c>
      <c r="K1422" s="42">
        <v>69.23</v>
      </c>
      <c r="L1422" s="42">
        <v>71.33</v>
      </c>
      <c r="M1422" s="42">
        <f t="shared" si="91"/>
        <v>3.5200000000000102</v>
      </c>
    </row>
    <row r="1423" spans="2:13" x14ac:dyDescent="0.25">
      <c r="B1423" s="42">
        <f t="shared" si="88"/>
        <v>8</v>
      </c>
      <c r="C1423" s="42">
        <f t="shared" si="89"/>
        <v>6</v>
      </c>
      <c r="D1423" s="42">
        <f t="shared" si="90"/>
        <v>2021</v>
      </c>
      <c r="E1423" s="43">
        <v>44355</v>
      </c>
      <c r="F1423" s="42">
        <v>66.22</v>
      </c>
      <c r="G1423" s="42">
        <v>66.61</v>
      </c>
      <c r="H1423" s="42">
        <v>66.209999999999994</v>
      </c>
      <c r="I1423" s="42">
        <v>70.06</v>
      </c>
      <c r="J1423" s="42">
        <v>71.8</v>
      </c>
      <c r="K1423" s="42">
        <v>70.05</v>
      </c>
      <c r="L1423" s="42">
        <v>72.05</v>
      </c>
      <c r="M1423" s="42">
        <f t="shared" si="91"/>
        <v>3.8299999999999983</v>
      </c>
    </row>
    <row r="1424" spans="2:13" x14ac:dyDescent="0.25">
      <c r="B1424" s="42">
        <f t="shared" si="88"/>
        <v>9</v>
      </c>
      <c r="C1424" s="42">
        <f t="shared" si="89"/>
        <v>6</v>
      </c>
      <c r="D1424" s="42">
        <f t="shared" si="90"/>
        <v>2021</v>
      </c>
      <c r="E1424" s="43">
        <v>44356</v>
      </c>
      <c r="F1424" s="42">
        <v>66.510000000000005</v>
      </c>
      <c r="G1424" s="42">
        <v>66.56</v>
      </c>
      <c r="H1424" s="42">
        <v>66.16</v>
      </c>
      <c r="I1424" s="42">
        <v>70.010000000000005</v>
      </c>
      <c r="J1424" s="42">
        <v>72.38</v>
      </c>
      <c r="K1424" s="42">
        <v>69.959999999999994</v>
      </c>
      <c r="L1424" s="42">
        <v>71.959999999999994</v>
      </c>
      <c r="M1424" s="42">
        <f t="shared" si="91"/>
        <v>3.4499999999999886</v>
      </c>
    </row>
    <row r="1425" spans="2:13" x14ac:dyDescent="0.25">
      <c r="B1425" s="42">
        <f t="shared" si="88"/>
        <v>10</v>
      </c>
      <c r="C1425" s="42">
        <f t="shared" si="89"/>
        <v>6</v>
      </c>
      <c r="D1425" s="42">
        <f t="shared" si="90"/>
        <v>2021</v>
      </c>
      <c r="E1425" s="43">
        <v>44357</v>
      </c>
      <c r="F1425" s="42">
        <v>66.73</v>
      </c>
      <c r="G1425" s="42">
        <v>66.94</v>
      </c>
      <c r="H1425" s="42">
        <v>66.540000000000006</v>
      </c>
      <c r="I1425" s="42">
        <v>70.39</v>
      </c>
      <c r="J1425" s="42">
        <v>72.53</v>
      </c>
      <c r="K1425" s="42">
        <v>70.290000000000006</v>
      </c>
      <c r="L1425" s="42">
        <v>72.34</v>
      </c>
      <c r="M1425" s="42">
        <f t="shared" si="91"/>
        <v>3.5600000000000023</v>
      </c>
    </row>
    <row r="1426" spans="2:13" x14ac:dyDescent="0.25">
      <c r="B1426" s="42">
        <f t="shared" si="88"/>
        <v>11</v>
      </c>
      <c r="C1426" s="42">
        <f t="shared" si="89"/>
        <v>6</v>
      </c>
      <c r="D1426" s="42">
        <f t="shared" si="90"/>
        <v>2021</v>
      </c>
      <c r="E1426" s="43">
        <v>44358</v>
      </c>
      <c r="F1426" s="42">
        <v>67.11</v>
      </c>
      <c r="G1426" s="42">
        <v>67.34</v>
      </c>
      <c r="H1426" s="42">
        <v>66.94</v>
      </c>
      <c r="I1426" s="42">
        <v>70.790000000000006</v>
      </c>
      <c r="J1426" s="42">
        <v>72.73</v>
      </c>
      <c r="K1426" s="42">
        <v>70.91</v>
      </c>
      <c r="L1426" s="42">
        <v>72.91</v>
      </c>
      <c r="M1426" s="42">
        <f t="shared" si="91"/>
        <v>3.7999999999999972</v>
      </c>
    </row>
    <row r="1427" spans="2:13" x14ac:dyDescent="0.25">
      <c r="B1427" s="42">
        <f t="shared" si="88"/>
        <v>14</v>
      </c>
      <c r="C1427" s="42">
        <f t="shared" si="89"/>
        <v>6</v>
      </c>
      <c r="D1427" s="42">
        <f t="shared" si="90"/>
        <v>2021</v>
      </c>
      <c r="E1427" s="43">
        <v>44361</v>
      </c>
      <c r="F1427" s="42">
        <v>67.239999999999995</v>
      </c>
      <c r="G1427" s="42">
        <v>67.38</v>
      </c>
      <c r="H1427" s="42">
        <v>66.98</v>
      </c>
      <c r="I1427" s="42">
        <v>70.83</v>
      </c>
      <c r="J1427" s="42">
        <v>73.31</v>
      </c>
      <c r="K1427" s="42">
        <v>70.88</v>
      </c>
      <c r="L1427" s="42">
        <v>72.83</v>
      </c>
      <c r="M1427" s="42">
        <f t="shared" si="91"/>
        <v>3.6400000000000006</v>
      </c>
    </row>
    <row r="1428" spans="2:13" x14ac:dyDescent="0.25">
      <c r="B1428" s="42">
        <f t="shared" si="88"/>
        <v>15</v>
      </c>
      <c r="C1428" s="42">
        <f t="shared" si="89"/>
        <v>6</v>
      </c>
      <c r="D1428" s="42">
        <f t="shared" si="90"/>
        <v>2021</v>
      </c>
      <c r="E1428" s="43">
        <v>44362</v>
      </c>
      <c r="F1428" s="42">
        <v>68.209999999999994</v>
      </c>
      <c r="G1428" s="42">
        <v>68.58</v>
      </c>
      <c r="H1428" s="42">
        <v>68.180000000000007</v>
      </c>
      <c r="I1428" s="42">
        <v>72.03</v>
      </c>
      <c r="J1428" s="42">
        <v>73.760000000000005</v>
      </c>
      <c r="K1428" s="42">
        <v>72.12</v>
      </c>
      <c r="L1428" s="42">
        <v>74.12</v>
      </c>
      <c r="M1428" s="42">
        <f t="shared" si="91"/>
        <v>3.9100000000000108</v>
      </c>
    </row>
    <row r="1429" spans="2:13" x14ac:dyDescent="0.25">
      <c r="B1429" s="42">
        <f t="shared" si="88"/>
        <v>16</v>
      </c>
      <c r="C1429" s="42">
        <f t="shared" si="89"/>
        <v>6</v>
      </c>
      <c r="D1429" s="42">
        <f t="shared" si="90"/>
        <v>2021</v>
      </c>
      <c r="E1429" s="43">
        <v>44363</v>
      </c>
      <c r="F1429" s="42">
        <v>68.569999999999993</v>
      </c>
      <c r="G1429" s="42">
        <v>68.77</v>
      </c>
      <c r="H1429" s="42">
        <v>68.37</v>
      </c>
      <c r="I1429" s="42">
        <v>72.22</v>
      </c>
      <c r="J1429" s="42">
        <v>75.06</v>
      </c>
      <c r="K1429" s="42">
        <v>72.150000000000006</v>
      </c>
      <c r="L1429" s="42">
        <v>74</v>
      </c>
      <c r="M1429" s="42">
        <f t="shared" si="91"/>
        <v>3.5800000000000125</v>
      </c>
    </row>
    <row r="1430" spans="2:13" x14ac:dyDescent="0.25">
      <c r="B1430" s="42">
        <f t="shared" si="88"/>
        <v>17</v>
      </c>
      <c r="C1430" s="42">
        <f t="shared" si="89"/>
        <v>6</v>
      </c>
      <c r="D1430" s="42">
        <f t="shared" si="90"/>
        <v>2021</v>
      </c>
      <c r="E1430" s="43">
        <v>44364</v>
      </c>
      <c r="F1430" s="42">
        <v>67.44</v>
      </c>
      <c r="G1430" s="42">
        <v>67.59</v>
      </c>
      <c r="H1430" s="42">
        <v>67.19</v>
      </c>
      <c r="I1430" s="42">
        <v>71.040000000000006</v>
      </c>
      <c r="J1430" s="42">
        <v>73.209999999999994</v>
      </c>
      <c r="K1430" s="42">
        <v>71.040000000000006</v>
      </c>
      <c r="L1430" s="42">
        <v>72.790000000000006</v>
      </c>
      <c r="M1430" s="42">
        <f t="shared" si="91"/>
        <v>3.6000000000000085</v>
      </c>
    </row>
    <row r="1431" spans="2:13" x14ac:dyDescent="0.25">
      <c r="B1431" s="42">
        <f t="shared" si="88"/>
        <v>18</v>
      </c>
      <c r="C1431" s="42">
        <f t="shared" si="89"/>
        <v>6</v>
      </c>
      <c r="D1431" s="42">
        <f t="shared" si="90"/>
        <v>2021</v>
      </c>
      <c r="E1431" s="43">
        <v>44365</v>
      </c>
      <c r="F1431" s="42">
        <v>67.55</v>
      </c>
      <c r="G1431" s="42">
        <v>67.900000000000006</v>
      </c>
      <c r="H1431" s="42">
        <v>67.5</v>
      </c>
      <c r="I1431" s="42">
        <v>71.349999999999994</v>
      </c>
      <c r="J1431" s="42">
        <v>73.64</v>
      </c>
      <c r="K1431" s="42">
        <v>71.64</v>
      </c>
      <c r="L1431" s="42">
        <v>73.040000000000006</v>
      </c>
      <c r="M1431" s="42">
        <f t="shared" si="91"/>
        <v>4.0900000000000034</v>
      </c>
    </row>
    <row r="1432" spans="2:13" x14ac:dyDescent="0.25">
      <c r="B1432" s="42">
        <f t="shared" si="88"/>
        <v>21</v>
      </c>
      <c r="C1432" s="42">
        <f t="shared" si="89"/>
        <v>6</v>
      </c>
      <c r="D1432" s="42">
        <f t="shared" si="90"/>
        <v>2021</v>
      </c>
      <c r="E1432" s="43">
        <v>44368</v>
      </c>
      <c r="F1432" s="42">
        <v>69.03</v>
      </c>
      <c r="G1432" s="42">
        <v>69.64</v>
      </c>
      <c r="H1432" s="42">
        <v>69.239999999999995</v>
      </c>
      <c r="I1432" s="42">
        <v>73.09</v>
      </c>
      <c r="J1432" s="42">
        <v>74.45</v>
      </c>
      <c r="K1432" s="42">
        <v>73.66</v>
      </c>
      <c r="L1432" s="42">
        <v>74.260000000000005</v>
      </c>
      <c r="M1432" s="42">
        <f t="shared" si="91"/>
        <v>4.6299999999999955</v>
      </c>
    </row>
    <row r="1433" spans="2:13" x14ac:dyDescent="0.25">
      <c r="B1433" s="42">
        <f t="shared" si="88"/>
        <v>22</v>
      </c>
      <c r="C1433" s="42">
        <f t="shared" si="89"/>
        <v>6</v>
      </c>
      <c r="D1433" s="42">
        <f t="shared" si="90"/>
        <v>2021</v>
      </c>
      <c r="E1433" s="43">
        <v>44369</v>
      </c>
      <c r="F1433" s="42">
        <v>68.86</v>
      </c>
      <c r="G1433" s="42">
        <v>69.12</v>
      </c>
      <c r="H1433" s="42">
        <v>68.72</v>
      </c>
      <c r="I1433" s="42">
        <v>72.569999999999993</v>
      </c>
      <c r="J1433" s="42">
        <v>74.83</v>
      </c>
      <c r="K1433" s="42">
        <v>73.06</v>
      </c>
      <c r="L1433" s="42">
        <v>73.61</v>
      </c>
      <c r="M1433" s="42">
        <f t="shared" si="91"/>
        <v>4.2000000000000028</v>
      </c>
    </row>
    <row r="1434" spans="2:13" x14ac:dyDescent="0.25">
      <c r="B1434" s="42">
        <f t="shared" si="88"/>
        <v>23</v>
      </c>
      <c r="C1434" s="42">
        <f t="shared" si="89"/>
        <v>6</v>
      </c>
      <c r="D1434" s="42">
        <f t="shared" si="90"/>
        <v>2021</v>
      </c>
      <c r="E1434" s="43">
        <v>44370</v>
      </c>
      <c r="F1434" s="42">
        <v>69.31</v>
      </c>
      <c r="G1434" s="42">
        <v>69.42</v>
      </c>
      <c r="H1434" s="42">
        <v>69.02</v>
      </c>
      <c r="I1434" s="42">
        <v>72.87</v>
      </c>
      <c r="J1434" s="42">
        <v>75.69</v>
      </c>
      <c r="K1434" s="42">
        <v>73.319999999999993</v>
      </c>
      <c r="L1434" s="42">
        <v>73.87</v>
      </c>
      <c r="M1434" s="42">
        <f t="shared" si="91"/>
        <v>4.0099999999999909</v>
      </c>
    </row>
    <row r="1435" spans="2:13" x14ac:dyDescent="0.25">
      <c r="B1435" s="42">
        <f t="shared" si="88"/>
        <v>24</v>
      </c>
      <c r="C1435" s="42">
        <f t="shared" si="89"/>
        <v>6</v>
      </c>
      <c r="D1435" s="42">
        <f t="shared" si="90"/>
        <v>2021</v>
      </c>
      <c r="E1435" s="43">
        <v>44371</v>
      </c>
      <c r="F1435" s="42">
        <v>69.599999999999994</v>
      </c>
      <c r="G1435" s="42">
        <v>69.760000000000005</v>
      </c>
      <c r="H1435" s="42">
        <v>69.36</v>
      </c>
      <c r="I1435" s="42">
        <v>73.209999999999994</v>
      </c>
      <c r="J1435" s="42">
        <v>75.47</v>
      </c>
      <c r="K1435" s="42">
        <v>73.540000000000006</v>
      </c>
      <c r="L1435" s="42">
        <v>74.19</v>
      </c>
      <c r="M1435" s="42">
        <f t="shared" si="91"/>
        <v>3.9400000000000119</v>
      </c>
    </row>
    <row r="1436" spans="2:13" x14ac:dyDescent="0.25">
      <c r="B1436" s="42">
        <f t="shared" si="88"/>
        <v>25</v>
      </c>
      <c r="C1436" s="42">
        <f t="shared" si="89"/>
        <v>6</v>
      </c>
      <c r="D1436" s="42">
        <f t="shared" si="90"/>
        <v>2021</v>
      </c>
      <c r="E1436" s="43">
        <v>44372</v>
      </c>
      <c r="F1436" s="42">
        <v>69.599999999999994</v>
      </c>
      <c r="G1436" s="42">
        <v>70.5</v>
      </c>
      <c r="H1436" s="42">
        <v>70.099999999999994</v>
      </c>
      <c r="I1436" s="42">
        <v>73.95</v>
      </c>
      <c r="J1436" s="42">
        <v>75.95</v>
      </c>
      <c r="K1436" s="42">
        <v>74.239999999999995</v>
      </c>
      <c r="L1436" s="42">
        <v>74.989999999999995</v>
      </c>
      <c r="M1436" s="42">
        <f t="shared" si="91"/>
        <v>4.6400000000000006</v>
      </c>
    </row>
    <row r="1437" spans="2:13" x14ac:dyDescent="0.25">
      <c r="B1437" s="42">
        <f t="shared" si="88"/>
        <v>28</v>
      </c>
      <c r="C1437" s="42">
        <f t="shared" si="89"/>
        <v>6</v>
      </c>
      <c r="D1437" s="42">
        <f t="shared" si="90"/>
        <v>2021</v>
      </c>
      <c r="E1437" s="43">
        <v>44375</v>
      </c>
      <c r="F1437" s="42">
        <v>69.03</v>
      </c>
      <c r="G1437" s="42">
        <v>69.069999999999993</v>
      </c>
      <c r="H1437" s="42">
        <v>68.67</v>
      </c>
      <c r="I1437" s="42">
        <v>72.52</v>
      </c>
      <c r="J1437" s="42">
        <v>75.209999999999994</v>
      </c>
      <c r="K1437" s="42">
        <v>72.91</v>
      </c>
      <c r="L1437" s="42">
        <v>73.86</v>
      </c>
      <c r="M1437" s="42">
        <f t="shared" si="91"/>
        <v>3.8799999999999955</v>
      </c>
    </row>
    <row r="1438" spans="2:13" x14ac:dyDescent="0.25">
      <c r="B1438" s="42">
        <f t="shared" si="88"/>
        <v>29</v>
      </c>
      <c r="C1438" s="42">
        <f t="shared" si="89"/>
        <v>6</v>
      </c>
      <c r="D1438" s="42">
        <f t="shared" si="90"/>
        <v>2021</v>
      </c>
      <c r="E1438" s="43">
        <v>44376</v>
      </c>
      <c r="F1438" s="42">
        <v>68.89</v>
      </c>
      <c r="G1438" s="42">
        <v>69.150000000000006</v>
      </c>
      <c r="H1438" s="42">
        <v>68.75</v>
      </c>
      <c r="I1438" s="42">
        <v>72.599999999999994</v>
      </c>
      <c r="J1438" s="42">
        <v>75.28</v>
      </c>
      <c r="K1438" s="42">
        <v>72.98</v>
      </c>
      <c r="L1438" s="42">
        <v>73.930000000000007</v>
      </c>
      <c r="M1438" s="42">
        <f t="shared" si="91"/>
        <v>4.0900000000000034</v>
      </c>
    </row>
    <row r="1439" spans="2:13" x14ac:dyDescent="0.25">
      <c r="B1439" s="42">
        <f t="shared" si="88"/>
        <v>30</v>
      </c>
      <c r="C1439" s="42">
        <f t="shared" si="89"/>
        <v>6</v>
      </c>
      <c r="D1439" s="42">
        <f t="shared" si="90"/>
        <v>2021</v>
      </c>
      <c r="E1439" s="43">
        <v>44377</v>
      </c>
      <c r="F1439" s="42">
        <v>69.3</v>
      </c>
      <c r="G1439" s="42">
        <v>69.63</v>
      </c>
      <c r="H1439" s="42">
        <v>69.23</v>
      </c>
      <c r="I1439" s="42">
        <v>73.08</v>
      </c>
      <c r="J1439" s="42">
        <v>74.92</v>
      </c>
      <c r="K1439" s="42">
        <v>73.47</v>
      </c>
      <c r="L1439" s="42">
        <v>74.319999999999993</v>
      </c>
      <c r="M1439" s="42">
        <f t="shared" si="91"/>
        <v>4.1700000000000017</v>
      </c>
    </row>
    <row r="1440" spans="2:13" x14ac:dyDescent="0.25">
      <c r="B1440" s="42">
        <f t="shared" si="88"/>
        <v>1</v>
      </c>
      <c r="C1440" s="42">
        <f t="shared" si="89"/>
        <v>7</v>
      </c>
      <c r="D1440" s="42">
        <f t="shared" si="90"/>
        <v>2021</v>
      </c>
      <c r="E1440" s="43">
        <v>44378</v>
      </c>
      <c r="F1440" s="42">
        <v>70.569999999999993</v>
      </c>
      <c r="G1440" s="42">
        <v>71.09</v>
      </c>
      <c r="H1440" s="42">
        <v>70.739999999999995</v>
      </c>
      <c r="I1440" s="42">
        <v>74.39</v>
      </c>
      <c r="J1440" s="42">
        <v>75.88</v>
      </c>
      <c r="K1440" s="42">
        <v>75.23</v>
      </c>
      <c r="L1440" s="42">
        <v>76.03</v>
      </c>
      <c r="M1440" s="42">
        <f t="shared" si="91"/>
        <v>4.6600000000000108</v>
      </c>
    </row>
    <row r="1441" spans="2:13" x14ac:dyDescent="0.25">
      <c r="B1441" s="42">
        <f t="shared" si="88"/>
        <v>2</v>
      </c>
      <c r="C1441" s="42">
        <f t="shared" si="89"/>
        <v>7</v>
      </c>
      <c r="D1441" s="42">
        <f t="shared" si="90"/>
        <v>2021</v>
      </c>
      <c r="E1441" s="43">
        <v>44379</v>
      </c>
      <c r="F1441" s="42">
        <v>70.760000000000005</v>
      </c>
      <c r="G1441" s="42">
        <v>71.16</v>
      </c>
      <c r="H1441" s="42">
        <v>70.81</v>
      </c>
      <c r="I1441" s="42">
        <v>74.459999999999994</v>
      </c>
      <c r="J1441" s="42">
        <v>76.22</v>
      </c>
      <c r="K1441" s="42">
        <v>75.16</v>
      </c>
      <c r="L1441" s="42">
        <v>75.959999999999994</v>
      </c>
      <c r="M1441" s="42">
        <f t="shared" si="91"/>
        <v>4.3999999999999915</v>
      </c>
    </row>
    <row r="1442" spans="2:13" x14ac:dyDescent="0.25">
      <c r="B1442" s="42">
        <f t="shared" si="88"/>
        <v>5</v>
      </c>
      <c r="C1442" s="42">
        <f t="shared" si="89"/>
        <v>7</v>
      </c>
      <c r="D1442" s="42">
        <f t="shared" si="90"/>
        <v>2021</v>
      </c>
      <c r="E1442" s="43">
        <v>44382</v>
      </c>
      <c r="F1442" s="42">
        <v>70.760000000000005</v>
      </c>
      <c r="G1442" s="42">
        <v>71.16</v>
      </c>
      <c r="H1442" s="42">
        <v>70.81</v>
      </c>
      <c r="I1442" s="42">
        <v>74.459999999999994</v>
      </c>
      <c r="J1442" s="42">
        <v>77.09</v>
      </c>
      <c r="K1442" s="42">
        <v>75.16</v>
      </c>
      <c r="L1442" s="42">
        <v>75.959999999999994</v>
      </c>
      <c r="M1442" s="42">
        <f t="shared" si="91"/>
        <v>4.3999999999999915</v>
      </c>
    </row>
    <row r="1443" spans="2:13" x14ac:dyDescent="0.25">
      <c r="B1443" s="42">
        <f t="shared" si="88"/>
        <v>6</v>
      </c>
      <c r="C1443" s="42">
        <f t="shared" si="89"/>
        <v>7</v>
      </c>
      <c r="D1443" s="42">
        <f t="shared" si="90"/>
        <v>2021</v>
      </c>
      <c r="E1443" s="43">
        <v>44383</v>
      </c>
      <c r="F1443" s="42">
        <v>69.430000000000007</v>
      </c>
      <c r="G1443" s="42">
        <v>69.489999999999995</v>
      </c>
      <c r="H1443" s="42">
        <v>69.14</v>
      </c>
      <c r="I1443" s="42">
        <v>72.790000000000006</v>
      </c>
      <c r="J1443" s="42">
        <v>74.89</v>
      </c>
      <c r="K1443" s="42">
        <v>73.37</v>
      </c>
      <c r="L1443" s="42">
        <v>74.17</v>
      </c>
      <c r="M1443" s="42">
        <f t="shared" si="91"/>
        <v>3.9399999999999977</v>
      </c>
    </row>
    <row r="1444" spans="2:13" x14ac:dyDescent="0.25">
      <c r="B1444" s="42">
        <f t="shared" si="88"/>
        <v>7</v>
      </c>
      <c r="C1444" s="42">
        <f t="shared" si="89"/>
        <v>7</v>
      </c>
      <c r="D1444" s="42">
        <f t="shared" si="90"/>
        <v>2021</v>
      </c>
      <c r="E1444" s="43">
        <v>44384</v>
      </c>
      <c r="F1444" s="42">
        <v>68.13</v>
      </c>
      <c r="G1444" s="42">
        <v>68.34</v>
      </c>
      <c r="H1444" s="42">
        <v>67.989999999999995</v>
      </c>
      <c r="I1444" s="42">
        <v>71.64</v>
      </c>
      <c r="J1444" s="42">
        <v>73.08</v>
      </c>
      <c r="K1444" s="42">
        <v>72.2</v>
      </c>
      <c r="L1444" s="42">
        <v>73</v>
      </c>
      <c r="M1444" s="42">
        <f t="shared" si="91"/>
        <v>4.0700000000000074</v>
      </c>
    </row>
    <row r="1445" spans="2:13" x14ac:dyDescent="0.25">
      <c r="B1445" s="42">
        <f t="shared" si="88"/>
        <v>8</v>
      </c>
      <c r="C1445" s="42">
        <f t="shared" si="89"/>
        <v>7</v>
      </c>
      <c r="D1445" s="42">
        <f t="shared" si="90"/>
        <v>2021</v>
      </c>
      <c r="E1445" s="43">
        <v>44385</v>
      </c>
      <c r="F1445" s="42">
        <v>68.53</v>
      </c>
      <c r="G1445" s="42">
        <v>69.06</v>
      </c>
      <c r="H1445" s="42">
        <v>68.709999999999994</v>
      </c>
      <c r="I1445" s="42">
        <v>72.36</v>
      </c>
      <c r="J1445" s="42">
        <v>73.69</v>
      </c>
      <c r="K1445" s="42">
        <v>72.94</v>
      </c>
      <c r="L1445" s="42">
        <v>73.739999999999995</v>
      </c>
      <c r="M1445" s="42">
        <f t="shared" si="91"/>
        <v>4.4099999999999966</v>
      </c>
    </row>
    <row r="1446" spans="2:13" x14ac:dyDescent="0.25">
      <c r="B1446" s="42">
        <f t="shared" si="88"/>
        <v>9</v>
      </c>
      <c r="C1446" s="42">
        <f t="shared" si="89"/>
        <v>7</v>
      </c>
      <c r="D1446" s="42">
        <f t="shared" si="90"/>
        <v>2021</v>
      </c>
      <c r="E1446" s="43">
        <v>44386</v>
      </c>
      <c r="F1446" s="42">
        <v>70.05</v>
      </c>
      <c r="G1446" s="42">
        <v>70.52</v>
      </c>
      <c r="H1446" s="42">
        <v>70.17</v>
      </c>
      <c r="I1446" s="42">
        <v>73.819999999999993</v>
      </c>
      <c r="J1446" s="42">
        <v>75.86</v>
      </c>
      <c r="K1446" s="42">
        <v>74.56</v>
      </c>
      <c r="L1446" s="42">
        <v>75.209999999999994</v>
      </c>
      <c r="M1446" s="42">
        <f t="shared" si="91"/>
        <v>4.5100000000000051</v>
      </c>
    </row>
    <row r="1447" spans="2:13" x14ac:dyDescent="0.25">
      <c r="B1447" s="42">
        <f t="shared" si="88"/>
        <v>12</v>
      </c>
      <c r="C1447" s="42">
        <f t="shared" si="89"/>
        <v>7</v>
      </c>
      <c r="D1447" s="42">
        <f t="shared" si="90"/>
        <v>2021</v>
      </c>
      <c r="E1447" s="43">
        <v>44389</v>
      </c>
      <c r="F1447" s="42">
        <v>69.7</v>
      </c>
      <c r="G1447" s="42">
        <v>70.05</v>
      </c>
      <c r="H1447" s="42">
        <v>69.7</v>
      </c>
      <c r="I1447" s="42">
        <v>73.349999999999994</v>
      </c>
      <c r="J1447" s="42">
        <v>75.3</v>
      </c>
      <c r="K1447" s="42">
        <v>74.099999999999994</v>
      </c>
      <c r="L1447" s="42">
        <v>74.75</v>
      </c>
      <c r="M1447" s="42">
        <f t="shared" si="91"/>
        <v>4.3999999999999915</v>
      </c>
    </row>
    <row r="1448" spans="2:13" x14ac:dyDescent="0.25">
      <c r="B1448" s="42">
        <f t="shared" si="88"/>
        <v>13</v>
      </c>
      <c r="C1448" s="42">
        <f t="shared" si="89"/>
        <v>7</v>
      </c>
      <c r="D1448" s="42">
        <f t="shared" si="90"/>
        <v>2021</v>
      </c>
      <c r="E1448" s="43">
        <v>44390</v>
      </c>
      <c r="F1448" s="42">
        <v>70.930000000000007</v>
      </c>
      <c r="G1448" s="42">
        <v>71.3</v>
      </c>
      <c r="H1448" s="42">
        <v>70.95</v>
      </c>
      <c r="I1448" s="42">
        <v>74.599999999999994</v>
      </c>
      <c r="J1448" s="42">
        <v>75.959999999999994</v>
      </c>
      <c r="K1448" s="42">
        <v>75.25</v>
      </c>
      <c r="L1448" s="42">
        <v>75.900000000000006</v>
      </c>
      <c r="M1448" s="42">
        <f t="shared" si="91"/>
        <v>4.3199999999999932</v>
      </c>
    </row>
    <row r="1449" spans="2:13" x14ac:dyDescent="0.25">
      <c r="B1449" s="42">
        <f t="shared" si="88"/>
        <v>14</v>
      </c>
      <c r="C1449" s="42">
        <f t="shared" si="89"/>
        <v>7</v>
      </c>
      <c r="D1449" s="42">
        <f t="shared" si="90"/>
        <v>2021</v>
      </c>
      <c r="E1449" s="43">
        <v>44391</v>
      </c>
      <c r="F1449" s="42">
        <v>69.22</v>
      </c>
      <c r="G1449" s="42">
        <v>69.25</v>
      </c>
      <c r="H1449" s="42">
        <v>68.900000000000006</v>
      </c>
      <c r="I1449" s="42">
        <v>72.55</v>
      </c>
      <c r="J1449" s="42">
        <v>76.16</v>
      </c>
      <c r="K1449" s="42">
        <v>73.13</v>
      </c>
      <c r="L1449" s="42">
        <v>73.680000000000007</v>
      </c>
      <c r="M1449" s="42">
        <f t="shared" si="91"/>
        <v>3.9099999999999966</v>
      </c>
    </row>
    <row r="1450" spans="2:13" x14ac:dyDescent="0.25">
      <c r="B1450" s="42">
        <f t="shared" si="88"/>
        <v>15</v>
      </c>
      <c r="C1450" s="42">
        <f t="shared" si="89"/>
        <v>7</v>
      </c>
      <c r="D1450" s="42">
        <f t="shared" si="90"/>
        <v>2021</v>
      </c>
      <c r="E1450" s="43">
        <v>44392</v>
      </c>
      <c r="F1450" s="42">
        <v>68.53</v>
      </c>
      <c r="G1450" s="42">
        <v>67.87</v>
      </c>
      <c r="H1450" s="42">
        <v>67.52</v>
      </c>
      <c r="I1450" s="42">
        <v>71.17</v>
      </c>
      <c r="J1450" s="42">
        <v>74.55</v>
      </c>
      <c r="K1450" s="42">
        <v>71.650000000000006</v>
      </c>
      <c r="L1450" s="42">
        <v>72.25</v>
      </c>
      <c r="M1450" s="42">
        <f t="shared" si="91"/>
        <v>3.1200000000000045</v>
      </c>
    </row>
    <row r="1451" spans="2:13" x14ac:dyDescent="0.25">
      <c r="B1451" s="42">
        <f t="shared" si="88"/>
        <v>16</v>
      </c>
      <c r="C1451" s="42">
        <f t="shared" si="89"/>
        <v>7</v>
      </c>
      <c r="D1451" s="42">
        <f t="shared" si="90"/>
        <v>2021</v>
      </c>
      <c r="E1451" s="43">
        <v>44393</v>
      </c>
      <c r="F1451" s="42">
        <v>67.88</v>
      </c>
      <c r="G1451" s="42">
        <v>68.05</v>
      </c>
      <c r="H1451" s="42">
        <v>67.7</v>
      </c>
      <c r="I1451" s="42">
        <v>71.349999999999994</v>
      </c>
      <c r="J1451" s="42">
        <v>73.83</v>
      </c>
      <c r="K1451" s="42">
        <v>71.81</v>
      </c>
      <c r="L1451" s="42">
        <v>72.41</v>
      </c>
      <c r="M1451" s="42">
        <f t="shared" si="91"/>
        <v>3.9300000000000068</v>
      </c>
    </row>
    <row r="1452" spans="2:13" x14ac:dyDescent="0.25">
      <c r="B1452" s="42">
        <f t="shared" si="88"/>
        <v>19</v>
      </c>
      <c r="C1452" s="42">
        <f t="shared" si="89"/>
        <v>7</v>
      </c>
      <c r="D1452" s="42">
        <f t="shared" si="90"/>
        <v>2021</v>
      </c>
      <c r="E1452" s="43">
        <v>44396</v>
      </c>
      <c r="F1452" s="42">
        <v>63.13</v>
      </c>
      <c r="G1452" s="42">
        <v>62.8</v>
      </c>
      <c r="H1452" s="42">
        <v>62.45</v>
      </c>
      <c r="I1452" s="42">
        <v>66.099999999999994</v>
      </c>
      <c r="J1452" s="42">
        <v>69.150000000000006</v>
      </c>
      <c r="K1452" s="42">
        <v>66.42</v>
      </c>
      <c r="L1452" s="42">
        <v>66.87</v>
      </c>
      <c r="M1452" s="42">
        <f t="shared" si="91"/>
        <v>3.2899999999999991</v>
      </c>
    </row>
    <row r="1453" spans="2:13" x14ac:dyDescent="0.25">
      <c r="B1453" s="42">
        <f t="shared" si="88"/>
        <v>20</v>
      </c>
      <c r="C1453" s="42">
        <f t="shared" si="89"/>
        <v>7</v>
      </c>
      <c r="D1453" s="42">
        <f t="shared" si="90"/>
        <v>2021</v>
      </c>
      <c r="E1453" s="43">
        <v>44397</v>
      </c>
      <c r="F1453" s="42">
        <v>63.13</v>
      </c>
      <c r="G1453" s="42">
        <v>63.64</v>
      </c>
      <c r="H1453" s="42">
        <v>63.29</v>
      </c>
      <c r="I1453" s="42">
        <v>66.94</v>
      </c>
      <c r="J1453" s="42">
        <v>69.239999999999995</v>
      </c>
      <c r="K1453" s="42">
        <v>67.42</v>
      </c>
      <c r="L1453" s="42">
        <v>67.819999999999993</v>
      </c>
      <c r="M1453" s="42">
        <f t="shared" si="91"/>
        <v>4.2899999999999991</v>
      </c>
    </row>
    <row r="1454" spans="2:13" x14ac:dyDescent="0.25">
      <c r="B1454" s="42">
        <f t="shared" si="88"/>
        <v>21</v>
      </c>
      <c r="C1454" s="42">
        <f t="shared" si="89"/>
        <v>7</v>
      </c>
      <c r="D1454" s="42">
        <f t="shared" si="90"/>
        <v>2021</v>
      </c>
      <c r="E1454" s="43">
        <v>44398</v>
      </c>
      <c r="F1454" s="42">
        <v>66.33</v>
      </c>
      <c r="G1454" s="42">
        <v>66.69</v>
      </c>
      <c r="H1454" s="42">
        <v>66.34</v>
      </c>
      <c r="I1454" s="42">
        <v>69.989999999999995</v>
      </c>
      <c r="J1454" s="42">
        <v>71.95</v>
      </c>
      <c r="K1454" s="42">
        <v>70.5</v>
      </c>
      <c r="L1454" s="42">
        <v>70.95</v>
      </c>
      <c r="M1454" s="42">
        <f t="shared" si="91"/>
        <v>4.1700000000000017</v>
      </c>
    </row>
    <row r="1455" spans="2:13" x14ac:dyDescent="0.25">
      <c r="B1455" s="42">
        <f t="shared" si="88"/>
        <v>22</v>
      </c>
      <c r="C1455" s="42">
        <f t="shared" si="89"/>
        <v>7</v>
      </c>
      <c r="D1455" s="42">
        <f t="shared" si="90"/>
        <v>2021</v>
      </c>
      <c r="E1455" s="43">
        <v>44399</v>
      </c>
      <c r="F1455" s="42">
        <v>67.98</v>
      </c>
      <c r="G1455" s="42">
        <v>68.349999999999994</v>
      </c>
      <c r="H1455" s="42">
        <v>68</v>
      </c>
      <c r="I1455" s="42">
        <v>71.650000000000006</v>
      </c>
      <c r="J1455" s="42">
        <v>72.89</v>
      </c>
      <c r="K1455" s="42">
        <v>72.12</v>
      </c>
      <c r="L1455" s="42">
        <v>72.52</v>
      </c>
      <c r="M1455" s="42">
        <f t="shared" si="91"/>
        <v>4.1400000000000006</v>
      </c>
    </row>
    <row r="1456" spans="2:13" x14ac:dyDescent="0.25">
      <c r="B1456" s="42">
        <f t="shared" si="88"/>
        <v>23</v>
      </c>
      <c r="C1456" s="42">
        <f t="shared" si="89"/>
        <v>7</v>
      </c>
      <c r="D1456" s="42">
        <f t="shared" si="90"/>
        <v>2021</v>
      </c>
      <c r="E1456" s="43">
        <v>44400</v>
      </c>
      <c r="F1456" s="42">
        <v>68.34</v>
      </c>
      <c r="G1456" s="42">
        <v>68.56</v>
      </c>
      <c r="H1456" s="42">
        <v>68.209999999999994</v>
      </c>
      <c r="I1456" s="42">
        <v>71.86</v>
      </c>
      <c r="J1456" s="42">
        <v>73.790000000000006</v>
      </c>
      <c r="K1456" s="42">
        <v>72.28</v>
      </c>
      <c r="L1456" s="42">
        <v>72.680000000000007</v>
      </c>
      <c r="M1456" s="42">
        <f t="shared" si="91"/>
        <v>3.9399999999999977</v>
      </c>
    </row>
    <row r="1457" spans="2:13" x14ac:dyDescent="0.25">
      <c r="B1457" s="42">
        <f t="shared" si="88"/>
        <v>26</v>
      </c>
      <c r="C1457" s="42">
        <f t="shared" si="89"/>
        <v>7</v>
      </c>
      <c r="D1457" s="42">
        <f t="shared" si="90"/>
        <v>2021</v>
      </c>
      <c r="E1457" s="43">
        <v>44403</v>
      </c>
      <c r="F1457" s="42">
        <v>68.33</v>
      </c>
      <c r="G1457" s="42">
        <v>68.459999999999994</v>
      </c>
      <c r="H1457" s="42">
        <v>68.11</v>
      </c>
      <c r="I1457" s="42">
        <v>71.760000000000005</v>
      </c>
      <c r="J1457" s="42">
        <v>74.180000000000007</v>
      </c>
      <c r="K1457" s="42">
        <v>71.91</v>
      </c>
      <c r="L1457" s="42">
        <v>72.459999999999994</v>
      </c>
      <c r="M1457" s="42">
        <f t="shared" si="91"/>
        <v>3.5799999999999983</v>
      </c>
    </row>
    <row r="1458" spans="2:13" x14ac:dyDescent="0.25">
      <c r="B1458" s="42">
        <f t="shared" si="88"/>
        <v>27</v>
      </c>
      <c r="C1458" s="42">
        <f t="shared" si="89"/>
        <v>7</v>
      </c>
      <c r="D1458" s="42">
        <f t="shared" si="90"/>
        <v>2021</v>
      </c>
      <c r="E1458" s="43">
        <v>44404</v>
      </c>
      <c r="F1458" s="42">
        <v>68.319999999999993</v>
      </c>
      <c r="G1458" s="42">
        <v>68.290000000000006</v>
      </c>
      <c r="H1458" s="42">
        <v>67.94</v>
      </c>
      <c r="I1458" s="42">
        <v>71.59</v>
      </c>
      <c r="J1458" s="42">
        <v>74.569999999999993</v>
      </c>
      <c r="K1458" s="42">
        <v>71.650000000000006</v>
      </c>
      <c r="L1458" s="42">
        <v>72.2</v>
      </c>
      <c r="M1458" s="42">
        <f t="shared" si="91"/>
        <v>3.3300000000000125</v>
      </c>
    </row>
    <row r="1459" spans="2:13" x14ac:dyDescent="0.25">
      <c r="B1459" s="42">
        <f t="shared" si="88"/>
        <v>28</v>
      </c>
      <c r="C1459" s="42">
        <f t="shared" si="89"/>
        <v>7</v>
      </c>
      <c r="D1459" s="42">
        <f t="shared" si="90"/>
        <v>2021</v>
      </c>
      <c r="E1459" s="43">
        <v>44405</v>
      </c>
      <c r="F1459" s="42">
        <v>68.73</v>
      </c>
      <c r="G1459" s="42">
        <v>68.790000000000006</v>
      </c>
      <c r="H1459" s="42">
        <v>68.44</v>
      </c>
      <c r="I1459" s="42">
        <v>72.09</v>
      </c>
      <c r="J1459" s="42">
        <v>74.72</v>
      </c>
      <c r="K1459" s="42">
        <v>72.39</v>
      </c>
      <c r="L1459" s="42">
        <v>72.89</v>
      </c>
      <c r="M1459" s="42">
        <f t="shared" si="91"/>
        <v>3.6599999999999966</v>
      </c>
    </row>
    <row r="1460" spans="2:13" x14ac:dyDescent="0.25">
      <c r="B1460" s="42">
        <f t="shared" si="88"/>
        <v>29</v>
      </c>
      <c r="C1460" s="42">
        <f t="shared" si="89"/>
        <v>7</v>
      </c>
      <c r="D1460" s="42">
        <f t="shared" si="90"/>
        <v>2021</v>
      </c>
      <c r="E1460" s="43">
        <v>44406</v>
      </c>
      <c r="F1460" s="42">
        <v>69.959999999999994</v>
      </c>
      <c r="G1460" s="42">
        <v>70.08</v>
      </c>
      <c r="H1460" s="42">
        <v>69.73</v>
      </c>
      <c r="I1460" s="42">
        <v>73.38</v>
      </c>
      <c r="J1460" s="42">
        <v>75.56</v>
      </c>
      <c r="K1460" s="42">
        <v>73.62</v>
      </c>
      <c r="L1460" s="42">
        <v>74.17</v>
      </c>
      <c r="M1460" s="42">
        <f t="shared" si="91"/>
        <v>3.6600000000000108</v>
      </c>
    </row>
    <row r="1461" spans="2:13" x14ac:dyDescent="0.25">
      <c r="B1461" s="42">
        <f t="shared" si="88"/>
        <v>30</v>
      </c>
      <c r="C1461" s="42">
        <f t="shared" si="89"/>
        <v>7</v>
      </c>
      <c r="D1461" s="42">
        <f t="shared" si="90"/>
        <v>2021</v>
      </c>
      <c r="E1461" s="43">
        <v>44407</v>
      </c>
      <c r="F1461" s="42">
        <v>70.27</v>
      </c>
      <c r="G1461" s="42">
        <v>70.400000000000006</v>
      </c>
      <c r="H1461" s="42">
        <v>70.05</v>
      </c>
      <c r="I1461" s="42">
        <v>73.7</v>
      </c>
      <c r="J1461" s="42">
        <v>76.349999999999994</v>
      </c>
      <c r="K1461" s="42">
        <v>73.95</v>
      </c>
      <c r="L1461" s="42">
        <v>74.45</v>
      </c>
      <c r="M1461" s="42">
        <f t="shared" si="91"/>
        <v>3.6800000000000068</v>
      </c>
    </row>
    <row r="1462" spans="2:13" x14ac:dyDescent="0.25">
      <c r="B1462" s="42">
        <f t="shared" si="88"/>
        <v>2</v>
      </c>
      <c r="C1462" s="42">
        <f t="shared" si="89"/>
        <v>8</v>
      </c>
      <c r="D1462" s="42">
        <f t="shared" si="90"/>
        <v>2021</v>
      </c>
      <c r="E1462" s="43">
        <v>44410</v>
      </c>
      <c r="F1462" s="42">
        <v>67.150000000000006</v>
      </c>
      <c r="G1462" s="42">
        <v>67.64</v>
      </c>
      <c r="H1462" s="42">
        <v>66.290000000000006</v>
      </c>
      <c r="I1462" s="42">
        <v>70.64</v>
      </c>
      <c r="J1462" s="42">
        <v>73.05</v>
      </c>
      <c r="K1462" s="42">
        <v>71.260000000000005</v>
      </c>
      <c r="L1462" s="42">
        <v>71.760000000000005</v>
      </c>
      <c r="M1462" s="42">
        <f t="shared" si="91"/>
        <v>4.1099999999999994</v>
      </c>
    </row>
    <row r="1463" spans="2:13" x14ac:dyDescent="0.25">
      <c r="B1463" s="42">
        <f t="shared" si="88"/>
        <v>3</v>
      </c>
      <c r="C1463" s="42">
        <f t="shared" si="89"/>
        <v>8</v>
      </c>
      <c r="D1463" s="42">
        <f t="shared" si="90"/>
        <v>2021</v>
      </c>
      <c r="E1463" s="43">
        <v>44411</v>
      </c>
      <c r="F1463" s="42">
        <v>66.459999999999994</v>
      </c>
      <c r="G1463" s="42">
        <v>67.05</v>
      </c>
      <c r="H1463" s="42">
        <v>65.7</v>
      </c>
      <c r="I1463" s="42">
        <v>70.05</v>
      </c>
      <c r="J1463" s="42">
        <v>72.5</v>
      </c>
      <c r="K1463" s="42">
        <v>70.56</v>
      </c>
      <c r="L1463" s="42">
        <v>71.06</v>
      </c>
      <c r="M1463" s="42">
        <f t="shared" si="91"/>
        <v>4.1000000000000085</v>
      </c>
    </row>
    <row r="1464" spans="2:13" x14ac:dyDescent="0.25">
      <c r="B1464" s="42">
        <f t="shared" si="88"/>
        <v>4</v>
      </c>
      <c r="C1464" s="42">
        <f t="shared" si="89"/>
        <v>8</v>
      </c>
      <c r="D1464" s="42">
        <f t="shared" si="90"/>
        <v>2021</v>
      </c>
      <c r="E1464" s="43">
        <v>44412</v>
      </c>
      <c r="F1464" s="42">
        <v>64.55</v>
      </c>
      <c r="G1464" s="42">
        <v>64.78</v>
      </c>
      <c r="H1464" s="42">
        <v>63.43</v>
      </c>
      <c r="I1464" s="42">
        <v>67.78</v>
      </c>
      <c r="J1464" s="42">
        <v>71.3</v>
      </c>
      <c r="K1464" s="42">
        <v>68.150000000000006</v>
      </c>
      <c r="L1464" s="42">
        <v>68.650000000000006</v>
      </c>
      <c r="M1464" s="42">
        <f t="shared" si="91"/>
        <v>3.6000000000000085</v>
      </c>
    </row>
    <row r="1465" spans="2:13" x14ac:dyDescent="0.25">
      <c r="B1465" s="42">
        <f t="shared" si="88"/>
        <v>5</v>
      </c>
      <c r="C1465" s="42">
        <f t="shared" si="89"/>
        <v>8</v>
      </c>
      <c r="D1465" s="42">
        <f t="shared" si="90"/>
        <v>2021</v>
      </c>
      <c r="E1465" s="43">
        <v>44413</v>
      </c>
      <c r="F1465" s="42">
        <v>64.92</v>
      </c>
      <c r="G1465" s="42">
        <v>65.739999999999995</v>
      </c>
      <c r="H1465" s="42">
        <v>64.39</v>
      </c>
      <c r="I1465" s="42">
        <v>68.739999999999995</v>
      </c>
      <c r="J1465" s="42">
        <v>71.56</v>
      </c>
      <c r="K1465" s="42">
        <v>69.09</v>
      </c>
      <c r="L1465" s="42">
        <v>69.64</v>
      </c>
      <c r="M1465" s="42">
        <f t="shared" si="91"/>
        <v>4.1700000000000017</v>
      </c>
    </row>
    <row r="1466" spans="2:13" x14ac:dyDescent="0.25">
      <c r="B1466" s="42">
        <f t="shared" si="88"/>
        <v>6</v>
      </c>
      <c r="C1466" s="42">
        <f t="shared" si="89"/>
        <v>8</v>
      </c>
      <c r="D1466" s="42">
        <f t="shared" si="90"/>
        <v>2021</v>
      </c>
      <c r="E1466" s="43">
        <v>44414</v>
      </c>
      <c r="F1466" s="42">
        <v>64.67</v>
      </c>
      <c r="G1466" s="42">
        <v>65.069999999999993</v>
      </c>
      <c r="H1466" s="42">
        <v>63.72</v>
      </c>
      <c r="I1466" s="42">
        <v>68.069999999999993</v>
      </c>
      <c r="J1466" s="42">
        <v>71.03</v>
      </c>
      <c r="K1466" s="42">
        <v>68.28</v>
      </c>
      <c r="L1466" s="42">
        <v>68.930000000000007</v>
      </c>
      <c r="M1466" s="42">
        <f t="shared" si="91"/>
        <v>3.6099999999999994</v>
      </c>
    </row>
    <row r="1467" spans="2:13" x14ac:dyDescent="0.25">
      <c r="B1467" s="42">
        <f t="shared" si="88"/>
        <v>9</v>
      </c>
      <c r="C1467" s="42">
        <f t="shared" si="89"/>
        <v>8</v>
      </c>
      <c r="D1467" s="42">
        <f t="shared" si="90"/>
        <v>2021</v>
      </c>
      <c r="E1467" s="43">
        <v>44417</v>
      </c>
      <c r="F1467" s="42">
        <v>64.67</v>
      </c>
      <c r="G1467" s="42">
        <v>63.35</v>
      </c>
      <c r="H1467" s="42">
        <v>62</v>
      </c>
      <c r="I1467" s="42">
        <v>66.349999999999994</v>
      </c>
      <c r="J1467" s="42">
        <v>68.98</v>
      </c>
      <c r="K1467" s="42">
        <v>66.48</v>
      </c>
      <c r="L1467" s="42">
        <v>67.13</v>
      </c>
      <c r="M1467" s="42">
        <f t="shared" si="91"/>
        <v>1.8100000000000023</v>
      </c>
    </row>
    <row r="1468" spans="2:13" x14ac:dyDescent="0.25">
      <c r="B1468" s="42">
        <f t="shared" si="88"/>
        <v>10</v>
      </c>
      <c r="C1468" s="42">
        <f t="shared" si="89"/>
        <v>8</v>
      </c>
      <c r="D1468" s="42">
        <f t="shared" si="90"/>
        <v>2021</v>
      </c>
      <c r="E1468" s="43">
        <v>44418</v>
      </c>
      <c r="F1468" s="42">
        <v>64.349999999999994</v>
      </c>
      <c r="G1468" s="42">
        <v>65.05</v>
      </c>
      <c r="H1468" s="42">
        <v>63.7</v>
      </c>
      <c r="I1468" s="42">
        <v>68.05</v>
      </c>
      <c r="J1468" s="42">
        <v>71.05</v>
      </c>
      <c r="K1468" s="42">
        <v>68.290000000000006</v>
      </c>
      <c r="L1468" s="42">
        <v>69.040000000000006</v>
      </c>
      <c r="M1468" s="42">
        <f t="shared" si="91"/>
        <v>3.9400000000000119</v>
      </c>
    </row>
    <row r="1469" spans="2:13" x14ac:dyDescent="0.25">
      <c r="B1469" s="42">
        <f t="shared" si="88"/>
        <v>11</v>
      </c>
      <c r="C1469" s="42">
        <f t="shared" si="89"/>
        <v>8</v>
      </c>
      <c r="D1469" s="42">
        <f t="shared" si="90"/>
        <v>2021</v>
      </c>
      <c r="E1469" s="43">
        <v>44419</v>
      </c>
      <c r="F1469" s="42">
        <v>65.239999999999995</v>
      </c>
      <c r="G1469" s="42">
        <v>65.959999999999994</v>
      </c>
      <c r="H1469" s="42">
        <v>64.61</v>
      </c>
      <c r="I1469" s="42">
        <v>68.959999999999994</v>
      </c>
      <c r="J1469" s="42">
        <v>70.33</v>
      </c>
      <c r="K1469" s="42">
        <v>69.25</v>
      </c>
      <c r="L1469" s="42">
        <v>70</v>
      </c>
      <c r="M1469" s="42">
        <f t="shared" si="91"/>
        <v>4.0100000000000051</v>
      </c>
    </row>
    <row r="1470" spans="2:13" x14ac:dyDescent="0.25">
      <c r="B1470" s="42">
        <f t="shared" si="88"/>
        <v>12</v>
      </c>
      <c r="C1470" s="42">
        <f t="shared" si="89"/>
        <v>8</v>
      </c>
      <c r="D1470" s="42">
        <f t="shared" si="90"/>
        <v>2021</v>
      </c>
      <c r="E1470" s="43">
        <v>44420</v>
      </c>
      <c r="F1470" s="42">
        <v>65.22</v>
      </c>
      <c r="G1470" s="42">
        <v>65.81</v>
      </c>
      <c r="H1470" s="42">
        <v>64.459999999999994</v>
      </c>
      <c r="I1470" s="42">
        <v>68.81</v>
      </c>
      <c r="J1470" s="42">
        <v>71.319999999999993</v>
      </c>
      <c r="K1470" s="42">
        <v>69.09</v>
      </c>
      <c r="L1470" s="42">
        <v>69.84</v>
      </c>
      <c r="M1470" s="42">
        <f t="shared" si="91"/>
        <v>3.8700000000000045</v>
      </c>
    </row>
    <row r="1471" spans="2:13" x14ac:dyDescent="0.25">
      <c r="B1471" s="42">
        <f t="shared" si="88"/>
        <v>13</v>
      </c>
      <c r="C1471" s="42">
        <f t="shared" si="89"/>
        <v>8</v>
      </c>
      <c r="D1471" s="42">
        <f t="shared" si="90"/>
        <v>2021</v>
      </c>
      <c r="E1471" s="43">
        <v>44421</v>
      </c>
      <c r="F1471" s="42">
        <v>64.59</v>
      </c>
      <c r="G1471" s="42">
        <v>65.14</v>
      </c>
      <c r="H1471" s="42">
        <v>63.79</v>
      </c>
      <c r="I1471" s="42">
        <v>68.14</v>
      </c>
      <c r="J1471" s="42">
        <v>71.19</v>
      </c>
      <c r="K1471" s="42">
        <v>68.44</v>
      </c>
      <c r="L1471" s="42">
        <v>69.19</v>
      </c>
      <c r="M1471" s="42">
        <f t="shared" si="91"/>
        <v>3.8499999999999943</v>
      </c>
    </row>
    <row r="1472" spans="2:13" x14ac:dyDescent="0.25">
      <c r="B1472" s="42">
        <f t="shared" si="88"/>
        <v>16</v>
      </c>
      <c r="C1472" s="42">
        <f t="shared" si="89"/>
        <v>8</v>
      </c>
      <c r="D1472" s="42">
        <f t="shared" si="90"/>
        <v>2021</v>
      </c>
      <c r="E1472" s="43">
        <v>44424</v>
      </c>
      <c r="F1472" s="42">
        <v>63.49</v>
      </c>
      <c r="G1472" s="42">
        <v>64.069999999999993</v>
      </c>
      <c r="H1472" s="42">
        <v>62.72</v>
      </c>
      <c r="I1472" s="42">
        <v>67.069999999999993</v>
      </c>
      <c r="J1472" s="42">
        <v>69.7</v>
      </c>
      <c r="K1472" s="42">
        <v>67.290000000000006</v>
      </c>
      <c r="L1472" s="42">
        <v>68.040000000000006</v>
      </c>
      <c r="M1472" s="42">
        <f t="shared" si="91"/>
        <v>3.8000000000000043</v>
      </c>
    </row>
    <row r="1473" spans="2:13" x14ac:dyDescent="0.25">
      <c r="B1473" s="42">
        <f t="shared" si="88"/>
        <v>17</v>
      </c>
      <c r="C1473" s="42">
        <f t="shared" si="89"/>
        <v>8</v>
      </c>
      <c r="D1473" s="42">
        <f t="shared" si="90"/>
        <v>2021</v>
      </c>
      <c r="E1473" s="43">
        <v>44425</v>
      </c>
      <c r="F1473" s="42">
        <v>62.93</v>
      </c>
      <c r="G1473" s="42">
        <v>63.45</v>
      </c>
      <c r="H1473" s="42">
        <v>62.1</v>
      </c>
      <c r="I1473" s="42">
        <v>66.45</v>
      </c>
      <c r="J1473" s="42">
        <v>70.02</v>
      </c>
      <c r="K1473" s="42">
        <v>66.59</v>
      </c>
      <c r="L1473" s="42">
        <v>67.34</v>
      </c>
      <c r="M1473" s="42">
        <f t="shared" si="91"/>
        <v>3.6600000000000037</v>
      </c>
    </row>
    <row r="1474" spans="2:13" x14ac:dyDescent="0.25">
      <c r="B1474" s="42">
        <f t="shared" si="88"/>
        <v>18</v>
      </c>
      <c r="C1474" s="42">
        <f t="shared" si="89"/>
        <v>8</v>
      </c>
      <c r="D1474" s="42">
        <f t="shared" si="90"/>
        <v>2021</v>
      </c>
      <c r="E1474" s="43">
        <v>44426</v>
      </c>
      <c r="F1474" s="42">
        <v>62.2</v>
      </c>
      <c r="G1474" s="42">
        <v>62.44</v>
      </c>
      <c r="H1474" s="42">
        <v>61.09</v>
      </c>
      <c r="I1474" s="42">
        <v>65.44</v>
      </c>
      <c r="J1474" s="42">
        <v>69.42</v>
      </c>
      <c r="K1474" s="42">
        <v>65.459999999999994</v>
      </c>
      <c r="L1474" s="42">
        <v>66.209999999999994</v>
      </c>
      <c r="M1474" s="42">
        <f t="shared" si="91"/>
        <v>3.2599999999999909</v>
      </c>
    </row>
    <row r="1475" spans="2:13" x14ac:dyDescent="0.25">
      <c r="B1475" s="42">
        <f t="shared" si="88"/>
        <v>19</v>
      </c>
      <c r="C1475" s="42">
        <f t="shared" si="89"/>
        <v>8</v>
      </c>
      <c r="D1475" s="42">
        <f t="shared" si="90"/>
        <v>2021</v>
      </c>
      <c r="E1475" s="43">
        <v>44427</v>
      </c>
      <c r="F1475" s="42">
        <v>60.25</v>
      </c>
      <c r="G1475" s="42">
        <v>60.79</v>
      </c>
      <c r="H1475" s="42">
        <v>59.44</v>
      </c>
      <c r="I1475" s="42">
        <v>63.79</v>
      </c>
      <c r="J1475" s="42">
        <v>65.87</v>
      </c>
      <c r="K1475" s="42">
        <v>63.69</v>
      </c>
      <c r="L1475" s="42">
        <v>64.489999999999995</v>
      </c>
      <c r="M1475" s="42">
        <f t="shared" si="91"/>
        <v>3.4399999999999977</v>
      </c>
    </row>
    <row r="1476" spans="2:13" x14ac:dyDescent="0.25">
      <c r="B1476" s="42">
        <f t="shared" si="88"/>
        <v>20</v>
      </c>
      <c r="C1476" s="42">
        <f t="shared" si="89"/>
        <v>8</v>
      </c>
      <c r="D1476" s="42">
        <f t="shared" si="90"/>
        <v>2021</v>
      </c>
      <c r="E1476" s="43">
        <v>44428</v>
      </c>
      <c r="F1476" s="42">
        <v>59.16</v>
      </c>
      <c r="G1476" s="42">
        <v>59.46</v>
      </c>
      <c r="H1476" s="42">
        <v>58.11</v>
      </c>
      <c r="I1476" s="42">
        <v>62.46</v>
      </c>
      <c r="J1476" s="42">
        <v>66.180000000000007</v>
      </c>
      <c r="K1476" s="42">
        <v>62.32</v>
      </c>
      <c r="L1476" s="42">
        <v>63.12</v>
      </c>
      <c r="M1476" s="42">
        <f t="shared" si="91"/>
        <v>3.1600000000000037</v>
      </c>
    </row>
    <row r="1477" spans="2:13" x14ac:dyDescent="0.25">
      <c r="B1477" s="42">
        <f t="shared" si="88"/>
        <v>23</v>
      </c>
      <c r="C1477" s="42">
        <f t="shared" si="89"/>
        <v>8</v>
      </c>
      <c r="D1477" s="42">
        <f t="shared" si="90"/>
        <v>2021</v>
      </c>
      <c r="E1477" s="43">
        <v>44431</v>
      </c>
      <c r="F1477" s="42">
        <v>62.22</v>
      </c>
      <c r="G1477" s="42">
        <v>62.98</v>
      </c>
      <c r="H1477" s="42">
        <v>61.63</v>
      </c>
      <c r="I1477" s="42">
        <v>65.98</v>
      </c>
      <c r="J1477" s="42">
        <v>68.83</v>
      </c>
      <c r="K1477" s="42">
        <v>65.819999999999993</v>
      </c>
      <c r="L1477" s="42">
        <v>66.62</v>
      </c>
      <c r="M1477" s="42">
        <f t="shared" si="91"/>
        <v>3.5999999999999943</v>
      </c>
    </row>
    <row r="1478" spans="2:13" x14ac:dyDescent="0.25">
      <c r="B1478" s="42">
        <f t="shared" si="88"/>
        <v>24</v>
      </c>
      <c r="C1478" s="42">
        <f t="shared" si="89"/>
        <v>8</v>
      </c>
      <c r="D1478" s="42">
        <f t="shared" si="90"/>
        <v>2021</v>
      </c>
      <c r="E1478" s="43">
        <v>44432</v>
      </c>
      <c r="F1478" s="42">
        <v>64.400000000000006</v>
      </c>
      <c r="G1478" s="42">
        <v>65</v>
      </c>
      <c r="H1478" s="42">
        <v>63.65</v>
      </c>
      <c r="I1478" s="42">
        <v>68</v>
      </c>
      <c r="J1478" s="42">
        <v>70.959999999999994</v>
      </c>
      <c r="K1478" s="42">
        <v>67.680000000000007</v>
      </c>
      <c r="L1478" s="42">
        <v>68.48</v>
      </c>
      <c r="M1478" s="42">
        <f t="shared" si="91"/>
        <v>3.2800000000000011</v>
      </c>
    </row>
    <row r="1479" spans="2:13" x14ac:dyDescent="0.25">
      <c r="B1479" s="42">
        <f t="shared" ref="B1479:B1542" si="92">DAY(E1479)</f>
        <v>25</v>
      </c>
      <c r="C1479" s="42">
        <f t="shared" ref="C1479:C1542" si="93">MONTH(E1479)</f>
        <v>8</v>
      </c>
      <c r="D1479" s="42">
        <f t="shared" ref="D1479:D1542" si="94">YEAR(E1479)</f>
        <v>2021</v>
      </c>
      <c r="E1479" s="43">
        <v>44433</v>
      </c>
      <c r="F1479" s="42">
        <v>65.430000000000007</v>
      </c>
      <c r="G1479" s="42">
        <v>65.959999999999994</v>
      </c>
      <c r="H1479" s="42">
        <v>64.61</v>
      </c>
      <c r="I1479" s="42">
        <v>68.959999999999994</v>
      </c>
      <c r="J1479" s="42">
        <v>71.75</v>
      </c>
      <c r="K1479" s="42">
        <v>68.41</v>
      </c>
      <c r="L1479" s="42">
        <v>69.260000000000005</v>
      </c>
      <c r="M1479" s="42">
        <f t="shared" ref="M1479:M1542" si="95">K1479-F1479</f>
        <v>2.9799999999999898</v>
      </c>
    </row>
    <row r="1480" spans="2:13" x14ac:dyDescent="0.25">
      <c r="B1480" s="42">
        <f t="shared" si="92"/>
        <v>26</v>
      </c>
      <c r="C1480" s="42">
        <f t="shared" si="93"/>
        <v>8</v>
      </c>
      <c r="D1480" s="42">
        <f t="shared" si="94"/>
        <v>2021</v>
      </c>
      <c r="E1480" s="43">
        <v>44434</v>
      </c>
      <c r="F1480" s="42">
        <v>64.569999999999993</v>
      </c>
      <c r="G1480" s="42">
        <v>64.87</v>
      </c>
      <c r="H1480" s="42">
        <v>63.52</v>
      </c>
      <c r="I1480" s="42">
        <v>67.87</v>
      </c>
      <c r="J1480" s="42">
        <v>71.63</v>
      </c>
      <c r="K1480" s="42">
        <v>67.42</v>
      </c>
      <c r="L1480" s="42">
        <v>68.319999999999993</v>
      </c>
      <c r="M1480" s="42">
        <f t="shared" si="95"/>
        <v>2.8500000000000085</v>
      </c>
    </row>
    <row r="1481" spans="2:13" x14ac:dyDescent="0.25">
      <c r="B1481" s="42">
        <f t="shared" si="92"/>
        <v>27</v>
      </c>
      <c r="C1481" s="42">
        <f t="shared" si="93"/>
        <v>8</v>
      </c>
      <c r="D1481" s="42">
        <f t="shared" si="94"/>
        <v>2021</v>
      </c>
      <c r="E1481" s="43">
        <v>44435</v>
      </c>
      <c r="F1481" s="42">
        <v>65.88</v>
      </c>
      <c r="G1481" s="42">
        <v>66.23</v>
      </c>
      <c r="H1481" s="42">
        <v>64.88</v>
      </c>
      <c r="I1481" s="42">
        <v>69.23</v>
      </c>
      <c r="J1481" s="42">
        <v>72.42</v>
      </c>
      <c r="K1481" s="42">
        <v>68.739999999999995</v>
      </c>
      <c r="L1481" s="42">
        <v>69.790000000000006</v>
      </c>
      <c r="M1481" s="42">
        <f t="shared" si="95"/>
        <v>2.8599999999999994</v>
      </c>
    </row>
    <row r="1482" spans="2:13" x14ac:dyDescent="0.25">
      <c r="B1482" s="42">
        <f t="shared" si="92"/>
        <v>30</v>
      </c>
      <c r="C1482" s="42">
        <f t="shared" si="93"/>
        <v>8</v>
      </c>
      <c r="D1482" s="42">
        <f t="shared" si="94"/>
        <v>2021</v>
      </c>
      <c r="E1482" s="43">
        <v>44438</v>
      </c>
      <c r="F1482" s="42">
        <v>66.47</v>
      </c>
      <c r="G1482" s="42">
        <v>66.88</v>
      </c>
      <c r="H1482" s="42">
        <v>65.53</v>
      </c>
      <c r="I1482" s="42">
        <v>69.88</v>
      </c>
      <c r="J1482" s="42">
        <v>72.42</v>
      </c>
      <c r="K1482" s="42">
        <v>69.209999999999994</v>
      </c>
      <c r="L1482" s="42">
        <v>70.41</v>
      </c>
      <c r="M1482" s="42">
        <f t="shared" si="95"/>
        <v>2.7399999999999949</v>
      </c>
    </row>
    <row r="1483" spans="2:13" x14ac:dyDescent="0.25">
      <c r="B1483" s="42">
        <f t="shared" si="92"/>
        <v>31</v>
      </c>
      <c r="C1483" s="42">
        <f t="shared" si="93"/>
        <v>8</v>
      </c>
      <c r="D1483" s="42">
        <f t="shared" si="94"/>
        <v>2021</v>
      </c>
      <c r="E1483" s="43">
        <v>44439</v>
      </c>
      <c r="F1483" s="42">
        <v>66.02</v>
      </c>
      <c r="G1483" s="42">
        <v>66.27</v>
      </c>
      <c r="H1483" s="42">
        <v>64.92</v>
      </c>
      <c r="I1483" s="42">
        <v>69.27</v>
      </c>
      <c r="J1483" s="42">
        <v>73.180000000000007</v>
      </c>
      <c r="K1483" s="42">
        <v>68.5</v>
      </c>
      <c r="L1483" s="42">
        <v>69.95</v>
      </c>
      <c r="M1483" s="42">
        <f t="shared" si="95"/>
        <v>2.480000000000004</v>
      </c>
    </row>
    <row r="1484" spans="2:13" x14ac:dyDescent="0.25">
      <c r="B1484" s="42">
        <f t="shared" si="92"/>
        <v>1</v>
      </c>
      <c r="C1484" s="42">
        <f t="shared" si="93"/>
        <v>9</v>
      </c>
      <c r="D1484" s="42">
        <f t="shared" si="94"/>
        <v>2021</v>
      </c>
      <c r="E1484" s="43">
        <v>44440</v>
      </c>
      <c r="F1484" s="42">
        <v>64.52</v>
      </c>
      <c r="G1484" s="42">
        <v>65.290000000000006</v>
      </c>
      <c r="H1484" s="42">
        <v>63.69</v>
      </c>
      <c r="I1484" s="42">
        <v>66.94</v>
      </c>
      <c r="J1484" s="42">
        <v>70.98</v>
      </c>
      <c r="K1484" s="42">
        <v>68.59</v>
      </c>
      <c r="L1484" s="42">
        <v>70.540000000000006</v>
      </c>
      <c r="M1484" s="42">
        <f t="shared" si="95"/>
        <v>4.0700000000000074</v>
      </c>
    </row>
    <row r="1485" spans="2:13" x14ac:dyDescent="0.25">
      <c r="B1485" s="42">
        <f t="shared" si="92"/>
        <v>2</v>
      </c>
      <c r="C1485" s="42">
        <f t="shared" si="93"/>
        <v>9</v>
      </c>
      <c r="D1485" s="42">
        <f t="shared" si="94"/>
        <v>2021</v>
      </c>
      <c r="E1485" s="43">
        <v>44441</v>
      </c>
      <c r="F1485" s="42">
        <v>65.66</v>
      </c>
      <c r="G1485" s="42">
        <v>66.67</v>
      </c>
      <c r="H1485" s="42">
        <v>65.069999999999993</v>
      </c>
      <c r="I1485" s="42">
        <v>68.319999999999993</v>
      </c>
      <c r="J1485" s="42">
        <v>73.55</v>
      </c>
      <c r="K1485" s="42">
        <v>69.989999999999995</v>
      </c>
      <c r="L1485" s="42">
        <v>71.94</v>
      </c>
      <c r="M1485" s="42">
        <f t="shared" si="95"/>
        <v>4.3299999999999983</v>
      </c>
    </row>
    <row r="1486" spans="2:13" x14ac:dyDescent="0.25">
      <c r="B1486" s="42">
        <f t="shared" si="92"/>
        <v>3</v>
      </c>
      <c r="C1486" s="42">
        <f t="shared" si="93"/>
        <v>9</v>
      </c>
      <c r="D1486" s="42">
        <f t="shared" si="94"/>
        <v>2021</v>
      </c>
      <c r="E1486" s="43">
        <v>44442</v>
      </c>
      <c r="F1486" s="42">
        <v>65.39</v>
      </c>
      <c r="G1486" s="42">
        <v>66.069999999999993</v>
      </c>
      <c r="H1486" s="42">
        <v>64.47</v>
      </c>
      <c r="I1486" s="42">
        <v>67.72</v>
      </c>
      <c r="J1486" s="42">
        <v>73.099999999999994</v>
      </c>
      <c r="K1486" s="42">
        <v>69.290000000000006</v>
      </c>
      <c r="L1486" s="42">
        <v>71.34</v>
      </c>
      <c r="M1486" s="42">
        <f t="shared" si="95"/>
        <v>3.9000000000000057</v>
      </c>
    </row>
    <row r="1487" spans="2:13" x14ac:dyDescent="0.25">
      <c r="B1487" s="42">
        <f t="shared" si="92"/>
        <v>6</v>
      </c>
      <c r="C1487" s="42">
        <f t="shared" si="93"/>
        <v>9</v>
      </c>
      <c r="D1487" s="42">
        <f t="shared" si="94"/>
        <v>2021</v>
      </c>
      <c r="E1487" s="43">
        <v>44445</v>
      </c>
      <c r="F1487" s="42">
        <v>65.39</v>
      </c>
      <c r="G1487" s="42">
        <v>66.069999999999993</v>
      </c>
      <c r="H1487" s="42">
        <v>64.47</v>
      </c>
      <c r="I1487" s="42">
        <v>67.72</v>
      </c>
      <c r="J1487" s="42">
        <v>72.23</v>
      </c>
      <c r="K1487" s="42">
        <v>69.290000000000006</v>
      </c>
      <c r="L1487" s="42">
        <v>71.34</v>
      </c>
      <c r="M1487" s="42">
        <f t="shared" si="95"/>
        <v>3.9000000000000057</v>
      </c>
    </row>
    <row r="1488" spans="2:13" x14ac:dyDescent="0.25">
      <c r="B1488" s="42">
        <f t="shared" si="92"/>
        <v>7</v>
      </c>
      <c r="C1488" s="42">
        <f t="shared" si="93"/>
        <v>9</v>
      </c>
      <c r="D1488" s="42">
        <f t="shared" si="94"/>
        <v>2021</v>
      </c>
      <c r="E1488" s="43">
        <v>44446</v>
      </c>
      <c r="F1488" s="42">
        <v>64.459999999999994</v>
      </c>
      <c r="G1488" s="42">
        <v>65.17</v>
      </c>
      <c r="H1488" s="42">
        <v>63.57</v>
      </c>
      <c r="I1488" s="42">
        <v>66.819999999999993</v>
      </c>
      <c r="J1488" s="42">
        <v>71.97</v>
      </c>
      <c r="K1488" s="42">
        <v>68.349999999999994</v>
      </c>
      <c r="L1488" s="42">
        <v>70.5</v>
      </c>
      <c r="M1488" s="42">
        <f t="shared" si="95"/>
        <v>3.8900000000000006</v>
      </c>
    </row>
    <row r="1489" spans="2:13" x14ac:dyDescent="0.25">
      <c r="B1489" s="42">
        <f t="shared" si="92"/>
        <v>8</v>
      </c>
      <c r="C1489" s="42">
        <f t="shared" si="93"/>
        <v>9</v>
      </c>
      <c r="D1489" s="42">
        <f t="shared" si="94"/>
        <v>2021</v>
      </c>
      <c r="E1489" s="43">
        <v>44447</v>
      </c>
      <c r="F1489" s="42">
        <v>65.22</v>
      </c>
      <c r="G1489" s="42">
        <v>66.11</v>
      </c>
      <c r="H1489" s="42">
        <v>64.510000000000005</v>
      </c>
      <c r="I1489" s="42">
        <v>67.760000000000005</v>
      </c>
      <c r="J1489" s="42">
        <v>72.66</v>
      </c>
      <c r="K1489" s="42">
        <v>69.3</v>
      </c>
      <c r="L1489" s="42">
        <v>71.650000000000006</v>
      </c>
      <c r="M1489" s="42">
        <f t="shared" si="95"/>
        <v>4.0799999999999983</v>
      </c>
    </row>
    <row r="1490" spans="2:13" x14ac:dyDescent="0.25">
      <c r="B1490" s="42">
        <f t="shared" si="92"/>
        <v>9</v>
      </c>
      <c r="C1490" s="42">
        <f t="shared" si="93"/>
        <v>9</v>
      </c>
      <c r="D1490" s="42">
        <f t="shared" si="94"/>
        <v>2021</v>
      </c>
      <c r="E1490" s="43">
        <v>44448</v>
      </c>
      <c r="F1490" s="42">
        <v>64.38</v>
      </c>
      <c r="G1490" s="42">
        <v>65.05</v>
      </c>
      <c r="H1490" s="42">
        <v>63.45</v>
      </c>
      <c r="I1490" s="42">
        <v>66.7</v>
      </c>
      <c r="J1490" s="42">
        <v>72.86</v>
      </c>
      <c r="K1490" s="42">
        <v>68.14</v>
      </c>
      <c r="L1490" s="42">
        <v>70.14</v>
      </c>
      <c r="M1490" s="42">
        <f t="shared" si="95"/>
        <v>3.7600000000000051</v>
      </c>
    </row>
    <row r="1491" spans="2:13" x14ac:dyDescent="0.25">
      <c r="B1491" s="42">
        <f t="shared" si="92"/>
        <v>10</v>
      </c>
      <c r="C1491" s="42">
        <f t="shared" si="93"/>
        <v>9</v>
      </c>
      <c r="D1491" s="42">
        <f t="shared" si="94"/>
        <v>2021</v>
      </c>
      <c r="E1491" s="43">
        <v>44449</v>
      </c>
      <c r="F1491" s="42">
        <v>65.739999999999995</v>
      </c>
      <c r="G1491" s="42">
        <v>66.62</v>
      </c>
      <c r="H1491" s="42">
        <v>65.02</v>
      </c>
      <c r="I1491" s="42">
        <v>68.27</v>
      </c>
      <c r="J1491" s="42">
        <v>72.92</v>
      </c>
      <c r="K1491" s="42">
        <v>69.72</v>
      </c>
      <c r="L1491" s="42">
        <v>71.47</v>
      </c>
      <c r="M1491" s="42">
        <f t="shared" si="95"/>
        <v>3.980000000000004</v>
      </c>
    </row>
    <row r="1492" spans="2:13" x14ac:dyDescent="0.25">
      <c r="B1492" s="42">
        <f t="shared" si="92"/>
        <v>13</v>
      </c>
      <c r="C1492" s="42">
        <f t="shared" si="93"/>
        <v>9</v>
      </c>
      <c r="D1492" s="42">
        <f t="shared" si="94"/>
        <v>2021</v>
      </c>
      <c r="E1492" s="43">
        <v>44452</v>
      </c>
      <c r="F1492" s="42">
        <v>66.42</v>
      </c>
      <c r="G1492" s="42">
        <v>67.27</v>
      </c>
      <c r="H1492" s="42">
        <v>65.67</v>
      </c>
      <c r="I1492" s="42">
        <v>68.92</v>
      </c>
      <c r="J1492" s="42">
        <v>73.55</v>
      </c>
      <c r="K1492" s="42">
        <v>70.45</v>
      </c>
      <c r="L1492" s="42">
        <v>72.150000000000006</v>
      </c>
      <c r="M1492" s="42">
        <f t="shared" si="95"/>
        <v>4.0300000000000011</v>
      </c>
    </row>
    <row r="1493" spans="2:13" x14ac:dyDescent="0.25">
      <c r="B1493" s="42">
        <f t="shared" si="92"/>
        <v>14</v>
      </c>
      <c r="C1493" s="42">
        <f t="shared" si="93"/>
        <v>9</v>
      </c>
      <c r="D1493" s="42">
        <f t="shared" si="94"/>
        <v>2021</v>
      </c>
      <c r="E1493" s="43">
        <v>44453</v>
      </c>
      <c r="F1493" s="42">
        <v>66.61</v>
      </c>
      <c r="G1493" s="42">
        <v>67.41</v>
      </c>
      <c r="H1493" s="42">
        <v>65.81</v>
      </c>
      <c r="I1493" s="42">
        <v>69.06</v>
      </c>
      <c r="J1493" s="42">
        <v>73.73</v>
      </c>
      <c r="K1493" s="42">
        <v>70.459999999999994</v>
      </c>
      <c r="L1493" s="42">
        <v>72.11</v>
      </c>
      <c r="M1493" s="42">
        <f t="shared" si="95"/>
        <v>3.8499999999999943</v>
      </c>
    </row>
    <row r="1494" spans="2:13" x14ac:dyDescent="0.25">
      <c r="B1494" s="42">
        <f t="shared" si="92"/>
        <v>15</v>
      </c>
      <c r="C1494" s="42">
        <f t="shared" si="93"/>
        <v>9</v>
      </c>
      <c r="D1494" s="42">
        <f t="shared" si="94"/>
        <v>2021</v>
      </c>
      <c r="E1494" s="43">
        <v>44454</v>
      </c>
      <c r="F1494" s="42">
        <v>68.31</v>
      </c>
      <c r="G1494" s="42">
        <v>69.42</v>
      </c>
      <c r="H1494" s="42">
        <v>67.819999999999993</v>
      </c>
      <c r="I1494" s="42">
        <v>71.069999999999993</v>
      </c>
      <c r="J1494" s="42">
        <v>75.95</v>
      </c>
      <c r="K1494" s="42">
        <v>72.61</v>
      </c>
      <c r="L1494" s="42">
        <v>74.11</v>
      </c>
      <c r="M1494" s="42">
        <f t="shared" si="95"/>
        <v>4.2999999999999972</v>
      </c>
    </row>
    <row r="1495" spans="2:13" x14ac:dyDescent="0.25">
      <c r="B1495" s="42">
        <f t="shared" si="92"/>
        <v>16</v>
      </c>
      <c r="C1495" s="42">
        <f t="shared" si="93"/>
        <v>9</v>
      </c>
      <c r="D1495" s="42">
        <f t="shared" si="94"/>
        <v>2021</v>
      </c>
      <c r="E1495" s="43">
        <v>44455</v>
      </c>
      <c r="F1495" s="42">
        <v>68.31</v>
      </c>
      <c r="G1495" s="42">
        <v>69.33</v>
      </c>
      <c r="H1495" s="42">
        <v>67.73</v>
      </c>
      <c r="I1495" s="42">
        <v>70.98</v>
      </c>
      <c r="J1495" s="42">
        <v>75.010000000000005</v>
      </c>
      <c r="K1495" s="42">
        <v>72.61</v>
      </c>
      <c r="L1495" s="42">
        <v>73.31</v>
      </c>
      <c r="M1495" s="42">
        <f t="shared" si="95"/>
        <v>4.2999999999999972</v>
      </c>
    </row>
    <row r="1496" spans="2:13" x14ac:dyDescent="0.25">
      <c r="B1496" s="42">
        <f t="shared" si="92"/>
        <v>17</v>
      </c>
      <c r="C1496" s="42">
        <f t="shared" si="93"/>
        <v>9</v>
      </c>
      <c r="D1496" s="42">
        <f t="shared" si="94"/>
        <v>2021</v>
      </c>
      <c r="E1496" s="43">
        <v>44456</v>
      </c>
      <c r="F1496" s="42">
        <v>68.05</v>
      </c>
      <c r="G1496" s="42">
        <v>68.87</v>
      </c>
      <c r="H1496" s="42">
        <v>67.27</v>
      </c>
      <c r="I1496" s="42">
        <v>70.52</v>
      </c>
      <c r="J1496" s="42">
        <v>75.16</v>
      </c>
      <c r="K1496" s="42">
        <v>71.97</v>
      </c>
      <c r="L1496" s="42">
        <v>72.67</v>
      </c>
      <c r="M1496" s="42">
        <f t="shared" si="95"/>
        <v>3.9200000000000017</v>
      </c>
    </row>
    <row r="1497" spans="2:13" x14ac:dyDescent="0.25">
      <c r="B1497" s="42">
        <f t="shared" si="92"/>
        <v>20</v>
      </c>
      <c r="C1497" s="42">
        <f t="shared" si="93"/>
        <v>9</v>
      </c>
      <c r="D1497" s="42">
        <f t="shared" si="94"/>
        <v>2021</v>
      </c>
      <c r="E1497" s="43">
        <v>44459</v>
      </c>
      <c r="F1497" s="42">
        <v>66.599999999999994</v>
      </c>
      <c r="G1497" s="42">
        <v>67.28</v>
      </c>
      <c r="H1497" s="42">
        <v>65.680000000000007</v>
      </c>
      <c r="I1497" s="42">
        <v>68.930000000000007</v>
      </c>
      <c r="J1497" s="42">
        <v>74.650000000000006</v>
      </c>
      <c r="K1497" s="42">
        <v>70.290000000000006</v>
      </c>
      <c r="L1497" s="42">
        <v>70.989999999999995</v>
      </c>
      <c r="M1497" s="42">
        <f t="shared" si="95"/>
        <v>3.6900000000000119</v>
      </c>
    </row>
    <row r="1498" spans="2:13" x14ac:dyDescent="0.25">
      <c r="B1498" s="42">
        <f t="shared" si="92"/>
        <v>21</v>
      </c>
      <c r="C1498" s="42">
        <f t="shared" si="93"/>
        <v>9</v>
      </c>
      <c r="D1498" s="42">
        <f t="shared" si="94"/>
        <v>2021</v>
      </c>
      <c r="E1498" s="43">
        <v>44460</v>
      </c>
      <c r="F1498" s="42">
        <v>66.599999999999994</v>
      </c>
      <c r="G1498" s="42">
        <v>67.61</v>
      </c>
      <c r="H1498" s="42">
        <v>66.010000000000005</v>
      </c>
      <c r="I1498" s="42">
        <v>69.260000000000005</v>
      </c>
      <c r="J1498" s="42">
        <v>73.94</v>
      </c>
      <c r="K1498" s="42">
        <v>70.56</v>
      </c>
      <c r="L1498" s="42">
        <v>71.260000000000005</v>
      </c>
      <c r="M1498" s="42">
        <f t="shared" si="95"/>
        <v>3.960000000000008</v>
      </c>
    </row>
    <row r="1499" spans="2:13" x14ac:dyDescent="0.25">
      <c r="B1499" s="42">
        <f t="shared" si="92"/>
        <v>22</v>
      </c>
      <c r="C1499" s="42">
        <f t="shared" si="93"/>
        <v>9</v>
      </c>
      <c r="D1499" s="42">
        <f t="shared" si="94"/>
        <v>2021</v>
      </c>
      <c r="E1499" s="43">
        <v>44461</v>
      </c>
      <c r="F1499" s="42">
        <v>66.680000000000007</v>
      </c>
      <c r="G1499" s="42">
        <v>69.5</v>
      </c>
      <c r="H1499" s="42">
        <v>67.900000000000006</v>
      </c>
      <c r="I1499" s="42">
        <v>71.150000000000006</v>
      </c>
      <c r="J1499" s="42">
        <v>75.67</v>
      </c>
      <c r="K1499" s="42">
        <v>72.34</v>
      </c>
      <c r="L1499" s="42">
        <v>73.19</v>
      </c>
      <c r="M1499" s="42">
        <f t="shared" si="95"/>
        <v>5.6599999999999966</v>
      </c>
    </row>
    <row r="1500" spans="2:13" x14ac:dyDescent="0.25">
      <c r="B1500" s="42">
        <f t="shared" si="92"/>
        <v>23</v>
      </c>
      <c r="C1500" s="42">
        <f t="shared" si="93"/>
        <v>9</v>
      </c>
      <c r="D1500" s="42">
        <f t="shared" si="94"/>
        <v>2021</v>
      </c>
      <c r="E1500" s="43">
        <v>44462</v>
      </c>
      <c r="F1500" s="42">
        <v>69.760000000000005</v>
      </c>
      <c r="G1500" s="42">
        <v>70.78</v>
      </c>
      <c r="H1500" s="42">
        <v>69.180000000000007</v>
      </c>
      <c r="I1500" s="42">
        <v>72.430000000000007</v>
      </c>
      <c r="J1500" s="42">
        <v>77.290000000000006</v>
      </c>
      <c r="K1500" s="42">
        <v>73.44</v>
      </c>
      <c r="L1500" s="42">
        <v>74.59</v>
      </c>
      <c r="M1500" s="42">
        <f t="shared" si="95"/>
        <v>3.6799999999999926</v>
      </c>
    </row>
    <row r="1501" spans="2:13" x14ac:dyDescent="0.25">
      <c r="B1501" s="42">
        <f t="shared" si="92"/>
        <v>24</v>
      </c>
      <c r="C1501" s="42">
        <f t="shared" si="93"/>
        <v>9</v>
      </c>
      <c r="D1501" s="42">
        <f t="shared" si="94"/>
        <v>2021</v>
      </c>
      <c r="E1501" s="43">
        <v>44463</v>
      </c>
      <c r="F1501" s="42">
        <v>70.59</v>
      </c>
      <c r="G1501" s="42">
        <v>71.55</v>
      </c>
      <c r="H1501" s="42">
        <v>69.95</v>
      </c>
      <c r="I1501" s="42">
        <v>73.2</v>
      </c>
      <c r="J1501" s="42">
        <v>77.900000000000006</v>
      </c>
      <c r="K1501" s="42">
        <v>74.12</v>
      </c>
      <c r="L1501" s="42">
        <v>74.819999999999993</v>
      </c>
      <c r="M1501" s="42">
        <f t="shared" si="95"/>
        <v>3.5300000000000011</v>
      </c>
    </row>
    <row r="1502" spans="2:13" x14ac:dyDescent="0.25">
      <c r="B1502" s="42">
        <f t="shared" si="92"/>
        <v>27</v>
      </c>
      <c r="C1502" s="42">
        <f t="shared" si="93"/>
        <v>9</v>
      </c>
      <c r="D1502" s="42">
        <f t="shared" si="94"/>
        <v>2021</v>
      </c>
      <c r="E1502" s="43">
        <v>44466</v>
      </c>
      <c r="F1502" s="42">
        <v>71.89</v>
      </c>
      <c r="G1502" s="42">
        <v>72.760000000000005</v>
      </c>
      <c r="H1502" s="42">
        <v>71.16</v>
      </c>
      <c r="I1502" s="42">
        <v>74.41</v>
      </c>
      <c r="J1502" s="42">
        <v>79.77</v>
      </c>
      <c r="K1502" s="42">
        <v>75.45</v>
      </c>
      <c r="L1502" s="42">
        <v>76.3</v>
      </c>
      <c r="M1502" s="42">
        <f t="shared" si="95"/>
        <v>3.5600000000000023</v>
      </c>
    </row>
    <row r="1503" spans="2:13" x14ac:dyDescent="0.25">
      <c r="B1503" s="42">
        <f t="shared" si="92"/>
        <v>28</v>
      </c>
      <c r="C1503" s="42">
        <f t="shared" si="93"/>
        <v>9</v>
      </c>
      <c r="D1503" s="42">
        <f t="shared" si="94"/>
        <v>2021</v>
      </c>
      <c r="E1503" s="43">
        <v>44467</v>
      </c>
      <c r="F1503" s="42">
        <v>71.760000000000005</v>
      </c>
      <c r="G1503" s="42">
        <v>72.47</v>
      </c>
      <c r="H1503" s="42">
        <v>70.87</v>
      </c>
      <c r="I1503" s="42">
        <v>74.12</v>
      </c>
      <c r="J1503" s="42">
        <v>79.180000000000007</v>
      </c>
      <c r="K1503" s="42">
        <v>75.290000000000006</v>
      </c>
      <c r="L1503" s="42">
        <v>76.489999999999995</v>
      </c>
      <c r="M1503" s="42">
        <f t="shared" si="95"/>
        <v>3.5300000000000011</v>
      </c>
    </row>
    <row r="1504" spans="2:13" x14ac:dyDescent="0.25">
      <c r="B1504" s="42">
        <f t="shared" si="92"/>
        <v>29</v>
      </c>
      <c r="C1504" s="42">
        <f t="shared" si="93"/>
        <v>9</v>
      </c>
      <c r="D1504" s="42">
        <f t="shared" si="94"/>
        <v>2021</v>
      </c>
      <c r="E1504" s="43">
        <v>44468</v>
      </c>
      <c r="F1504" s="42">
        <v>71.13</v>
      </c>
      <c r="G1504" s="42">
        <v>71.95</v>
      </c>
      <c r="H1504" s="42">
        <v>70.349999999999994</v>
      </c>
      <c r="I1504" s="42">
        <v>73.599999999999994</v>
      </c>
      <c r="J1504" s="42">
        <v>78.930000000000007</v>
      </c>
      <c r="K1504" s="42">
        <v>74.83</v>
      </c>
      <c r="L1504" s="42">
        <v>76.03</v>
      </c>
      <c r="M1504" s="42">
        <f t="shared" si="95"/>
        <v>3.7000000000000028</v>
      </c>
    </row>
    <row r="1505" spans="2:13" x14ac:dyDescent="0.25">
      <c r="B1505" s="42">
        <f t="shared" si="92"/>
        <v>30</v>
      </c>
      <c r="C1505" s="42">
        <f t="shared" si="93"/>
        <v>9</v>
      </c>
      <c r="D1505" s="42">
        <f t="shared" si="94"/>
        <v>2021</v>
      </c>
      <c r="E1505" s="43">
        <v>44469</v>
      </c>
      <c r="F1505" s="42">
        <v>71.25</v>
      </c>
      <c r="G1505" s="42">
        <v>72.13</v>
      </c>
      <c r="H1505" s="42">
        <v>70.53</v>
      </c>
      <c r="I1505" s="42">
        <v>73.78</v>
      </c>
      <c r="J1505" s="42">
        <v>79.12</v>
      </c>
      <c r="K1505" s="42">
        <v>75.03</v>
      </c>
      <c r="L1505" s="42">
        <v>76.28</v>
      </c>
      <c r="M1505" s="42">
        <f t="shared" si="95"/>
        <v>3.7800000000000011</v>
      </c>
    </row>
    <row r="1506" spans="2:13" x14ac:dyDescent="0.25">
      <c r="B1506" s="42">
        <f t="shared" si="92"/>
        <v>1</v>
      </c>
      <c r="C1506" s="42">
        <f t="shared" si="93"/>
        <v>10</v>
      </c>
      <c r="D1506" s="42">
        <f t="shared" si="94"/>
        <v>2021</v>
      </c>
      <c r="E1506" s="43">
        <v>44470</v>
      </c>
      <c r="F1506" s="42">
        <v>71.64</v>
      </c>
      <c r="G1506" s="42">
        <v>73.150000000000006</v>
      </c>
      <c r="H1506" s="42">
        <v>71.45</v>
      </c>
      <c r="I1506" s="42">
        <v>74.25</v>
      </c>
      <c r="J1506" s="42">
        <v>78.64</v>
      </c>
      <c r="K1506" s="42">
        <v>75.88</v>
      </c>
      <c r="L1506" s="42">
        <v>77.180000000000007</v>
      </c>
      <c r="M1506" s="42">
        <f t="shared" si="95"/>
        <v>4.2399999999999949</v>
      </c>
    </row>
    <row r="1507" spans="2:13" x14ac:dyDescent="0.25">
      <c r="B1507" s="42">
        <f t="shared" si="92"/>
        <v>4</v>
      </c>
      <c r="C1507" s="42">
        <f t="shared" si="93"/>
        <v>10</v>
      </c>
      <c r="D1507" s="42">
        <f t="shared" si="94"/>
        <v>2021</v>
      </c>
      <c r="E1507" s="43">
        <v>44473</v>
      </c>
      <c r="F1507" s="42">
        <v>73.52</v>
      </c>
      <c r="G1507" s="42">
        <v>75.069999999999993</v>
      </c>
      <c r="H1507" s="42">
        <v>73.37</v>
      </c>
      <c r="I1507" s="42">
        <v>76.17</v>
      </c>
      <c r="J1507" s="42">
        <v>81.7</v>
      </c>
      <c r="K1507" s="42">
        <v>77.62</v>
      </c>
      <c r="L1507" s="42">
        <v>79.069999999999993</v>
      </c>
      <c r="M1507" s="42">
        <f t="shared" si="95"/>
        <v>4.1000000000000085</v>
      </c>
    </row>
    <row r="1508" spans="2:13" x14ac:dyDescent="0.25">
      <c r="B1508" s="42">
        <f t="shared" si="92"/>
        <v>5</v>
      </c>
      <c r="C1508" s="42">
        <f t="shared" si="93"/>
        <v>10</v>
      </c>
      <c r="D1508" s="42">
        <f t="shared" si="94"/>
        <v>2021</v>
      </c>
      <c r="E1508" s="43">
        <v>44474</v>
      </c>
      <c r="F1508" s="42">
        <v>75.02</v>
      </c>
      <c r="G1508" s="42">
        <v>76.41</v>
      </c>
      <c r="H1508" s="42">
        <v>74.709999999999994</v>
      </c>
      <c r="I1508" s="42">
        <v>77.510000000000005</v>
      </c>
      <c r="J1508" s="42">
        <v>83.25</v>
      </c>
      <c r="K1508" s="42">
        <v>78.930000000000007</v>
      </c>
      <c r="L1508" s="42">
        <v>80.33</v>
      </c>
      <c r="M1508" s="42">
        <f t="shared" si="95"/>
        <v>3.9100000000000108</v>
      </c>
    </row>
    <row r="1509" spans="2:13" x14ac:dyDescent="0.25">
      <c r="B1509" s="42">
        <f t="shared" si="92"/>
        <v>6</v>
      </c>
      <c r="C1509" s="42">
        <f t="shared" si="93"/>
        <v>10</v>
      </c>
      <c r="D1509" s="42">
        <f t="shared" si="94"/>
        <v>2021</v>
      </c>
      <c r="E1509" s="43">
        <v>44475</v>
      </c>
      <c r="F1509" s="42">
        <v>73.84</v>
      </c>
      <c r="G1509" s="42">
        <v>74.98</v>
      </c>
      <c r="H1509" s="42">
        <v>73.28</v>
      </c>
      <c r="I1509" s="42">
        <v>76.08</v>
      </c>
      <c r="J1509" s="42">
        <v>81.33</v>
      </c>
      <c r="K1509" s="42">
        <v>77.430000000000007</v>
      </c>
      <c r="L1509" s="42">
        <v>78.83</v>
      </c>
      <c r="M1509" s="42">
        <f t="shared" si="95"/>
        <v>3.5900000000000034</v>
      </c>
    </row>
    <row r="1510" spans="2:13" x14ac:dyDescent="0.25">
      <c r="B1510" s="42">
        <f t="shared" si="92"/>
        <v>7</v>
      </c>
      <c r="C1510" s="42">
        <f t="shared" si="93"/>
        <v>10</v>
      </c>
      <c r="D1510" s="42">
        <f t="shared" si="94"/>
        <v>2021</v>
      </c>
      <c r="E1510" s="43">
        <v>44476</v>
      </c>
      <c r="F1510" s="42">
        <v>74.239999999999995</v>
      </c>
      <c r="G1510" s="42">
        <v>75.89</v>
      </c>
      <c r="H1510" s="42">
        <v>74.19</v>
      </c>
      <c r="I1510" s="42">
        <v>76.989999999999995</v>
      </c>
      <c r="J1510" s="42">
        <v>82.12</v>
      </c>
      <c r="K1510" s="42">
        <v>78.3</v>
      </c>
      <c r="L1510" s="42">
        <v>79.8</v>
      </c>
      <c r="M1510" s="42">
        <f t="shared" si="95"/>
        <v>4.0600000000000023</v>
      </c>
    </row>
    <row r="1511" spans="2:13" x14ac:dyDescent="0.25">
      <c r="B1511" s="42">
        <f t="shared" si="92"/>
        <v>8</v>
      </c>
      <c r="C1511" s="42">
        <f t="shared" si="93"/>
        <v>10</v>
      </c>
      <c r="D1511" s="42">
        <f t="shared" si="94"/>
        <v>2021</v>
      </c>
      <c r="E1511" s="43">
        <v>44477</v>
      </c>
      <c r="F1511" s="42">
        <v>75.22</v>
      </c>
      <c r="G1511" s="42">
        <v>76.56</v>
      </c>
      <c r="H1511" s="42">
        <v>74.86</v>
      </c>
      <c r="I1511" s="42">
        <v>77.66</v>
      </c>
      <c r="J1511" s="42">
        <v>83.22</v>
      </c>
      <c r="K1511" s="42">
        <v>79.349999999999994</v>
      </c>
      <c r="L1511" s="42">
        <v>80.75</v>
      </c>
      <c r="M1511" s="42">
        <f t="shared" si="95"/>
        <v>4.1299999999999955</v>
      </c>
    </row>
    <row r="1512" spans="2:13" x14ac:dyDescent="0.25">
      <c r="B1512" s="42">
        <f t="shared" si="92"/>
        <v>11</v>
      </c>
      <c r="C1512" s="42">
        <f t="shared" si="93"/>
        <v>10</v>
      </c>
      <c r="D1512" s="42">
        <f t="shared" si="94"/>
        <v>2021</v>
      </c>
      <c r="E1512" s="43">
        <v>44480</v>
      </c>
      <c r="F1512" s="42">
        <v>76.27</v>
      </c>
      <c r="G1512" s="42">
        <v>77.5</v>
      </c>
      <c r="H1512" s="42">
        <v>75.8</v>
      </c>
      <c r="I1512" s="42">
        <v>78.599999999999994</v>
      </c>
      <c r="J1512" s="42">
        <v>84.25</v>
      </c>
      <c r="K1512" s="42">
        <v>80.52</v>
      </c>
      <c r="L1512" s="42">
        <v>81.72</v>
      </c>
      <c r="M1512" s="42">
        <f t="shared" si="95"/>
        <v>4.25</v>
      </c>
    </row>
    <row r="1513" spans="2:13" x14ac:dyDescent="0.25">
      <c r="B1513" s="42">
        <f t="shared" si="92"/>
        <v>12</v>
      </c>
      <c r="C1513" s="42">
        <f t="shared" si="93"/>
        <v>10</v>
      </c>
      <c r="D1513" s="42">
        <f t="shared" si="94"/>
        <v>2021</v>
      </c>
      <c r="E1513" s="43">
        <v>44481</v>
      </c>
      <c r="F1513" s="42">
        <v>76.27</v>
      </c>
      <c r="G1513" s="42">
        <v>77.430000000000007</v>
      </c>
      <c r="H1513" s="42">
        <v>75.73</v>
      </c>
      <c r="I1513" s="42">
        <v>78.53</v>
      </c>
      <c r="J1513" s="42">
        <v>83.52</v>
      </c>
      <c r="K1513" s="42">
        <v>80.64</v>
      </c>
      <c r="L1513" s="42">
        <v>81.739999999999995</v>
      </c>
      <c r="M1513" s="42">
        <f t="shared" si="95"/>
        <v>4.3700000000000045</v>
      </c>
    </row>
    <row r="1514" spans="2:13" x14ac:dyDescent="0.25">
      <c r="B1514" s="42">
        <f t="shared" si="92"/>
        <v>13</v>
      </c>
      <c r="C1514" s="42">
        <f t="shared" si="93"/>
        <v>10</v>
      </c>
      <c r="D1514" s="42">
        <f t="shared" si="94"/>
        <v>2021</v>
      </c>
      <c r="E1514" s="43">
        <v>44482</v>
      </c>
      <c r="F1514" s="42">
        <v>75.849999999999994</v>
      </c>
      <c r="G1514" s="42">
        <v>77.19</v>
      </c>
      <c r="H1514" s="42">
        <v>75.489999999999995</v>
      </c>
      <c r="I1514" s="42">
        <v>78.290000000000006</v>
      </c>
      <c r="J1514" s="42">
        <v>83.39</v>
      </c>
      <c r="K1514" s="42">
        <v>80.44</v>
      </c>
      <c r="L1514" s="42">
        <v>81.489999999999995</v>
      </c>
      <c r="M1514" s="42">
        <f t="shared" si="95"/>
        <v>4.5900000000000034</v>
      </c>
    </row>
    <row r="1515" spans="2:13" x14ac:dyDescent="0.25">
      <c r="B1515" s="42">
        <f t="shared" si="92"/>
        <v>14</v>
      </c>
      <c r="C1515" s="42">
        <f t="shared" si="93"/>
        <v>10</v>
      </c>
      <c r="D1515" s="42">
        <f t="shared" si="94"/>
        <v>2021</v>
      </c>
      <c r="E1515" s="43">
        <v>44483</v>
      </c>
      <c r="F1515" s="42">
        <v>76.709999999999994</v>
      </c>
      <c r="G1515" s="42">
        <v>78.069999999999993</v>
      </c>
      <c r="H1515" s="42">
        <v>76.37</v>
      </c>
      <c r="I1515" s="42">
        <v>79.17</v>
      </c>
      <c r="J1515" s="42">
        <v>83.52</v>
      </c>
      <c r="K1515" s="42">
        <v>81.31</v>
      </c>
      <c r="L1515" s="42">
        <v>82.41</v>
      </c>
      <c r="M1515" s="42">
        <f t="shared" si="95"/>
        <v>4.6000000000000085</v>
      </c>
    </row>
    <row r="1516" spans="2:13" x14ac:dyDescent="0.25">
      <c r="B1516" s="42">
        <f t="shared" si="92"/>
        <v>15</v>
      </c>
      <c r="C1516" s="42">
        <f t="shared" si="93"/>
        <v>10</v>
      </c>
      <c r="D1516" s="42">
        <f t="shared" si="94"/>
        <v>2021</v>
      </c>
      <c r="E1516" s="43">
        <v>44484</v>
      </c>
      <c r="F1516" s="42">
        <v>77.599999999999994</v>
      </c>
      <c r="G1516" s="42">
        <v>79</v>
      </c>
      <c r="H1516" s="42">
        <v>77.3</v>
      </c>
      <c r="I1516" s="42">
        <v>80.099999999999994</v>
      </c>
      <c r="J1516" s="42">
        <v>84.95</v>
      </c>
      <c r="K1516" s="42">
        <v>82.28</v>
      </c>
      <c r="L1516" s="42">
        <v>83.23</v>
      </c>
      <c r="M1516" s="42">
        <f t="shared" si="95"/>
        <v>4.6800000000000068</v>
      </c>
    </row>
    <row r="1517" spans="2:13" x14ac:dyDescent="0.25">
      <c r="B1517" s="42">
        <f t="shared" si="92"/>
        <v>18</v>
      </c>
      <c r="C1517" s="42">
        <f t="shared" si="93"/>
        <v>10</v>
      </c>
      <c r="D1517" s="42">
        <f t="shared" si="94"/>
        <v>2021</v>
      </c>
      <c r="E1517" s="43">
        <v>44487</v>
      </c>
      <c r="F1517" s="42">
        <v>77.36</v>
      </c>
      <c r="G1517" s="42">
        <v>78.790000000000006</v>
      </c>
      <c r="H1517" s="42">
        <v>77.09</v>
      </c>
      <c r="I1517" s="42">
        <v>79.89</v>
      </c>
      <c r="J1517" s="42">
        <v>84.78</v>
      </c>
      <c r="K1517" s="42">
        <v>82.44</v>
      </c>
      <c r="L1517" s="42">
        <v>83.29</v>
      </c>
      <c r="M1517" s="42">
        <f t="shared" si="95"/>
        <v>5.0799999999999983</v>
      </c>
    </row>
    <row r="1518" spans="2:13" x14ac:dyDescent="0.25">
      <c r="B1518" s="42">
        <f t="shared" si="92"/>
        <v>19</v>
      </c>
      <c r="C1518" s="42">
        <f t="shared" si="93"/>
        <v>10</v>
      </c>
      <c r="D1518" s="42">
        <f t="shared" si="94"/>
        <v>2021</v>
      </c>
      <c r="E1518" s="43">
        <v>44488</v>
      </c>
      <c r="F1518" s="42">
        <v>77.78</v>
      </c>
      <c r="G1518" s="42">
        <v>79.2</v>
      </c>
      <c r="H1518" s="42">
        <v>77.5</v>
      </c>
      <c r="I1518" s="42">
        <v>80.3</v>
      </c>
      <c r="J1518" s="42">
        <v>85.09</v>
      </c>
      <c r="K1518" s="42">
        <v>82.96</v>
      </c>
      <c r="L1518" s="42">
        <v>83.81</v>
      </c>
      <c r="M1518" s="42">
        <f t="shared" si="95"/>
        <v>5.1799999999999926</v>
      </c>
    </row>
    <row r="1519" spans="2:13" x14ac:dyDescent="0.25">
      <c r="B1519" s="42">
        <f t="shared" si="92"/>
        <v>20</v>
      </c>
      <c r="C1519" s="42">
        <f t="shared" si="93"/>
        <v>10</v>
      </c>
      <c r="D1519" s="42">
        <f t="shared" si="94"/>
        <v>2021</v>
      </c>
      <c r="E1519" s="43">
        <v>44489</v>
      </c>
      <c r="F1519" s="42">
        <v>78.47</v>
      </c>
      <c r="G1519" s="42">
        <v>80.150000000000006</v>
      </c>
      <c r="H1519" s="42">
        <v>78.45</v>
      </c>
      <c r="I1519" s="42">
        <v>81.25</v>
      </c>
      <c r="J1519" s="42">
        <v>85.33</v>
      </c>
      <c r="K1519" s="42">
        <v>83.87</v>
      </c>
      <c r="L1519" s="42">
        <v>84.77</v>
      </c>
      <c r="M1519" s="42">
        <f t="shared" si="95"/>
        <v>5.4000000000000057</v>
      </c>
    </row>
    <row r="1520" spans="2:13" x14ac:dyDescent="0.25">
      <c r="B1520" s="42">
        <f t="shared" si="92"/>
        <v>21</v>
      </c>
      <c r="C1520" s="42">
        <f t="shared" si="93"/>
        <v>10</v>
      </c>
      <c r="D1520" s="42">
        <f t="shared" si="94"/>
        <v>2021</v>
      </c>
      <c r="E1520" s="43">
        <v>44490</v>
      </c>
      <c r="F1520" s="42">
        <v>77.64</v>
      </c>
      <c r="G1520" s="42">
        <v>79.319999999999993</v>
      </c>
      <c r="H1520" s="42">
        <v>77.62</v>
      </c>
      <c r="I1520" s="42">
        <v>80.42</v>
      </c>
      <c r="J1520" s="42">
        <v>83.78</v>
      </c>
      <c r="K1520" s="42">
        <v>83.25</v>
      </c>
      <c r="L1520" s="42">
        <v>84.15</v>
      </c>
      <c r="M1520" s="42">
        <f t="shared" si="95"/>
        <v>5.6099999999999994</v>
      </c>
    </row>
    <row r="1521" spans="2:13" x14ac:dyDescent="0.25">
      <c r="B1521" s="42">
        <f t="shared" si="92"/>
        <v>22</v>
      </c>
      <c r="C1521" s="42">
        <f t="shared" si="93"/>
        <v>10</v>
      </c>
      <c r="D1521" s="42">
        <f t="shared" si="94"/>
        <v>2021</v>
      </c>
      <c r="E1521" s="43">
        <v>44491</v>
      </c>
      <c r="F1521" s="42">
        <v>78.52</v>
      </c>
      <c r="G1521" s="42">
        <v>80.36</v>
      </c>
      <c r="H1521" s="42">
        <v>78.66</v>
      </c>
      <c r="I1521" s="42">
        <v>81.459999999999994</v>
      </c>
      <c r="J1521" s="42">
        <v>85.12</v>
      </c>
      <c r="K1521" s="42">
        <v>84.56</v>
      </c>
      <c r="L1521" s="42">
        <v>85.26</v>
      </c>
      <c r="M1521" s="42">
        <f t="shared" si="95"/>
        <v>6.0400000000000063</v>
      </c>
    </row>
    <row r="1522" spans="2:13" x14ac:dyDescent="0.25">
      <c r="B1522" s="42">
        <f t="shared" si="92"/>
        <v>25</v>
      </c>
      <c r="C1522" s="42">
        <f t="shared" si="93"/>
        <v>10</v>
      </c>
      <c r="D1522" s="42">
        <f t="shared" si="94"/>
        <v>2021</v>
      </c>
      <c r="E1522" s="43">
        <v>44494</v>
      </c>
      <c r="F1522" s="42">
        <v>78.900000000000006</v>
      </c>
      <c r="G1522" s="42">
        <v>80.23</v>
      </c>
      <c r="H1522" s="42">
        <v>78.53</v>
      </c>
      <c r="I1522" s="42">
        <v>81.33</v>
      </c>
      <c r="J1522" s="42">
        <v>86.72</v>
      </c>
      <c r="K1522" s="42">
        <v>84.46</v>
      </c>
      <c r="L1522" s="42">
        <v>84.81</v>
      </c>
      <c r="M1522" s="42">
        <f t="shared" si="95"/>
        <v>5.5599999999999881</v>
      </c>
    </row>
    <row r="1523" spans="2:13" x14ac:dyDescent="0.25">
      <c r="B1523" s="42">
        <f t="shared" si="92"/>
        <v>26</v>
      </c>
      <c r="C1523" s="42">
        <f t="shared" si="93"/>
        <v>10</v>
      </c>
      <c r="D1523" s="42">
        <f t="shared" si="94"/>
        <v>2021</v>
      </c>
      <c r="E1523" s="43">
        <v>44495</v>
      </c>
      <c r="F1523" s="42">
        <v>79.22</v>
      </c>
      <c r="G1523" s="42">
        <v>80.790000000000006</v>
      </c>
      <c r="H1523" s="42">
        <v>79.09</v>
      </c>
      <c r="I1523" s="42">
        <v>81.89</v>
      </c>
      <c r="J1523" s="42">
        <v>86.45</v>
      </c>
      <c r="K1523" s="42">
        <v>84.65</v>
      </c>
      <c r="L1523" s="42">
        <v>85.2</v>
      </c>
      <c r="M1523" s="42">
        <f t="shared" si="95"/>
        <v>5.4300000000000068</v>
      </c>
    </row>
    <row r="1524" spans="2:13" x14ac:dyDescent="0.25">
      <c r="B1524" s="42">
        <f t="shared" si="92"/>
        <v>27</v>
      </c>
      <c r="C1524" s="42">
        <f t="shared" si="93"/>
        <v>10</v>
      </c>
      <c r="D1524" s="42">
        <f t="shared" si="94"/>
        <v>2021</v>
      </c>
      <c r="E1524" s="43">
        <v>44496</v>
      </c>
      <c r="F1524" s="42">
        <v>77.47</v>
      </c>
      <c r="G1524" s="42">
        <v>78.86</v>
      </c>
      <c r="H1524" s="42">
        <v>77.16</v>
      </c>
      <c r="I1524" s="42">
        <v>79.959999999999994</v>
      </c>
      <c r="J1524" s="42">
        <v>84.98</v>
      </c>
      <c r="K1524" s="42">
        <v>82.66</v>
      </c>
      <c r="L1524" s="42">
        <v>83.21</v>
      </c>
      <c r="M1524" s="42">
        <f t="shared" si="95"/>
        <v>5.1899999999999977</v>
      </c>
    </row>
    <row r="1525" spans="2:13" x14ac:dyDescent="0.25">
      <c r="B1525" s="42">
        <f t="shared" si="92"/>
        <v>28</v>
      </c>
      <c r="C1525" s="42">
        <f t="shared" si="93"/>
        <v>10</v>
      </c>
      <c r="D1525" s="42">
        <f t="shared" si="94"/>
        <v>2021</v>
      </c>
      <c r="E1525" s="43">
        <v>44497</v>
      </c>
      <c r="F1525" s="42">
        <v>77.19</v>
      </c>
      <c r="G1525" s="42">
        <v>78.83</v>
      </c>
      <c r="H1525" s="42">
        <v>77.13</v>
      </c>
      <c r="I1525" s="42">
        <v>79.930000000000007</v>
      </c>
      <c r="J1525" s="42">
        <v>83.84</v>
      </c>
      <c r="K1525" s="42">
        <v>82.81</v>
      </c>
      <c r="L1525" s="42">
        <v>83.16</v>
      </c>
      <c r="M1525" s="42">
        <f t="shared" si="95"/>
        <v>5.6200000000000045</v>
      </c>
    </row>
    <row r="1526" spans="2:13" x14ac:dyDescent="0.25">
      <c r="B1526" s="42">
        <f t="shared" si="92"/>
        <v>29</v>
      </c>
      <c r="C1526" s="42">
        <f t="shared" si="93"/>
        <v>10</v>
      </c>
      <c r="D1526" s="42">
        <f t="shared" si="94"/>
        <v>2021</v>
      </c>
      <c r="E1526" s="43">
        <v>44498</v>
      </c>
      <c r="F1526" s="42">
        <v>77.599999999999994</v>
      </c>
      <c r="G1526" s="42">
        <v>79.41</v>
      </c>
      <c r="H1526" s="42">
        <v>77.709999999999994</v>
      </c>
      <c r="I1526" s="42">
        <v>80.510000000000005</v>
      </c>
      <c r="J1526" s="42">
        <v>84.2</v>
      </c>
      <c r="K1526" s="42">
        <v>83.57</v>
      </c>
      <c r="L1526" s="42">
        <v>83.92</v>
      </c>
      <c r="M1526" s="42">
        <f t="shared" si="95"/>
        <v>5.9699999999999989</v>
      </c>
    </row>
    <row r="1527" spans="2:13" x14ac:dyDescent="0.25">
      <c r="B1527" s="42">
        <f t="shared" si="92"/>
        <v>1</v>
      </c>
      <c r="C1527" s="42">
        <f t="shared" si="93"/>
        <v>11</v>
      </c>
      <c r="D1527" s="42">
        <f t="shared" si="94"/>
        <v>2021</v>
      </c>
      <c r="E1527" s="43">
        <v>44501</v>
      </c>
      <c r="F1527" s="42">
        <v>77.599999999999994</v>
      </c>
      <c r="G1527" s="42">
        <v>79.48</v>
      </c>
      <c r="H1527" s="42">
        <v>78.03</v>
      </c>
      <c r="I1527" s="42">
        <v>81.08</v>
      </c>
      <c r="J1527" s="42">
        <v>84.57</v>
      </c>
      <c r="K1527" s="42">
        <v>84.05</v>
      </c>
      <c r="L1527" s="42">
        <v>84.25</v>
      </c>
      <c r="M1527" s="42">
        <f t="shared" si="95"/>
        <v>6.4500000000000028</v>
      </c>
    </row>
    <row r="1528" spans="2:13" x14ac:dyDescent="0.25">
      <c r="B1528" s="42">
        <f t="shared" si="92"/>
        <v>2</v>
      </c>
      <c r="C1528" s="42">
        <f t="shared" si="93"/>
        <v>11</v>
      </c>
      <c r="D1528" s="42">
        <f t="shared" si="94"/>
        <v>2021</v>
      </c>
      <c r="E1528" s="43">
        <v>44502</v>
      </c>
      <c r="F1528" s="42">
        <v>77.599999999999994</v>
      </c>
      <c r="G1528" s="42">
        <v>79.489999999999995</v>
      </c>
      <c r="H1528" s="42">
        <v>78.040000000000006</v>
      </c>
      <c r="I1528" s="42">
        <v>81.09</v>
      </c>
      <c r="J1528" s="42">
        <v>84.54</v>
      </c>
      <c r="K1528" s="42">
        <v>83.91</v>
      </c>
      <c r="L1528" s="42">
        <v>84.16</v>
      </c>
      <c r="M1528" s="42">
        <f t="shared" si="95"/>
        <v>6.3100000000000023</v>
      </c>
    </row>
    <row r="1529" spans="2:13" x14ac:dyDescent="0.25">
      <c r="B1529" s="42">
        <f t="shared" si="92"/>
        <v>3</v>
      </c>
      <c r="C1529" s="42">
        <f t="shared" si="93"/>
        <v>11</v>
      </c>
      <c r="D1529" s="42">
        <f t="shared" si="94"/>
        <v>2021</v>
      </c>
      <c r="E1529" s="43">
        <v>44503</v>
      </c>
      <c r="F1529" s="42">
        <v>75.47</v>
      </c>
      <c r="G1529" s="42">
        <v>76.650000000000006</v>
      </c>
      <c r="H1529" s="42">
        <v>75.2</v>
      </c>
      <c r="I1529" s="42">
        <v>78.25</v>
      </c>
      <c r="J1529" s="42">
        <v>82.29</v>
      </c>
      <c r="K1529" s="42">
        <v>80.86</v>
      </c>
      <c r="L1529" s="42">
        <v>80.91</v>
      </c>
      <c r="M1529" s="42">
        <f t="shared" si="95"/>
        <v>5.3900000000000006</v>
      </c>
    </row>
    <row r="1530" spans="2:13" x14ac:dyDescent="0.25">
      <c r="B1530" s="42">
        <f t="shared" si="92"/>
        <v>4</v>
      </c>
      <c r="C1530" s="42">
        <f t="shared" si="93"/>
        <v>11</v>
      </c>
      <c r="D1530" s="42">
        <f t="shared" si="94"/>
        <v>2021</v>
      </c>
      <c r="E1530" s="43">
        <v>44504</v>
      </c>
      <c r="F1530" s="42">
        <v>75.47</v>
      </c>
      <c r="G1530" s="42">
        <v>74.84</v>
      </c>
      <c r="H1530" s="42">
        <v>73.39</v>
      </c>
      <c r="I1530" s="42">
        <v>76.44</v>
      </c>
      <c r="J1530" s="42">
        <v>81.98</v>
      </c>
      <c r="K1530" s="42">
        <v>78.81</v>
      </c>
      <c r="L1530" s="42">
        <v>78.86</v>
      </c>
      <c r="M1530" s="42">
        <f t="shared" si="95"/>
        <v>3.3400000000000034</v>
      </c>
    </row>
    <row r="1531" spans="2:13" x14ac:dyDescent="0.25">
      <c r="B1531" s="42">
        <f t="shared" si="92"/>
        <v>5</v>
      </c>
      <c r="C1531" s="42">
        <f t="shared" si="93"/>
        <v>11</v>
      </c>
      <c r="D1531" s="42">
        <f t="shared" si="94"/>
        <v>2021</v>
      </c>
      <c r="E1531" s="43">
        <v>44505</v>
      </c>
      <c r="F1531" s="42">
        <v>75.67</v>
      </c>
      <c r="G1531" s="42">
        <v>77.209999999999994</v>
      </c>
      <c r="H1531" s="42">
        <v>75.760000000000005</v>
      </c>
      <c r="I1531" s="42">
        <v>78.81</v>
      </c>
      <c r="J1531" s="42">
        <v>82.86</v>
      </c>
      <c r="K1531" s="42">
        <v>81.27</v>
      </c>
      <c r="L1531" s="42">
        <v>81.319999999999993</v>
      </c>
      <c r="M1531" s="42">
        <f t="shared" si="95"/>
        <v>5.5999999999999943</v>
      </c>
    </row>
    <row r="1532" spans="2:13" x14ac:dyDescent="0.25">
      <c r="B1532" s="42">
        <f t="shared" si="92"/>
        <v>8</v>
      </c>
      <c r="C1532" s="42">
        <f t="shared" si="93"/>
        <v>11</v>
      </c>
      <c r="D1532" s="42">
        <f t="shared" si="94"/>
        <v>2021</v>
      </c>
      <c r="E1532" s="43">
        <v>44508</v>
      </c>
      <c r="F1532" s="42">
        <v>76.63</v>
      </c>
      <c r="G1532" s="42">
        <v>77.94</v>
      </c>
      <c r="H1532" s="42">
        <v>76.489999999999995</v>
      </c>
      <c r="I1532" s="42">
        <v>79.540000000000006</v>
      </c>
      <c r="J1532" s="42">
        <v>83.75</v>
      </c>
      <c r="K1532" s="42">
        <v>81.93</v>
      </c>
      <c r="L1532" s="42">
        <v>82.03</v>
      </c>
      <c r="M1532" s="42">
        <f t="shared" si="95"/>
        <v>5.3000000000000114</v>
      </c>
    </row>
    <row r="1533" spans="2:13" x14ac:dyDescent="0.25">
      <c r="B1533" s="42">
        <f t="shared" si="92"/>
        <v>9</v>
      </c>
      <c r="C1533" s="42">
        <f t="shared" si="93"/>
        <v>11</v>
      </c>
      <c r="D1533" s="42">
        <f t="shared" si="94"/>
        <v>2021</v>
      </c>
      <c r="E1533" s="43">
        <v>44509</v>
      </c>
      <c r="F1533" s="42">
        <v>78.11</v>
      </c>
      <c r="G1533" s="42">
        <v>79.7</v>
      </c>
      <c r="H1533" s="42">
        <v>78.25</v>
      </c>
      <c r="I1533" s="42">
        <v>81.3</v>
      </c>
      <c r="J1533" s="42">
        <v>84.15</v>
      </c>
      <c r="K1533" s="42">
        <v>84.15</v>
      </c>
      <c r="L1533" s="42">
        <v>84.25</v>
      </c>
      <c r="M1533" s="42">
        <f t="shared" si="95"/>
        <v>6.0400000000000063</v>
      </c>
    </row>
    <row r="1534" spans="2:13" x14ac:dyDescent="0.25">
      <c r="B1534" s="42">
        <f t="shared" si="92"/>
        <v>10</v>
      </c>
      <c r="C1534" s="42">
        <f t="shared" si="93"/>
        <v>11</v>
      </c>
      <c r="D1534" s="42">
        <f t="shared" si="94"/>
        <v>2021</v>
      </c>
      <c r="E1534" s="43">
        <v>44510</v>
      </c>
      <c r="F1534" s="42">
        <v>76.25</v>
      </c>
      <c r="G1534" s="42">
        <v>77.19</v>
      </c>
      <c r="H1534" s="42">
        <v>75.739999999999995</v>
      </c>
      <c r="I1534" s="42">
        <v>78.790000000000006</v>
      </c>
      <c r="J1534" s="42">
        <v>84.16</v>
      </c>
      <c r="K1534" s="42">
        <v>81.34</v>
      </c>
      <c r="L1534" s="42">
        <v>81.59</v>
      </c>
      <c r="M1534" s="42">
        <f t="shared" si="95"/>
        <v>5.0900000000000034</v>
      </c>
    </row>
    <row r="1535" spans="2:13" x14ac:dyDescent="0.25">
      <c r="B1535" s="42">
        <f t="shared" si="92"/>
        <v>11</v>
      </c>
      <c r="C1535" s="42">
        <f t="shared" si="93"/>
        <v>11</v>
      </c>
      <c r="D1535" s="42">
        <f t="shared" si="94"/>
        <v>2021</v>
      </c>
      <c r="E1535" s="43">
        <v>44511</v>
      </c>
      <c r="F1535" s="42">
        <v>76.2</v>
      </c>
      <c r="G1535" s="42">
        <v>77.489999999999995</v>
      </c>
      <c r="H1535" s="42">
        <v>76.040000000000006</v>
      </c>
      <c r="I1535" s="42">
        <v>79.09</v>
      </c>
      <c r="J1535" s="42">
        <v>82.52</v>
      </c>
      <c r="K1535" s="42">
        <v>81.59</v>
      </c>
      <c r="L1535" s="42">
        <v>81.94</v>
      </c>
      <c r="M1535" s="42">
        <f t="shared" si="95"/>
        <v>5.3900000000000006</v>
      </c>
    </row>
    <row r="1536" spans="2:13" x14ac:dyDescent="0.25">
      <c r="B1536" s="42">
        <f t="shared" si="92"/>
        <v>12</v>
      </c>
      <c r="C1536" s="42">
        <f t="shared" si="93"/>
        <v>11</v>
      </c>
      <c r="D1536" s="42">
        <f t="shared" si="94"/>
        <v>2021</v>
      </c>
      <c r="E1536" s="43">
        <v>44512</v>
      </c>
      <c r="F1536" s="42">
        <v>75.48</v>
      </c>
      <c r="G1536" s="42">
        <v>77.489999999999995</v>
      </c>
      <c r="H1536" s="42">
        <v>76.040000000000006</v>
      </c>
      <c r="I1536" s="42">
        <v>79.09</v>
      </c>
      <c r="J1536" s="42">
        <v>82.52</v>
      </c>
      <c r="K1536" s="42">
        <v>81.59</v>
      </c>
      <c r="L1536" s="42">
        <v>81.94</v>
      </c>
      <c r="M1536" s="42">
        <f t="shared" si="95"/>
        <v>6.1099999999999994</v>
      </c>
    </row>
    <row r="1537" spans="2:13" x14ac:dyDescent="0.25">
      <c r="B1537" s="42">
        <f t="shared" si="92"/>
        <v>15</v>
      </c>
      <c r="C1537" s="42">
        <f t="shared" si="93"/>
        <v>11</v>
      </c>
      <c r="D1537" s="42">
        <f t="shared" si="94"/>
        <v>2021</v>
      </c>
      <c r="E1537" s="43">
        <v>44515</v>
      </c>
      <c r="F1537" s="42">
        <v>75.48</v>
      </c>
      <c r="G1537" s="42">
        <v>76.680000000000007</v>
      </c>
      <c r="H1537" s="42">
        <v>75.23</v>
      </c>
      <c r="I1537" s="42">
        <v>78.28</v>
      </c>
      <c r="J1537" s="42">
        <v>81.38</v>
      </c>
      <c r="K1537" s="42">
        <v>80.88</v>
      </c>
      <c r="L1537" s="42">
        <v>80.88</v>
      </c>
      <c r="M1537" s="42">
        <f t="shared" si="95"/>
        <v>5.3999999999999915</v>
      </c>
    </row>
    <row r="1538" spans="2:13" x14ac:dyDescent="0.25">
      <c r="B1538" s="42">
        <f t="shared" si="92"/>
        <v>16</v>
      </c>
      <c r="C1538" s="42">
        <f t="shared" si="93"/>
        <v>11</v>
      </c>
      <c r="D1538" s="42">
        <f t="shared" si="94"/>
        <v>2021</v>
      </c>
      <c r="E1538" s="43">
        <v>44516</v>
      </c>
      <c r="F1538" s="42">
        <v>75.67</v>
      </c>
      <c r="G1538" s="42">
        <v>76.8</v>
      </c>
      <c r="H1538" s="42">
        <v>75.349999999999994</v>
      </c>
      <c r="I1538" s="42">
        <v>78.400000000000006</v>
      </c>
      <c r="J1538" s="42">
        <v>82.37</v>
      </c>
      <c r="K1538" s="42">
        <v>80.760000000000005</v>
      </c>
      <c r="L1538" s="42">
        <v>80.760000000000005</v>
      </c>
      <c r="M1538" s="42">
        <f t="shared" si="95"/>
        <v>5.0900000000000034</v>
      </c>
    </row>
    <row r="1539" spans="2:13" x14ac:dyDescent="0.25">
      <c r="B1539" s="42">
        <f t="shared" si="92"/>
        <v>17</v>
      </c>
      <c r="C1539" s="42">
        <f t="shared" si="93"/>
        <v>11</v>
      </c>
      <c r="D1539" s="42">
        <f t="shared" si="94"/>
        <v>2021</v>
      </c>
      <c r="E1539" s="43">
        <v>44517</v>
      </c>
      <c r="F1539" s="42">
        <v>73.599999999999994</v>
      </c>
      <c r="G1539" s="42">
        <v>74.45</v>
      </c>
      <c r="H1539" s="42">
        <v>73</v>
      </c>
      <c r="I1539" s="42">
        <v>76.05</v>
      </c>
      <c r="J1539" s="42">
        <v>81.56</v>
      </c>
      <c r="K1539" s="42">
        <v>78.36</v>
      </c>
      <c r="L1539" s="42">
        <v>78.260000000000005</v>
      </c>
      <c r="M1539" s="42">
        <f t="shared" si="95"/>
        <v>4.7600000000000051</v>
      </c>
    </row>
    <row r="1540" spans="2:13" x14ac:dyDescent="0.25">
      <c r="B1540" s="42">
        <f t="shared" si="92"/>
        <v>18</v>
      </c>
      <c r="C1540" s="42">
        <f t="shared" si="93"/>
        <v>11</v>
      </c>
      <c r="D1540" s="42">
        <f t="shared" si="94"/>
        <v>2021</v>
      </c>
      <c r="E1540" s="43">
        <v>44518</v>
      </c>
      <c r="F1540" s="42">
        <v>73.97</v>
      </c>
      <c r="G1540" s="42">
        <v>75.209999999999994</v>
      </c>
      <c r="H1540" s="42">
        <v>73.760000000000005</v>
      </c>
      <c r="I1540" s="42">
        <v>76.81</v>
      </c>
      <c r="J1540" s="42">
        <v>80.959999999999994</v>
      </c>
      <c r="K1540" s="42">
        <v>79.010000000000005</v>
      </c>
      <c r="L1540" s="42">
        <v>78.91</v>
      </c>
      <c r="M1540" s="42">
        <f t="shared" si="95"/>
        <v>5.0400000000000063</v>
      </c>
    </row>
    <row r="1541" spans="2:13" x14ac:dyDescent="0.25">
      <c r="B1541" s="42">
        <f t="shared" si="92"/>
        <v>19</v>
      </c>
      <c r="C1541" s="42">
        <f t="shared" si="93"/>
        <v>11</v>
      </c>
      <c r="D1541" s="42">
        <f t="shared" si="94"/>
        <v>2021</v>
      </c>
      <c r="E1541" s="43">
        <v>44519</v>
      </c>
      <c r="F1541" s="42">
        <v>72.08</v>
      </c>
      <c r="G1541" s="42">
        <v>72.66</v>
      </c>
      <c r="H1541" s="42">
        <v>71.209999999999994</v>
      </c>
      <c r="I1541" s="42">
        <v>74.260000000000005</v>
      </c>
      <c r="J1541" s="42">
        <v>78.680000000000007</v>
      </c>
      <c r="K1541" s="42">
        <v>76.099999999999994</v>
      </c>
      <c r="L1541" s="42">
        <v>76.25</v>
      </c>
      <c r="M1541" s="42">
        <f t="shared" si="95"/>
        <v>4.019999999999996</v>
      </c>
    </row>
    <row r="1542" spans="2:13" x14ac:dyDescent="0.25">
      <c r="B1542" s="42">
        <f t="shared" si="92"/>
        <v>22</v>
      </c>
      <c r="C1542" s="42">
        <f t="shared" si="93"/>
        <v>11</v>
      </c>
      <c r="D1542" s="42">
        <f t="shared" si="94"/>
        <v>2021</v>
      </c>
      <c r="E1542" s="43">
        <v>44522</v>
      </c>
      <c r="F1542" s="42">
        <v>72.44</v>
      </c>
      <c r="G1542" s="42">
        <v>72.66</v>
      </c>
      <c r="H1542" s="42">
        <v>71.209999999999994</v>
      </c>
      <c r="I1542" s="42">
        <v>74.260000000000005</v>
      </c>
      <c r="J1542" s="42">
        <v>78.680000000000007</v>
      </c>
      <c r="K1542" s="42">
        <v>76.099999999999994</v>
      </c>
      <c r="L1542" s="42">
        <v>76.25</v>
      </c>
      <c r="M1542" s="42">
        <f t="shared" si="95"/>
        <v>3.6599999999999966</v>
      </c>
    </row>
    <row r="1543" spans="2:13" x14ac:dyDescent="0.25">
      <c r="B1543" s="42">
        <f t="shared" ref="B1543:B1606" si="96">DAY(E1543)</f>
        <v>23</v>
      </c>
      <c r="C1543" s="42">
        <f t="shared" ref="C1543:C1606" si="97">MONTH(E1543)</f>
        <v>11</v>
      </c>
      <c r="D1543" s="42">
        <f t="shared" ref="D1543:D1606" si="98">YEAR(E1543)</f>
        <v>2021</v>
      </c>
      <c r="E1543" s="43">
        <v>44523</v>
      </c>
      <c r="F1543" s="42">
        <v>74.39</v>
      </c>
      <c r="G1543" s="42">
        <v>75.349999999999994</v>
      </c>
      <c r="H1543" s="42">
        <v>73.900000000000006</v>
      </c>
      <c r="I1543" s="42">
        <v>76.95</v>
      </c>
      <c r="J1543" s="42">
        <v>81.98</v>
      </c>
      <c r="K1543" s="42">
        <v>78.45</v>
      </c>
      <c r="L1543" s="42">
        <v>78.849999999999994</v>
      </c>
      <c r="M1543" s="42">
        <f t="shared" ref="M1543:M1606" si="99">K1543-F1543</f>
        <v>4.0600000000000023</v>
      </c>
    </row>
    <row r="1544" spans="2:13" x14ac:dyDescent="0.25">
      <c r="B1544" s="42">
        <f t="shared" si="96"/>
        <v>24</v>
      </c>
      <c r="C1544" s="42">
        <f t="shared" si="97"/>
        <v>11</v>
      </c>
      <c r="D1544" s="42">
        <f t="shared" si="98"/>
        <v>2021</v>
      </c>
      <c r="E1544" s="43">
        <v>44524</v>
      </c>
      <c r="F1544" s="42">
        <v>74.87</v>
      </c>
      <c r="G1544" s="42">
        <v>75.72</v>
      </c>
      <c r="H1544" s="42">
        <v>74.27</v>
      </c>
      <c r="I1544" s="42">
        <v>77.319999999999993</v>
      </c>
      <c r="J1544" s="42">
        <v>82.89</v>
      </c>
      <c r="K1544" s="42">
        <v>78.39</v>
      </c>
      <c r="L1544" s="42">
        <v>78.790000000000006</v>
      </c>
      <c r="M1544" s="42">
        <f t="shared" si="99"/>
        <v>3.519999999999996</v>
      </c>
    </row>
    <row r="1545" spans="2:13" x14ac:dyDescent="0.25">
      <c r="B1545" s="42">
        <f t="shared" si="96"/>
        <v>25</v>
      </c>
      <c r="C1545" s="42">
        <f t="shared" si="97"/>
        <v>11</v>
      </c>
      <c r="D1545" s="42">
        <f t="shared" si="98"/>
        <v>2021</v>
      </c>
      <c r="E1545" s="43">
        <v>44525</v>
      </c>
      <c r="F1545" s="42">
        <v>74.87</v>
      </c>
      <c r="G1545" s="42">
        <v>75.72</v>
      </c>
      <c r="H1545" s="42">
        <v>74.27</v>
      </c>
      <c r="I1545" s="42">
        <v>77.319999999999993</v>
      </c>
      <c r="J1545" s="42">
        <v>82.25</v>
      </c>
      <c r="K1545" s="42">
        <v>78.39</v>
      </c>
      <c r="L1545" s="42">
        <v>78.790000000000006</v>
      </c>
      <c r="M1545" s="42">
        <f t="shared" si="99"/>
        <v>3.519999999999996</v>
      </c>
    </row>
    <row r="1546" spans="2:13" x14ac:dyDescent="0.25">
      <c r="B1546" s="42">
        <f t="shared" si="96"/>
        <v>26</v>
      </c>
      <c r="C1546" s="42">
        <f t="shared" si="97"/>
        <v>11</v>
      </c>
      <c r="D1546" s="42">
        <f t="shared" si="98"/>
        <v>2021</v>
      </c>
      <c r="E1546" s="43">
        <v>44526</v>
      </c>
      <c r="F1546" s="42">
        <v>66.489999999999995</v>
      </c>
      <c r="G1546" s="42">
        <v>75.72</v>
      </c>
      <c r="H1546" s="42">
        <v>74.27</v>
      </c>
      <c r="I1546" s="42">
        <v>77.319999999999993</v>
      </c>
      <c r="J1546" s="42">
        <v>73.72</v>
      </c>
      <c r="K1546" s="42">
        <v>78.39</v>
      </c>
      <c r="L1546" s="42">
        <v>78.790000000000006</v>
      </c>
      <c r="M1546" s="42">
        <f t="shared" si="99"/>
        <v>11.900000000000006</v>
      </c>
    </row>
    <row r="1547" spans="2:13" x14ac:dyDescent="0.25">
      <c r="B1547" s="42">
        <f t="shared" si="96"/>
        <v>29</v>
      </c>
      <c r="C1547" s="42">
        <f t="shared" si="97"/>
        <v>11</v>
      </c>
      <c r="D1547" s="42">
        <f t="shared" si="98"/>
        <v>2021</v>
      </c>
      <c r="E1547" s="43">
        <v>44529</v>
      </c>
      <c r="F1547" s="42">
        <v>63.16</v>
      </c>
      <c r="G1547" s="42">
        <v>66.98</v>
      </c>
      <c r="H1547" s="42">
        <v>65.53</v>
      </c>
      <c r="I1547" s="42">
        <v>68.58</v>
      </c>
      <c r="J1547" s="42">
        <v>74.94</v>
      </c>
      <c r="K1547" s="42">
        <v>69.95</v>
      </c>
      <c r="L1547" s="42">
        <v>71</v>
      </c>
      <c r="M1547" s="42">
        <f t="shared" si="99"/>
        <v>6.7900000000000063</v>
      </c>
    </row>
    <row r="1548" spans="2:13" x14ac:dyDescent="0.25">
      <c r="B1548" s="42">
        <f t="shared" si="96"/>
        <v>30</v>
      </c>
      <c r="C1548" s="42">
        <f t="shared" si="97"/>
        <v>11</v>
      </c>
      <c r="D1548" s="42">
        <f t="shared" si="98"/>
        <v>2021</v>
      </c>
      <c r="E1548" s="43">
        <v>44530</v>
      </c>
      <c r="F1548" s="42">
        <v>61.23</v>
      </c>
      <c r="G1548" s="42">
        <v>63.5</v>
      </c>
      <c r="H1548" s="42">
        <v>62.05</v>
      </c>
      <c r="I1548" s="42">
        <v>65.099999999999994</v>
      </c>
      <c r="J1548" s="42">
        <v>70.349999999999994</v>
      </c>
      <c r="K1548" s="42">
        <v>66.180000000000007</v>
      </c>
      <c r="L1548" s="42">
        <v>67.23</v>
      </c>
      <c r="M1548" s="42">
        <f t="shared" si="99"/>
        <v>4.9500000000000099</v>
      </c>
    </row>
    <row r="1549" spans="2:13" x14ac:dyDescent="0.25">
      <c r="B1549" s="42">
        <f t="shared" si="96"/>
        <v>1</v>
      </c>
      <c r="C1549" s="42">
        <f t="shared" si="97"/>
        <v>12</v>
      </c>
      <c r="D1549" s="42">
        <f t="shared" si="98"/>
        <v>2021</v>
      </c>
      <c r="E1549" s="43">
        <v>44531</v>
      </c>
      <c r="F1549" s="42">
        <v>61.59</v>
      </c>
      <c r="G1549" s="42">
        <v>61.46</v>
      </c>
      <c r="H1549" s="42">
        <v>59.16</v>
      </c>
      <c r="I1549" s="42">
        <v>63.06</v>
      </c>
      <c r="J1549" s="42">
        <v>71.64</v>
      </c>
      <c r="K1549" s="42">
        <v>65.569999999999993</v>
      </c>
      <c r="L1549" s="42">
        <v>67.12</v>
      </c>
      <c r="M1549" s="42">
        <f t="shared" si="99"/>
        <v>3.9799999999999898</v>
      </c>
    </row>
    <row r="1550" spans="2:13" x14ac:dyDescent="0.25">
      <c r="B1550" s="42">
        <f t="shared" si="96"/>
        <v>2</v>
      </c>
      <c r="C1550" s="42">
        <f t="shared" si="97"/>
        <v>12</v>
      </c>
      <c r="D1550" s="42">
        <f t="shared" si="98"/>
        <v>2021</v>
      </c>
      <c r="E1550" s="43">
        <v>44532</v>
      </c>
      <c r="F1550" s="42">
        <v>61.59</v>
      </c>
      <c r="G1550" s="42">
        <v>62.31</v>
      </c>
      <c r="H1550" s="42">
        <v>60.01</v>
      </c>
      <c r="I1550" s="42">
        <v>63.91</v>
      </c>
      <c r="J1550" s="42">
        <v>69.98</v>
      </c>
      <c r="K1550" s="42">
        <v>66.5</v>
      </c>
      <c r="L1550" s="42">
        <v>68.05</v>
      </c>
      <c r="M1550" s="42">
        <f t="shared" si="99"/>
        <v>4.9099999999999966</v>
      </c>
    </row>
    <row r="1551" spans="2:13" x14ac:dyDescent="0.25">
      <c r="B1551" s="42">
        <f t="shared" si="96"/>
        <v>3</v>
      </c>
      <c r="C1551" s="42">
        <f t="shared" si="97"/>
        <v>12</v>
      </c>
      <c r="D1551" s="42">
        <f t="shared" si="98"/>
        <v>2021</v>
      </c>
      <c r="E1551" s="43">
        <v>44533</v>
      </c>
      <c r="F1551" s="42">
        <v>61.87</v>
      </c>
      <c r="G1551" s="42">
        <v>62.22</v>
      </c>
      <c r="H1551" s="42">
        <v>59.92</v>
      </c>
      <c r="I1551" s="42">
        <v>63.82</v>
      </c>
      <c r="J1551" s="42">
        <v>71.44</v>
      </c>
      <c r="K1551" s="42">
        <v>66.260000000000005</v>
      </c>
      <c r="L1551" s="42">
        <v>67.81</v>
      </c>
      <c r="M1551" s="42">
        <f t="shared" si="99"/>
        <v>4.3900000000000077</v>
      </c>
    </row>
    <row r="1552" spans="2:13" x14ac:dyDescent="0.25">
      <c r="B1552" s="42">
        <f t="shared" si="96"/>
        <v>6</v>
      </c>
      <c r="C1552" s="42">
        <f t="shared" si="97"/>
        <v>12</v>
      </c>
      <c r="D1552" s="42">
        <f t="shared" si="98"/>
        <v>2021</v>
      </c>
      <c r="E1552" s="43">
        <v>44536</v>
      </c>
      <c r="F1552" s="42">
        <v>64.48</v>
      </c>
      <c r="G1552" s="42">
        <v>65.44</v>
      </c>
      <c r="H1552" s="42">
        <v>63.14</v>
      </c>
      <c r="I1552" s="42">
        <v>67.040000000000006</v>
      </c>
      <c r="J1552" s="42">
        <v>72.150000000000006</v>
      </c>
      <c r="K1552" s="42">
        <v>69.489999999999995</v>
      </c>
      <c r="L1552" s="42">
        <v>71.040000000000006</v>
      </c>
      <c r="M1552" s="42">
        <f t="shared" si="99"/>
        <v>5.0099999999999909</v>
      </c>
    </row>
    <row r="1553" spans="2:13" x14ac:dyDescent="0.25">
      <c r="B1553" s="42">
        <f t="shared" si="96"/>
        <v>7</v>
      </c>
      <c r="C1553" s="42">
        <f t="shared" si="97"/>
        <v>12</v>
      </c>
      <c r="D1553" s="42">
        <f t="shared" si="98"/>
        <v>2021</v>
      </c>
      <c r="E1553" s="43">
        <v>44537</v>
      </c>
      <c r="F1553" s="42">
        <v>67</v>
      </c>
      <c r="G1553" s="42">
        <v>67.900000000000006</v>
      </c>
      <c r="H1553" s="42">
        <v>65.599999999999994</v>
      </c>
      <c r="I1553" s="42">
        <v>69.5</v>
      </c>
      <c r="J1553" s="42">
        <v>75.89</v>
      </c>
      <c r="K1553" s="42">
        <v>72.05</v>
      </c>
      <c r="L1553" s="42">
        <v>73.5</v>
      </c>
      <c r="M1553" s="42">
        <f t="shared" si="99"/>
        <v>5.0499999999999972</v>
      </c>
    </row>
    <row r="1554" spans="2:13" x14ac:dyDescent="0.25">
      <c r="B1554" s="42">
        <f t="shared" si="96"/>
        <v>8</v>
      </c>
      <c r="C1554" s="42">
        <f t="shared" si="97"/>
        <v>12</v>
      </c>
      <c r="D1554" s="42">
        <f t="shared" si="98"/>
        <v>2021</v>
      </c>
      <c r="E1554" s="43">
        <v>44538</v>
      </c>
      <c r="F1554" s="42">
        <v>67.45</v>
      </c>
      <c r="G1554" s="42">
        <v>68.27</v>
      </c>
      <c r="H1554" s="42">
        <v>65.97</v>
      </c>
      <c r="I1554" s="42">
        <v>69.87</v>
      </c>
      <c r="J1554" s="42">
        <v>75.95</v>
      </c>
      <c r="K1554" s="42">
        <v>72.36</v>
      </c>
      <c r="L1554" s="42">
        <v>73.86</v>
      </c>
      <c r="M1554" s="42">
        <f t="shared" si="99"/>
        <v>4.9099999999999966</v>
      </c>
    </row>
    <row r="1555" spans="2:13" x14ac:dyDescent="0.25">
      <c r="B1555" s="42">
        <f t="shared" si="96"/>
        <v>9</v>
      </c>
      <c r="C1555" s="42">
        <f t="shared" si="97"/>
        <v>12</v>
      </c>
      <c r="D1555" s="42">
        <f t="shared" si="98"/>
        <v>2021</v>
      </c>
      <c r="E1555" s="43">
        <v>44539</v>
      </c>
      <c r="F1555" s="42">
        <v>66.37</v>
      </c>
      <c r="G1555" s="42">
        <v>66.95</v>
      </c>
      <c r="H1555" s="42">
        <v>64.650000000000006</v>
      </c>
      <c r="I1555" s="42">
        <v>68.55</v>
      </c>
      <c r="J1555" s="42">
        <v>75.41</v>
      </c>
      <c r="K1555" s="42">
        <v>70.94</v>
      </c>
      <c r="L1555" s="42">
        <v>72.44</v>
      </c>
      <c r="M1555" s="42">
        <f t="shared" si="99"/>
        <v>4.5699999999999932</v>
      </c>
    </row>
    <row r="1556" spans="2:13" x14ac:dyDescent="0.25">
      <c r="B1556" s="42">
        <f t="shared" si="96"/>
        <v>10</v>
      </c>
      <c r="C1556" s="42">
        <f t="shared" si="97"/>
        <v>12</v>
      </c>
      <c r="D1556" s="42">
        <f t="shared" si="98"/>
        <v>2021</v>
      </c>
      <c r="E1556" s="43">
        <v>44540</v>
      </c>
      <c r="F1556" s="42">
        <v>66.739999999999995</v>
      </c>
      <c r="G1556" s="42">
        <v>67.680000000000007</v>
      </c>
      <c r="H1556" s="42">
        <v>65.38</v>
      </c>
      <c r="I1556" s="42">
        <v>69.28</v>
      </c>
      <c r="J1556" s="42">
        <v>74.739999999999995</v>
      </c>
      <c r="K1556" s="42">
        <v>71.67</v>
      </c>
      <c r="L1556" s="42">
        <v>73.17</v>
      </c>
      <c r="M1556" s="42">
        <f t="shared" si="99"/>
        <v>4.9300000000000068</v>
      </c>
    </row>
    <row r="1557" spans="2:13" x14ac:dyDescent="0.25">
      <c r="B1557" s="42">
        <f t="shared" si="96"/>
        <v>13</v>
      </c>
      <c r="C1557" s="42">
        <f t="shared" si="97"/>
        <v>12</v>
      </c>
      <c r="D1557" s="42">
        <f t="shared" si="98"/>
        <v>2021</v>
      </c>
      <c r="E1557" s="43">
        <v>44543</v>
      </c>
      <c r="F1557" s="42">
        <v>66.48</v>
      </c>
      <c r="G1557" s="42">
        <v>67.239999999999995</v>
      </c>
      <c r="H1557" s="42">
        <v>64.94</v>
      </c>
      <c r="I1557" s="42">
        <v>68.84</v>
      </c>
      <c r="J1557" s="42">
        <v>74.959999999999994</v>
      </c>
      <c r="K1557" s="42">
        <v>71.290000000000006</v>
      </c>
      <c r="L1557" s="42">
        <v>74.09</v>
      </c>
      <c r="M1557" s="42">
        <f t="shared" si="99"/>
        <v>4.8100000000000023</v>
      </c>
    </row>
    <row r="1558" spans="2:13" x14ac:dyDescent="0.25">
      <c r="B1558" s="42">
        <f t="shared" si="96"/>
        <v>14</v>
      </c>
      <c r="C1558" s="42">
        <f t="shared" si="97"/>
        <v>12</v>
      </c>
      <c r="D1558" s="42">
        <f t="shared" si="98"/>
        <v>2021</v>
      </c>
      <c r="E1558" s="43">
        <v>44544</v>
      </c>
      <c r="F1558" s="42">
        <v>65.75</v>
      </c>
      <c r="G1558" s="42">
        <v>66.5</v>
      </c>
      <c r="H1558" s="42">
        <v>64.2</v>
      </c>
      <c r="I1558" s="42">
        <v>68.099999999999994</v>
      </c>
      <c r="J1558" s="42">
        <v>73.87</v>
      </c>
      <c r="K1558" s="42">
        <v>70.73</v>
      </c>
      <c r="L1558" s="42">
        <v>73.38</v>
      </c>
      <c r="M1558" s="42">
        <f t="shared" si="99"/>
        <v>4.980000000000004</v>
      </c>
    </row>
    <row r="1559" spans="2:13" x14ac:dyDescent="0.25">
      <c r="B1559" s="42">
        <f t="shared" si="96"/>
        <v>15</v>
      </c>
      <c r="C1559" s="42">
        <f t="shared" si="97"/>
        <v>12</v>
      </c>
      <c r="D1559" s="42">
        <f t="shared" si="98"/>
        <v>2021</v>
      </c>
      <c r="E1559" s="43">
        <v>44545</v>
      </c>
      <c r="F1559" s="42">
        <v>65.7</v>
      </c>
      <c r="G1559" s="42">
        <v>66.69</v>
      </c>
      <c r="H1559" s="42">
        <v>64.39</v>
      </c>
      <c r="I1559" s="42">
        <v>68.290000000000006</v>
      </c>
      <c r="J1559" s="42">
        <v>73.069999999999993</v>
      </c>
      <c r="K1559" s="42">
        <v>70.87</v>
      </c>
      <c r="L1559" s="42">
        <v>73.52</v>
      </c>
      <c r="M1559" s="42">
        <f t="shared" si="99"/>
        <v>5.1700000000000017</v>
      </c>
    </row>
    <row r="1560" spans="2:13" x14ac:dyDescent="0.25">
      <c r="B1560" s="42">
        <f t="shared" si="96"/>
        <v>16</v>
      </c>
      <c r="C1560" s="42">
        <f t="shared" si="97"/>
        <v>12</v>
      </c>
      <c r="D1560" s="42">
        <f t="shared" si="98"/>
        <v>2021</v>
      </c>
      <c r="E1560" s="43">
        <v>44546</v>
      </c>
      <c r="F1560" s="42">
        <v>66.98</v>
      </c>
      <c r="G1560" s="42">
        <v>68.069999999999993</v>
      </c>
      <c r="H1560" s="42">
        <v>65.77</v>
      </c>
      <c r="I1560" s="42">
        <v>69.67</v>
      </c>
      <c r="J1560" s="42">
        <v>75.349999999999994</v>
      </c>
      <c r="K1560" s="42">
        <v>72.38</v>
      </c>
      <c r="L1560" s="42">
        <v>75.13</v>
      </c>
      <c r="M1560" s="42">
        <f t="shared" si="99"/>
        <v>5.3999999999999915</v>
      </c>
    </row>
    <row r="1561" spans="2:13" x14ac:dyDescent="0.25">
      <c r="B1561" s="42">
        <f t="shared" si="96"/>
        <v>17</v>
      </c>
      <c r="C1561" s="42">
        <f t="shared" si="97"/>
        <v>12</v>
      </c>
      <c r="D1561" s="42">
        <f t="shared" si="98"/>
        <v>2021</v>
      </c>
      <c r="E1561" s="43">
        <v>44547</v>
      </c>
      <c r="F1561" s="42">
        <v>65.739999999999995</v>
      </c>
      <c r="G1561" s="42">
        <v>66.55</v>
      </c>
      <c r="H1561" s="42">
        <v>64.25</v>
      </c>
      <c r="I1561" s="42">
        <v>68.150000000000006</v>
      </c>
      <c r="J1561" s="42">
        <v>73.84</v>
      </c>
      <c r="K1561" s="42">
        <v>70.86</v>
      </c>
      <c r="L1561" s="42">
        <v>73.61</v>
      </c>
      <c r="M1561" s="42">
        <f t="shared" si="99"/>
        <v>5.1200000000000045</v>
      </c>
    </row>
    <row r="1562" spans="2:13" x14ac:dyDescent="0.25">
      <c r="B1562" s="42">
        <f t="shared" si="96"/>
        <v>20</v>
      </c>
      <c r="C1562" s="42">
        <f t="shared" si="97"/>
        <v>12</v>
      </c>
      <c r="D1562" s="42">
        <f t="shared" si="98"/>
        <v>2021</v>
      </c>
      <c r="E1562" s="43">
        <v>44550</v>
      </c>
      <c r="F1562" s="42">
        <v>63.43</v>
      </c>
      <c r="G1562" s="42">
        <v>64.180000000000007</v>
      </c>
      <c r="H1562" s="42">
        <v>61.88</v>
      </c>
      <c r="I1562" s="42">
        <v>65.78</v>
      </c>
      <c r="J1562" s="42">
        <v>69.91</v>
      </c>
      <c r="K1562" s="42">
        <v>68.23</v>
      </c>
      <c r="L1562" s="42">
        <v>71.03</v>
      </c>
      <c r="M1562" s="42">
        <f t="shared" si="99"/>
        <v>4.8000000000000043</v>
      </c>
    </row>
    <row r="1563" spans="2:13" x14ac:dyDescent="0.25">
      <c r="B1563" s="42">
        <f t="shared" si="96"/>
        <v>21</v>
      </c>
      <c r="C1563" s="42">
        <f t="shared" si="97"/>
        <v>12</v>
      </c>
      <c r="D1563" s="42">
        <f t="shared" si="98"/>
        <v>2021</v>
      </c>
      <c r="E1563" s="43">
        <v>44551</v>
      </c>
      <c r="F1563" s="42">
        <v>65.81</v>
      </c>
      <c r="G1563" s="42">
        <v>67.239999999999995</v>
      </c>
      <c r="H1563" s="42">
        <v>64.94</v>
      </c>
      <c r="I1563" s="42">
        <v>68.84</v>
      </c>
      <c r="J1563" s="42">
        <v>73.58</v>
      </c>
      <c r="K1563" s="42">
        <v>71.22</v>
      </c>
      <c r="L1563" s="42">
        <v>73.72</v>
      </c>
      <c r="M1563" s="42">
        <f t="shared" si="99"/>
        <v>5.4099999999999966</v>
      </c>
    </row>
    <row r="1564" spans="2:13" x14ac:dyDescent="0.25">
      <c r="B1564" s="42">
        <f t="shared" si="96"/>
        <v>22</v>
      </c>
      <c r="C1564" s="42">
        <f t="shared" si="97"/>
        <v>12</v>
      </c>
      <c r="D1564" s="42">
        <f t="shared" si="98"/>
        <v>2021</v>
      </c>
      <c r="E1564" s="43">
        <v>44552</v>
      </c>
      <c r="F1564" s="42">
        <v>67.36</v>
      </c>
      <c r="G1564" s="42">
        <v>68.77</v>
      </c>
      <c r="H1564" s="42">
        <v>66.47</v>
      </c>
      <c r="I1564" s="42">
        <v>70.37</v>
      </c>
      <c r="J1564" s="42">
        <v>74.69</v>
      </c>
      <c r="K1564" s="42">
        <v>72.86</v>
      </c>
      <c r="L1564" s="42">
        <v>75.36</v>
      </c>
      <c r="M1564" s="42">
        <f t="shared" si="99"/>
        <v>5.5</v>
      </c>
    </row>
    <row r="1565" spans="2:13" x14ac:dyDescent="0.25">
      <c r="B1565" s="42">
        <f t="shared" si="96"/>
        <v>23</v>
      </c>
      <c r="C1565" s="42">
        <f t="shared" si="97"/>
        <v>12</v>
      </c>
      <c r="D1565" s="42">
        <f t="shared" si="98"/>
        <v>2021</v>
      </c>
      <c r="E1565" s="43">
        <v>44553</v>
      </c>
      <c r="F1565" s="42">
        <v>68.569999999999993</v>
      </c>
      <c r="G1565" s="42">
        <v>69.98</v>
      </c>
      <c r="H1565" s="42">
        <v>67.680000000000007</v>
      </c>
      <c r="I1565" s="42">
        <v>71.58</v>
      </c>
      <c r="J1565" s="42">
        <v>76.3</v>
      </c>
      <c r="K1565" s="42">
        <v>73.790000000000006</v>
      </c>
      <c r="L1565" s="42">
        <v>76.290000000000006</v>
      </c>
      <c r="M1565" s="42">
        <f t="shared" si="99"/>
        <v>5.2200000000000131</v>
      </c>
    </row>
    <row r="1566" spans="2:13" x14ac:dyDescent="0.25">
      <c r="B1566" s="42">
        <f t="shared" si="96"/>
        <v>24</v>
      </c>
      <c r="C1566" s="42">
        <f t="shared" si="97"/>
        <v>12</v>
      </c>
      <c r="D1566" s="42">
        <f t="shared" si="98"/>
        <v>2021</v>
      </c>
      <c r="E1566" s="43">
        <v>44554</v>
      </c>
      <c r="F1566" s="42">
        <v>68.569999999999993</v>
      </c>
      <c r="G1566" s="42">
        <v>69.98</v>
      </c>
      <c r="H1566" s="42">
        <v>67.680000000000007</v>
      </c>
      <c r="I1566" s="42">
        <v>71.58</v>
      </c>
      <c r="J1566" s="42">
        <v>76.2</v>
      </c>
      <c r="K1566" s="42">
        <v>73.790000000000006</v>
      </c>
      <c r="L1566" s="42">
        <v>76.290000000000006</v>
      </c>
      <c r="M1566" s="42">
        <f t="shared" si="99"/>
        <v>5.2200000000000131</v>
      </c>
    </row>
    <row r="1567" spans="2:13" x14ac:dyDescent="0.25">
      <c r="B1567" s="42">
        <f t="shared" si="96"/>
        <v>27</v>
      </c>
      <c r="C1567" s="42">
        <f t="shared" si="97"/>
        <v>12</v>
      </c>
      <c r="D1567" s="42">
        <f t="shared" si="98"/>
        <v>2021</v>
      </c>
      <c r="E1567" s="43">
        <v>44557</v>
      </c>
      <c r="F1567" s="42">
        <v>68.569999999999993</v>
      </c>
      <c r="G1567" s="42">
        <v>71.489999999999995</v>
      </c>
      <c r="H1567" s="42">
        <v>69.19</v>
      </c>
      <c r="I1567" s="42">
        <v>73.09</v>
      </c>
      <c r="J1567" s="42">
        <v>76.2</v>
      </c>
      <c r="K1567" s="42">
        <v>75.569999999999993</v>
      </c>
      <c r="L1567" s="42">
        <v>77.47</v>
      </c>
      <c r="M1567" s="42">
        <f t="shared" si="99"/>
        <v>7</v>
      </c>
    </row>
    <row r="1568" spans="2:13" x14ac:dyDescent="0.25">
      <c r="B1568" s="42">
        <f t="shared" si="96"/>
        <v>28</v>
      </c>
      <c r="C1568" s="42">
        <f t="shared" si="97"/>
        <v>12</v>
      </c>
      <c r="D1568" s="42">
        <f t="shared" si="98"/>
        <v>2021</v>
      </c>
      <c r="E1568" s="43">
        <v>44558</v>
      </c>
      <c r="F1568" s="42">
        <v>70.63</v>
      </c>
      <c r="G1568" s="42">
        <v>71.75</v>
      </c>
      <c r="H1568" s="42">
        <v>69.45</v>
      </c>
      <c r="I1568" s="42">
        <v>73.349999999999994</v>
      </c>
      <c r="J1568" s="42">
        <v>76.2</v>
      </c>
      <c r="K1568" s="42">
        <v>75.98</v>
      </c>
      <c r="L1568" s="42">
        <v>77.88</v>
      </c>
      <c r="M1568" s="42">
        <f t="shared" si="99"/>
        <v>5.3500000000000085</v>
      </c>
    </row>
    <row r="1569" spans="2:13" x14ac:dyDescent="0.25">
      <c r="B1569" s="42">
        <f t="shared" si="96"/>
        <v>29</v>
      </c>
      <c r="C1569" s="42">
        <f t="shared" si="97"/>
        <v>12</v>
      </c>
      <c r="D1569" s="42">
        <f t="shared" si="98"/>
        <v>2021</v>
      </c>
      <c r="E1569" s="43">
        <v>44559</v>
      </c>
      <c r="F1569" s="42">
        <v>71.040000000000006</v>
      </c>
      <c r="G1569" s="42">
        <v>72.22</v>
      </c>
      <c r="H1569" s="42">
        <v>69.92</v>
      </c>
      <c r="I1569" s="42">
        <v>73.819999999999993</v>
      </c>
      <c r="J1569" s="42">
        <v>78.31</v>
      </c>
      <c r="K1569" s="42">
        <v>76.56</v>
      </c>
      <c r="L1569" s="42">
        <v>78.459999999999994</v>
      </c>
      <c r="M1569" s="42">
        <f t="shared" si="99"/>
        <v>5.519999999999996</v>
      </c>
    </row>
    <row r="1570" spans="2:13" x14ac:dyDescent="0.25">
      <c r="B1570" s="42">
        <f t="shared" si="96"/>
        <v>30</v>
      </c>
      <c r="C1570" s="42">
        <f t="shared" si="97"/>
        <v>12</v>
      </c>
      <c r="D1570" s="42">
        <f t="shared" si="98"/>
        <v>2021</v>
      </c>
      <c r="E1570" s="43">
        <v>44560</v>
      </c>
      <c r="F1570" s="42">
        <v>71.290000000000006</v>
      </c>
      <c r="G1570" s="42">
        <v>72.5</v>
      </c>
      <c r="H1570" s="42">
        <v>70.2</v>
      </c>
      <c r="I1570" s="42">
        <v>74.099999999999994</v>
      </c>
      <c r="J1570" s="42">
        <v>79.08</v>
      </c>
      <c r="K1570" s="42">
        <v>76.989999999999995</v>
      </c>
      <c r="L1570" s="42">
        <v>78.59</v>
      </c>
      <c r="M1570" s="42">
        <f t="shared" si="99"/>
        <v>5.6999999999999886</v>
      </c>
    </row>
    <row r="1571" spans="2:13" x14ac:dyDescent="0.25">
      <c r="B1571" s="42">
        <f t="shared" si="96"/>
        <v>31</v>
      </c>
      <c r="C1571" s="42">
        <f t="shared" si="97"/>
        <v>12</v>
      </c>
      <c r="D1571" s="42">
        <f t="shared" si="98"/>
        <v>2021</v>
      </c>
      <c r="E1571" s="43">
        <v>44561</v>
      </c>
      <c r="F1571" s="42">
        <v>71.290000000000006</v>
      </c>
      <c r="G1571" s="42">
        <v>72.5</v>
      </c>
      <c r="H1571" s="42">
        <v>70.2</v>
      </c>
      <c r="I1571" s="42">
        <v>74.099999999999994</v>
      </c>
      <c r="J1571" s="42">
        <v>77.78</v>
      </c>
      <c r="K1571" s="42">
        <v>76.989999999999995</v>
      </c>
      <c r="L1571" s="42">
        <v>78.59</v>
      </c>
      <c r="M1571" s="42">
        <f t="shared" si="99"/>
        <v>5.6999999999999886</v>
      </c>
    </row>
    <row r="1572" spans="2:13" x14ac:dyDescent="0.25">
      <c r="B1572" s="42">
        <f t="shared" si="96"/>
        <v>3</v>
      </c>
      <c r="C1572" s="42">
        <f t="shared" si="97"/>
        <v>1</v>
      </c>
      <c r="D1572" s="42">
        <f t="shared" si="98"/>
        <v>2022</v>
      </c>
      <c r="E1572" s="43">
        <v>44564</v>
      </c>
      <c r="F1572" s="42">
        <v>70.900000000000006</v>
      </c>
      <c r="G1572" s="42">
        <v>71.41</v>
      </c>
      <c r="H1572" s="42">
        <v>70.06</v>
      </c>
      <c r="I1572" s="42">
        <v>73.209999999999994</v>
      </c>
      <c r="J1572" s="42">
        <v>77.78</v>
      </c>
      <c r="K1572" s="42">
        <v>76.08</v>
      </c>
      <c r="L1572" s="42">
        <v>77.78</v>
      </c>
      <c r="M1572" s="42">
        <f t="shared" si="99"/>
        <v>5.1799999999999926</v>
      </c>
    </row>
    <row r="1573" spans="2:13" x14ac:dyDescent="0.25">
      <c r="B1573" s="42">
        <f t="shared" si="96"/>
        <v>4</v>
      </c>
      <c r="C1573" s="42">
        <f t="shared" si="97"/>
        <v>1</v>
      </c>
      <c r="D1573" s="42">
        <f t="shared" si="98"/>
        <v>2022</v>
      </c>
      <c r="E1573" s="43">
        <v>44565</v>
      </c>
      <c r="F1573" s="42">
        <v>71.849999999999994</v>
      </c>
      <c r="G1573" s="42">
        <v>72.42</v>
      </c>
      <c r="H1573" s="42">
        <v>71.069999999999993</v>
      </c>
      <c r="I1573" s="42">
        <v>74.22</v>
      </c>
      <c r="J1573" s="42">
        <v>79.72</v>
      </c>
      <c r="K1573" s="42">
        <v>76.989999999999995</v>
      </c>
      <c r="L1573" s="42">
        <v>78.790000000000006</v>
      </c>
      <c r="M1573" s="42">
        <f t="shared" si="99"/>
        <v>5.1400000000000006</v>
      </c>
    </row>
    <row r="1574" spans="2:13" x14ac:dyDescent="0.25">
      <c r="B1574" s="42">
        <f t="shared" si="96"/>
        <v>5</v>
      </c>
      <c r="C1574" s="42">
        <f t="shared" si="97"/>
        <v>1</v>
      </c>
      <c r="D1574" s="42">
        <f t="shared" si="98"/>
        <v>2022</v>
      </c>
      <c r="E1574" s="43">
        <v>44566</v>
      </c>
      <c r="F1574" s="42">
        <v>72.77</v>
      </c>
      <c r="G1574" s="42">
        <v>73.39</v>
      </c>
      <c r="H1574" s="42">
        <v>72.040000000000006</v>
      </c>
      <c r="I1574" s="42">
        <v>75.19</v>
      </c>
      <c r="J1574" s="42">
        <v>81.31</v>
      </c>
      <c r="K1574" s="42">
        <v>77.849999999999994</v>
      </c>
      <c r="L1574" s="42">
        <v>80.05</v>
      </c>
      <c r="M1574" s="42">
        <f t="shared" si="99"/>
        <v>5.0799999999999983</v>
      </c>
    </row>
    <row r="1575" spans="2:13" x14ac:dyDescent="0.25">
      <c r="B1575" s="42">
        <f t="shared" si="96"/>
        <v>6</v>
      </c>
      <c r="C1575" s="42">
        <f t="shared" si="97"/>
        <v>1</v>
      </c>
      <c r="D1575" s="42">
        <f t="shared" si="98"/>
        <v>2022</v>
      </c>
      <c r="E1575" s="43">
        <v>44567</v>
      </c>
      <c r="F1575" s="42">
        <v>74.12</v>
      </c>
      <c r="G1575" s="42">
        <v>74.89</v>
      </c>
      <c r="H1575" s="42">
        <v>73.540000000000006</v>
      </c>
      <c r="I1575" s="42">
        <v>76.69</v>
      </c>
      <c r="J1575" s="42">
        <v>82.5</v>
      </c>
      <c r="K1575" s="42">
        <v>79.459999999999994</v>
      </c>
      <c r="L1575" s="42">
        <v>81.709999999999994</v>
      </c>
      <c r="M1575" s="42">
        <f t="shared" si="99"/>
        <v>5.3399999999999892</v>
      </c>
    </row>
    <row r="1576" spans="2:13" x14ac:dyDescent="0.25">
      <c r="B1576" s="42">
        <f t="shared" si="96"/>
        <v>7</v>
      </c>
      <c r="C1576" s="42">
        <f t="shared" si="97"/>
        <v>1</v>
      </c>
      <c r="D1576" s="42">
        <f t="shared" si="98"/>
        <v>2022</v>
      </c>
      <c r="E1576" s="43">
        <v>44568</v>
      </c>
      <c r="F1576" s="42">
        <v>74.010000000000005</v>
      </c>
      <c r="G1576" s="42">
        <v>74.44</v>
      </c>
      <c r="H1576" s="42">
        <v>73.09</v>
      </c>
      <c r="I1576" s="42">
        <v>76.239999999999995</v>
      </c>
      <c r="J1576" s="42">
        <v>82.11</v>
      </c>
      <c r="K1576" s="42">
        <v>78.900000000000006</v>
      </c>
      <c r="L1576" s="42">
        <v>81.150000000000006</v>
      </c>
      <c r="M1576" s="42">
        <f t="shared" si="99"/>
        <v>4.8900000000000006</v>
      </c>
    </row>
    <row r="1577" spans="2:13" x14ac:dyDescent="0.25">
      <c r="B1577" s="42">
        <f t="shared" si="96"/>
        <v>10</v>
      </c>
      <c r="C1577" s="42">
        <f t="shared" si="97"/>
        <v>1</v>
      </c>
      <c r="D1577" s="42">
        <f t="shared" si="98"/>
        <v>2022</v>
      </c>
      <c r="E1577" s="43">
        <v>44571</v>
      </c>
      <c r="F1577" s="42">
        <v>73.319999999999993</v>
      </c>
      <c r="G1577" s="42">
        <v>73.69</v>
      </c>
      <c r="H1577" s="42">
        <v>72.34</v>
      </c>
      <c r="I1577" s="42">
        <v>75.489999999999995</v>
      </c>
      <c r="J1577" s="42">
        <v>81.400000000000006</v>
      </c>
      <c r="K1577" s="42">
        <v>78.23</v>
      </c>
      <c r="L1577" s="42">
        <v>80.48</v>
      </c>
      <c r="M1577" s="42">
        <f t="shared" si="99"/>
        <v>4.9100000000000108</v>
      </c>
    </row>
    <row r="1578" spans="2:13" x14ac:dyDescent="0.25">
      <c r="B1578" s="42">
        <f t="shared" si="96"/>
        <v>11</v>
      </c>
      <c r="C1578" s="42">
        <f t="shared" si="97"/>
        <v>1</v>
      </c>
      <c r="D1578" s="42">
        <f t="shared" si="98"/>
        <v>2022</v>
      </c>
      <c r="E1578" s="43">
        <v>44572</v>
      </c>
      <c r="F1578" s="42">
        <v>75.760000000000005</v>
      </c>
      <c r="G1578" s="42">
        <v>76.64</v>
      </c>
      <c r="H1578" s="42">
        <v>75.290000000000006</v>
      </c>
      <c r="I1578" s="42">
        <v>78.44</v>
      </c>
      <c r="J1578" s="42">
        <v>83.46</v>
      </c>
      <c r="K1578" s="42">
        <v>81.22</v>
      </c>
      <c r="L1578" s="42">
        <v>83.72</v>
      </c>
      <c r="M1578" s="42">
        <f t="shared" si="99"/>
        <v>5.4599999999999937</v>
      </c>
    </row>
    <row r="1579" spans="2:13" x14ac:dyDescent="0.25">
      <c r="B1579" s="42">
        <f t="shared" si="96"/>
        <v>12</v>
      </c>
      <c r="C1579" s="42">
        <f t="shared" si="97"/>
        <v>1</v>
      </c>
      <c r="D1579" s="42">
        <f t="shared" si="98"/>
        <v>2022</v>
      </c>
      <c r="E1579" s="43">
        <v>44573</v>
      </c>
      <c r="F1579" s="42">
        <v>76.97</v>
      </c>
      <c r="G1579" s="42">
        <v>77.7</v>
      </c>
      <c r="H1579" s="42">
        <v>76.349999999999994</v>
      </c>
      <c r="I1579" s="42">
        <v>79.5</v>
      </c>
      <c r="J1579" s="42">
        <v>84.95</v>
      </c>
      <c r="K1579" s="42">
        <v>82.64</v>
      </c>
      <c r="L1579" s="42">
        <v>84.84</v>
      </c>
      <c r="M1579" s="42">
        <f t="shared" si="99"/>
        <v>5.6700000000000017</v>
      </c>
    </row>
    <row r="1580" spans="2:13" x14ac:dyDescent="0.25">
      <c r="B1580" s="42">
        <f t="shared" si="96"/>
        <v>13</v>
      </c>
      <c r="C1580" s="42">
        <f t="shared" si="97"/>
        <v>1</v>
      </c>
      <c r="D1580" s="42">
        <f t="shared" si="98"/>
        <v>2022</v>
      </c>
      <c r="E1580" s="43">
        <v>44574</v>
      </c>
      <c r="F1580" s="42">
        <v>76.75</v>
      </c>
      <c r="G1580" s="42">
        <v>77.260000000000005</v>
      </c>
      <c r="H1580" s="42">
        <v>75.91</v>
      </c>
      <c r="I1580" s="42">
        <v>79.06</v>
      </c>
      <c r="J1580" s="42">
        <v>84.64</v>
      </c>
      <c r="K1580" s="42">
        <v>82.12</v>
      </c>
      <c r="L1580" s="42">
        <v>84.17</v>
      </c>
      <c r="M1580" s="42">
        <f t="shared" si="99"/>
        <v>5.3700000000000045</v>
      </c>
    </row>
    <row r="1581" spans="2:13" x14ac:dyDescent="0.25">
      <c r="B1581" s="42">
        <f t="shared" si="96"/>
        <v>14</v>
      </c>
      <c r="C1581" s="42">
        <f t="shared" si="97"/>
        <v>1</v>
      </c>
      <c r="D1581" s="42">
        <f t="shared" si="98"/>
        <v>2022</v>
      </c>
      <c r="E1581" s="43">
        <v>44575</v>
      </c>
      <c r="F1581" s="42">
        <v>78.36</v>
      </c>
      <c r="G1581" s="42">
        <v>79.05</v>
      </c>
      <c r="H1581" s="42">
        <v>77.7</v>
      </c>
      <c r="I1581" s="42">
        <v>80.849999999999994</v>
      </c>
      <c r="J1581" s="42">
        <v>85.61</v>
      </c>
      <c r="K1581" s="42">
        <v>83.82</v>
      </c>
      <c r="L1581" s="42">
        <v>86.07</v>
      </c>
      <c r="M1581" s="42">
        <f t="shared" si="99"/>
        <v>5.4599999999999937</v>
      </c>
    </row>
    <row r="1582" spans="2:13" x14ac:dyDescent="0.25">
      <c r="B1582" s="42">
        <f t="shared" si="96"/>
        <v>17</v>
      </c>
      <c r="C1582" s="42">
        <f t="shared" si="97"/>
        <v>1</v>
      </c>
      <c r="D1582" s="42">
        <f t="shared" si="98"/>
        <v>2022</v>
      </c>
      <c r="E1582" s="43">
        <v>44578</v>
      </c>
      <c r="F1582" s="42">
        <v>78.36</v>
      </c>
      <c r="G1582" s="42">
        <v>79.05</v>
      </c>
      <c r="H1582" s="42">
        <v>77.7</v>
      </c>
      <c r="I1582" s="42">
        <v>80.849999999999994</v>
      </c>
      <c r="J1582" s="42">
        <v>86.46</v>
      </c>
      <c r="K1582" s="42">
        <v>83.82</v>
      </c>
      <c r="L1582" s="42">
        <v>86.07</v>
      </c>
      <c r="M1582" s="42">
        <f t="shared" si="99"/>
        <v>5.4599999999999937</v>
      </c>
    </row>
    <row r="1583" spans="2:13" x14ac:dyDescent="0.25">
      <c r="B1583" s="42">
        <f t="shared" si="96"/>
        <v>18</v>
      </c>
      <c r="C1583" s="42">
        <f t="shared" si="97"/>
        <v>1</v>
      </c>
      <c r="D1583" s="42">
        <f t="shared" si="98"/>
        <v>2022</v>
      </c>
      <c r="E1583" s="43">
        <v>44579</v>
      </c>
      <c r="F1583" s="42">
        <v>78.36</v>
      </c>
      <c r="G1583" s="42">
        <v>80.7</v>
      </c>
      <c r="H1583" s="42">
        <v>79.349999999999994</v>
      </c>
      <c r="I1583" s="42">
        <v>82.5</v>
      </c>
      <c r="J1583" s="42">
        <v>87.15</v>
      </c>
      <c r="K1583" s="42">
        <v>85.43</v>
      </c>
      <c r="L1583" s="42">
        <v>87.83</v>
      </c>
      <c r="M1583" s="42">
        <f t="shared" si="99"/>
        <v>7.0700000000000074</v>
      </c>
    </row>
    <row r="1584" spans="2:13" x14ac:dyDescent="0.25">
      <c r="B1584" s="42">
        <f t="shared" si="96"/>
        <v>19</v>
      </c>
      <c r="C1584" s="42">
        <f t="shared" si="97"/>
        <v>1</v>
      </c>
      <c r="D1584" s="42">
        <f t="shared" si="98"/>
        <v>2022</v>
      </c>
      <c r="E1584" s="43">
        <v>44580</v>
      </c>
      <c r="F1584" s="42">
        <v>81.13</v>
      </c>
      <c r="G1584" s="42">
        <v>81.99</v>
      </c>
      <c r="H1584" s="42">
        <v>80.64</v>
      </c>
      <c r="I1584" s="42">
        <v>83.79</v>
      </c>
      <c r="J1584" s="42">
        <v>88.88</v>
      </c>
      <c r="K1584" s="42">
        <v>86.96</v>
      </c>
      <c r="L1584" s="42">
        <v>89.31</v>
      </c>
      <c r="M1584" s="42">
        <f t="shared" si="99"/>
        <v>5.8299999999999983</v>
      </c>
    </row>
    <row r="1585" spans="2:13" x14ac:dyDescent="0.25">
      <c r="B1585" s="42">
        <f t="shared" si="96"/>
        <v>20</v>
      </c>
      <c r="C1585" s="42">
        <f t="shared" si="97"/>
        <v>1</v>
      </c>
      <c r="D1585" s="42">
        <f t="shared" si="98"/>
        <v>2022</v>
      </c>
      <c r="E1585" s="43">
        <v>44581</v>
      </c>
      <c r="F1585" s="42">
        <v>81.09</v>
      </c>
      <c r="G1585" s="42">
        <v>81.67</v>
      </c>
      <c r="H1585" s="42">
        <v>80.319999999999993</v>
      </c>
      <c r="I1585" s="42">
        <v>83.47</v>
      </c>
      <c r="J1585" s="42">
        <v>89.24</v>
      </c>
      <c r="K1585" s="42">
        <v>86.9</v>
      </c>
      <c r="L1585" s="42">
        <v>89.05</v>
      </c>
      <c r="M1585" s="42">
        <f t="shared" si="99"/>
        <v>5.8100000000000023</v>
      </c>
    </row>
    <row r="1586" spans="2:13" x14ac:dyDescent="0.25">
      <c r="B1586" s="42">
        <f t="shared" si="96"/>
        <v>21</v>
      </c>
      <c r="C1586" s="42">
        <f t="shared" si="97"/>
        <v>1</v>
      </c>
      <c r="D1586" s="42">
        <f t="shared" si="98"/>
        <v>2022</v>
      </c>
      <c r="E1586" s="43">
        <v>44582</v>
      </c>
      <c r="F1586" s="42">
        <v>80.52</v>
      </c>
      <c r="G1586" s="42">
        <v>81.42</v>
      </c>
      <c r="H1586" s="42">
        <v>80.069999999999993</v>
      </c>
      <c r="I1586" s="42">
        <v>83.22</v>
      </c>
      <c r="J1586" s="42">
        <v>88.28</v>
      </c>
      <c r="K1586" s="42">
        <v>86.39</v>
      </c>
      <c r="L1586" s="42">
        <v>88.54</v>
      </c>
      <c r="M1586" s="42">
        <f t="shared" si="99"/>
        <v>5.8700000000000045</v>
      </c>
    </row>
    <row r="1587" spans="2:13" x14ac:dyDescent="0.25">
      <c r="B1587" s="42">
        <f t="shared" si="96"/>
        <v>24</v>
      </c>
      <c r="C1587" s="42">
        <f t="shared" si="97"/>
        <v>1</v>
      </c>
      <c r="D1587" s="42">
        <f t="shared" si="98"/>
        <v>2022</v>
      </c>
      <c r="E1587" s="43">
        <v>44585</v>
      </c>
      <c r="F1587" s="42">
        <v>79.14</v>
      </c>
      <c r="G1587" s="42">
        <v>79.5</v>
      </c>
      <c r="H1587" s="42">
        <v>78.150000000000006</v>
      </c>
      <c r="I1587" s="42">
        <v>81.3</v>
      </c>
      <c r="J1587" s="42">
        <v>85.89</v>
      </c>
      <c r="K1587" s="42">
        <v>84.21</v>
      </c>
      <c r="L1587" s="42">
        <v>86.26</v>
      </c>
      <c r="M1587" s="42">
        <f t="shared" si="99"/>
        <v>5.0699999999999932</v>
      </c>
    </row>
    <row r="1588" spans="2:13" x14ac:dyDescent="0.25">
      <c r="B1588" s="42">
        <f t="shared" si="96"/>
        <v>25</v>
      </c>
      <c r="C1588" s="42">
        <f t="shared" si="97"/>
        <v>1</v>
      </c>
      <c r="D1588" s="42">
        <f t="shared" si="98"/>
        <v>2022</v>
      </c>
      <c r="E1588" s="43">
        <v>44586</v>
      </c>
      <c r="F1588" s="42">
        <v>82.02</v>
      </c>
      <c r="G1588" s="42">
        <v>82.06</v>
      </c>
      <c r="H1588" s="42">
        <v>80.709999999999994</v>
      </c>
      <c r="I1588" s="42">
        <v>83.86</v>
      </c>
      <c r="J1588" s="42">
        <v>87.82</v>
      </c>
      <c r="K1588" s="42">
        <v>86.5</v>
      </c>
      <c r="L1588" s="42">
        <v>88.55</v>
      </c>
      <c r="M1588" s="42">
        <f t="shared" si="99"/>
        <v>4.480000000000004</v>
      </c>
    </row>
    <row r="1589" spans="2:13" x14ac:dyDescent="0.25">
      <c r="B1589" s="42">
        <f t="shared" si="96"/>
        <v>26</v>
      </c>
      <c r="C1589" s="42">
        <f t="shared" si="97"/>
        <v>1</v>
      </c>
      <c r="D1589" s="42">
        <f t="shared" si="98"/>
        <v>2022</v>
      </c>
      <c r="E1589" s="43">
        <v>44587</v>
      </c>
      <c r="F1589" s="42">
        <v>82.11</v>
      </c>
      <c r="G1589" s="42">
        <v>82.84</v>
      </c>
      <c r="H1589" s="42">
        <v>81.489999999999995</v>
      </c>
      <c r="I1589" s="42">
        <v>84.64</v>
      </c>
      <c r="J1589" s="42">
        <v>90.43</v>
      </c>
      <c r="K1589" s="42">
        <v>87.35</v>
      </c>
      <c r="L1589" s="42">
        <v>89.3</v>
      </c>
      <c r="M1589" s="42">
        <f t="shared" si="99"/>
        <v>5.2399999999999949</v>
      </c>
    </row>
    <row r="1590" spans="2:13" x14ac:dyDescent="0.25">
      <c r="B1590" s="42">
        <f t="shared" si="96"/>
        <v>27</v>
      </c>
      <c r="C1590" s="42">
        <f t="shared" si="97"/>
        <v>1</v>
      </c>
      <c r="D1590" s="42">
        <f t="shared" si="98"/>
        <v>2022</v>
      </c>
      <c r="E1590" s="43">
        <v>44588</v>
      </c>
      <c r="F1590" s="42">
        <v>81.599999999999994</v>
      </c>
      <c r="G1590" s="42">
        <v>82.04</v>
      </c>
      <c r="H1590" s="42">
        <v>80.69</v>
      </c>
      <c r="I1590" s="42">
        <v>83.84</v>
      </c>
      <c r="J1590" s="42">
        <v>90.07</v>
      </c>
      <c r="K1590" s="42">
        <v>86.61</v>
      </c>
      <c r="L1590" s="42">
        <v>88.81</v>
      </c>
      <c r="M1590" s="42">
        <f t="shared" si="99"/>
        <v>5.0100000000000051</v>
      </c>
    </row>
    <row r="1591" spans="2:13" x14ac:dyDescent="0.25">
      <c r="B1591" s="42">
        <f t="shared" si="96"/>
        <v>28</v>
      </c>
      <c r="C1591" s="42">
        <f t="shared" si="97"/>
        <v>1</v>
      </c>
      <c r="D1591" s="42">
        <f t="shared" si="98"/>
        <v>2022</v>
      </c>
      <c r="E1591" s="43">
        <v>44589</v>
      </c>
      <c r="F1591" s="42">
        <v>81.81</v>
      </c>
      <c r="G1591" s="42">
        <v>82.39</v>
      </c>
      <c r="H1591" s="42">
        <v>81.040000000000006</v>
      </c>
      <c r="I1591" s="42">
        <v>84.19</v>
      </c>
      <c r="J1591" s="42">
        <v>91.18</v>
      </c>
      <c r="K1591" s="42">
        <v>86.82</v>
      </c>
      <c r="L1591" s="42">
        <v>88.97</v>
      </c>
      <c r="M1591" s="42">
        <f t="shared" si="99"/>
        <v>5.0099999999999909</v>
      </c>
    </row>
    <row r="1592" spans="2:13" x14ac:dyDescent="0.25">
      <c r="B1592" s="42">
        <f t="shared" si="96"/>
        <v>31</v>
      </c>
      <c r="C1592" s="42">
        <f t="shared" si="97"/>
        <v>1</v>
      </c>
      <c r="D1592" s="42">
        <f t="shared" si="98"/>
        <v>2022</v>
      </c>
      <c r="E1592" s="43">
        <v>44592</v>
      </c>
      <c r="F1592" s="42">
        <v>83.11</v>
      </c>
      <c r="G1592" s="42">
        <v>83.73</v>
      </c>
      <c r="H1592" s="42">
        <v>82.38</v>
      </c>
      <c r="I1592" s="42">
        <v>85.53</v>
      </c>
      <c r="J1592" s="42">
        <v>91.09</v>
      </c>
      <c r="K1592" s="42">
        <v>88.15</v>
      </c>
      <c r="L1592" s="42">
        <v>90.35</v>
      </c>
      <c r="M1592" s="42">
        <f t="shared" si="99"/>
        <v>5.0400000000000063</v>
      </c>
    </row>
    <row r="1593" spans="2:13" x14ac:dyDescent="0.25">
      <c r="B1593" s="42">
        <f t="shared" si="96"/>
        <v>1</v>
      </c>
      <c r="C1593" s="42">
        <f t="shared" si="97"/>
        <v>2</v>
      </c>
      <c r="D1593" s="42">
        <f t="shared" si="98"/>
        <v>2022</v>
      </c>
      <c r="E1593" s="43">
        <v>44593</v>
      </c>
      <c r="F1593" s="42">
        <v>83.11</v>
      </c>
      <c r="G1593" s="42">
        <v>83.58</v>
      </c>
      <c r="H1593" s="42">
        <v>81.83</v>
      </c>
      <c r="I1593" s="42">
        <v>85.63</v>
      </c>
      <c r="J1593" s="42">
        <v>89.74</v>
      </c>
      <c r="K1593" s="42">
        <v>88.2</v>
      </c>
      <c r="L1593" s="42">
        <v>90.15</v>
      </c>
      <c r="M1593" s="42">
        <f t="shared" si="99"/>
        <v>5.0900000000000034</v>
      </c>
    </row>
    <row r="1594" spans="2:13" x14ac:dyDescent="0.25">
      <c r="B1594" s="42">
        <f t="shared" si="96"/>
        <v>2</v>
      </c>
      <c r="C1594" s="42">
        <f t="shared" si="97"/>
        <v>2</v>
      </c>
      <c r="D1594" s="42">
        <f t="shared" si="98"/>
        <v>2022</v>
      </c>
      <c r="E1594" s="43">
        <v>44594</v>
      </c>
      <c r="F1594" s="42">
        <v>83.11</v>
      </c>
      <c r="G1594" s="42">
        <v>83.73</v>
      </c>
      <c r="H1594" s="42">
        <v>81.98</v>
      </c>
      <c r="I1594" s="42">
        <v>85.78</v>
      </c>
      <c r="J1594" s="42">
        <v>88.71</v>
      </c>
      <c r="K1594" s="42">
        <v>88.26</v>
      </c>
      <c r="L1594" s="42">
        <v>90.26</v>
      </c>
      <c r="M1594" s="42">
        <f t="shared" si="99"/>
        <v>5.1500000000000057</v>
      </c>
    </row>
    <row r="1595" spans="2:13" x14ac:dyDescent="0.25">
      <c r="B1595" s="42">
        <f t="shared" si="96"/>
        <v>3</v>
      </c>
      <c r="C1595" s="42">
        <f t="shared" si="97"/>
        <v>2</v>
      </c>
      <c r="D1595" s="42">
        <f t="shared" si="98"/>
        <v>2022</v>
      </c>
      <c r="E1595" s="43">
        <v>44595</v>
      </c>
      <c r="F1595" s="42">
        <v>83.82</v>
      </c>
      <c r="G1595" s="42">
        <v>85.54</v>
      </c>
      <c r="H1595" s="42">
        <v>83.79</v>
      </c>
      <c r="I1595" s="42">
        <v>87.59</v>
      </c>
      <c r="J1595" s="42">
        <v>89.97</v>
      </c>
      <c r="K1595" s="42">
        <v>90.27</v>
      </c>
      <c r="L1595" s="42">
        <v>92.17</v>
      </c>
      <c r="M1595" s="42">
        <f t="shared" si="99"/>
        <v>6.4500000000000028</v>
      </c>
    </row>
    <row r="1596" spans="2:13" x14ac:dyDescent="0.25">
      <c r="B1596" s="42">
        <f t="shared" si="96"/>
        <v>4</v>
      </c>
      <c r="C1596" s="42">
        <f t="shared" si="97"/>
        <v>2</v>
      </c>
      <c r="D1596" s="42">
        <f t="shared" si="98"/>
        <v>2022</v>
      </c>
      <c r="E1596" s="43">
        <v>44596</v>
      </c>
      <c r="F1596" s="42">
        <v>85.93</v>
      </c>
      <c r="G1596" s="42">
        <v>87.69</v>
      </c>
      <c r="H1596" s="42">
        <v>85.94</v>
      </c>
      <c r="I1596" s="42">
        <v>89.74</v>
      </c>
      <c r="J1596" s="42">
        <v>93.55</v>
      </c>
      <c r="K1596" s="42">
        <v>92.31</v>
      </c>
      <c r="L1596" s="42">
        <v>94.46</v>
      </c>
      <c r="M1596" s="42">
        <f t="shared" si="99"/>
        <v>6.3799999999999955</v>
      </c>
    </row>
    <row r="1597" spans="2:13" x14ac:dyDescent="0.25">
      <c r="B1597" s="42">
        <f t="shared" si="96"/>
        <v>7</v>
      </c>
      <c r="C1597" s="42">
        <f t="shared" si="97"/>
        <v>2</v>
      </c>
      <c r="D1597" s="42">
        <f t="shared" si="98"/>
        <v>2022</v>
      </c>
      <c r="E1597" s="43">
        <v>44599</v>
      </c>
      <c r="F1597" s="42">
        <v>85.93</v>
      </c>
      <c r="G1597" s="42">
        <v>86.88</v>
      </c>
      <c r="H1597" s="42">
        <v>85.13</v>
      </c>
      <c r="I1597" s="42">
        <v>88.93</v>
      </c>
      <c r="J1597" s="42">
        <v>93.35</v>
      </c>
      <c r="K1597" s="42">
        <v>91.32</v>
      </c>
      <c r="L1597" s="42">
        <v>93.52</v>
      </c>
      <c r="M1597" s="42">
        <f t="shared" si="99"/>
        <v>5.3899999999999864</v>
      </c>
    </row>
    <row r="1598" spans="2:13" x14ac:dyDescent="0.25">
      <c r="B1598" s="42">
        <f t="shared" si="96"/>
        <v>8</v>
      </c>
      <c r="C1598" s="42">
        <f t="shared" si="97"/>
        <v>2</v>
      </c>
      <c r="D1598" s="42">
        <f t="shared" si="98"/>
        <v>2022</v>
      </c>
      <c r="E1598" s="43">
        <v>44600</v>
      </c>
      <c r="F1598" s="42">
        <v>83.6</v>
      </c>
      <c r="G1598" s="42">
        <v>84.97</v>
      </c>
      <c r="H1598" s="42">
        <v>83.22</v>
      </c>
      <c r="I1598" s="42">
        <v>87.02</v>
      </c>
      <c r="J1598" s="42">
        <v>90.45</v>
      </c>
      <c r="K1598" s="42">
        <v>89.36</v>
      </c>
      <c r="L1598" s="42">
        <v>91.61</v>
      </c>
      <c r="M1598" s="42">
        <f t="shared" si="99"/>
        <v>5.7600000000000051</v>
      </c>
    </row>
    <row r="1599" spans="2:13" x14ac:dyDescent="0.25">
      <c r="B1599" s="42">
        <f t="shared" si="96"/>
        <v>9</v>
      </c>
      <c r="C1599" s="42">
        <f t="shared" si="97"/>
        <v>2</v>
      </c>
      <c r="D1599" s="42">
        <f t="shared" si="98"/>
        <v>2022</v>
      </c>
      <c r="E1599" s="43">
        <v>44601</v>
      </c>
      <c r="F1599" s="42">
        <v>83.96</v>
      </c>
      <c r="G1599" s="42">
        <v>85.33</v>
      </c>
      <c r="H1599" s="42">
        <v>83.58</v>
      </c>
      <c r="I1599" s="42">
        <v>87.38</v>
      </c>
      <c r="J1599" s="42">
        <v>92.11</v>
      </c>
      <c r="K1599" s="42">
        <v>89.66</v>
      </c>
      <c r="L1599" s="42">
        <v>91.91</v>
      </c>
      <c r="M1599" s="42">
        <f t="shared" si="99"/>
        <v>5.7000000000000028</v>
      </c>
    </row>
    <row r="1600" spans="2:13" x14ac:dyDescent="0.25">
      <c r="B1600" s="42">
        <f t="shared" si="96"/>
        <v>10</v>
      </c>
      <c r="C1600" s="42">
        <f t="shared" si="97"/>
        <v>2</v>
      </c>
      <c r="D1600" s="42">
        <f t="shared" si="98"/>
        <v>2022</v>
      </c>
      <c r="E1600" s="43">
        <v>44602</v>
      </c>
      <c r="F1600" s="42">
        <v>84.12</v>
      </c>
      <c r="G1600" s="42">
        <v>85.53</v>
      </c>
      <c r="H1600" s="42">
        <v>83.78</v>
      </c>
      <c r="I1600" s="42">
        <v>87.58</v>
      </c>
      <c r="J1600" s="42">
        <v>92.86</v>
      </c>
      <c r="K1600" s="42">
        <v>89.88</v>
      </c>
      <c r="L1600" s="42">
        <v>92.28</v>
      </c>
      <c r="M1600" s="42">
        <f t="shared" si="99"/>
        <v>5.7599999999999909</v>
      </c>
    </row>
    <row r="1601" spans="2:13" x14ac:dyDescent="0.25">
      <c r="B1601" s="42">
        <f t="shared" si="96"/>
        <v>11</v>
      </c>
      <c r="C1601" s="42">
        <f t="shared" si="97"/>
        <v>2</v>
      </c>
      <c r="D1601" s="42">
        <f t="shared" si="98"/>
        <v>2022</v>
      </c>
      <c r="E1601" s="43">
        <v>44603</v>
      </c>
      <c r="F1601" s="42">
        <v>86.84</v>
      </c>
      <c r="G1601" s="42">
        <v>88.68</v>
      </c>
      <c r="H1601" s="42">
        <v>86.93</v>
      </c>
      <c r="I1601" s="42">
        <v>90.73</v>
      </c>
      <c r="J1601" s="42">
        <v>93.29</v>
      </c>
      <c r="K1601" s="42">
        <v>93.1</v>
      </c>
      <c r="L1601" s="42">
        <v>95.5</v>
      </c>
      <c r="M1601" s="42">
        <f t="shared" si="99"/>
        <v>6.2599999999999909</v>
      </c>
    </row>
    <row r="1602" spans="2:13" x14ac:dyDescent="0.25">
      <c r="B1602" s="42">
        <f t="shared" si="96"/>
        <v>14</v>
      </c>
      <c r="C1602" s="42">
        <f t="shared" si="97"/>
        <v>2</v>
      </c>
      <c r="D1602" s="42">
        <f t="shared" si="98"/>
        <v>2022</v>
      </c>
      <c r="E1602" s="43">
        <v>44606</v>
      </c>
      <c r="F1602" s="42">
        <v>89.1</v>
      </c>
      <c r="G1602" s="42">
        <v>90.99</v>
      </c>
      <c r="H1602" s="42">
        <v>89.24</v>
      </c>
      <c r="I1602" s="42">
        <v>93.04</v>
      </c>
      <c r="J1602" s="42">
        <v>95.09</v>
      </c>
      <c r="K1602" s="42">
        <v>95.46</v>
      </c>
      <c r="L1602" s="42">
        <v>97.86</v>
      </c>
      <c r="M1602" s="42">
        <f t="shared" si="99"/>
        <v>6.3599999999999994</v>
      </c>
    </row>
    <row r="1603" spans="2:13" x14ac:dyDescent="0.25">
      <c r="B1603" s="42">
        <f t="shared" si="96"/>
        <v>15</v>
      </c>
      <c r="C1603" s="42">
        <f t="shared" si="97"/>
        <v>2</v>
      </c>
      <c r="D1603" s="42">
        <f t="shared" si="98"/>
        <v>2022</v>
      </c>
      <c r="E1603" s="43">
        <v>44607</v>
      </c>
      <c r="F1603" s="42">
        <v>86.21</v>
      </c>
      <c r="G1603" s="42">
        <v>87.57</v>
      </c>
      <c r="H1603" s="42">
        <v>85.82</v>
      </c>
      <c r="I1603" s="42">
        <v>89.62</v>
      </c>
      <c r="J1603" s="42">
        <v>93.03</v>
      </c>
      <c r="K1603" s="42">
        <v>92.07</v>
      </c>
      <c r="L1603" s="42">
        <v>94.42</v>
      </c>
      <c r="M1603" s="42">
        <f t="shared" si="99"/>
        <v>5.8599999999999994</v>
      </c>
    </row>
    <row r="1604" spans="2:13" x14ac:dyDescent="0.25">
      <c r="B1604" s="42">
        <f t="shared" si="96"/>
        <v>16</v>
      </c>
      <c r="C1604" s="42">
        <f t="shared" si="97"/>
        <v>2</v>
      </c>
      <c r="D1604" s="42">
        <f t="shared" si="98"/>
        <v>2022</v>
      </c>
      <c r="E1604" s="43">
        <v>44608</v>
      </c>
      <c r="F1604" s="42">
        <v>87.44</v>
      </c>
      <c r="G1604" s="42">
        <v>88.98</v>
      </c>
      <c r="H1604" s="42">
        <v>87.23</v>
      </c>
      <c r="I1604" s="42">
        <v>91.03</v>
      </c>
      <c r="J1604" s="42">
        <v>95.99</v>
      </c>
      <c r="K1604" s="42">
        <v>93.66</v>
      </c>
      <c r="L1604" s="42">
        <v>96.01</v>
      </c>
      <c r="M1604" s="42">
        <f t="shared" si="99"/>
        <v>6.2199999999999989</v>
      </c>
    </row>
    <row r="1605" spans="2:13" x14ac:dyDescent="0.25">
      <c r="B1605" s="42">
        <f t="shared" si="96"/>
        <v>17</v>
      </c>
      <c r="C1605" s="42">
        <f t="shared" si="97"/>
        <v>2</v>
      </c>
      <c r="D1605" s="42">
        <f t="shared" si="98"/>
        <v>2022</v>
      </c>
      <c r="E1605" s="43">
        <v>44609</v>
      </c>
      <c r="F1605" s="42">
        <v>85.72</v>
      </c>
      <c r="G1605" s="42">
        <v>87.2</v>
      </c>
      <c r="H1605" s="42">
        <v>85.45</v>
      </c>
      <c r="I1605" s="42">
        <v>89.25</v>
      </c>
      <c r="J1605" s="42">
        <v>93.11</v>
      </c>
      <c r="K1605" s="42">
        <v>91.76</v>
      </c>
      <c r="L1605" s="42">
        <v>94.11</v>
      </c>
      <c r="M1605" s="42">
        <f t="shared" si="99"/>
        <v>6.0400000000000063</v>
      </c>
    </row>
    <row r="1606" spans="2:13" x14ac:dyDescent="0.25">
      <c r="B1606" s="42">
        <f t="shared" si="96"/>
        <v>18</v>
      </c>
      <c r="C1606" s="42">
        <f t="shared" si="97"/>
        <v>2</v>
      </c>
      <c r="D1606" s="42">
        <f t="shared" si="98"/>
        <v>2022</v>
      </c>
      <c r="E1606" s="43">
        <v>44610</v>
      </c>
      <c r="F1606" s="42">
        <v>85.55</v>
      </c>
      <c r="G1606" s="42">
        <v>87.01</v>
      </c>
      <c r="H1606" s="42">
        <v>85.26</v>
      </c>
      <c r="I1606" s="42">
        <v>89.06</v>
      </c>
      <c r="J1606" s="42">
        <v>93.34</v>
      </c>
      <c r="K1606" s="42">
        <v>91.07</v>
      </c>
      <c r="L1606" s="42">
        <v>93.42</v>
      </c>
      <c r="M1606" s="42">
        <f t="shared" si="99"/>
        <v>5.519999999999996</v>
      </c>
    </row>
    <row r="1607" spans="2:13" x14ac:dyDescent="0.25">
      <c r="B1607" s="42">
        <f t="shared" ref="B1607:B1670" si="100">DAY(E1607)</f>
        <v>21</v>
      </c>
      <c r="C1607" s="42">
        <f t="shared" ref="C1607:C1670" si="101">MONTH(E1607)</f>
        <v>2</v>
      </c>
      <c r="D1607" s="42">
        <f t="shared" ref="D1607:D1670" si="102">YEAR(E1607)</f>
        <v>2022</v>
      </c>
      <c r="E1607" s="43">
        <v>44613</v>
      </c>
      <c r="F1607" s="42">
        <v>85.55</v>
      </c>
      <c r="G1607" s="42">
        <v>87.01</v>
      </c>
      <c r="H1607" s="42">
        <v>85.26</v>
      </c>
      <c r="I1607" s="42">
        <v>89.06</v>
      </c>
      <c r="J1607" s="42">
        <v>95.26</v>
      </c>
      <c r="K1607" s="42">
        <v>91.07</v>
      </c>
      <c r="L1607" s="42">
        <v>93.42</v>
      </c>
      <c r="M1607" s="42">
        <f t="shared" ref="M1607:M1670" si="103">K1607-F1607</f>
        <v>5.519999999999996</v>
      </c>
    </row>
    <row r="1608" spans="2:13" x14ac:dyDescent="0.25">
      <c r="B1608" s="42">
        <f t="shared" si="100"/>
        <v>22</v>
      </c>
      <c r="C1608" s="42">
        <f t="shared" si="101"/>
        <v>2</v>
      </c>
      <c r="D1608" s="42">
        <f t="shared" si="102"/>
        <v>2022</v>
      </c>
      <c r="E1608" s="43">
        <v>44614</v>
      </c>
      <c r="F1608" s="42">
        <v>88.48</v>
      </c>
      <c r="G1608" s="42">
        <v>89.26</v>
      </c>
      <c r="H1608" s="42">
        <v>87.51</v>
      </c>
      <c r="I1608" s="42">
        <v>91.31</v>
      </c>
      <c r="J1608" s="42">
        <v>97.11</v>
      </c>
      <c r="K1608" s="42">
        <v>92.35</v>
      </c>
      <c r="L1608" s="42">
        <v>94.9</v>
      </c>
      <c r="M1608" s="42">
        <f t="shared" si="103"/>
        <v>3.8699999999999903</v>
      </c>
    </row>
    <row r="1609" spans="2:13" x14ac:dyDescent="0.25">
      <c r="B1609" s="42">
        <f t="shared" si="100"/>
        <v>23</v>
      </c>
      <c r="C1609" s="42">
        <f t="shared" si="101"/>
        <v>2</v>
      </c>
      <c r="D1609" s="42">
        <f t="shared" si="102"/>
        <v>2022</v>
      </c>
      <c r="E1609" s="43">
        <v>44615</v>
      </c>
      <c r="F1609" s="42">
        <v>88.53</v>
      </c>
      <c r="G1609" s="42">
        <v>89.91</v>
      </c>
      <c r="H1609" s="42">
        <v>88.16</v>
      </c>
      <c r="I1609" s="42">
        <v>91.96</v>
      </c>
      <c r="J1609" s="42">
        <v>97.48</v>
      </c>
      <c r="K1609" s="42">
        <v>92.95</v>
      </c>
      <c r="L1609" s="42">
        <v>95.75</v>
      </c>
      <c r="M1609" s="42">
        <f t="shared" si="103"/>
        <v>4.4200000000000017</v>
      </c>
    </row>
    <row r="1610" spans="2:13" x14ac:dyDescent="0.25">
      <c r="B1610" s="42">
        <f t="shared" si="100"/>
        <v>24</v>
      </c>
      <c r="C1610" s="42">
        <f t="shared" si="101"/>
        <v>2</v>
      </c>
      <c r="D1610" s="42">
        <f t="shared" si="102"/>
        <v>2022</v>
      </c>
      <c r="E1610" s="43">
        <v>44616</v>
      </c>
      <c r="F1610" s="42">
        <v>90.52</v>
      </c>
      <c r="G1610" s="42">
        <v>91.32</v>
      </c>
      <c r="H1610" s="42">
        <v>89.57</v>
      </c>
      <c r="I1610" s="42">
        <v>93.37</v>
      </c>
      <c r="J1610" s="42">
        <v>104.08</v>
      </c>
      <c r="K1610" s="42">
        <v>93.66</v>
      </c>
      <c r="L1610" s="42">
        <v>96.66</v>
      </c>
      <c r="M1610" s="42">
        <f t="shared" si="103"/>
        <v>3.1400000000000006</v>
      </c>
    </row>
    <row r="1611" spans="2:13" x14ac:dyDescent="0.25">
      <c r="B1611" s="42">
        <f t="shared" si="100"/>
        <v>25</v>
      </c>
      <c r="C1611" s="42">
        <f t="shared" si="101"/>
        <v>2</v>
      </c>
      <c r="D1611" s="42">
        <f t="shared" si="102"/>
        <v>2022</v>
      </c>
      <c r="E1611" s="43">
        <v>44617</v>
      </c>
      <c r="F1611" s="42">
        <v>88.81</v>
      </c>
      <c r="G1611" s="42">
        <v>89.7</v>
      </c>
      <c r="H1611" s="42">
        <v>87.95</v>
      </c>
      <c r="I1611" s="42">
        <v>91.75</v>
      </c>
      <c r="J1611" s="42">
        <v>97.07</v>
      </c>
      <c r="K1611" s="42">
        <v>92.44</v>
      </c>
      <c r="L1611" s="42">
        <v>95.14</v>
      </c>
      <c r="M1611" s="42">
        <f t="shared" si="103"/>
        <v>3.6299999999999955</v>
      </c>
    </row>
    <row r="1612" spans="2:13" x14ac:dyDescent="0.25">
      <c r="B1612" s="42">
        <f t="shared" si="100"/>
        <v>28</v>
      </c>
      <c r="C1612" s="42">
        <f t="shared" si="101"/>
        <v>2</v>
      </c>
      <c r="D1612" s="42">
        <f t="shared" si="102"/>
        <v>2022</v>
      </c>
      <c r="E1612" s="43">
        <v>44620</v>
      </c>
      <c r="F1612" s="42">
        <v>91.8</v>
      </c>
      <c r="G1612" s="42">
        <v>92.84</v>
      </c>
      <c r="H1612" s="42">
        <v>91.09</v>
      </c>
      <c r="I1612" s="42">
        <v>94.89</v>
      </c>
      <c r="J1612" s="42">
        <v>99.92</v>
      </c>
      <c r="K1612" s="42">
        <v>95.72</v>
      </c>
      <c r="L1612" s="42">
        <v>97.87</v>
      </c>
      <c r="M1612" s="42">
        <f t="shared" si="103"/>
        <v>3.9200000000000017</v>
      </c>
    </row>
    <row r="1613" spans="2:13" x14ac:dyDescent="0.25">
      <c r="B1613" s="42">
        <f t="shared" si="100"/>
        <v>1</v>
      </c>
      <c r="C1613" s="42">
        <f t="shared" si="101"/>
        <v>3</v>
      </c>
      <c r="D1613" s="42">
        <f t="shared" si="102"/>
        <v>2022</v>
      </c>
      <c r="E1613" s="43">
        <v>44621</v>
      </c>
      <c r="F1613" s="42">
        <v>97.57</v>
      </c>
      <c r="G1613" s="42">
        <v>99.34</v>
      </c>
      <c r="H1613" s="42">
        <v>97.54</v>
      </c>
      <c r="I1613" s="42">
        <v>101.14</v>
      </c>
      <c r="J1613" s="42">
        <v>106.37</v>
      </c>
      <c r="K1613" s="42">
        <v>103.41</v>
      </c>
      <c r="L1613" s="42">
        <v>106.41</v>
      </c>
      <c r="M1613" s="42">
        <f t="shared" si="103"/>
        <v>5.8400000000000034</v>
      </c>
    </row>
    <row r="1614" spans="2:13" x14ac:dyDescent="0.25">
      <c r="B1614" s="42">
        <f t="shared" si="100"/>
        <v>2</v>
      </c>
      <c r="C1614" s="42">
        <f t="shared" si="101"/>
        <v>3</v>
      </c>
      <c r="D1614" s="42">
        <f t="shared" si="102"/>
        <v>2022</v>
      </c>
      <c r="E1614" s="43">
        <v>44622</v>
      </c>
      <c r="F1614" s="42">
        <v>105.52</v>
      </c>
      <c r="G1614" s="42">
        <v>106.87</v>
      </c>
      <c r="H1614" s="42">
        <v>105.07</v>
      </c>
      <c r="I1614" s="42">
        <v>108.67</v>
      </c>
      <c r="J1614" s="42">
        <v>110.3</v>
      </c>
      <c r="K1614" s="42">
        <v>110.6</v>
      </c>
      <c r="L1614" s="42">
        <v>113.6</v>
      </c>
      <c r="M1614" s="42">
        <f t="shared" si="103"/>
        <v>5.0799999999999983</v>
      </c>
    </row>
    <row r="1615" spans="2:13" x14ac:dyDescent="0.25">
      <c r="B1615" s="42">
        <f t="shared" si="100"/>
        <v>3</v>
      </c>
      <c r="C1615" s="42">
        <f t="shared" si="101"/>
        <v>3</v>
      </c>
      <c r="D1615" s="42">
        <f t="shared" si="102"/>
        <v>2022</v>
      </c>
      <c r="E1615" s="43">
        <v>44623</v>
      </c>
      <c r="F1615" s="42">
        <v>103.71</v>
      </c>
      <c r="G1615" s="42">
        <v>104.1</v>
      </c>
      <c r="H1615" s="42">
        <v>102.3</v>
      </c>
      <c r="I1615" s="42">
        <v>105.9</v>
      </c>
      <c r="J1615" s="42">
        <v>113.84</v>
      </c>
      <c r="K1615" s="42">
        <v>107.67</v>
      </c>
      <c r="L1615" s="42">
        <v>110.17</v>
      </c>
      <c r="M1615" s="42">
        <f t="shared" si="103"/>
        <v>3.960000000000008</v>
      </c>
    </row>
    <row r="1616" spans="2:13" x14ac:dyDescent="0.25">
      <c r="B1616" s="42">
        <f t="shared" si="100"/>
        <v>4</v>
      </c>
      <c r="C1616" s="42">
        <f t="shared" si="101"/>
        <v>3</v>
      </c>
      <c r="D1616" s="42">
        <f t="shared" si="102"/>
        <v>2022</v>
      </c>
      <c r="E1616" s="43">
        <v>44624</v>
      </c>
      <c r="F1616" s="42">
        <v>110.02</v>
      </c>
      <c r="G1616" s="42">
        <v>112.02</v>
      </c>
      <c r="H1616" s="42">
        <v>110.22</v>
      </c>
      <c r="I1616" s="42">
        <v>113.82</v>
      </c>
      <c r="J1616" s="42">
        <v>114.78</v>
      </c>
      <c r="K1616" s="42">
        <v>115.68</v>
      </c>
      <c r="L1616" s="42">
        <v>118.18</v>
      </c>
      <c r="M1616" s="42">
        <f t="shared" si="103"/>
        <v>5.6600000000000108</v>
      </c>
    </row>
    <row r="1617" spans="2:13" x14ac:dyDescent="0.25">
      <c r="B1617" s="42">
        <f t="shared" si="100"/>
        <v>7</v>
      </c>
      <c r="C1617" s="42">
        <f t="shared" si="101"/>
        <v>3</v>
      </c>
      <c r="D1617" s="42">
        <f t="shared" si="102"/>
        <v>2022</v>
      </c>
      <c r="E1617" s="43">
        <v>44627</v>
      </c>
      <c r="F1617" s="42">
        <v>115.66</v>
      </c>
      <c r="G1617" s="42">
        <v>116.32</v>
      </c>
      <c r="H1617" s="42">
        <v>114.52</v>
      </c>
      <c r="I1617" s="42">
        <v>118.12</v>
      </c>
      <c r="J1617" s="42">
        <v>124.95</v>
      </c>
      <c r="K1617" s="42">
        <v>119.4</v>
      </c>
      <c r="L1617" s="42">
        <v>122.05</v>
      </c>
      <c r="M1617" s="42">
        <f t="shared" si="103"/>
        <v>3.7400000000000091</v>
      </c>
    </row>
    <row r="1618" spans="2:13" x14ac:dyDescent="0.25">
      <c r="B1618" s="42">
        <f t="shared" si="100"/>
        <v>8</v>
      </c>
      <c r="C1618" s="42">
        <f t="shared" si="101"/>
        <v>3</v>
      </c>
      <c r="D1618" s="42">
        <f t="shared" si="102"/>
        <v>2022</v>
      </c>
      <c r="E1618" s="43">
        <v>44628</v>
      </c>
      <c r="F1618" s="42">
        <v>119.62</v>
      </c>
      <c r="G1618" s="42">
        <v>121.01</v>
      </c>
      <c r="H1618" s="42">
        <v>119.21</v>
      </c>
      <c r="I1618" s="42">
        <v>122.81</v>
      </c>
      <c r="J1618" s="42">
        <v>131.53</v>
      </c>
      <c r="K1618" s="42">
        <v>123.7</v>
      </c>
      <c r="L1618" s="42">
        <v>126.45</v>
      </c>
      <c r="M1618" s="42">
        <f t="shared" si="103"/>
        <v>4.0799999999999983</v>
      </c>
    </row>
    <row r="1619" spans="2:13" x14ac:dyDescent="0.25">
      <c r="B1619" s="42">
        <f t="shared" si="100"/>
        <v>9</v>
      </c>
      <c r="C1619" s="42">
        <f t="shared" si="101"/>
        <v>3</v>
      </c>
      <c r="D1619" s="42">
        <f t="shared" si="102"/>
        <v>2022</v>
      </c>
      <c r="E1619" s="43">
        <v>44629</v>
      </c>
      <c r="F1619" s="42">
        <v>105.97</v>
      </c>
      <c r="G1619" s="42">
        <v>105.43</v>
      </c>
      <c r="H1619" s="42">
        <v>103.63</v>
      </c>
      <c r="I1619" s="42">
        <v>107.23</v>
      </c>
      <c r="J1619" s="42">
        <v>122.78</v>
      </c>
      <c r="K1619" s="42">
        <v>108.7</v>
      </c>
      <c r="L1619" s="42">
        <v>111.45</v>
      </c>
      <c r="M1619" s="42">
        <f t="shared" si="103"/>
        <v>2.730000000000004</v>
      </c>
    </row>
    <row r="1620" spans="2:13" x14ac:dyDescent="0.25">
      <c r="B1620" s="42">
        <f t="shared" si="100"/>
        <v>10</v>
      </c>
      <c r="C1620" s="42">
        <f t="shared" si="101"/>
        <v>3</v>
      </c>
      <c r="D1620" s="42">
        <f t="shared" si="102"/>
        <v>2022</v>
      </c>
      <c r="E1620" s="43">
        <v>44630</v>
      </c>
      <c r="F1620" s="42">
        <v>102.49</v>
      </c>
      <c r="G1620" s="42">
        <v>102.79</v>
      </c>
      <c r="H1620" s="42">
        <v>100.99</v>
      </c>
      <c r="I1620" s="42">
        <v>104.59</v>
      </c>
      <c r="J1620" s="42">
        <v>113.9</v>
      </c>
      <c r="K1620" s="42">
        <v>106.02</v>
      </c>
      <c r="L1620" s="42">
        <v>108.42</v>
      </c>
      <c r="M1620" s="42">
        <f t="shared" si="103"/>
        <v>3.5300000000000011</v>
      </c>
    </row>
    <row r="1621" spans="2:13" x14ac:dyDescent="0.25">
      <c r="B1621" s="42">
        <f t="shared" si="100"/>
        <v>11</v>
      </c>
      <c r="C1621" s="42">
        <f t="shared" si="101"/>
        <v>3</v>
      </c>
      <c r="D1621" s="42">
        <f t="shared" si="102"/>
        <v>2022</v>
      </c>
      <c r="E1621" s="43">
        <v>44631</v>
      </c>
      <c r="F1621" s="42">
        <v>104.96</v>
      </c>
      <c r="G1621" s="42">
        <v>106.05</v>
      </c>
      <c r="H1621" s="42">
        <v>104.25</v>
      </c>
      <c r="I1621" s="42">
        <v>107.85</v>
      </c>
      <c r="J1621" s="42">
        <v>111.78</v>
      </c>
      <c r="K1621" s="42">
        <v>109.33</v>
      </c>
      <c r="L1621" s="42">
        <v>111.48</v>
      </c>
      <c r="M1621" s="42">
        <f t="shared" si="103"/>
        <v>4.3700000000000045</v>
      </c>
    </row>
    <row r="1622" spans="2:13" x14ac:dyDescent="0.25">
      <c r="B1622" s="42">
        <f t="shared" si="100"/>
        <v>14</v>
      </c>
      <c r="C1622" s="42">
        <f t="shared" si="101"/>
        <v>3</v>
      </c>
      <c r="D1622" s="42">
        <f t="shared" si="102"/>
        <v>2022</v>
      </c>
      <c r="E1622" s="43">
        <v>44634</v>
      </c>
      <c r="F1622" s="42">
        <v>99.48</v>
      </c>
      <c r="G1622" s="42">
        <v>99.99</v>
      </c>
      <c r="H1622" s="42">
        <v>98.19</v>
      </c>
      <c r="I1622" s="42">
        <v>101.79</v>
      </c>
      <c r="J1622" s="42">
        <v>105.52</v>
      </c>
      <c r="K1622" s="42">
        <v>103.01</v>
      </c>
      <c r="L1622" s="42">
        <v>105.26</v>
      </c>
      <c r="M1622" s="42">
        <f t="shared" si="103"/>
        <v>3.5300000000000011</v>
      </c>
    </row>
    <row r="1623" spans="2:13" x14ac:dyDescent="0.25">
      <c r="B1623" s="42">
        <f t="shared" si="100"/>
        <v>15</v>
      </c>
      <c r="C1623" s="42">
        <f t="shared" si="101"/>
        <v>3</v>
      </c>
      <c r="D1623" s="42">
        <f t="shared" si="102"/>
        <v>2022</v>
      </c>
      <c r="E1623" s="43">
        <v>44635</v>
      </c>
      <c r="F1623" s="42">
        <v>92.26</v>
      </c>
      <c r="G1623" s="42">
        <v>93.17</v>
      </c>
      <c r="H1623" s="42">
        <v>91.37</v>
      </c>
      <c r="I1623" s="42">
        <v>94.97</v>
      </c>
      <c r="J1623" s="42">
        <v>101.75</v>
      </c>
      <c r="K1623" s="42">
        <v>96.44</v>
      </c>
      <c r="L1623" s="42">
        <v>98.54</v>
      </c>
      <c r="M1623" s="42">
        <f t="shared" si="103"/>
        <v>4.1799999999999926</v>
      </c>
    </row>
    <row r="1624" spans="2:13" x14ac:dyDescent="0.25">
      <c r="B1624" s="42">
        <f t="shared" si="100"/>
        <v>16</v>
      </c>
      <c r="C1624" s="42">
        <f t="shared" si="101"/>
        <v>3</v>
      </c>
      <c r="D1624" s="42">
        <f t="shared" si="102"/>
        <v>2022</v>
      </c>
      <c r="E1624" s="43">
        <v>44636</v>
      </c>
      <c r="F1624" s="42">
        <v>90.96</v>
      </c>
      <c r="G1624" s="42">
        <v>91.44</v>
      </c>
      <c r="H1624" s="42">
        <v>89.64</v>
      </c>
      <c r="I1624" s="42">
        <v>93.24</v>
      </c>
      <c r="J1624" s="42">
        <v>99.95</v>
      </c>
      <c r="K1624" s="42">
        <v>95.04</v>
      </c>
      <c r="L1624" s="42">
        <v>97.49</v>
      </c>
      <c r="M1624" s="42">
        <f t="shared" si="103"/>
        <v>4.0800000000000125</v>
      </c>
    </row>
    <row r="1625" spans="2:13" x14ac:dyDescent="0.25">
      <c r="B1625" s="42">
        <f t="shared" si="100"/>
        <v>17</v>
      </c>
      <c r="C1625" s="42">
        <f t="shared" si="101"/>
        <v>3</v>
      </c>
      <c r="D1625" s="42">
        <f t="shared" si="102"/>
        <v>2022</v>
      </c>
      <c r="E1625" s="43">
        <v>44637</v>
      </c>
      <c r="F1625" s="42">
        <v>98.28</v>
      </c>
      <c r="G1625" s="42">
        <v>99.62</v>
      </c>
      <c r="H1625" s="42">
        <v>97.82</v>
      </c>
      <c r="I1625" s="42">
        <v>101.42</v>
      </c>
      <c r="J1625" s="42">
        <v>107.09</v>
      </c>
      <c r="K1625" s="42">
        <v>102.98</v>
      </c>
      <c r="L1625" s="42">
        <v>105.43</v>
      </c>
      <c r="M1625" s="42">
        <f t="shared" si="103"/>
        <v>4.7000000000000028</v>
      </c>
    </row>
    <row r="1626" spans="2:13" x14ac:dyDescent="0.25">
      <c r="B1626" s="42">
        <f t="shared" si="100"/>
        <v>18</v>
      </c>
      <c r="C1626" s="42">
        <f t="shared" si="101"/>
        <v>3</v>
      </c>
      <c r="D1626" s="42">
        <f t="shared" si="102"/>
        <v>2022</v>
      </c>
      <c r="E1626" s="43">
        <v>44638</v>
      </c>
      <c r="F1626" s="42">
        <v>98.28</v>
      </c>
      <c r="G1626" s="42">
        <v>101.22</v>
      </c>
      <c r="H1626" s="42">
        <v>99.42</v>
      </c>
      <c r="I1626" s="42">
        <v>103.02</v>
      </c>
      <c r="J1626" s="42">
        <v>107.19</v>
      </c>
      <c r="K1626" s="42">
        <v>104.7</v>
      </c>
      <c r="L1626" s="42">
        <v>107.15</v>
      </c>
      <c r="M1626" s="42">
        <f t="shared" si="103"/>
        <v>6.4200000000000017</v>
      </c>
    </row>
    <row r="1627" spans="2:13" x14ac:dyDescent="0.25">
      <c r="B1627" s="42">
        <f t="shared" si="100"/>
        <v>21</v>
      </c>
      <c r="C1627" s="42">
        <f t="shared" si="101"/>
        <v>3</v>
      </c>
      <c r="D1627" s="42">
        <f t="shared" si="102"/>
        <v>2022</v>
      </c>
      <c r="E1627" s="43">
        <v>44641</v>
      </c>
      <c r="F1627" s="42">
        <v>98.28</v>
      </c>
      <c r="G1627" s="42">
        <v>108.73</v>
      </c>
      <c r="H1627" s="42">
        <v>106.93</v>
      </c>
      <c r="I1627" s="42">
        <v>110.53</v>
      </c>
      <c r="J1627" s="42">
        <v>115.28</v>
      </c>
      <c r="K1627" s="42">
        <v>112.12</v>
      </c>
      <c r="L1627" s="42">
        <v>114.57</v>
      </c>
      <c r="M1627" s="42">
        <f t="shared" si="103"/>
        <v>13.840000000000003</v>
      </c>
    </row>
    <row r="1628" spans="2:13" x14ac:dyDescent="0.25">
      <c r="B1628" s="42">
        <f t="shared" si="100"/>
        <v>22</v>
      </c>
      <c r="C1628" s="42">
        <f t="shared" si="101"/>
        <v>3</v>
      </c>
      <c r="D1628" s="42">
        <f t="shared" si="102"/>
        <v>2022</v>
      </c>
      <c r="E1628" s="43">
        <v>44642</v>
      </c>
      <c r="F1628" s="42">
        <v>107.03</v>
      </c>
      <c r="G1628" s="42">
        <v>108.22</v>
      </c>
      <c r="H1628" s="42">
        <v>106.42</v>
      </c>
      <c r="I1628" s="42">
        <v>110.02</v>
      </c>
      <c r="J1628" s="42">
        <v>114.95</v>
      </c>
      <c r="K1628" s="42">
        <v>111.76</v>
      </c>
      <c r="L1628" s="42">
        <v>114.01</v>
      </c>
      <c r="M1628" s="42">
        <f t="shared" si="103"/>
        <v>4.730000000000004</v>
      </c>
    </row>
    <row r="1629" spans="2:13" x14ac:dyDescent="0.25">
      <c r="B1629" s="42">
        <f t="shared" si="100"/>
        <v>23</v>
      </c>
      <c r="C1629" s="42">
        <f t="shared" si="101"/>
        <v>3</v>
      </c>
      <c r="D1629" s="42">
        <f t="shared" si="102"/>
        <v>2022</v>
      </c>
      <c r="E1629" s="43">
        <v>44643</v>
      </c>
      <c r="F1629" s="42">
        <v>111.94</v>
      </c>
      <c r="G1629" s="42">
        <v>113.72</v>
      </c>
      <c r="H1629" s="42">
        <v>111.92</v>
      </c>
      <c r="I1629" s="42">
        <v>115.52</v>
      </c>
      <c r="J1629" s="42">
        <v>121.59</v>
      </c>
      <c r="K1629" s="42">
        <v>117.23</v>
      </c>
      <c r="L1629" s="42">
        <v>119.08</v>
      </c>
      <c r="M1629" s="42">
        <f t="shared" si="103"/>
        <v>5.2900000000000063</v>
      </c>
    </row>
    <row r="1630" spans="2:13" x14ac:dyDescent="0.25">
      <c r="B1630" s="42">
        <f t="shared" si="100"/>
        <v>24</v>
      </c>
      <c r="C1630" s="42">
        <f t="shared" si="101"/>
        <v>3</v>
      </c>
      <c r="D1630" s="42">
        <f t="shared" si="102"/>
        <v>2022</v>
      </c>
      <c r="E1630" s="43">
        <v>44644</v>
      </c>
      <c r="F1630" s="42">
        <v>110.34</v>
      </c>
      <c r="G1630" s="42">
        <v>111.37</v>
      </c>
      <c r="H1630" s="42">
        <v>109.57</v>
      </c>
      <c r="I1630" s="42">
        <v>113.17</v>
      </c>
      <c r="J1630" s="42">
        <v>119.8</v>
      </c>
      <c r="K1630" s="42">
        <v>114.84</v>
      </c>
      <c r="L1630" s="42">
        <v>116.69</v>
      </c>
      <c r="M1630" s="42">
        <f t="shared" si="103"/>
        <v>4.5</v>
      </c>
    </row>
    <row r="1631" spans="2:13" x14ac:dyDescent="0.25">
      <c r="B1631" s="42">
        <f t="shared" si="100"/>
        <v>25</v>
      </c>
      <c r="C1631" s="42">
        <f t="shared" si="101"/>
        <v>3</v>
      </c>
      <c r="D1631" s="42">
        <f t="shared" si="102"/>
        <v>2022</v>
      </c>
      <c r="E1631" s="43">
        <v>44645</v>
      </c>
      <c r="F1631" s="42">
        <v>110.95</v>
      </c>
      <c r="G1631" s="42">
        <v>112.82</v>
      </c>
      <c r="H1631" s="42">
        <v>111.02</v>
      </c>
      <c r="I1631" s="42">
        <v>114.62</v>
      </c>
      <c r="J1631" s="42">
        <v>120.84</v>
      </c>
      <c r="K1631" s="42">
        <v>116.4</v>
      </c>
      <c r="L1631" s="42">
        <v>118.05</v>
      </c>
      <c r="M1631" s="42">
        <f t="shared" si="103"/>
        <v>5.4500000000000028</v>
      </c>
    </row>
    <row r="1632" spans="2:13" x14ac:dyDescent="0.25">
      <c r="B1632" s="42">
        <f t="shared" si="100"/>
        <v>28</v>
      </c>
      <c r="C1632" s="42">
        <f t="shared" si="101"/>
        <v>3</v>
      </c>
      <c r="D1632" s="42">
        <f t="shared" si="102"/>
        <v>2022</v>
      </c>
      <c r="E1632" s="43">
        <v>44648</v>
      </c>
      <c r="F1632" s="42">
        <v>103.04</v>
      </c>
      <c r="G1632" s="42">
        <v>103.5</v>
      </c>
      <c r="H1632" s="42">
        <v>101.7</v>
      </c>
      <c r="I1632" s="42">
        <v>105.3</v>
      </c>
      <c r="J1632" s="42">
        <v>114.02</v>
      </c>
      <c r="K1632" s="42">
        <v>105.96</v>
      </c>
      <c r="L1632" s="42">
        <v>108.41</v>
      </c>
      <c r="M1632" s="42">
        <f t="shared" si="103"/>
        <v>2.9199999999999875</v>
      </c>
    </row>
    <row r="1633" spans="2:13" x14ac:dyDescent="0.25">
      <c r="B1633" s="42">
        <f t="shared" si="100"/>
        <v>29</v>
      </c>
      <c r="C1633" s="42">
        <f t="shared" si="101"/>
        <v>3</v>
      </c>
      <c r="D1633" s="42">
        <f t="shared" si="102"/>
        <v>2022</v>
      </c>
      <c r="E1633" s="43">
        <v>44649</v>
      </c>
      <c r="F1633" s="42">
        <v>100.99</v>
      </c>
      <c r="G1633" s="42">
        <v>101.53</v>
      </c>
      <c r="H1633" s="42">
        <v>99.73</v>
      </c>
      <c r="I1633" s="42">
        <v>103.33</v>
      </c>
      <c r="J1633" s="42">
        <v>110.07</v>
      </c>
      <c r="K1633" s="42">
        <v>104.24</v>
      </c>
      <c r="L1633" s="42">
        <v>106.49</v>
      </c>
      <c r="M1633" s="42">
        <f t="shared" si="103"/>
        <v>3.25</v>
      </c>
    </row>
    <row r="1634" spans="2:13" x14ac:dyDescent="0.25">
      <c r="B1634" s="42">
        <f t="shared" si="100"/>
        <v>30</v>
      </c>
      <c r="C1634" s="42">
        <f t="shared" si="101"/>
        <v>3</v>
      </c>
      <c r="D1634" s="42">
        <f t="shared" si="102"/>
        <v>2022</v>
      </c>
      <c r="E1634" s="43">
        <v>44650</v>
      </c>
      <c r="F1634" s="42">
        <v>104.04</v>
      </c>
      <c r="G1634" s="42">
        <v>104.98</v>
      </c>
      <c r="H1634" s="42">
        <v>103.18</v>
      </c>
      <c r="I1634" s="42">
        <v>106.78</v>
      </c>
      <c r="J1634" s="42">
        <v>113.9</v>
      </c>
      <c r="K1634" s="42">
        <v>107.82</v>
      </c>
      <c r="L1634" s="42">
        <v>110.07</v>
      </c>
      <c r="M1634" s="42">
        <f t="shared" si="103"/>
        <v>3.7799999999999869</v>
      </c>
    </row>
    <row r="1635" spans="2:13" x14ac:dyDescent="0.25">
      <c r="B1635" s="42">
        <f t="shared" si="100"/>
        <v>31</v>
      </c>
      <c r="C1635" s="42">
        <f t="shared" si="101"/>
        <v>3</v>
      </c>
      <c r="D1635" s="42">
        <f t="shared" si="102"/>
        <v>2022</v>
      </c>
      <c r="E1635" s="43">
        <v>44651</v>
      </c>
      <c r="F1635" s="42">
        <v>98</v>
      </c>
      <c r="G1635" s="42">
        <v>98.14</v>
      </c>
      <c r="H1635" s="42">
        <v>96.34</v>
      </c>
      <c r="I1635" s="42">
        <v>99.94</v>
      </c>
      <c r="J1635" s="42">
        <v>108.56</v>
      </c>
      <c r="K1635" s="42">
        <v>100.28</v>
      </c>
      <c r="L1635" s="42">
        <v>101.93</v>
      </c>
      <c r="M1635" s="42">
        <f t="shared" si="103"/>
        <v>2.2800000000000011</v>
      </c>
    </row>
    <row r="1636" spans="2:13" x14ac:dyDescent="0.25">
      <c r="B1636" s="42">
        <f t="shared" si="100"/>
        <v>1</v>
      </c>
      <c r="C1636" s="42">
        <f t="shared" si="101"/>
        <v>4</v>
      </c>
      <c r="D1636" s="42">
        <f t="shared" si="102"/>
        <v>2022</v>
      </c>
      <c r="E1636" s="43">
        <v>44652</v>
      </c>
      <c r="F1636" s="42">
        <v>97.25</v>
      </c>
      <c r="G1636" s="42">
        <v>96.8</v>
      </c>
      <c r="H1636" s="42">
        <v>95.7</v>
      </c>
      <c r="I1636" s="42">
        <v>99.8</v>
      </c>
      <c r="J1636" s="42">
        <v>106.01</v>
      </c>
      <c r="K1636" s="42">
        <v>99.27</v>
      </c>
      <c r="L1636" s="42">
        <v>101.27</v>
      </c>
      <c r="M1636" s="42">
        <f t="shared" si="103"/>
        <v>2.019999999999996</v>
      </c>
    </row>
    <row r="1637" spans="2:13" x14ac:dyDescent="0.25">
      <c r="B1637" s="42">
        <f t="shared" si="100"/>
        <v>4</v>
      </c>
      <c r="C1637" s="42">
        <f t="shared" si="101"/>
        <v>4</v>
      </c>
      <c r="D1637" s="42">
        <f t="shared" si="102"/>
        <v>2022</v>
      </c>
      <c r="E1637" s="43">
        <v>44655</v>
      </c>
      <c r="F1637" s="42">
        <v>100.16</v>
      </c>
      <c r="G1637" s="42">
        <v>100.45</v>
      </c>
      <c r="H1637" s="42">
        <v>99.35</v>
      </c>
      <c r="I1637" s="42">
        <v>103.45</v>
      </c>
      <c r="J1637" s="42">
        <v>108.14</v>
      </c>
      <c r="K1637" s="42">
        <v>103.28</v>
      </c>
      <c r="L1637" s="42">
        <v>105.23</v>
      </c>
      <c r="M1637" s="42">
        <f t="shared" si="103"/>
        <v>3.1200000000000045</v>
      </c>
    </row>
    <row r="1638" spans="2:13" x14ac:dyDescent="0.25">
      <c r="B1638" s="42">
        <f t="shared" si="100"/>
        <v>5</v>
      </c>
      <c r="C1638" s="42">
        <f t="shared" si="101"/>
        <v>4</v>
      </c>
      <c r="D1638" s="42">
        <f t="shared" si="102"/>
        <v>2022</v>
      </c>
      <c r="E1638" s="43">
        <v>44656</v>
      </c>
      <c r="F1638" s="42">
        <v>99.86</v>
      </c>
      <c r="G1638" s="42">
        <v>99.18</v>
      </c>
      <c r="H1638" s="42">
        <v>98.08</v>
      </c>
      <c r="I1638" s="42">
        <v>102.18</v>
      </c>
      <c r="J1638" s="42">
        <v>107.22</v>
      </c>
      <c r="K1638" s="42">
        <v>101.96</v>
      </c>
      <c r="L1638" s="42">
        <v>103.91</v>
      </c>
      <c r="M1638" s="42">
        <f t="shared" si="103"/>
        <v>2.0999999999999943</v>
      </c>
    </row>
    <row r="1639" spans="2:13" x14ac:dyDescent="0.25">
      <c r="B1639" s="42">
        <f t="shared" si="100"/>
        <v>6</v>
      </c>
      <c r="C1639" s="42">
        <f t="shared" si="101"/>
        <v>4</v>
      </c>
      <c r="D1639" s="42">
        <f t="shared" si="102"/>
        <v>2022</v>
      </c>
      <c r="E1639" s="43">
        <v>44657</v>
      </c>
      <c r="F1639" s="42">
        <v>94.97</v>
      </c>
      <c r="G1639" s="42">
        <v>93.5</v>
      </c>
      <c r="H1639" s="42">
        <v>92.4</v>
      </c>
      <c r="I1639" s="42">
        <v>96.5</v>
      </c>
      <c r="J1639" s="42">
        <v>104.49</v>
      </c>
      <c r="K1639" s="42">
        <v>96.23</v>
      </c>
      <c r="L1639" s="42">
        <v>98.18</v>
      </c>
      <c r="M1639" s="42">
        <f t="shared" si="103"/>
        <v>1.2600000000000051</v>
      </c>
    </row>
    <row r="1640" spans="2:13" x14ac:dyDescent="0.25">
      <c r="B1640" s="42">
        <f t="shared" si="100"/>
        <v>7</v>
      </c>
      <c r="C1640" s="42">
        <f t="shared" si="101"/>
        <v>4</v>
      </c>
      <c r="D1640" s="42">
        <f t="shared" si="102"/>
        <v>2022</v>
      </c>
      <c r="E1640" s="43">
        <v>44658</v>
      </c>
      <c r="F1640" s="42">
        <v>93.43</v>
      </c>
      <c r="G1640" s="42">
        <v>93.2</v>
      </c>
      <c r="H1640" s="42">
        <v>92.1</v>
      </c>
      <c r="I1640" s="42">
        <v>96.2</v>
      </c>
      <c r="J1640" s="42">
        <v>99.05</v>
      </c>
      <c r="K1640" s="42">
        <v>96.03</v>
      </c>
      <c r="L1640" s="42">
        <v>97.83</v>
      </c>
      <c r="M1640" s="42">
        <f t="shared" si="103"/>
        <v>2.5999999999999943</v>
      </c>
    </row>
    <row r="1641" spans="2:13" x14ac:dyDescent="0.25">
      <c r="B1641" s="42">
        <f t="shared" si="100"/>
        <v>8</v>
      </c>
      <c r="C1641" s="42">
        <f t="shared" si="101"/>
        <v>4</v>
      </c>
      <c r="D1641" s="42">
        <f t="shared" si="102"/>
        <v>2022</v>
      </c>
      <c r="E1641" s="43">
        <v>44659</v>
      </c>
      <c r="F1641" s="42">
        <v>95.36</v>
      </c>
      <c r="G1641" s="42">
        <v>95.29</v>
      </c>
      <c r="H1641" s="42">
        <v>94.19</v>
      </c>
      <c r="I1641" s="42">
        <v>98.29</v>
      </c>
      <c r="J1641" s="42">
        <v>101.49</v>
      </c>
      <c r="K1641" s="42">
        <v>98.26</v>
      </c>
      <c r="L1641" s="42">
        <v>99.61</v>
      </c>
      <c r="M1641" s="42">
        <f t="shared" si="103"/>
        <v>2.9000000000000057</v>
      </c>
    </row>
    <row r="1642" spans="2:13" x14ac:dyDescent="0.25">
      <c r="B1642" s="42">
        <f t="shared" si="100"/>
        <v>11</v>
      </c>
      <c r="C1642" s="42">
        <f t="shared" si="101"/>
        <v>4</v>
      </c>
      <c r="D1642" s="42">
        <f t="shared" si="102"/>
        <v>2022</v>
      </c>
      <c r="E1642" s="43">
        <v>44662</v>
      </c>
      <c r="F1642" s="42">
        <v>91.93</v>
      </c>
      <c r="G1642" s="42">
        <v>91.27</v>
      </c>
      <c r="H1642" s="42">
        <v>90.17</v>
      </c>
      <c r="I1642" s="42">
        <v>94.27</v>
      </c>
      <c r="J1642" s="42">
        <v>99.24</v>
      </c>
      <c r="K1642" s="42">
        <v>94.29</v>
      </c>
      <c r="L1642" s="42">
        <v>95.64</v>
      </c>
      <c r="M1642" s="42">
        <f t="shared" si="103"/>
        <v>2.3599999999999994</v>
      </c>
    </row>
    <row r="1643" spans="2:13" x14ac:dyDescent="0.25">
      <c r="B1643" s="42">
        <f t="shared" si="100"/>
        <v>12</v>
      </c>
      <c r="C1643" s="42">
        <f t="shared" si="101"/>
        <v>4</v>
      </c>
      <c r="D1643" s="42">
        <f t="shared" si="102"/>
        <v>2022</v>
      </c>
      <c r="E1643" s="43">
        <v>44663</v>
      </c>
      <c r="F1643" s="42">
        <v>97.16</v>
      </c>
      <c r="G1643" s="42">
        <v>97.63</v>
      </c>
      <c r="H1643" s="42">
        <v>96.53</v>
      </c>
      <c r="I1643" s="42">
        <v>100.63</v>
      </c>
      <c r="J1643" s="42">
        <v>105.54</v>
      </c>
      <c r="K1643" s="42">
        <v>100.6</v>
      </c>
      <c r="L1643" s="42">
        <v>102.1</v>
      </c>
      <c r="M1643" s="42">
        <f t="shared" si="103"/>
        <v>3.4399999999999977</v>
      </c>
    </row>
    <row r="1644" spans="2:13" x14ac:dyDescent="0.25">
      <c r="B1644" s="42">
        <f t="shared" si="100"/>
        <v>13</v>
      </c>
      <c r="C1644" s="42">
        <f t="shared" si="101"/>
        <v>4</v>
      </c>
      <c r="D1644" s="42">
        <f t="shared" si="102"/>
        <v>2022</v>
      </c>
      <c r="E1644" s="43">
        <v>44664</v>
      </c>
      <c r="F1644" s="42">
        <v>101.14</v>
      </c>
      <c r="G1644" s="42">
        <v>101.48</v>
      </c>
      <c r="H1644" s="42">
        <v>100.38</v>
      </c>
      <c r="I1644" s="42">
        <v>104.48</v>
      </c>
      <c r="J1644" s="42">
        <v>107.01</v>
      </c>
      <c r="K1644" s="42">
        <v>104.25</v>
      </c>
      <c r="L1644" s="42">
        <v>106.1</v>
      </c>
      <c r="M1644" s="42">
        <f t="shared" si="103"/>
        <v>3.1099999999999994</v>
      </c>
    </row>
    <row r="1645" spans="2:13" x14ac:dyDescent="0.25">
      <c r="B1645" s="42">
        <f t="shared" si="100"/>
        <v>14</v>
      </c>
      <c r="C1645" s="42">
        <f t="shared" si="101"/>
        <v>4</v>
      </c>
      <c r="D1645" s="42">
        <f t="shared" si="102"/>
        <v>2022</v>
      </c>
      <c r="E1645" s="43">
        <v>44665</v>
      </c>
      <c r="F1645" s="42">
        <v>101.14</v>
      </c>
      <c r="G1645" s="42">
        <v>104.16</v>
      </c>
      <c r="H1645" s="42">
        <v>103.06</v>
      </c>
      <c r="I1645" s="42">
        <v>107.16</v>
      </c>
      <c r="J1645" s="42">
        <v>107.51</v>
      </c>
      <c r="K1645" s="42">
        <v>106.95</v>
      </c>
      <c r="L1645" s="42">
        <v>108.65</v>
      </c>
      <c r="M1645" s="42">
        <f t="shared" si="103"/>
        <v>5.8100000000000023</v>
      </c>
    </row>
    <row r="1646" spans="2:13" x14ac:dyDescent="0.25">
      <c r="B1646" s="42">
        <f t="shared" si="100"/>
        <v>15</v>
      </c>
      <c r="C1646" s="42">
        <f t="shared" si="101"/>
        <v>4</v>
      </c>
      <c r="D1646" s="42">
        <f t="shared" si="102"/>
        <v>2022</v>
      </c>
      <c r="E1646" s="43">
        <v>44666</v>
      </c>
      <c r="F1646" s="42">
        <v>101.14</v>
      </c>
      <c r="G1646" s="42">
        <v>104.16</v>
      </c>
      <c r="H1646" s="42">
        <v>103.06</v>
      </c>
      <c r="I1646" s="42">
        <v>107.16</v>
      </c>
      <c r="J1646" s="42">
        <v>107.51</v>
      </c>
      <c r="K1646" s="42">
        <v>106.95</v>
      </c>
      <c r="L1646" s="42">
        <v>108.65</v>
      </c>
      <c r="M1646" s="42">
        <f t="shared" si="103"/>
        <v>5.8100000000000023</v>
      </c>
    </row>
    <row r="1647" spans="2:13" x14ac:dyDescent="0.25">
      <c r="B1647" s="42">
        <f t="shared" si="100"/>
        <v>18</v>
      </c>
      <c r="C1647" s="42">
        <f t="shared" si="101"/>
        <v>4</v>
      </c>
      <c r="D1647" s="42">
        <f t="shared" si="102"/>
        <v>2022</v>
      </c>
      <c r="E1647" s="43">
        <v>44669</v>
      </c>
      <c r="F1647" s="42">
        <v>105.5</v>
      </c>
      <c r="G1647" s="42">
        <v>105.49</v>
      </c>
      <c r="H1647" s="42">
        <v>104.39</v>
      </c>
      <c r="I1647" s="42">
        <v>108.49</v>
      </c>
      <c r="J1647" s="42">
        <v>107.51</v>
      </c>
      <c r="K1647" s="42">
        <v>108.21</v>
      </c>
      <c r="L1647" s="42">
        <v>109.91</v>
      </c>
      <c r="M1647" s="42">
        <f t="shared" si="103"/>
        <v>2.7099999999999937</v>
      </c>
    </row>
    <row r="1648" spans="2:13" x14ac:dyDescent="0.25">
      <c r="B1648" s="42">
        <f t="shared" si="100"/>
        <v>19</v>
      </c>
      <c r="C1648" s="42">
        <f t="shared" si="101"/>
        <v>4</v>
      </c>
      <c r="D1648" s="42">
        <f t="shared" si="102"/>
        <v>2022</v>
      </c>
      <c r="E1648" s="43">
        <v>44670</v>
      </c>
      <c r="F1648" s="42">
        <v>100.92</v>
      </c>
      <c r="G1648" s="42">
        <v>99.65</v>
      </c>
      <c r="H1648" s="42">
        <v>98.55</v>
      </c>
      <c r="I1648" s="42">
        <v>102.65</v>
      </c>
      <c r="J1648" s="42">
        <v>107.3</v>
      </c>
      <c r="K1648" s="42">
        <v>102.56</v>
      </c>
      <c r="L1648" s="42">
        <v>103.46</v>
      </c>
      <c r="M1648" s="42">
        <f t="shared" si="103"/>
        <v>1.6400000000000006</v>
      </c>
    </row>
    <row r="1649" spans="2:13" x14ac:dyDescent="0.25">
      <c r="B1649" s="42">
        <f t="shared" si="100"/>
        <v>20</v>
      </c>
      <c r="C1649" s="42">
        <f t="shared" si="101"/>
        <v>4</v>
      </c>
      <c r="D1649" s="42">
        <f t="shared" si="102"/>
        <v>2022</v>
      </c>
      <c r="E1649" s="43">
        <v>44671</v>
      </c>
      <c r="F1649" s="42">
        <v>100.25</v>
      </c>
      <c r="G1649" s="42">
        <v>99.62</v>
      </c>
      <c r="H1649" s="42">
        <v>98.52</v>
      </c>
      <c r="I1649" s="42">
        <v>102.62</v>
      </c>
      <c r="J1649" s="42">
        <v>107.24</v>
      </c>
      <c r="K1649" s="42">
        <v>102.75</v>
      </c>
      <c r="L1649" s="42">
        <v>103.65</v>
      </c>
      <c r="M1649" s="42">
        <f t="shared" si="103"/>
        <v>2.5</v>
      </c>
    </row>
    <row r="1650" spans="2:13" x14ac:dyDescent="0.25">
      <c r="B1650" s="42">
        <f t="shared" si="100"/>
        <v>21</v>
      </c>
      <c r="C1650" s="42">
        <f t="shared" si="101"/>
        <v>4</v>
      </c>
      <c r="D1650" s="42">
        <f t="shared" si="102"/>
        <v>2022</v>
      </c>
      <c r="E1650" s="43">
        <v>44672</v>
      </c>
      <c r="F1650" s="42">
        <v>101.68</v>
      </c>
      <c r="G1650" s="42">
        <v>101.45</v>
      </c>
      <c r="H1650" s="42">
        <v>100.35</v>
      </c>
      <c r="I1650" s="42">
        <v>104.45</v>
      </c>
      <c r="J1650" s="42">
        <v>108.05</v>
      </c>
      <c r="K1650" s="42">
        <v>104.59</v>
      </c>
      <c r="L1650" s="42">
        <v>106.29</v>
      </c>
      <c r="M1650" s="42">
        <f t="shared" si="103"/>
        <v>2.9099999999999966</v>
      </c>
    </row>
    <row r="1651" spans="2:13" x14ac:dyDescent="0.25">
      <c r="B1651" s="42">
        <f t="shared" si="100"/>
        <v>22</v>
      </c>
      <c r="C1651" s="42">
        <f t="shared" si="101"/>
        <v>4</v>
      </c>
      <c r="D1651" s="42">
        <f t="shared" si="102"/>
        <v>2022</v>
      </c>
      <c r="E1651" s="43">
        <v>44673</v>
      </c>
      <c r="F1651" s="42">
        <v>100.21</v>
      </c>
      <c r="G1651" s="42">
        <v>99.77</v>
      </c>
      <c r="H1651" s="42">
        <v>98.67</v>
      </c>
      <c r="I1651" s="42">
        <v>102.77</v>
      </c>
      <c r="J1651" s="42">
        <v>106.88</v>
      </c>
      <c r="K1651" s="42">
        <v>102.97</v>
      </c>
      <c r="L1651" s="42">
        <v>104.67</v>
      </c>
      <c r="M1651" s="42">
        <f t="shared" si="103"/>
        <v>2.7600000000000051</v>
      </c>
    </row>
    <row r="1652" spans="2:13" x14ac:dyDescent="0.25">
      <c r="B1652" s="42">
        <f t="shared" si="100"/>
        <v>25</v>
      </c>
      <c r="C1652" s="42">
        <f t="shared" si="101"/>
        <v>4</v>
      </c>
      <c r="D1652" s="42">
        <f t="shared" si="102"/>
        <v>2022</v>
      </c>
      <c r="E1652" s="43">
        <v>44676</v>
      </c>
      <c r="F1652" s="42">
        <v>96.06</v>
      </c>
      <c r="G1652" s="42">
        <v>95.96</v>
      </c>
      <c r="H1652" s="42">
        <v>94.86</v>
      </c>
      <c r="I1652" s="42">
        <v>98.96</v>
      </c>
      <c r="J1652" s="42">
        <v>99.83</v>
      </c>
      <c r="K1652" s="42">
        <v>99.54</v>
      </c>
      <c r="L1652" s="42">
        <v>102.19</v>
      </c>
      <c r="M1652" s="42">
        <f t="shared" si="103"/>
        <v>3.480000000000004</v>
      </c>
    </row>
    <row r="1653" spans="2:13" x14ac:dyDescent="0.25">
      <c r="B1653" s="42">
        <f t="shared" si="100"/>
        <v>26</v>
      </c>
      <c r="C1653" s="42">
        <f t="shared" si="101"/>
        <v>4</v>
      </c>
      <c r="D1653" s="42">
        <f t="shared" si="102"/>
        <v>2022</v>
      </c>
      <c r="E1653" s="43">
        <v>44677</v>
      </c>
      <c r="F1653" s="42">
        <v>98.02</v>
      </c>
      <c r="G1653" s="42">
        <v>98.4</v>
      </c>
      <c r="H1653" s="42">
        <v>97.3</v>
      </c>
      <c r="I1653" s="42">
        <v>101.4</v>
      </c>
      <c r="J1653" s="42">
        <v>104.13</v>
      </c>
      <c r="K1653" s="42">
        <v>101.7</v>
      </c>
      <c r="L1653" s="42">
        <v>103.7</v>
      </c>
      <c r="M1653" s="42">
        <f t="shared" si="103"/>
        <v>3.6800000000000068</v>
      </c>
    </row>
    <row r="1654" spans="2:13" x14ac:dyDescent="0.25">
      <c r="B1654" s="42">
        <f t="shared" si="100"/>
        <v>27</v>
      </c>
      <c r="C1654" s="42">
        <f t="shared" si="101"/>
        <v>4</v>
      </c>
      <c r="D1654" s="42">
        <f t="shared" si="102"/>
        <v>2022</v>
      </c>
      <c r="E1654" s="43">
        <v>44678</v>
      </c>
      <c r="F1654" s="42">
        <v>98.89</v>
      </c>
      <c r="G1654" s="42">
        <v>98.72</v>
      </c>
      <c r="H1654" s="42">
        <v>97.62</v>
      </c>
      <c r="I1654" s="42">
        <v>101.72</v>
      </c>
      <c r="J1654" s="42">
        <v>104.46</v>
      </c>
      <c r="K1654" s="42">
        <v>102.02</v>
      </c>
      <c r="L1654" s="42">
        <v>104.02</v>
      </c>
      <c r="M1654" s="42">
        <f t="shared" si="103"/>
        <v>3.1299999999999955</v>
      </c>
    </row>
    <row r="1655" spans="2:13" x14ac:dyDescent="0.25">
      <c r="B1655" s="42">
        <f t="shared" si="100"/>
        <v>28</v>
      </c>
      <c r="C1655" s="42">
        <f t="shared" si="101"/>
        <v>4</v>
      </c>
      <c r="D1655" s="42">
        <f t="shared" si="102"/>
        <v>2022</v>
      </c>
      <c r="E1655" s="43">
        <v>44679</v>
      </c>
      <c r="F1655" s="42">
        <v>101.16</v>
      </c>
      <c r="G1655" s="42">
        <v>101.69</v>
      </c>
      <c r="H1655" s="42">
        <v>100.59</v>
      </c>
      <c r="I1655" s="42">
        <v>104.69</v>
      </c>
      <c r="J1655" s="42">
        <v>106.83</v>
      </c>
      <c r="K1655" s="42">
        <v>105.36</v>
      </c>
      <c r="L1655" s="42">
        <v>107.21</v>
      </c>
      <c r="M1655" s="42">
        <f t="shared" si="103"/>
        <v>4.2000000000000028</v>
      </c>
    </row>
    <row r="1656" spans="2:13" x14ac:dyDescent="0.25">
      <c r="B1656" s="42">
        <f t="shared" si="100"/>
        <v>29</v>
      </c>
      <c r="C1656" s="42">
        <f t="shared" si="101"/>
        <v>4</v>
      </c>
      <c r="D1656" s="42">
        <f t="shared" si="102"/>
        <v>2022</v>
      </c>
      <c r="E1656" s="43">
        <v>44680</v>
      </c>
      <c r="F1656" s="42">
        <v>102.02</v>
      </c>
      <c r="G1656" s="42">
        <v>101.8</v>
      </c>
      <c r="H1656" s="42">
        <v>100.7</v>
      </c>
      <c r="I1656" s="42">
        <v>104.8</v>
      </c>
      <c r="J1656" s="42">
        <v>109.36</v>
      </c>
      <c r="K1656" s="42">
        <v>104.69</v>
      </c>
      <c r="L1656" s="42">
        <v>106.44</v>
      </c>
      <c r="M1656" s="42">
        <f t="shared" si="103"/>
        <v>2.6700000000000017</v>
      </c>
    </row>
    <row r="1657" spans="2:13" x14ac:dyDescent="0.25">
      <c r="B1657" s="42">
        <f t="shared" si="100"/>
        <v>2</v>
      </c>
      <c r="C1657" s="42">
        <f t="shared" si="101"/>
        <v>5</v>
      </c>
      <c r="D1657" s="42">
        <f t="shared" si="102"/>
        <v>2022</v>
      </c>
      <c r="E1657" s="43">
        <v>44683</v>
      </c>
      <c r="F1657" s="42">
        <v>102.02</v>
      </c>
      <c r="G1657" s="42">
        <v>101.83</v>
      </c>
      <c r="H1657" s="42">
        <v>100.53</v>
      </c>
      <c r="I1657" s="42">
        <v>104.13</v>
      </c>
      <c r="J1657" s="42">
        <v>109.36</v>
      </c>
      <c r="K1657" s="42">
        <v>105.17</v>
      </c>
      <c r="L1657" s="42">
        <v>106.92</v>
      </c>
      <c r="M1657" s="42">
        <f t="shared" si="103"/>
        <v>3.1500000000000057</v>
      </c>
    </row>
    <row r="1658" spans="2:13" x14ac:dyDescent="0.25">
      <c r="B1658" s="42">
        <f t="shared" si="100"/>
        <v>3</v>
      </c>
      <c r="C1658" s="42">
        <f t="shared" si="101"/>
        <v>5</v>
      </c>
      <c r="D1658" s="42">
        <f t="shared" si="102"/>
        <v>2022</v>
      </c>
      <c r="E1658" s="43">
        <v>44684</v>
      </c>
      <c r="F1658" s="42">
        <v>102.02</v>
      </c>
      <c r="G1658" s="42">
        <v>99.22</v>
      </c>
      <c r="H1658" s="42">
        <v>97.92</v>
      </c>
      <c r="I1658" s="42">
        <v>101.52</v>
      </c>
      <c r="J1658" s="42">
        <v>106.47</v>
      </c>
      <c r="K1658" s="42">
        <v>102.41</v>
      </c>
      <c r="L1658" s="42">
        <v>104.16</v>
      </c>
      <c r="M1658" s="42">
        <f t="shared" si="103"/>
        <v>0.39000000000000057</v>
      </c>
    </row>
    <row r="1659" spans="2:13" x14ac:dyDescent="0.25">
      <c r="B1659" s="42">
        <f t="shared" si="100"/>
        <v>4</v>
      </c>
      <c r="C1659" s="42">
        <f t="shared" si="101"/>
        <v>5</v>
      </c>
      <c r="D1659" s="42">
        <f t="shared" si="102"/>
        <v>2022</v>
      </c>
      <c r="E1659" s="43">
        <v>44685</v>
      </c>
      <c r="F1659" s="42">
        <v>104.18</v>
      </c>
      <c r="G1659" s="42">
        <v>104.54</v>
      </c>
      <c r="H1659" s="42">
        <v>103.24</v>
      </c>
      <c r="I1659" s="42">
        <v>106.84</v>
      </c>
      <c r="J1659" s="42">
        <v>108.7</v>
      </c>
      <c r="K1659" s="42">
        <v>107.81</v>
      </c>
      <c r="L1659" s="42">
        <v>109.66</v>
      </c>
      <c r="M1659" s="42">
        <f t="shared" si="103"/>
        <v>3.6299999999999955</v>
      </c>
    </row>
    <row r="1660" spans="2:13" x14ac:dyDescent="0.25">
      <c r="B1660" s="42">
        <f t="shared" si="100"/>
        <v>5</v>
      </c>
      <c r="C1660" s="42">
        <f t="shared" si="101"/>
        <v>5</v>
      </c>
      <c r="D1660" s="42">
        <f t="shared" si="102"/>
        <v>2022</v>
      </c>
      <c r="E1660" s="43">
        <v>44686</v>
      </c>
      <c r="F1660" s="42">
        <v>104.18</v>
      </c>
      <c r="G1660" s="42">
        <v>105.09</v>
      </c>
      <c r="H1660" s="42">
        <v>103.79</v>
      </c>
      <c r="I1660" s="42">
        <v>107.39</v>
      </c>
      <c r="J1660" s="42">
        <v>111.37</v>
      </c>
      <c r="K1660" s="42">
        <v>108.26</v>
      </c>
      <c r="L1660" s="42">
        <v>110.11</v>
      </c>
      <c r="M1660" s="42">
        <f t="shared" si="103"/>
        <v>4.0799999999999983</v>
      </c>
    </row>
    <row r="1661" spans="2:13" x14ac:dyDescent="0.25">
      <c r="B1661" s="42">
        <f t="shared" si="100"/>
        <v>6</v>
      </c>
      <c r="C1661" s="42">
        <f t="shared" si="101"/>
        <v>5</v>
      </c>
      <c r="D1661" s="42">
        <f t="shared" si="102"/>
        <v>2022</v>
      </c>
      <c r="E1661" s="43">
        <v>44687</v>
      </c>
      <c r="F1661" s="42">
        <v>106.45</v>
      </c>
      <c r="G1661" s="42">
        <v>106.6</v>
      </c>
      <c r="H1661" s="42">
        <v>105.3</v>
      </c>
      <c r="I1661" s="42">
        <v>108.9</v>
      </c>
      <c r="J1661" s="42">
        <v>113.39</v>
      </c>
      <c r="K1661" s="42">
        <v>109.77</v>
      </c>
      <c r="L1661" s="42">
        <v>111.87</v>
      </c>
      <c r="M1661" s="42">
        <f t="shared" si="103"/>
        <v>3.3199999999999932</v>
      </c>
    </row>
    <row r="1662" spans="2:13" x14ac:dyDescent="0.25">
      <c r="B1662" s="42">
        <f t="shared" si="100"/>
        <v>9</v>
      </c>
      <c r="C1662" s="42">
        <f t="shared" si="101"/>
        <v>5</v>
      </c>
      <c r="D1662" s="42">
        <f t="shared" si="102"/>
        <v>2022</v>
      </c>
      <c r="E1662" s="43">
        <v>44690</v>
      </c>
      <c r="F1662" s="42">
        <v>100.82</v>
      </c>
      <c r="G1662" s="42">
        <v>100.1</v>
      </c>
      <c r="H1662" s="42">
        <v>98.8</v>
      </c>
      <c r="I1662" s="42">
        <v>102.4</v>
      </c>
      <c r="J1662" s="42">
        <v>106.59</v>
      </c>
      <c r="K1662" s="42">
        <v>103.09</v>
      </c>
      <c r="L1662" s="42">
        <v>105.24</v>
      </c>
      <c r="M1662" s="42">
        <f t="shared" si="103"/>
        <v>2.2700000000000102</v>
      </c>
    </row>
    <row r="1663" spans="2:13" x14ac:dyDescent="0.25">
      <c r="B1663" s="42">
        <f t="shared" si="100"/>
        <v>10</v>
      </c>
      <c r="C1663" s="42">
        <f t="shared" si="101"/>
        <v>5</v>
      </c>
      <c r="D1663" s="42">
        <f t="shared" si="102"/>
        <v>2022</v>
      </c>
      <c r="E1663" s="43">
        <v>44691</v>
      </c>
      <c r="F1663" s="42">
        <v>97.26</v>
      </c>
      <c r="G1663" s="42">
        <v>96.75</v>
      </c>
      <c r="H1663" s="42">
        <v>95.45</v>
      </c>
      <c r="I1663" s="42">
        <v>99.05</v>
      </c>
      <c r="J1663" s="42">
        <v>104.08</v>
      </c>
      <c r="K1663" s="42">
        <v>99.76</v>
      </c>
      <c r="L1663" s="42">
        <v>102.06</v>
      </c>
      <c r="M1663" s="42">
        <f t="shared" si="103"/>
        <v>2.5</v>
      </c>
    </row>
    <row r="1664" spans="2:13" x14ac:dyDescent="0.25">
      <c r="B1664" s="42">
        <f t="shared" si="100"/>
        <v>11</v>
      </c>
      <c r="C1664" s="42">
        <f t="shared" si="101"/>
        <v>5</v>
      </c>
      <c r="D1664" s="42">
        <f t="shared" si="102"/>
        <v>2022</v>
      </c>
      <c r="E1664" s="43">
        <v>44692</v>
      </c>
      <c r="F1664" s="42">
        <v>102.03</v>
      </c>
      <c r="G1664" s="42">
        <v>102.35</v>
      </c>
      <c r="H1664" s="42">
        <v>101.05</v>
      </c>
      <c r="I1664" s="42">
        <v>104.65</v>
      </c>
      <c r="J1664" s="42">
        <v>107.23</v>
      </c>
      <c r="K1664" s="42">
        <v>105.71</v>
      </c>
      <c r="L1664" s="42">
        <v>108.06</v>
      </c>
      <c r="M1664" s="42">
        <f t="shared" si="103"/>
        <v>3.6799999999999926</v>
      </c>
    </row>
    <row r="1665" spans="2:13" x14ac:dyDescent="0.25">
      <c r="B1665" s="42">
        <f t="shared" si="100"/>
        <v>12</v>
      </c>
      <c r="C1665" s="42">
        <f t="shared" si="101"/>
        <v>5</v>
      </c>
      <c r="D1665" s="42">
        <f t="shared" si="102"/>
        <v>2022</v>
      </c>
      <c r="E1665" s="43">
        <v>44693</v>
      </c>
      <c r="F1665" s="42">
        <v>102.14</v>
      </c>
      <c r="G1665" s="42">
        <v>102.53</v>
      </c>
      <c r="H1665" s="42">
        <v>101.23</v>
      </c>
      <c r="I1665" s="42">
        <v>104.83</v>
      </c>
      <c r="J1665" s="42">
        <v>108.37</v>
      </c>
      <c r="K1665" s="42">
        <v>106.13</v>
      </c>
      <c r="L1665" s="42">
        <v>108.38</v>
      </c>
      <c r="M1665" s="42">
        <f t="shared" si="103"/>
        <v>3.9899999999999949</v>
      </c>
    </row>
    <row r="1666" spans="2:13" x14ac:dyDescent="0.25">
      <c r="B1666" s="42">
        <f t="shared" si="100"/>
        <v>13</v>
      </c>
      <c r="C1666" s="42">
        <f t="shared" si="101"/>
        <v>5</v>
      </c>
      <c r="D1666" s="42">
        <f t="shared" si="102"/>
        <v>2022</v>
      </c>
      <c r="E1666" s="43">
        <v>44694</v>
      </c>
      <c r="F1666" s="42">
        <v>106.36</v>
      </c>
      <c r="G1666" s="42">
        <v>106.9</v>
      </c>
      <c r="H1666" s="42">
        <v>105.6</v>
      </c>
      <c r="I1666" s="42">
        <v>109.2</v>
      </c>
      <c r="J1666" s="42">
        <v>110.83</v>
      </c>
      <c r="K1666" s="42">
        <v>110.49</v>
      </c>
      <c r="L1666" s="42">
        <v>112.74</v>
      </c>
      <c r="M1666" s="42">
        <f t="shared" si="103"/>
        <v>4.1299999999999955</v>
      </c>
    </row>
    <row r="1667" spans="2:13" x14ac:dyDescent="0.25">
      <c r="B1667" s="42">
        <f t="shared" si="100"/>
        <v>16</v>
      </c>
      <c r="C1667" s="42">
        <f t="shared" si="101"/>
        <v>5</v>
      </c>
      <c r="D1667" s="42">
        <f t="shared" si="102"/>
        <v>2022</v>
      </c>
      <c r="E1667" s="43">
        <v>44697</v>
      </c>
      <c r="F1667" s="42">
        <v>106.36</v>
      </c>
      <c r="G1667" s="42">
        <v>110.19</v>
      </c>
      <c r="H1667" s="42">
        <v>108.89</v>
      </c>
      <c r="I1667" s="42">
        <v>112.49</v>
      </c>
      <c r="J1667" s="42">
        <v>112.38</v>
      </c>
      <c r="K1667" s="42">
        <v>114.2</v>
      </c>
      <c r="L1667" s="42">
        <v>116.35</v>
      </c>
      <c r="M1667" s="42">
        <f t="shared" si="103"/>
        <v>7.8400000000000034</v>
      </c>
    </row>
    <row r="1668" spans="2:13" x14ac:dyDescent="0.25">
      <c r="B1668" s="42">
        <f t="shared" si="100"/>
        <v>17</v>
      </c>
      <c r="C1668" s="42">
        <f t="shared" si="101"/>
        <v>5</v>
      </c>
      <c r="D1668" s="42">
        <f t="shared" si="102"/>
        <v>2022</v>
      </c>
      <c r="E1668" s="43">
        <v>44698</v>
      </c>
      <c r="F1668" s="42">
        <v>107.8</v>
      </c>
      <c r="G1668" s="42">
        <v>108.05</v>
      </c>
      <c r="H1668" s="42">
        <v>106.75</v>
      </c>
      <c r="I1668" s="42">
        <v>110.35</v>
      </c>
      <c r="J1668" s="42">
        <v>115.14</v>
      </c>
      <c r="K1668" s="42">
        <v>112.4</v>
      </c>
      <c r="L1668" s="42">
        <v>114.45</v>
      </c>
      <c r="M1668" s="42">
        <f t="shared" si="103"/>
        <v>4.6000000000000085</v>
      </c>
    </row>
    <row r="1669" spans="2:13" x14ac:dyDescent="0.25">
      <c r="B1669" s="42">
        <f t="shared" si="100"/>
        <v>18</v>
      </c>
      <c r="C1669" s="42">
        <f t="shared" si="101"/>
        <v>5</v>
      </c>
      <c r="D1669" s="42">
        <f t="shared" si="102"/>
        <v>2022</v>
      </c>
      <c r="E1669" s="43">
        <v>44699</v>
      </c>
      <c r="F1669" s="42">
        <v>105.12</v>
      </c>
      <c r="G1669" s="42">
        <v>105.01</v>
      </c>
      <c r="H1669" s="42">
        <v>103.71</v>
      </c>
      <c r="I1669" s="42">
        <v>107.31</v>
      </c>
      <c r="J1669" s="42">
        <v>110.2</v>
      </c>
      <c r="K1669" s="42">
        <v>109.59</v>
      </c>
      <c r="L1669" s="42">
        <v>111.29</v>
      </c>
      <c r="M1669" s="42">
        <f t="shared" si="103"/>
        <v>4.4699999999999989</v>
      </c>
    </row>
    <row r="1670" spans="2:13" x14ac:dyDescent="0.25">
      <c r="B1670" s="42">
        <f t="shared" si="100"/>
        <v>19</v>
      </c>
      <c r="C1670" s="42">
        <f t="shared" si="101"/>
        <v>5</v>
      </c>
      <c r="D1670" s="42">
        <f t="shared" si="102"/>
        <v>2022</v>
      </c>
      <c r="E1670" s="43">
        <v>44700</v>
      </c>
      <c r="F1670" s="42">
        <v>107.02</v>
      </c>
      <c r="G1670" s="42">
        <v>107.9</v>
      </c>
      <c r="H1670" s="42">
        <v>106.6</v>
      </c>
      <c r="I1670" s="42">
        <v>110.2</v>
      </c>
      <c r="J1670" s="42">
        <v>110.21</v>
      </c>
      <c r="K1670" s="42">
        <v>112.21</v>
      </c>
      <c r="L1670" s="42">
        <v>113.51</v>
      </c>
      <c r="M1670" s="42">
        <f t="shared" si="103"/>
        <v>5.1899999999999977</v>
      </c>
    </row>
    <row r="1671" spans="2:13" x14ac:dyDescent="0.25">
      <c r="B1671" s="42">
        <f t="shared" ref="B1671:B1734" si="104">DAY(E1671)</f>
        <v>20</v>
      </c>
      <c r="C1671" s="42">
        <f t="shared" ref="C1671:C1734" si="105">MONTH(E1671)</f>
        <v>5</v>
      </c>
      <c r="D1671" s="42">
        <f t="shared" ref="D1671:D1734" si="106">YEAR(E1671)</f>
        <v>2022</v>
      </c>
      <c r="E1671" s="43">
        <v>44701</v>
      </c>
      <c r="F1671" s="42">
        <v>107.86</v>
      </c>
      <c r="G1671" s="42">
        <v>108.45</v>
      </c>
      <c r="H1671" s="42">
        <v>107.15</v>
      </c>
      <c r="I1671" s="42">
        <v>110.75</v>
      </c>
      <c r="J1671" s="42">
        <v>112.44</v>
      </c>
      <c r="K1671" s="42">
        <v>113.23</v>
      </c>
      <c r="L1671" s="42">
        <v>114.28</v>
      </c>
      <c r="M1671" s="42">
        <f t="shared" ref="M1671:M1734" si="107">K1671-F1671</f>
        <v>5.3700000000000045</v>
      </c>
    </row>
    <row r="1672" spans="2:13" x14ac:dyDescent="0.25">
      <c r="B1672" s="42">
        <f t="shared" si="104"/>
        <v>23</v>
      </c>
      <c r="C1672" s="42">
        <f t="shared" si="105"/>
        <v>5</v>
      </c>
      <c r="D1672" s="42">
        <f t="shared" si="106"/>
        <v>2022</v>
      </c>
      <c r="E1672" s="43">
        <v>44704</v>
      </c>
      <c r="F1672" s="42">
        <v>108.18</v>
      </c>
      <c r="G1672" s="42">
        <v>108.47</v>
      </c>
      <c r="H1672" s="42">
        <v>107.17</v>
      </c>
      <c r="I1672" s="42">
        <v>110.77</v>
      </c>
      <c r="J1672" s="42">
        <v>113.57</v>
      </c>
      <c r="K1672" s="42">
        <v>112.99</v>
      </c>
      <c r="L1672" s="42">
        <v>113.84</v>
      </c>
      <c r="M1672" s="42">
        <f t="shared" si="107"/>
        <v>4.8099999999999881</v>
      </c>
    </row>
    <row r="1673" spans="2:13" x14ac:dyDescent="0.25">
      <c r="B1673" s="42">
        <f t="shared" si="104"/>
        <v>24</v>
      </c>
      <c r="C1673" s="42">
        <f t="shared" si="105"/>
        <v>5</v>
      </c>
      <c r="D1673" s="42">
        <f t="shared" si="106"/>
        <v>2022</v>
      </c>
      <c r="E1673" s="43">
        <v>44705</v>
      </c>
      <c r="F1673" s="42">
        <v>107.59</v>
      </c>
      <c r="G1673" s="42">
        <v>107.95</v>
      </c>
      <c r="H1673" s="42">
        <v>106.65</v>
      </c>
      <c r="I1673" s="42">
        <v>110.25</v>
      </c>
      <c r="J1673" s="42">
        <v>113.9</v>
      </c>
      <c r="K1673" s="42">
        <v>112.02</v>
      </c>
      <c r="L1673" s="42">
        <v>112.32</v>
      </c>
      <c r="M1673" s="42">
        <f t="shared" si="107"/>
        <v>4.4299999999999926</v>
      </c>
    </row>
    <row r="1674" spans="2:13" x14ac:dyDescent="0.25">
      <c r="B1674" s="42">
        <f t="shared" si="104"/>
        <v>25</v>
      </c>
      <c r="C1674" s="42">
        <f t="shared" si="105"/>
        <v>5</v>
      </c>
      <c r="D1674" s="42">
        <f t="shared" si="106"/>
        <v>2022</v>
      </c>
      <c r="E1674" s="43">
        <v>44706</v>
      </c>
      <c r="F1674" s="42">
        <v>108.21</v>
      </c>
      <c r="G1674" s="42">
        <v>108.48</v>
      </c>
      <c r="H1674" s="42">
        <v>107.18</v>
      </c>
      <c r="I1674" s="42">
        <v>110.78</v>
      </c>
      <c r="J1674" s="42">
        <v>114.02</v>
      </c>
      <c r="K1674" s="42">
        <v>112.63</v>
      </c>
      <c r="L1674" s="42">
        <v>112.13</v>
      </c>
      <c r="M1674" s="42">
        <f t="shared" si="107"/>
        <v>4.4200000000000017</v>
      </c>
    </row>
    <row r="1675" spans="2:13" x14ac:dyDescent="0.25">
      <c r="B1675" s="42">
        <f t="shared" si="104"/>
        <v>26</v>
      </c>
      <c r="C1675" s="42">
        <f t="shared" si="105"/>
        <v>5</v>
      </c>
      <c r="D1675" s="42">
        <f t="shared" si="106"/>
        <v>2022</v>
      </c>
      <c r="E1675" s="43">
        <v>44707</v>
      </c>
      <c r="F1675" s="42">
        <v>110.44</v>
      </c>
      <c r="G1675" s="42">
        <v>110.9</v>
      </c>
      <c r="H1675" s="42">
        <v>109.6</v>
      </c>
      <c r="I1675" s="42">
        <v>113.2</v>
      </c>
      <c r="J1675" s="42">
        <v>117.01</v>
      </c>
      <c r="K1675" s="42">
        <v>114.09</v>
      </c>
      <c r="L1675" s="42">
        <v>115.74</v>
      </c>
      <c r="M1675" s="42">
        <f t="shared" si="107"/>
        <v>3.6500000000000057</v>
      </c>
    </row>
    <row r="1676" spans="2:13" x14ac:dyDescent="0.25">
      <c r="B1676" s="42">
        <f t="shared" si="104"/>
        <v>27</v>
      </c>
      <c r="C1676" s="42">
        <f t="shared" si="105"/>
        <v>5</v>
      </c>
      <c r="D1676" s="42">
        <f t="shared" si="106"/>
        <v>2022</v>
      </c>
      <c r="E1676" s="43">
        <v>44708</v>
      </c>
      <c r="F1676" s="42">
        <v>112.2</v>
      </c>
      <c r="G1676" s="42">
        <v>112.34</v>
      </c>
      <c r="H1676" s="42">
        <v>111.04</v>
      </c>
      <c r="I1676" s="42">
        <v>114.64</v>
      </c>
      <c r="J1676" s="42">
        <v>118.16</v>
      </c>
      <c r="K1676" s="42">
        <v>115.07</v>
      </c>
      <c r="L1676" s="42">
        <v>116.67</v>
      </c>
      <c r="M1676" s="42">
        <f t="shared" si="107"/>
        <v>2.8699999999999903</v>
      </c>
    </row>
    <row r="1677" spans="2:13" x14ac:dyDescent="0.25">
      <c r="B1677" s="42">
        <f t="shared" si="104"/>
        <v>30</v>
      </c>
      <c r="C1677" s="42">
        <f t="shared" si="105"/>
        <v>5</v>
      </c>
      <c r="D1677" s="42">
        <f t="shared" si="106"/>
        <v>2022</v>
      </c>
      <c r="E1677" s="43">
        <v>44711</v>
      </c>
      <c r="F1677" s="42">
        <v>112.2</v>
      </c>
      <c r="G1677" s="42">
        <v>112.34</v>
      </c>
      <c r="H1677" s="42">
        <v>111.04</v>
      </c>
      <c r="I1677" s="42">
        <v>114.64</v>
      </c>
      <c r="J1677" s="42">
        <v>120.63</v>
      </c>
      <c r="K1677" s="42">
        <v>115.07</v>
      </c>
      <c r="L1677" s="42">
        <v>116.67</v>
      </c>
      <c r="M1677" s="42">
        <f t="shared" si="107"/>
        <v>2.8699999999999903</v>
      </c>
    </row>
    <row r="1678" spans="2:13" x14ac:dyDescent="0.25">
      <c r="B1678" s="42">
        <f t="shared" si="104"/>
        <v>31</v>
      </c>
      <c r="C1678" s="42">
        <f t="shared" si="105"/>
        <v>5</v>
      </c>
      <c r="D1678" s="42">
        <f t="shared" si="106"/>
        <v>2022</v>
      </c>
      <c r="E1678" s="43">
        <v>44712</v>
      </c>
      <c r="F1678" s="42">
        <v>113.83</v>
      </c>
      <c r="G1678" s="42">
        <v>113.21</v>
      </c>
      <c r="H1678" s="42">
        <v>111.91</v>
      </c>
      <c r="I1678" s="42">
        <v>115.51</v>
      </c>
      <c r="J1678" s="42">
        <v>122.12</v>
      </c>
      <c r="K1678" s="42">
        <v>114.67</v>
      </c>
      <c r="L1678" s="42">
        <v>116.37</v>
      </c>
      <c r="M1678" s="42">
        <f t="shared" si="107"/>
        <v>0.84000000000000341</v>
      </c>
    </row>
    <row r="1679" spans="2:13" x14ac:dyDescent="0.25">
      <c r="B1679" s="42">
        <f t="shared" si="104"/>
        <v>1</v>
      </c>
      <c r="C1679" s="42">
        <f t="shared" si="105"/>
        <v>6</v>
      </c>
      <c r="D1679" s="42">
        <f t="shared" si="106"/>
        <v>2022</v>
      </c>
      <c r="E1679" s="43">
        <v>44713</v>
      </c>
      <c r="F1679" s="42">
        <v>109.63</v>
      </c>
      <c r="G1679" s="42">
        <v>111.42</v>
      </c>
      <c r="H1679" s="42">
        <v>108.82</v>
      </c>
      <c r="I1679" s="42">
        <v>113.27</v>
      </c>
      <c r="J1679" s="42">
        <v>117.36</v>
      </c>
      <c r="K1679" s="42">
        <v>115.26</v>
      </c>
      <c r="L1679" s="42">
        <v>116.96</v>
      </c>
      <c r="M1679" s="42">
        <f t="shared" si="107"/>
        <v>5.6300000000000097</v>
      </c>
    </row>
    <row r="1680" spans="2:13" x14ac:dyDescent="0.25">
      <c r="B1680" s="42">
        <f t="shared" si="104"/>
        <v>2</v>
      </c>
      <c r="C1680" s="42">
        <f t="shared" si="105"/>
        <v>6</v>
      </c>
      <c r="D1680" s="42">
        <f t="shared" si="106"/>
        <v>2022</v>
      </c>
      <c r="E1680" s="43">
        <v>44714</v>
      </c>
      <c r="F1680" s="42">
        <v>110.55</v>
      </c>
      <c r="G1680" s="42">
        <v>112.99</v>
      </c>
      <c r="H1680" s="42">
        <v>110.39</v>
      </c>
      <c r="I1680" s="42">
        <v>114.84</v>
      </c>
      <c r="J1680" s="42">
        <v>117.36</v>
      </c>
      <c r="K1680" s="42">
        <v>116.87</v>
      </c>
      <c r="L1680" s="42">
        <v>118.72</v>
      </c>
      <c r="M1680" s="42">
        <f t="shared" si="107"/>
        <v>6.3200000000000074</v>
      </c>
    </row>
    <row r="1681" spans="2:13" x14ac:dyDescent="0.25">
      <c r="B1681" s="42">
        <f t="shared" si="104"/>
        <v>3</v>
      </c>
      <c r="C1681" s="42">
        <f t="shared" si="105"/>
        <v>6</v>
      </c>
      <c r="D1681" s="42">
        <f t="shared" si="106"/>
        <v>2022</v>
      </c>
      <c r="E1681" s="43">
        <v>44715</v>
      </c>
      <c r="F1681" s="42">
        <v>112.7</v>
      </c>
      <c r="G1681" s="42">
        <v>114.97</v>
      </c>
      <c r="H1681" s="42">
        <v>112.37</v>
      </c>
      <c r="I1681" s="42">
        <v>116.82</v>
      </c>
      <c r="J1681" s="42">
        <v>117.36</v>
      </c>
      <c r="K1681" s="42">
        <v>118.87</v>
      </c>
      <c r="L1681" s="42">
        <v>120.62</v>
      </c>
      <c r="M1681" s="42">
        <f t="shared" si="107"/>
        <v>6.1700000000000017</v>
      </c>
    </row>
    <row r="1682" spans="2:13" x14ac:dyDescent="0.25">
      <c r="B1682" s="42">
        <f t="shared" si="104"/>
        <v>6</v>
      </c>
      <c r="C1682" s="42">
        <f t="shared" si="105"/>
        <v>6</v>
      </c>
      <c r="D1682" s="42">
        <f t="shared" si="106"/>
        <v>2022</v>
      </c>
      <c r="E1682" s="43">
        <v>44718</v>
      </c>
      <c r="F1682" s="42">
        <v>112.75</v>
      </c>
      <c r="G1682" s="42">
        <v>114.52</v>
      </c>
      <c r="H1682" s="42">
        <v>111.92</v>
      </c>
      <c r="I1682" s="42">
        <v>116.37</v>
      </c>
      <c r="J1682" s="42">
        <v>119.39</v>
      </c>
      <c r="K1682" s="42">
        <v>118.5</v>
      </c>
      <c r="L1682" s="42">
        <v>120.05</v>
      </c>
      <c r="M1682" s="42">
        <f t="shared" si="107"/>
        <v>5.75</v>
      </c>
    </row>
    <row r="1683" spans="2:13" x14ac:dyDescent="0.25">
      <c r="B1683" s="42">
        <f t="shared" si="104"/>
        <v>7</v>
      </c>
      <c r="C1683" s="42">
        <f t="shared" si="105"/>
        <v>6</v>
      </c>
      <c r="D1683" s="42">
        <f t="shared" si="106"/>
        <v>2022</v>
      </c>
      <c r="E1683" s="43">
        <v>44719</v>
      </c>
      <c r="F1683" s="42">
        <v>113.59</v>
      </c>
      <c r="G1683" s="42">
        <v>115.52</v>
      </c>
      <c r="H1683" s="42">
        <v>112.92</v>
      </c>
      <c r="I1683" s="42">
        <v>117.37</v>
      </c>
      <c r="J1683" s="42">
        <v>120.18</v>
      </c>
      <c r="K1683" s="42">
        <v>119.41</v>
      </c>
      <c r="L1683" s="42">
        <v>120.91</v>
      </c>
      <c r="M1683" s="42">
        <f t="shared" si="107"/>
        <v>5.8199999999999932</v>
      </c>
    </row>
    <row r="1684" spans="2:13" x14ac:dyDescent="0.25">
      <c r="B1684" s="42">
        <f t="shared" si="104"/>
        <v>8</v>
      </c>
      <c r="C1684" s="42">
        <f t="shared" si="105"/>
        <v>6</v>
      </c>
      <c r="D1684" s="42">
        <f t="shared" si="106"/>
        <v>2022</v>
      </c>
      <c r="E1684" s="43">
        <v>44720</v>
      </c>
      <c r="F1684" s="42">
        <v>116.28</v>
      </c>
      <c r="G1684" s="42">
        <v>118.36</v>
      </c>
      <c r="H1684" s="42">
        <v>115.76</v>
      </c>
      <c r="I1684" s="42">
        <v>120.21</v>
      </c>
      <c r="J1684" s="42">
        <v>122.72</v>
      </c>
      <c r="K1684" s="42">
        <v>122.11</v>
      </c>
      <c r="L1684" s="42">
        <v>123.66</v>
      </c>
      <c r="M1684" s="42">
        <f t="shared" si="107"/>
        <v>5.8299999999999983</v>
      </c>
    </row>
    <row r="1685" spans="2:13" x14ac:dyDescent="0.25">
      <c r="B1685" s="42">
        <f t="shared" si="104"/>
        <v>9</v>
      </c>
      <c r="C1685" s="42">
        <f t="shared" si="105"/>
        <v>6</v>
      </c>
      <c r="D1685" s="42">
        <f t="shared" si="106"/>
        <v>2022</v>
      </c>
      <c r="E1685" s="43">
        <v>44721</v>
      </c>
      <c r="F1685" s="42">
        <v>115.98</v>
      </c>
      <c r="G1685" s="42">
        <v>117.72</v>
      </c>
      <c r="H1685" s="42">
        <v>115.12</v>
      </c>
      <c r="I1685" s="42">
        <v>119.57</v>
      </c>
      <c r="J1685" s="42">
        <v>123.86</v>
      </c>
      <c r="K1685" s="42">
        <v>121.51</v>
      </c>
      <c r="L1685" s="42">
        <v>123.01</v>
      </c>
      <c r="M1685" s="42">
        <f t="shared" si="107"/>
        <v>5.5300000000000011</v>
      </c>
    </row>
    <row r="1686" spans="2:13" x14ac:dyDescent="0.25">
      <c r="B1686" s="42">
        <f t="shared" si="104"/>
        <v>10</v>
      </c>
      <c r="C1686" s="42">
        <f t="shared" si="105"/>
        <v>6</v>
      </c>
      <c r="D1686" s="42">
        <f t="shared" si="106"/>
        <v>2022</v>
      </c>
      <c r="E1686" s="43">
        <v>44722</v>
      </c>
      <c r="F1686" s="42">
        <v>115.2</v>
      </c>
      <c r="G1686" s="42">
        <v>116.84</v>
      </c>
      <c r="H1686" s="42">
        <v>114.24</v>
      </c>
      <c r="I1686" s="42">
        <v>118.69</v>
      </c>
      <c r="J1686" s="42">
        <v>121.32</v>
      </c>
      <c r="K1686" s="42">
        <v>120.67</v>
      </c>
      <c r="L1686" s="42">
        <v>122.12</v>
      </c>
      <c r="M1686" s="42">
        <f t="shared" si="107"/>
        <v>5.4699999999999989</v>
      </c>
    </row>
    <row r="1687" spans="2:13" x14ac:dyDescent="0.25">
      <c r="B1687" s="42">
        <f t="shared" si="104"/>
        <v>13</v>
      </c>
      <c r="C1687" s="42">
        <f t="shared" si="105"/>
        <v>6</v>
      </c>
      <c r="D1687" s="42">
        <f t="shared" si="106"/>
        <v>2022</v>
      </c>
      <c r="E1687" s="43">
        <v>44725</v>
      </c>
      <c r="F1687" s="42">
        <v>115.06</v>
      </c>
      <c r="G1687" s="42">
        <v>117.1</v>
      </c>
      <c r="H1687" s="42">
        <v>114.5</v>
      </c>
      <c r="I1687" s="42">
        <v>118.95</v>
      </c>
      <c r="J1687" s="42">
        <v>120.99</v>
      </c>
      <c r="K1687" s="42">
        <v>120.93</v>
      </c>
      <c r="L1687" s="42">
        <v>122.38</v>
      </c>
      <c r="M1687" s="42">
        <f t="shared" si="107"/>
        <v>5.8700000000000045</v>
      </c>
    </row>
    <row r="1688" spans="2:13" x14ac:dyDescent="0.25">
      <c r="B1688" s="42">
        <f t="shared" si="104"/>
        <v>14</v>
      </c>
      <c r="C1688" s="42">
        <f t="shared" si="105"/>
        <v>6</v>
      </c>
      <c r="D1688" s="42">
        <f t="shared" si="106"/>
        <v>2022</v>
      </c>
      <c r="E1688" s="43">
        <v>44726</v>
      </c>
      <c r="F1688" s="42">
        <v>113.96</v>
      </c>
      <c r="G1688" s="42">
        <v>115.35</v>
      </c>
      <c r="H1688" s="42">
        <v>112.75</v>
      </c>
      <c r="I1688" s="42">
        <v>117.2</v>
      </c>
      <c r="J1688" s="42">
        <v>124.73</v>
      </c>
      <c r="K1688" s="42">
        <v>118.93</v>
      </c>
      <c r="L1688" s="42">
        <v>120.28</v>
      </c>
      <c r="M1688" s="42">
        <f t="shared" si="107"/>
        <v>4.9700000000000131</v>
      </c>
    </row>
    <row r="1689" spans="2:13" x14ac:dyDescent="0.25">
      <c r="B1689" s="42">
        <f t="shared" si="104"/>
        <v>15</v>
      </c>
      <c r="C1689" s="42">
        <f t="shared" si="105"/>
        <v>6</v>
      </c>
      <c r="D1689" s="42">
        <f t="shared" si="106"/>
        <v>2022</v>
      </c>
      <c r="E1689" s="43">
        <v>44727</v>
      </c>
      <c r="F1689" s="42">
        <v>110.92</v>
      </c>
      <c r="G1689" s="42">
        <v>112.16</v>
      </c>
      <c r="H1689" s="42">
        <v>109.56</v>
      </c>
      <c r="I1689" s="42">
        <v>114.01</v>
      </c>
      <c r="J1689" s="42">
        <v>121.24</v>
      </c>
      <c r="K1689" s="42">
        <v>115.31</v>
      </c>
      <c r="L1689" s="42">
        <v>116.81</v>
      </c>
      <c r="M1689" s="42">
        <f t="shared" si="107"/>
        <v>4.3900000000000006</v>
      </c>
    </row>
    <row r="1690" spans="2:13" x14ac:dyDescent="0.25">
      <c r="B1690" s="42">
        <f t="shared" si="104"/>
        <v>16</v>
      </c>
      <c r="C1690" s="42">
        <f t="shared" si="105"/>
        <v>6</v>
      </c>
      <c r="D1690" s="42">
        <f t="shared" si="106"/>
        <v>2022</v>
      </c>
      <c r="E1690" s="43">
        <v>44728</v>
      </c>
      <c r="F1690" s="42">
        <v>112.4</v>
      </c>
      <c r="G1690" s="42">
        <v>114.13</v>
      </c>
      <c r="H1690" s="42">
        <v>111.53</v>
      </c>
      <c r="I1690" s="42">
        <v>115.98</v>
      </c>
      <c r="J1690" s="42">
        <v>117.95</v>
      </c>
      <c r="K1690" s="42">
        <v>117.58</v>
      </c>
      <c r="L1690" s="42">
        <v>118.53</v>
      </c>
      <c r="M1690" s="42">
        <f t="shared" si="107"/>
        <v>5.1799999999999926</v>
      </c>
    </row>
    <row r="1691" spans="2:13" x14ac:dyDescent="0.25">
      <c r="B1691" s="42">
        <f t="shared" si="104"/>
        <v>17</v>
      </c>
      <c r="C1691" s="42">
        <f t="shared" si="105"/>
        <v>6</v>
      </c>
      <c r="D1691" s="42">
        <f t="shared" si="106"/>
        <v>2022</v>
      </c>
      <c r="E1691" s="43">
        <v>44729</v>
      </c>
      <c r="F1691" s="42">
        <v>105.9</v>
      </c>
      <c r="G1691" s="42">
        <v>106.44</v>
      </c>
      <c r="H1691" s="42">
        <v>103.84</v>
      </c>
      <c r="I1691" s="42">
        <v>108.29</v>
      </c>
      <c r="J1691" s="42">
        <v>114.42</v>
      </c>
      <c r="K1691" s="42">
        <v>109.56</v>
      </c>
      <c r="L1691" s="42">
        <v>110.46</v>
      </c>
      <c r="M1691" s="42">
        <f t="shared" si="107"/>
        <v>3.6599999999999966</v>
      </c>
    </row>
    <row r="1692" spans="2:13" x14ac:dyDescent="0.25">
      <c r="B1692" s="42">
        <f t="shared" si="104"/>
        <v>20</v>
      </c>
      <c r="C1692" s="42">
        <f t="shared" si="105"/>
        <v>6</v>
      </c>
      <c r="D1692" s="42">
        <f t="shared" si="106"/>
        <v>2022</v>
      </c>
      <c r="E1692" s="43">
        <v>44732</v>
      </c>
      <c r="F1692" s="42">
        <v>105.9</v>
      </c>
      <c r="G1692" s="42">
        <v>106.44</v>
      </c>
      <c r="H1692" s="42">
        <v>103.84</v>
      </c>
      <c r="I1692" s="42">
        <v>108.29</v>
      </c>
      <c r="J1692" s="42">
        <v>113.97</v>
      </c>
      <c r="K1692" s="42">
        <v>109.56</v>
      </c>
      <c r="L1692" s="42">
        <v>110.46</v>
      </c>
      <c r="M1692" s="42">
        <f t="shared" si="107"/>
        <v>3.6599999999999966</v>
      </c>
    </row>
    <row r="1693" spans="2:13" x14ac:dyDescent="0.25">
      <c r="B1693" s="42">
        <f t="shared" si="104"/>
        <v>21</v>
      </c>
      <c r="C1693" s="42">
        <f t="shared" si="105"/>
        <v>6</v>
      </c>
      <c r="D1693" s="42">
        <f t="shared" si="106"/>
        <v>2022</v>
      </c>
      <c r="E1693" s="43">
        <v>44733</v>
      </c>
      <c r="F1693" s="42">
        <v>106.72</v>
      </c>
      <c r="G1693" s="42">
        <v>107.85</v>
      </c>
      <c r="H1693" s="42">
        <v>105.25</v>
      </c>
      <c r="I1693" s="42">
        <v>109.7</v>
      </c>
      <c r="J1693" s="42">
        <v>114.98</v>
      </c>
      <c r="K1693" s="42">
        <v>110.65</v>
      </c>
      <c r="L1693" s="42">
        <v>111.15</v>
      </c>
      <c r="M1693" s="42">
        <f t="shared" si="107"/>
        <v>3.9300000000000068</v>
      </c>
    </row>
    <row r="1694" spans="2:13" x14ac:dyDescent="0.25">
      <c r="B1694" s="42">
        <f t="shared" si="104"/>
        <v>22</v>
      </c>
      <c r="C1694" s="42">
        <f t="shared" si="105"/>
        <v>6</v>
      </c>
      <c r="D1694" s="42">
        <f t="shared" si="106"/>
        <v>2022</v>
      </c>
      <c r="E1694" s="43">
        <v>44734</v>
      </c>
      <c r="F1694" s="42">
        <v>103.79</v>
      </c>
      <c r="G1694" s="42">
        <v>105.2</v>
      </c>
      <c r="H1694" s="42">
        <v>102.6</v>
      </c>
      <c r="I1694" s="42">
        <v>107.05</v>
      </c>
      <c r="J1694" s="42">
        <v>111.12</v>
      </c>
      <c r="K1694" s="42">
        <v>107.69</v>
      </c>
      <c r="L1694" s="42">
        <v>108.44</v>
      </c>
      <c r="M1694" s="42">
        <f t="shared" si="107"/>
        <v>3.8999999999999915</v>
      </c>
    </row>
    <row r="1695" spans="2:13" x14ac:dyDescent="0.25">
      <c r="B1695" s="42">
        <f t="shared" si="104"/>
        <v>23</v>
      </c>
      <c r="C1695" s="42">
        <f t="shared" si="105"/>
        <v>6</v>
      </c>
      <c r="D1695" s="42">
        <f t="shared" si="106"/>
        <v>2022</v>
      </c>
      <c r="E1695" s="43">
        <v>44735</v>
      </c>
      <c r="F1695" s="42">
        <v>102.39</v>
      </c>
      <c r="G1695" s="42">
        <v>103.75</v>
      </c>
      <c r="H1695" s="42">
        <v>101.15</v>
      </c>
      <c r="I1695" s="42">
        <v>105.6</v>
      </c>
      <c r="J1695" s="42">
        <v>111.63</v>
      </c>
      <c r="K1695" s="42">
        <v>106.07</v>
      </c>
      <c r="L1695" s="42">
        <v>106.97</v>
      </c>
      <c r="M1695" s="42">
        <f t="shared" si="107"/>
        <v>3.6799999999999926</v>
      </c>
    </row>
    <row r="1696" spans="2:13" x14ac:dyDescent="0.25">
      <c r="B1696" s="42">
        <f t="shared" si="104"/>
        <v>24</v>
      </c>
      <c r="C1696" s="42">
        <f t="shared" si="105"/>
        <v>6</v>
      </c>
      <c r="D1696" s="42">
        <f t="shared" si="106"/>
        <v>2022</v>
      </c>
      <c r="E1696" s="43">
        <v>44736</v>
      </c>
      <c r="F1696" s="42">
        <v>105.61</v>
      </c>
      <c r="G1696" s="42">
        <v>108.04</v>
      </c>
      <c r="H1696" s="42">
        <v>105.44</v>
      </c>
      <c r="I1696" s="42">
        <v>109.89</v>
      </c>
      <c r="J1696" s="42">
        <v>114.24</v>
      </c>
      <c r="K1696" s="42">
        <v>109.67</v>
      </c>
      <c r="L1696" s="42">
        <v>110.52</v>
      </c>
      <c r="M1696" s="42">
        <f t="shared" si="107"/>
        <v>4.0600000000000023</v>
      </c>
    </row>
    <row r="1697" spans="2:13" x14ac:dyDescent="0.25">
      <c r="B1697" s="42">
        <f t="shared" si="104"/>
        <v>27</v>
      </c>
      <c r="C1697" s="42">
        <f t="shared" si="105"/>
        <v>6</v>
      </c>
      <c r="D1697" s="42">
        <f t="shared" si="106"/>
        <v>2022</v>
      </c>
      <c r="E1697" s="43">
        <v>44739</v>
      </c>
      <c r="F1697" s="42">
        <v>106.25</v>
      </c>
      <c r="G1697" s="42">
        <v>107.43</v>
      </c>
      <c r="H1697" s="42">
        <v>104.83</v>
      </c>
      <c r="I1697" s="42">
        <v>109.28</v>
      </c>
      <c r="J1697" s="42">
        <v>114.96</v>
      </c>
      <c r="K1697" s="42">
        <v>109.57</v>
      </c>
      <c r="L1697" s="42">
        <v>110.77</v>
      </c>
      <c r="M1697" s="42">
        <f t="shared" si="107"/>
        <v>3.3199999999999932</v>
      </c>
    </row>
    <row r="1698" spans="2:13" x14ac:dyDescent="0.25">
      <c r="B1698" s="42">
        <f t="shared" si="104"/>
        <v>28</v>
      </c>
      <c r="C1698" s="42">
        <f t="shared" si="105"/>
        <v>6</v>
      </c>
      <c r="D1698" s="42">
        <f t="shared" si="106"/>
        <v>2022</v>
      </c>
      <c r="E1698" s="43">
        <v>44740</v>
      </c>
      <c r="F1698" s="42">
        <v>108.77</v>
      </c>
      <c r="G1698" s="42">
        <v>109.83</v>
      </c>
      <c r="H1698" s="42">
        <v>107.23</v>
      </c>
      <c r="I1698" s="42">
        <v>111.68</v>
      </c>
      <c r="J1698" s="42">
        <v>117.38</v>
      </c>
      <c r="K1698" s="42">
        <v>111.76</v>
      </c>
      <c r="L1698" s="42">
        <v>112.96</v>
      </c>
      <c r="M1698" s="42">
        <f t="shared" si="107"/>
        <v>2.9900000000000091</v>
      </c>
    </row>
    <row r="1699" spans="2:13" x14ac:dyDescent="0.25">
      <c r="B1699" s="42">
        <f t="shared" si="104"/>
        <v>29</v>
      </c>
      <c r="C1699" s="42">
        <f t="shared" si="105"/>
        <v>6</v>
      </c>
      <c r="D1699" s="42">
        <f t="shared" si="106"/>
        <v>2022</v>
      </c>
      <c r="E1699" s="43">
        <v>44741</v>
      </c>
      <c r="F1699" s="42">
        <v>107.35</v>
      </c>
      <c r="G1699" s="42">
        <v>107.98</v>
      </c>
      <c r="H1699" s="42">
        <v>105.38</v>
      </c>
      <c r="I1699" s="42">
        <v>109.83</v>
      </c>
      <c r="J1699" s="42">
        <v>118.46</v>
      </c>
      <c r="K1699" s="42">
        <v>109.78</v>
      </c>
      <c r="L1699" s="42">
        <v>111.28</v>
      </c>
      <c r="M1699" s="42">
        <f t="shared" si="107"/>
        <v>2.4300000000000068</v>
      </c>
    </row>
    <row r="1700" spans="2:13" x14ac:dyDescent="0.25">
      <c r="B1700" s="42">
        <f t="shared" si="104"/>
        <v>30</v>
      </c>
      <c r="C1700" s="42">
        <f t="shared" si="105"/>
        <v>6</v>
      </c>
      <c r="D1700" s="42">
        <f t="shared" si="106"/>
        <v>2022</v>
      </c>
      <c r="E1700" s="43">
        <v>44742</v>
      </c>
      <c r="F1700" s="42">
        <v>104.79</v>
      </c>
      <c r="G1700" s="42">
        <v>104.95</v>
      </c>
      <c r="H1700" s="42">
        <v>102.35</v>
      </c>
      <c r="I1700" s="42">
        <v>106.8</v>
      </c>
      <c r="J1700" s="42">
        <v>114.45</v>
      </c>
      <c r="K1700" s="42">
        <v>105.76</v>
      </c>
      <c r="L1700" s="42">
        <v>107.41</v>
      </c>
      <c r="M1700" s="42">
        <f t="shared" si="107"/>
        <v>0.96999999999999886</v>
      </c>
    </row>
    <row r="1701" spans="2:13" x14ac:dyDescent="0.25">
      <c r="B1701" s="42">
        <f t="shared" si="104"/>
        <v>1</v>
      </c>
      <c r="C1701" s="42">
        <f t="shared" si="105"/>
        <v>7</v>
      </c>
      <c r="D1701" s="42">
        <f t="shared" si="106"/>
        <v>2022</v>
      </c>
      <c r="E1701" s="43">
        <v>44743</v>
      </c>
      <c r="F1701" s="42">
        <v>103.02</v>
      </c>
      <c r="G1701" s="42">
        <v>104.46</v>
      </c>
      <c r="H1701" s="42">
        <v>101.11</v>
      </c>
      <c r="I1701" s="42">
        <v>106.81</v>
      </c>
      <c r="J1701" s="42">
        <v>111.12</v>
      </c>
      <c r="K1701" s="42">
        <v>108.43</v>
      </c>
      <c r="L1701" s="42">
        <v>110.08</v>
      </c>
      <c r="M1701" s="42">
        <f t="shared" si="107"/>
        <v>5.4100000000000108</v>
      </c>
    </row>
    <row r="1702" spans="2:13" x14ac:dyDescent="0.25">
      <c r="B1702" s="42">
        <f t="shared" si="104"/>
        <v>4</v>
      </c>
      <c r="C1702" s="42">
        <f t="shared" si="105"/>
        <v>7</v>
      </c>
      <c r="D1702" s="42">
        <f t="shared" si="106"/>
        <v>2022</v>
      </c>
      <c r="E1702" s="43">
        <v>44746</v>
      </c>
      <c r="F1702" s="42">
        <v>103.02</v>
      </c>
      <c r="G1702" s="42">
        <v>104.46</v>
      </c>
      <c r="H1702" s="42">
        <v>101.11</v>
      </c>
      <c r="I1702" s="42">
        <v>106.81</v>
      </c>
      <c r="J1702" s="42">
        <v>111.12</v>
      </c>
      <c r="K1702" s="42">
        <v>108.43</v>
      </c>
      <c r="L1702" s="42">
        <v>110.08</v>
      </c>
      <c r="M1702" s="42">
        <f t="shared" si="107"/>
        <v>5.4100000000000108</v>
      </c>
    </row>
    <row r="1703" spans="2:13" x14ac:dyDescent="0.25">
      <c r="B1703" s="42">
        <f t="shared" si="104"/>
        <v>5</v>
      </c>
      <c r="C1703" s="42">
        <f t="shared" si="105"/>
        <v>7</v>
      </c>
      <c r="D1703" s="42">
        <f t="shared" si="106"/>
        <v>2022</v>
      </c>
      <c r="E1703" s="43">
        <v>44747</v>
      </c>
      <c r="F1703" s="42">
        <v>95.13</v>
      </c>
      <c r="G1703" s="42">
        <v>95.78</v>
      </c>
      <c r="H1703" s="42">
        <v>92.43</v>
      </c>
      <c r="I1703" s="42">
        <v>98.13</v>
      </c>
      <c r="J1703" s="42">
        <v>103.06</v>
      </c>
      <c r="K1703" s="42">
        <v>99.5</v>
      </c>
      <c r="L1703" s="42">
        <v>101.15</v>
      </c>
      <c r="M1703" s="42">
        <f t="shared" si="107"/>
        <v>4.3700000000000045</v>
      </c>
    </row>
    <row r="1704" spans="2:13" x14ac:dyDescent="0.25">
      <c r="B1704" s="42">
        <f t="shared" si="104"/>
        <v>6</v>
      </c>
      <c r="C1704" s="42">
        <f t="shared" si="105"/>
        <v>7</v>
      </c>
      <c r="D1704" s="42">
        <f t="shared" si="106"/>
        <v>2022</v>
      </c>
      <c r="E1704" s="43">
        <v>44748</v>
      </c>
      <c r="F1704" s="42">
        <v>93.08</v>
      </c>
      <c r="G1704" s="42">
        <v>94.45</v>
      </c>
      <c r="H1704" s="42">
        <v>91.1</v>
      </c>
      <c r="I1704" s="42">
        <v>96.8</v>
      </c>
      <c r="J1704" s="42">
        <v>100.52</v>
      </c>
      <c r="K1704" s="42">
        <v>98.53</v>
      </c>
      <c r="L1704" s="42">
        <v>100.23</v>
      </c>
      <c r="M1704" s="42">
        <f t="shared" si="107"/>
        <v>5.4500000000000028</v>
      </c>
    </row>
    <row r="1705" spans="2:13" x14ac:dyDescent="0.25">
      <c r="B1705" s="42">
        <f t="shared" si="104"/>
        <v>7</v>
      </c>
      <c r="C1705" s="42">
        <f t="shared" si="105"/>
        <v>7</v>
      </c>
      <c r="D1705" s="42">
        <f t="shared" si="106"/>
        <v>2022</v>
      </c>
      <c r="E1705" s="43">
        <v>44749</v>
      </c>
      <c r="F1705" s="42">
        <v>96.53</v>
      </c>
      <c r="G1705" s="42">
        <v>98.34</v>
      </c>
      <c r="H1705" s="42">
        <v>94.99</v>
      </c>
      <c r="I1705" s="42">
        <v>100.69</v>
      </c>
      <c r="J1705" s="42">
        <v>105.68</v>
      </c>
      <c r="K1705" s="42">
        <v>102.73</v>
      </c>
      <c r="L1705" s="42">
        <v>104.33</v>
      </c>
      <c r="M1705" s="42">
        <f t="shared" si="107"/>
        <v>6.2000000000000028</v>
      </c>
    </row>
    <row r="1706" spans="2:13" x14ac:dyDescent="0.25">
      <c r="B1706" s="42">
        <f t="shared" si="104"/>
        <v>8</v>
      </c>
      <c r="C1706" s="42">
        <f t="shared" si="105"/>
        <v>7</v>
      </c>
      <c r="D1706" s="42">
        <f t="shared" si="106"/>
        <v>2022</v>
      </c>
      <c r="E1706" s="43">
        <v>44750</v>
      </c>
      <c r="F1706" s="42">
        <v>98.99</v>
      </c>
      <c r="G1706" s="42">
        <v>100.51</v>
      </c>
      <c r="H1706" s="42">
        <v>97.16</v>
      </c>
      <c r="I1706" s="42">
        <v>102.86</v>
      </c>
      <c r="J1706" s="42">
        <v>107.06</v>
      </c>
      <c r="K1706" s="42">
        <v>104.79</v>
      </c>
      <c r="L1706" s="42">
        <v>106.34</v>
      </c>
      <c r="M1706" s="42">
        <f t="shared" si="107"/>
        <v>5.8000000000000114</v>
      </c>
    </row>
    <row r="1707" spans="2:13" x14ac:dyDescent="0.25">
      <c r="B1707" s="42">
        <f t="shared" si="104"/>
        <v>11</v>
      </c>
      <c r="C1707" s="42">
        <f t="shared" si="105"/>
        <v>7</v>
      </c>
      <c r="D1707" s="42">
        <f t="shared" si="106"/>
        <v>2022</v>
      </c>
      <c r="E1707" s="43">
        <v>44753</v>
      </c>
      <c r="F1707" s="42">
        <v>98.99</v>
      </c>
      <c r="G1707" s="42">
        <v>100.08</v>
      </c>
      <c r="H1707" s="42">
        <v>96.73</v>
      </c>
      <c r="I1707" s="42">
        <v>102.43</v>
      </c>
      <c r="J1707" s="42">
        <v>106.63</v>
      </c>
      <c r="K1707" s="42">
        <v>104.09</v>
      </c>
      <c r="L1707" s="42">
        <v>105.64</v>
      </c>
      <c r="M1707" s="42">
        <f t="shared" si="107"/>
        <v>5.1000000000000085</v>
      </c>
    </row>
    <row r="1708" spans="2:13" x14ac:dyDescent="0.25">
      <c r="B1708" s="42">
        <f t="shared" si="104"/>
        <v>12</v>
      </c>
      <c r="C1708" s="42">
        <f t="shared" si="105"/>
        <v>7</v>
      </c>
      <c r="D1708" s="42">
        <f t="shared" si="106"/>
        <v>2022</v>
      </c>
      <c r="E1708" s="43">
        <v>44754</v>
      </c>
      <c r="F1708" s="42">
        <v>91.3</v>
      </c>
      <c r="G1708" s="42">
        <v>92.16</v>
      </c>
      <c r="H1708" s="42">
        <v>88.81</v>
      </c>
      <c r="I1708" s="42">
        <v>94.51</v>
      </c>
      <c r="J1708" s="42">
        <v>100.51</v>
      </c>
      <c r="K1708" s="42">
        <v>95.84</v>
      </c>
      <c r="L1708" s="42">
        <v>97.59</v>
      </c>
      <c r="M1708" s="42">
        <f t="shared" si="107"/>
        <v>4.5400000000000063</v>
      </c>
    </row>
    <row r="1709" spans="2:13" x14ac:dyDescent="0.25">
      <c r="B1709" s="42">
        <f t="shared" si="104"/>
        <v>13</v>
      </c>
      <c r="C1709" s="42">
        <f t="shared" si="105"/>
        <v>7</v>
      </c>
      <c r="D1709" s="42">
        <f t="shared" si="106"/>
        <v>2022</v>
      </c>
      <c r="E1709" s="43">
        <v>44755</v>
      </c>
      <c r="F1709" s="42">
        <v>91.37</v>
      </c>
      <c r="G1709" s="42">
        <v>92.48</v>
      </c>
      <c r="H1709" s="42">
        <v>89.13</v>
      </c>
      <c r="I1709" s="42">
        <v>94.83</v>
      </c>
      <c r="J1709" s="42">
        <v>100.05</v>
      </c>
      <c r="K1709" s="42">
        <v>96.3</v>
      </c>
      <c r="L1709" s="42">
        <v>98.05</v>
      </c>
      <c r="M1709" s="42">
        <f t="shared" si="107"/>
        <v>4.9299999999999926</v>
      </c>
    </row>
    <row r="1710" spans="2:13" x14ac:dyDescent="0.25">
      <c r="B1710" s="42">
        <f t="shared" si="104"/>
        <v>14</v>
      </c>
      <c r="C1710" s="42">
        <f t="shared" si="105"/>
        <v>7</v>
      </c>
      <c r="D1710" s="42">
        <f t="shared" si="106"/>
        <v>2022</v>
      </c>
      <c r="E1710" s="43">
        <v>44756</v>
      </c>
      <c r="F1710" s="42">
        <v>90.87</v>
      </c>
      <c r="G1710" s="42">
        <v>92.11</v>
      </c>
      <c r="H1710" s="42">
        <v>88.76</v>
      </c>
      <c r="I1710" s="42">
        <v>94.46</v>
      </c>
      <c r="J1710" s="42">
        <v>97.22</v>
      </c>
      <c r="K1710" s="42">
        <v>95.78</v>
      </c>
      <c r="L1710" s="42">
        <v>97.73</v>
      </c>
      <c r="M1710" s="42">
        <f t="shared" si="107"/>
        <v>4.9099999999999966</v>
      </c>
    </row>
    <row r="1711" spans="2:13" x14ac:dyDescent="0.25">
      <c r="B1711" s="42">
        <f t="shared" si="104"/>
        <v>15</v>
      </c>
      <c r="C1711" s="42">
        <f t="shared" si="105"/>
        <v>7</v>
      </c>
      <c r="D1711" s="42">
        <f t="shared" si="106"/>
        <v>2022</v>
      </c>
      <c r="E1711" s="43">
        <v>44757</v>
      </c>
      <c r="F1711" s="42">
        <v>91.68</v>
      </c>
      <c r="G1711" s="42">
        <v>93.94</v>
      </c>
      <c r="H1711" s="42">
        <v>90.59</v>
      </c>
      <c r="I1711" s="42">
        <v>96.29</v>
      </c>
      <c r="J1711" s="42">
        <v>101.89</v>
      </c>
      <c r="K1711" s="42">
        <v>97.59</v>
      </c>
      <c r="L1711" s="42">
        <v>99.54</v>
      </c>
      <c r="M1711" s="42">
        <f t="shared" si="107"/>
        <v>5.9099999999999966</v>
      </c>
    </row>
    <row r="1712" spans="2:13" x14ac:dyDescent="0.25">
      <c r="B1712" s="42">
        <f t="shared" si="104"/>
        <v>18</v>
      </c>
      <c r="C1712" s="42">
        <f t="shared" si="105"/>
        <v>7</v>
      </c>
      <c r="D1712" s="42">
        <f t="shared" si="106"/>
        <v>2022</v>
      </c>
      <c r="E1712" s="43">
        <v>44760</v>
      </c>
      <c r="F1712" s="42">
        <v>97.63</v>
      </c>
      <c r="G1712" s="42">
        <v>98.99</v>
      </c>
      <c r="H1712" s="42">
        <v>95.64</v>
      </c>
      <c r="I1712" s="42">
        <v>101.34</v>
      </c>
      <c r="J1712" s="42">
        <v>106.48</v>
      </c>
      <c r="K1712" s="42">
        <v>102.6</v>
      </c>
      <c r="L1712" s="42">
        <v>104.55</v>
      </c>
      <c r="M1712" s="42">
        <f t="shared" si="107"/>
        <v>4.9699999999999989</v>
      </c>
    </row>
    <row r="1713" spans="2:13" x14ac:dyDescent="0.25">
      <c r="B1713" s="42">
        <f t="shared" si="104"/>
        <v>19</v>
      </c>
      <c r="C1713" s="42">
        <f t="shared" si="105"/>
        <v>7</v>
      </c>
      <c r="D1713" s="42">
        <f t="shared" si="106"/>
        <v>2022</v>
      </c>
      <c r="E1713" s="43">
        <v>44761</v>
      </c>
      <c r="F1713" s="42">
        <v>99.36</v>
      </c>
      <c r="G1713" s="42">
        <v>100.71</v>
      </c>
      <c r="H1713" s="42">
        <v>97.36</v>
      </c>
      <c r="I1713" s="42">
        <v>103.06</v>
      </c>
      <c r="J1713" s="42">
        <v>105.81</v>
      </c>
      <c r="K1713" s="42">
        <v>104.22</v>
      </c>
      <c r="L1713" s="42">
        <v>106.37</v>
      </c>
      <c r="M1713" s="42">
        <f t="shared" si="107"/>
        <v>4.8599999999999994</v>
      </c>
    </row>
    <row r="1714" spans="2:13" x14ac:dyDescent="0.25">
      <c r="B1714" s="42">
        <f t="shared" si="104"/>
        <v>20</v>
      </c>
      <c r="C1714" s="42">
        <f t="shared" si="105"/>
        <v>7</v>
      </c>
      <c r="D1714" s="42">
        <f t="shared" si="106"/>
        <v>2022</v>
      </c>
      <c r="E1714" s="43">
        <v>44762</v>
      </c>
      <c r="F1714" s="42">
        <v>98.15</v>
      </c>
      <c r="G1714" s="42">
        <v>99.25</v>
      </c>
      <c r="H1714" s="42">
        <v>95.9</v>
      </c>
      <c r="I1714" s="42">
        <v>101.6</v>
      </c>
      <c r="J1714" s="42">
        <v>106.87</v>
      </c>
      <c r="K1714" s="42">
        <v>102.26</v>
      </c>
      <c r="L1714" s="42">
        <v>105.31</v>
      </c>
      <c r="M1714" s="42">
        <f t="shared" si="107"/>
        <v>4.1099999999999994</v>
      </c>
    </row>
    <row r="1715" spans="2:13" x14ac:dyDescent="0.25">
      <c r="B1715" s="42">
        <f t="shared" si="104"/>
        <v>21</v>
      </c>
      <c r="C1715" s="42">
        <f t="shared" si="105"/>
        <v>7</v>
      </c>
      <c r="D1715" s="42">
        <f t="shared" si="106"/>
        <v>2022</v>
      </c>
      <c r="E1715" s="43">
        <v>44763</v>
      </c>
      <c r="F1715" s="42">
        <v>95.18</v>
      </c>
      <c r="G1715" s="42">
        <v>96.29</v>
      </c>
      <c r="H1715" s="42">
        <v>92.94</v>
      </c>
      <c r="I1715" s="42">
        <v>98.64</v>
      </c>
      <c r="J1715" s="42">
        <v>104.08</v>
      </c>
      <c r="K1715" s="42">
        <v>99.35</v>
      </c>
      <c r="L1715" s="42">
        <v>102.4</v>
      </c>
      <c r="M1715" s="42">
        <f t="shared" si="107"/>
        <v>4.1699999999999875</v>
      </c>
    </row>
    <row r="1716" spans="2:13" x14ac:dyDescent="0.25">
      <c r="B1716" s="42">
        <f t="shared" si="104"/>
        <v>22</v>
      </c>
      <c r="C1716" s="42">
        <f t="shared" si="105"/>
        <v>7</v>
      </c>
      <c r="D1716" s="42">
        <f t="shared" si="106"/>
        <v>2022</v>
      </c>
      <c r="E1716" s="43">
        <v>44764</v>
      </c>
      <c r="F1716" s="42">
        <v>95.54</v>
      </c>
      <c r="G1716" s="42">
        <v>95.57</v>
      </c>
      <c r="H1716" s="42">
        <v>92.22</v>
      </c>
      <c r="I1716" s="42">
        <v>97.92</v>
      </c>
      <c r="J1716" s="42">
        <v>105.46</v>
      </c>
      <c r="K1716" s="42">
        <v>98</v>
      </c>
      <c r="L1716" s="42">
        <v>101.35</v>
      </c>
      <c r="M1716" s="42">
        <f t="shared" si="107"/>
        <v>2.4599999999999937</v>
      </c>
    </row>
    <row r="1717" spans="2:13" x14ac:dyDescent="0.25">
      <c r="B1717" s="42">
        <f t="shared" si="104"/>
        <v>25</v>
      </c>
      <c r="C1717" s="42">
        <f t="shared" si="105"/>
        <v>7</v>
      </c>
      <c r="D1717" s="42">
        <f t="shared" si="106"/>
        <v>2022</v>
      </c>
      <c r="E1717" s="43">
        <v>44767</v>
      </c>
      <c r="F1717" s="42">
        <v>96.09</v>
      </c>
      <c r="G1717" s="42">
        <v>95.57</v>
      </c>
      <c r="H1717" s="42">
        <v>92.22</v>
      </c>
      <c r="I1717" s="42">
        <v>97.92</v>
      </c>
      <c r="J1717" s="42">
        <v>105.46</v>
      </c>
      <c r="K1717" s="42">
        <v>98</v>
      </c>
      <c r="L1717" s="42">
        <v>101.35</v>
      </c>
      <c r="M1717" s="42">
        <f t="shared" si="107"/>
        <v>1.9099999999999966</v>
      </c>
    </row>
    <row r="1718" spans="2:13" x14ac:dyDescent="0.25">
      <c r="B1718" s="42">
        <f t="shared" si="104"/>
        <v>26</v>
      </c>
      <c r="C1718" s="42">
        <f t="shared" si="105"/>
        <v>7</v>
      </c>
      <c r="D1718" s="42">
        <f t="shared" si="106"/>
        <v>2022</v>
      </c>
      <c r="E1718" s="43">
        <v>44768</v>
      </c>
      <c r="F1718" s="42">
        <v>93.61</v>
      </c>
      <c r="G1718" s="42">
        <v>93.25</v>
      </c>
      <c r="H1718" s="42">
        <v>89.9</v>
      </c>
      <c r="I1718" s="42">
        <v>95.6</v>
      </c>
      <c r="J1718" s="42">
        <v>105.46</v>
      </c>
      <c r="K1718" s="42">
        <v>94.98</v>
      </c>
      <c r="L1718" s="42">
        <v>97.08</v>
      </c>
      <c r="M1718" s="42">
        <f t="shared" si="107"/>
        <v>1.3700000000000045</v>
      </c>
    </row>
    <row r="1719" spans="2:13" x14ac:dyDescent="0.25">
      <c r="B1719" s="42">
        <f t="shared" si="104"/>
        <v>27</v>
      </c>
      <c r="C1719" s="42">
        <f t="shared" si="105"/>
        <v>7</v>
      </c>
      <c r="D1719" s="42">
        <f t="shared" si="106"/>
        <v>2022</v>
      </c>
      <c r="E1719" s="43">
        <v>44769</v>
      </c>
      <c r="F1719" s="42">
        <v>95.55</v>
      </c>
      <c r="G1719" s="42">
        <v>95.67</v>
      </c>
      <c r="H1719" s="42">
        <v>92.32</v>
      </c>
      <c r="I1719" s="42">
        <v>98.02</v>
      </c>
      <c r="J1719" s="42">
        <v>106.69</v>
      </c>
      <c r="K1719" s="42">
        <v>97.26</v>
      </c>
      <c r="L1719" s="42">
        <v>99.56</v>
      </c>
      <c r="M1719" s="42">
        <f t="shared" si="107"/>
        <v>1.710000000000008</v>
      </c>
    </row>
    <row r="1720" spans="2:13" x14ac:dyDescent="0.25">
      <c r="B1720" s="42">
        <f t="shared" si="104"/>
        <v>28</v>
      </c>
      <c r="C1720" s="42">
        <f t="shared" si="105"/>
        <v>7</v>
      </c>
      <c r="D1720" s="42">
        <f t="shared" si="106"/>
        <v>2022</v>
      </c>
      <c r="E1720" s="43">
        <v>44770</v>
      </c>
      <c r="F1720" s="42">
        <v>95.75</v>
      </c>
      <c r="G1720" s="42">
        <v>95.34</v>
      </c>
      <c r="H1720" s="42">
        <v>91.99</v>
      </c>
      <c r="I1720" s="42">
        <v>97.69</v>
      </c>
      <c r="J1720" s="42">
        <v>107.87</v>
      </c>
      <c r="K1720" s="42">
        <v>96.42</v>
      </c>
      <c r="L1720" s="42">
        <v>98.72</v>
      </c>
      <c r="M1720" s="42">
        <f t="shared" si="107"/>
        <v>0.67000000000000171</v>
      </c>
    </row>
    <row r="1721" spans="2:13" x14ac:dyDescent="0.25">
      <c r="B1721" s="42">
        <f t="shared" si="104"/>
        <v>29</v>
      </c>
      <c r="C1721" s="42">
        <f t="shared" si="105"/>
        <v>7</v>
      </c>
      <c r="D1721" s="42">
        <f t="shared" si="106"/>
        <v>2022</v>
      </c>
      <c r="E1721" s="43">
        <v>44771</v>
      </c>
      <c r="F1721" s="42">
        <v>98.33</v>
      </c>
      <c r="G1721" s="42">
        <v>97.77</v>
      </c>
      <c r="H1721" s="42">
        <v>94.42</v>
      </c>
      <c r="I1721" s="42">
        <v>100.12</v>
      </c>
      <c r="J1721" s="42">
        <v>111.11</v>
      </c>
      <c r="K1721" s="42">
        <v>98.62</v>
      </c>
      <c r="L1721" s="42">
        <v>100.92</v>
      </c>
      <c r="M1721" s="42">
        <f t="shared" si="107"/>
        <v>0.29000000000000625</v>
      </c>
    </row>
    <row r="1722" spans="2:13" x14ac:dyDescent="0.25">
      <c r="B1722" s="42">
        <f t="shared" si="104"/>
        <v>1</v>
      </c>
      <c r="C1722" s="42">
        <f t="shared" si="105"/>
        <v>8</v>
      </c>
      <c r="D1722" s="42">
        <f t="shared" si="106"/>
        <v>2022</v>
      </c>
      <c r="E1722" s="43">
        <v>44774</v>
      </c>
      <c r="F1722" s="42">
        <v>89.96</v>
      </c>
      <c r="G1722" s="42">
        <v>90.77</v>
      </c>
      <c r="H1722" s="42">
        <v>85.39</v>
      </c>
      <c r="I1722" s="42">
        <v>91.19</v>
      </c>
      <c r="J1722" s="42">
        <v>100.01</v>
      </c>
      <c r="K1722" s="42">
        <v>93.89</v>
      </c>
      <c r="L1722" s="42">
        <v>96.94</v>
      </c>
      <c r="M1722" s="42">
        <f t="shared" si="107"/>
        <v>3.9300000000000068</v>
      </c>
    </row>
    <row r="1723" spans="2:13" x14ac:dyDescent="0.25">
      <c r="B1723" s="42">
        <f t="shared" si="104"/>
        <v>2</v>
      </c>
      <c r="C1723" s="42">
        <f t="shared" si="105"/>
        <v>8</v>
      </c>
      <c r="D1723" s="42">
        <f t="shared" si="106"/>
        <v>2022</v>
      </c>
      <c r="E1723" s="43">
        <v>44775</v>
      </c>
      <c r="F1723" s="42">
        <v>89.97</v>
      </c>
      <c r="G1723" s="42">
        <v>91.19</v>
      </c>
      <c r="H1723" s="42">
        <v>86.54</v>
      </c>
      <c r="I1723" s="42">
        <v>92.34</v>
      </c>
      <c r="J1723" s="42">
        <v>100.72</v>
      </c>
      <c r="K1723" s="42">
        <v>94.42</v>
      </c>
      <c r="L1723" s="42">
        <v>97.47</v>
      </c>
      <c r="M1723" s="42">
        <f t="shared" si="107"/>
        <v>4.4500000000000028</v>
      </c>
    </row>
    <row r="1724" spans="2:13" x14ac:dyDescent="0.25">
      <c r="B1724" s="42">
        <f t="shared" si="104"/>
        <v>3</v>
      </c>
      <c r="C1724" s="42">
        <f t="shared" si="105"/>
        <v>8</v>
      </c>
      <c r="D1724" s="42">
        <f t="shared" si="106"/>
        <v>2022</v>
      </c>
      <c r="E1724" s="43">
        <v>44776</v>
      </c>
      <c r="F1724" s="42">
        <v>86.67</v>
      </c>
      <c r="G1724" s="42">
        <v>87.43</v>
      </c>
      <c r="H1724" s="42">
        <v>82.78</v>
      </c>
      <c r="I1724" s="42">
        <v>88.58</v>
      </c>
      <c r="J1724" s="42">
        <v>98.73</v>
      </c>
      <c r="K1724" s="42">
        <v>90.66</v>
      </c>
      <c r="L1724" s="42">
        <v>93.71</v>
      </c>
      <c r="M1724" s="42">
        <f t="shared" si="107"/>
        <v>3.9899999999999949</v>
      </c>
    </row>
    <row r="1725" spans="2:13" x14ac:dyDescent="0.25">
      <c r="B1725" s="42">
        <f t="shared" si="104"/>
        <v>4</v>
      </c>
      <c r="C1725" s="42">
        <f t="shared" si="105"/>
        <v>8</v>
      </c>
      <c r="D1725" s="42">
        <f t="shared" si="106"/>
        <v>2022</v>
      </c>
      <c r="E1725" s="43">
        <v>44777</v>
      </c>
      <c r="F1725" s="42">
        <v>84.2</v>
      </c>
      <c r="G1725" s="42">
        <v>85.06</v>
      </c>
      <c r="H1725" s="42">
        <v>80.41</v>
      </c>
      <c r="I1725" s="42">
        <v>86.21</v>
      </c>
      <c r="J1725" s="42">
        <v>94.1</v>
      </c>
      <c r="K1725" s="42">
        <v>88.54</v>
      </c>
      <c r="L1725" s="42">
        <v>91.49</v>
      </c>
      <c r="M1725" s="42">
        <f t="shared" si="107"/>
        <v>4.3400000000000034</v>
      </c>
    </row>
    <row r="1726" spans="2:13" x14ac:dyDescent="0.25">
      <c r="B1726" s="42">
        <f t="shared" si="104"/>
        <v>5</v>
      </c>
      <c r="C1726" s="42">
        <f t="shared" si="105"/>
        <v>8</v>
      </c>
      <c r="D1726" s="42">
        <f t="shared" si="106"/>
        <v>2022</v>
      </c>
      <c r="E1726" s="43">
        <v>44778</v>
      </c>
      <c r="F1726" s="42">
        <v>84.54</v>
      </c>
      <c r="G1726" s="42">
        <v>85.65</v>
      </c>
      <c r="H1726" s="42">
        <v>81</v>
      </c>
      <c r="I1726" s="42">
        <v>86.8</v>
      </c>
      <c r="J1726" s="42">
        <v>96.06</v>
      </c>
      <c r="K1726" s="42">
        <v>89.01</v>
      </c>
      <c r="L1726" s="42">
        <v>91.96</v>
      </c>
      <c r="M1726" s="42">
        <f t="shared" si="107"/>
        <v>4.4699999999999989</v>
      </c>
    </row>
    <row r="1727" spans="2:13" x14ac:dyDescent="0.25">
      <c r="B1727" s="42">
        <f t="shared" si="104"/>
        <v>8</v>
      </c>
      <c r="C1727" s="42">
        <f t="shared" si="105"/>
        <v>8</v>
      </c>
      <c r="D1727" s="42">
        <f t="shared" si="106"/>
        <v>2022</v>
      </c>
      <c r="E1727" s="43">
        <v>44781</v>
      </c>
      <c r="F1727" s="42">
        <v>86.11</v>
      </c>
      <c r="G1727" s="42">
        <v>87.39</v>
      </c>
      <c r="H1727" s="42">
        <v>82.74</v>
      </c>
      <c r="I1727" s="42">
        <v>88.54</v>
      </c>
      <c r="J1727" s="42">
        <v>96.75</v>
      </c>
      <c r="K1727" s="42">
        <v>90.76</v>
      </c>
      <c r="L1727" s="42">
        <v>93.51</v>
      </c>
      <c r="M1727" s="42">
        <f t="shared" si="107"/>
        <v>4.6500000000000057</v>
      </c>
    </row>
    <row r="1728" spans="2:13" x14ac:dyDescent="0.25">
      <c r="B1728" s="42">
        <f t="shared" si="104"/>
        <v>9</v>
      </c>
      <c r="C1728" s="42">
        <f t="shared" si="105"/>
        <v>8</v>
      </c>
      <c r="D1728" s="42">
        <f t="shared" si="106"/>
        <v>2022</v>
      </c>
      <c r="E1728" s="43">
        <v>44782</v>
      </c>
      <c r="F1728" s="42">
        <v>86.11</v>
      </c>
      <c r="G1728" s="42">
        <v>87.07</v>
      </c>
      <c r="H1728" s="42">
        <v>82.42</v>
      </c>
      <c r="I1728" s="42">
        <v>88.22</v>
      </c>
      <c r="J1728" s="42">
        <v>97.5</v>
      </c>
      <c r="K1728" s="42">
        <v>90.5</v>
      </c>
      <c r="L1728" s="42">
        <v>93.15</v>
      </c>
      <c r="M1728" s="42">
        <f t="shared" si="107"/>
        <v>4.3900000000000006</v>
      </c>
    </row>
    <row r="1729" spans="2:13" x14ac:dyDescent="0.25">
      <c r="B1729" s="42">
        <f t="shared" si="104"/>
        <v>10</v>
      </c>
      <c r="C1729" s="42">
        <f t="shared" si="105"/>
        <v>8</v>
      </c>
      <c r="D1729" s="42">
        <f t="shared" si="106"/>
        <v>2022</v>
      </c>
      <c r="E1729" s="43">
        <v>44783</v>
      </c>
      <c r="F1729" s="42">
        <v>86.96</v>
      </c>
      <c r="G1729" s="42">
        <v>88.25</v>
      </c>
      <c r="H1729" s="42">
        <v>83.6</v>
      </c>
      <c r="I1729" s="42">
        <v>89.4</v>
      </c>
      <c r="J1729" s="42">
        <v>95.79</v>
      </c>
      <c r="K1729" s="42">
        <v>91.93</v>
      </c>
      <c r="L1729" s="42">
        <v>94.38</v>
      </c>
      <c r="M1729" s="42">
        <f t="shared" si="107"/>
        <v>4.9700000000000131</v>
      </c>
    </row>
    <row r="1730" spans="2:13" x14ac:dyDescent="0.25">
      <c r="B1730" s="42">
        <f t="shared" si="104"/>
        <v>11</v>
      </c>
      <c r="C1730" s="42">
        <f t="shared" si="105"/>
        <v>8</v>
      </c>
      <c r="D1730" s="42">
        <f t="shared" si="106"/>
        <v>2022</v>
      </c>
      <c r="E1730" s="43">
        <v>44784</v>
      </c>
      <c r="F1730" s="42">
        <v>89.14</v>
      </c>
      <c r="G1730" s="42">
        <v>90.59</v>
      </c>
      <c r="H1730" s="42">
        <v>85.94</v>
      </c>
      <c r="I1730" s="42">
        <v>91.74</v>
      </c>
      <c r="J1730" s="42">
        <v>99.06</v>
      </c>
      <c r="K1730" s="42">
        <v>94.34</v>
      </c>
      <c r="L1730" s="42">
        <v>96.79</v>
      </c>
      <c r="M1730" s="42">
        <f t="shared" si="107"/>
        <v>5.2000000000000028</v>
      </c>
    </row>
    <row r="1731" spans="2:13" x14ac:dyDescent="0.25">
      <c r="B1731" s="42">
        <f t="shared" si="104"/>
        <v>12</v>
      </c>
      <c r="C1731" s="42">
        <f t="shared" si="105"/>
        <v>8</v>
      </c>
      <c r="D1731" s="42">
        <f t="shared" si="106"/>
        <v>2022</v>
      </c>
      <c r="E1731" s="43">
        <v>44785</v>
      </c>
      <c r="F1731" s="42">
        <v>87.74</v>
      </c>
      <c r="G1731" s="42">
        <v>88.65</v>
      </c>
      <c r="H1731" s="42">
        <v>84</v>
      </c>
      <c r="I1731" s="42">
        <v>89.8</v>
      </c>
      <c r="J1731" s="42">
        <v>98.03</v>
      </c>
      <c r="K1731" s="42">
        <v>92.09</v>
      </c>
      <c r="L1731" s="42">
        <v>94.54</v>
      </c>
      <c r="M1731" s="42">
        <f t="shared" si="107"/>
        <v>4.3500000000000085</v>
      </c>
    </row>
    <row r="1732" spans="2:13" x14ac:dyDescent="0.25">
      <c r="B1732" s="42">
        <f t="shared" si="104"/>
        <v>15</v>
      </c>
      <c r="C1732" s="42">
        <f t="shared" si="105"/>
        <v>8</v>
      </c>
      <c r="D1732" s="42">
        <f t="shared" si="106"/>
        <v>2022</v>
      </c>
      <c r="E1732" s="43">
        <v>44788</v>
      </c>
      <c r="F1732" s="42">
        <v>84.79</v>
      </c>
      <c r="G1732" s="42">
        <v>85.84</v>
      </c>
      <c r="H1732" s="42">
        <v>81.19</v>
      </c>
      <c r="I1732" s="42">
        <v>86.99</v>
      </c>
      <c r="J1732" s="42">
        <v>94.49</v>
      </c>
      <c r="K1732" s="42">
        <v>89.41</v>
      </c>
      <c r="L1732" s="42">
        <v>91.76</v>
      </c>
      <c r="M1732" s="42">
        <f t="shared" si="107"/>
        <v>4.6199999999999903</v>
      </c>
    </row>
    <row r="1733" spans="2:13" x14ac:dyDescent="0.25">
      <c r="B1733" s="42">
        <f t="shared" si="104"/>
        <v>16</v>
      </c>
      <c r="C1733" s="42">
        <f t="shared" si="105"/>
        <v>8</v>
      </c>
      <c r="D1733" s="42">
        <f t="shared" si="106"/>
        <v>2022</v>
      </c>
      <c r="E1733" s="43">
        <v>44789</v>
      </c>
      <c r="F1733" s="42">
        <v>81.95</v>
      </c>
      <c r="G1733" s="42">
        <v>82.97</v>
      </c>
      <c r="H1733" s="42">
        <v>78.319999999999993</v>
      </c>
      <c r="I1733" s="42">
        <v>84.12</v>
      </c>
      <c r="J1733" s="42">
        <v>93.34</v>
      </c>
      <c r="K1733" s="42">
        <v>86.53</v>
      </c>
      <c r="L1733" s="42">
        <v>88.93</v>
      </c>
      <c r="M1733" s="42">
        <f t="shared" si="107"/>
        <v>4.5799999999999983</v>
      </c>
    </row>
    <row r="1734" spans="2:13" x14ac:dyDescent="0.25">
      <c r="B1734" s="42">
        <f t="shared" si="104"/>
        <v>17</v>
      </c>
      <c r="C1734" s="42">
        <f t="shared" si="105"/>
        <v>8</v>
      </c>
      <c r="D1734" s="42">
        <f t="shared" si="106"/>
        <v>2022</v>
      </c>
      <c r="E1734" s="43">
        <v>44790</v>
      </c>
      <c r="F1734" s="42">
        <v>83.05</v>
      </c>
      <c r="G1734" s="42">
        <v>84.36</v>
      </c>
      <c r="H1734" s="42">
        <v>79.709999999999994</v>
      </c>
      <c r="I1734" s="42">
        <v>85.51</v>
      </c>
      <c r="J1734" s="42">
        <v>93.15</v>
      </c>
      <c r="K1734" s="42">
        <v>88.11</v>
      </c>
      <c r="L1734" s="42">
        <v>90.41</v>
      </c>
      <c r="M1734" s="42">
        <f t="shared" si="107"/>
        <v>5.0600000000000023</v>
      </c>
    </row>
    <row r="1735" spans="2:13" x14ac:dyDescent="0.25">
      <c r="B1735" s="42">
        <f t="shared" ref="B1735:B1823" si="108">DAY(E1735)</f>
        <v>18</v>
      </c>
      <c r="C1735" s="42">
        <f t="shared" ref="C1735:C1823" si="109">MONTH(E1735)</f>
        <v>8</v>
      </c>
      <c r="D1735" s="42">
        <f t="shared" ref="D1735:D1823" si="110">YEAR(E1735)</f>
        <v>2022</v>
      </c>
      <c r="E1735" s="43">
        <v>44791</v>
      </c>
      <c r="F1735" s="42">
        <v>85.71</v>
      </c>
      <c r="G1735" s="42">
        <v>86.94</v>
      </c>
      <c r="H1735" s="42">
        <v>82.29</v>
      </c>
      <c r="I1735" s="42">
        <v>88.09</v>
      </c>
      <c r="J1735" s="42">
        <v>96.33</v>
      </c>
      <c r="K1735" s="42">
        <v>90.5</v>
      </c>
      <c r="L1735" s="42">
        <v>92.8</v>
      </c>
      <c r="M1735" s="42">
        <f t="shared" ref="M1735:M1804" si="111">K1735-F1735</f>
        <v>4.7900000000000063</v>
      </c>
    </row>
    <row r="1736" spans="2:13" x14ac:dyDescent="0.25">
      <c r="B1736" s="42">
        <f t="shared" si="108"/>
        <v>19</v>
      </c>
      <c r="C1736" s="42">
        <f t="shared" si="109"/>
        <v>8</v>
      </c>
      <c r="D1736" s="42">
        <f t="shared" si="110"/>
        <v>2022</v>
      </c>
      <c r="E1736" s="43">
        <v>44792</v>
      </c>
      <c r="F1736" s="42">
        <v>86.09</v>
      </c>
      <c r="G1736" s="42">
        <v>87.29</v>
      </c>
      <c r="H1736" s="42">
        <v>82.64</v>
      </c>
      <c r="I1736" s="42">
        <v>88.44</v>
      </c>
      <c r="J1736" s="42">
        <v>96.86</v>
      </c>
      <c r="K1736" s="42">
        <v>90.77</v>
      </c>
      <c r="L1736" s="42">
        <v>93.17</v>
      </c>
      <c r="M1736" s="42">
        <f t="shared" si="111"/>
        <v>4.6799999999999926</v>
      </c>
    </row>
    <row r="1737" spans="2:13" x14ac:dyDescent="0.25">
      <c r="B1737" s="42">
        <f t="shared" si="108"/>
        <v>22</v>
      </c>
      <c r="C1737" s="42">
        <f t="shared" si="109"/>
        <v>8</v>
      </c>
      <c r="D1737" s="42">
        <f t="shared" si="110"/>
        <v>2022</v>
      </c>
      <c r="E1737" s="43">
        <v>44795</v>
      </c>
      <c r="F1737" s="42">
        <v>85.89</v>
      </c>
      <c r="G1737" s="42">
        <v>87.02</v>
      </c>
      <c r="H1737" s="42">
        <v>82.37</v>
      </c>
      <c r="I1737" s="42">
        <v>88.17</v>
      </c>
      <c r="J1737" s="42">
        <v>94.62</v>
      </c>
      <c r="K1737" s="42">
        <v>90.23</v>
      </c>
      <c r="L1737" s="42">
        <v>92.78</v>
      </c>
      <c r="M1737" s="42">
        <f t="shared" si="111"/>
        <v>4.3400000000000034</v>
      </c>
    </row>
    <row r="1738" spans="2:13" x14ac:dyDescent="0.25">
      <c r="B1738" s="42">
        <f t="shared" si="108"/>
        <v>23</v>
      </c>
      <c r="C1738" s="42">
        <f t="shared" si="109"/>
        <v>8</v>
      </c>
      <c r="D1738" s="42">
        <f t="shared" si="110"/>
        <v>2022</v>
      </c>
      <c r="E1738" s="43">
        <v>44796</v>
      </c>
      <c r="F1738" s="42">
        <v>89.96</v>
      </c>
      <c r="G1738" s="42">
        <v>91.49</v>
      </c>
      <c r="H1738" s="42">
        <v>86.84</v>
      </c>
      <c r="I1738" s="42">
        <v>92.64</v>
      </c>
      <c r="J1738" s="42">
        <v>99.65</v>
      </c>
      <c r="K1738" s="42">
        <v>94.39</v>
      </c>
      <c r="L1738" s="42">
        <v>97.09</v>
      </c>
      <c r="M1738" s="42">
        <f t="shared" si="111"/>
        <v>4.4300000000000068</v>
      </c>
    </row>
    <row r="1739" spans="2:13" x14ac:dyDescent="0.25">
      <c r="B1739" s="42">
        <f t="shared" si="108"/>
        <v>24</v>
      </c>
      <c r="C1739" s="42">
        <f t="shared" si="109"/>
        <v>8</v>
      </c>
      <c r="D1739" s="42">
        <f t="shared" si="110"/>
        <v>2022</v>
      </c>
      <c r="E1739" s="43">
        <v>44797</v>
      </c>
      <c r="F1739" s="42">
        <v>91.11</v>
      </c>
      <c r="G1739" s="42">
        <v>92.49</v>
      </c>
      <c r="H1739" s="42">
        <v>87.84</v>
      </c>
      <c r="I1739" s="42">
        <v>93.64</v>
      </c>
      <c r="J1739" s="42">
        <v>99.69</v>
      </c>
      <c r="K1739" s="42">
        <v>95.69</v>
      </c>
      <c r="L1739" s="42">
        <v>98.24</v>
      </c>
      <c r="M1739" s="42">
        <f t="shared" si="111"/>
        <v>4.5799999999999983</v>
      </c>
    </row>
    <row r="1740" spans="2:13" x14ac:dyDescent="0.25">
      <c r="B1740" s="42">
        <f t="shared" si="108"/>
        <v>25</v>
      </c>
      <c r="C1740" s="42">
        <f t="shared" si="109"/>
        <v>8</v>
      </c>
      <c r="D1740" s="42">
        <f t="shared" si="110"/>
        <v>2022</v>
      </c>
      <c r="E1740" s="43">
        <v>44798</v>
      </c>
      <c r="F1740" s="42">
        <v>89.45</v>
      </c>
      <c r="G1740" s="42">
        <v>92.49</v>
      </c>
      <c r="H1740" s="42">
        <v>87.84</v>
      </c>
      <c r="I1740" s="42">
        <v>93.64</v>
      </c>
      <c r="J1740" s="42">
        <v>100.52</v>
      </c>
      <c r="K1740" s="42">
        <v>92.97</v>
      </c>
      <c r="L1740" s="42">
        <v>98.24</v>
      </c>
      <c r="M1740" s="42">
        <f t="shared" si="111"/>
        <v>3.519999999999996</v>
      </c>
    </row>
    <row r="1741" spans="2:13" x14ac:dyDescent="0.25">
      <c r="B1741" s="42">
        <f t="shared" si="108"/>
        <v>26</v>
      </c>
      <c r="C1741" s="42">
        <f t="shared" si="109"/>
        <v>8</v>
      </c>
      <c r="D1741" s="42">
        <f t="shared" si="110"/>
        <v>2022</v>
      </c>
      <c r="E1741" s="43">
        <v>44799</v>
      </c>
      <c r="F1741" s="42">
        <v>89.73</v>
      </c>
      <c r="G1741" s="42">
        <v>90.53</v>
      </c>
      <c r="H1741" s="42">
        <v>85.88</v>
      </c>
      <c r="I1741" s="42">
        <v>91.68</v>
      </c>
      <c r="J1741" s="42">
        <v>99.72</v>
      </c>
      <c r="K1741" s="42">
        <v>93.06</v>
      </c>
      <c r="L1741" s="42">
        <v>95.31</v>
      </c>
      <c r="M1741" s="42">
        <f t="shared" si="111"/>
        <v>3.3299999999999983</v>
      </c>
    </row>
    <row r="1742" spans="2:13" x14ac:dyDescent="0.25">
      <c r="B1742" s="42">
        <f t="shared" si="108"/>
        <v>29</v>
      </c>
      <c r="C1742" s="42">
        <f t="shared" si="109"/>
        <v>8</v>
      </c>
      <c r="D1742" s="42">
        <f t="shared" si="110"/>
        <v>2022</v>
      </c>
      <c r="E1742" s="43">
        <v>44802</v>
      </c>
      <c r="F1742" s="42">
        <v>93.38</v>
      </c>
      <c r="G1742" s="42">
        <v>94.63</v>
      </c>
      <c r="H1742" s="42">
        <v>89.98</v>
      </c>
      <c r="I1742" s="42">
        <v>95.78</v>
      </c>
      <c r="J1742" s="42">
        <v>99.72</v>
      </c>
      <c r="K1742" s="42">
        <v>97.01</v>
      </c>
      <c r="L1742" s="42">
        <v>99.46</v>
      </c>
      <c r="M1742" s="42">
        <f t="shared" si="111"/>
        <v>3.6300000000000097</v>
      </c>
    </row>
    <row r="1743" spans="2:13" x14ac:dyDescent="0.25">
      <c r="B1743" s="42">
        <f t="shared" si="108"/>
        <v>30</v>
      </c>
      <c r="C1743" s="42">
        <f t="shared" si="109"/>
        <v>8</v>
      </c>
      <c r="D1743" s="42">
        <f t="shared" si="110"/>
        <v>2022</v>
      </c>
      <c r="E1743" s="43">
        <v>44803</v>
      </c>
      <c r="F1743" s="42">
        <v>88.65</v>
      </c>
      <c r="G1743" s="42">
        <v>89.02</v>
      </c>
      <c r="H1743" s="42">
        <v>84.37</v>
      </c>
      <c r="I1743" s="42">
        <v>90.17</v>
      </c>
      <c r="J1743" s="42">
        <v>100.13</v>
      </c>
      <c r="K1743" s="42">
        <v>91.64</v>
      </c>
      <c r="L1743" s="42">
        <v>94.09</v>
      </c>
      <c r="M1743" s="42">
        <f t="shared" si="111"/>
        <v>2.9899999999999949</v>
      </c>
    </row>
    <row r="1744" spans="2:13" x14ac:dyDescent="0.25">
      <c r="B1744" s="42">
        <f t="shared" si="108"/>
        <v>31</v>
      </c>
      <c r="C1744" s="42">
        <f t="shared" si="109"/>
        <v>8</v>
      </c>
      <c r="D1744" s="42">
        <f t="shared" si="110"/>
        <v>2022</v>
      </c>
      <c r="E1744" s="43">
        <v>44804</v>
      </c>
      <c r="F1744" s="42">
        <v>85.96</v>
      </c>
      <c r="G1744" s="42">
        <v>86.71</v>
      </c>
      <c r="H1744" s="42">
        <v>82.06</v>
      </c>
      <c r="I1744" s="42">
        <v>87.86</v>
      </c>
      <c r="J1744" s="42">
        <v>97.06</v>
      </c>
      <c r="K1744" s="42">
        <v>89.55</v>
      </c>
      <c r="L1744" s="42">
        <v>92.05</v>
      </c>
      <c r="M1744" s="42">
        <f t="shared" si="111"/>
        <v>3.5900000000000034</v>
      </c>
    </row>
    <row r="1745" spans="2:13" x14ac:dyDescent="0.25">
      <c r="B1745" s="42">
        <f t="shared" si="108"/>
        <v>1</v>
      </c>
      <c r="C1745" s="42">
        <f t="shared" si="109"/>
        <v>9</v>
      </c>
      <c r="D1745" s="42">
        <f t="shared" si="110"/>
        <v>2022</v>
      </c>
      <c r="E1745" s="43">
        <v>44805</v>
      </c>
      <c r="F1745" s="42">
        <v>82.56</v>
      </c>
      <c r="G1745" s="42">
        <v>84.77</v>
      </c>
      <c r="H1745" s="42">
        <v>78.569999999999993</v>
      </c>
      <c r="I1745" s="42">
        <v>85.42</v>
      </c>
      <c r="J1745" s="42">
        <v>92.82</v>
      </c>
      <c r="K1745" s="42">
        <v>86.61</v>
      </c>
      <c r="L1745" s="42">
        <v>89.11</v>
      </c>
      <c r="M1745" s="42">
        <f t="shared" si="111"/>
        <v>4.0499999999999972</v>
      </c>
    </row>
    <row r="1746" spans="2:13" x14ac:dyDescent="0.25">
      <c r="B1746" s="42">
        <f t="shared" si="108"/>
        <v>2</v>
      </c>
      <c r="C1746" s="42">
        <f t="shared" si="109"/>
        <v>9</v>
      </c>
      <c r="D1746" s="42">
        <f t="shared" si="110"/>
        <v>2022</v>
      </c>
      <c r="E1746" s="43">
        <v>44806</v>
      </c>
      <c r="F1746" s="42">
        <v>83.09</v>
      </c>
      <c r="G1746" s="42">
        <v>85.24</v>
      </c>
      <c r="H1746" s="42">
        <v>79.040000000000006</v>
      </c>
      <c r="I1746" s="42">
        <v>85.89</v>
      </c>
      <c r="J1746" s="42">
        <v>94.28</v>
      </c>
      <c r="K1746" s="42">
        <v>86.87</v>
      </c>
      <c r="L1746" s="42">
        <v>89.37</v>
      </c>
      <c r="M1746" s="42">
        <f t="shared" si="111"/>
        <v>3.7800000000000011</v>
      </c>
    </row>
    <row r="1747" spans="2:13" x14ac:dyDescent="0.25">
      <c r="B1747" s="42">
        <f t="shared" si="108"/>
        <v>5</v>
      </c>
      <c r="C1747" s="42">
        <f t="shared" si="109"/>
        <v>9</v>
      </c>
      <c r="D1747" s="42">
        <f t="shared" si="110"/>
        <v>2022</v>
      </c>
      <c r="E1747" s="43">
        <v>44809</v>
      </c>
      <c r="F1747" s="42">
        <v>83.09</v>
      </c>
      <c r="G1747" s="42">
        <v>85.24</v>
      </c>
      <c r="H1747" s="42">
        <v>79.040000000000006</v>
      </c>
      <c r="I1747" s="42">
        <v>85.89</v>
      </c>
      <c r="J1747" s="42">
        <v>94.28</v>
      </c>
      <c r="K1747" s="42">
        <v>86.87</v>
      </c>
      <c r="L1747" s="42">
        <v>89.37</v>
      </c>
      <c r="M1747" s="42">
        <f t="shared" si="111"/>
        <v>3.7800000000000011</v>
      </c>
    </row>
    <row r="1748" spans="2:13" x14ac:dyDescent="0.25">
      <c r="B1748" s="42">
        <f t="shared" si="108"/>
        <v>6</v>
      </c>
      <c r="C1748" s="42">
        <f t="shared" si="109"/>
        <v>9</v>
      </c>
      <c r="D1748" s="42">
        <f t="shared" si="110"/>
        <v>2022</v>
      </c>
      <c r="E1748" s="43">
        <v>44810</v>
      </c>
      <c r="F1748" s="42">
        <v>83.13</v>
      </c>
      <c r="G1748" s="42">
        <v>85.24</v>
      </c>
      <c r="H1748" s="42">
        <v>79.040000000000006</v>
      </c>
      <c r="I1748" s="42">
        <v>85.89</v>
      </c>
      <c r="J1748" s="42">
        <v>93.34</v>
      </c>
      <c r="K1748" s="42">
        <v>86.88</v>
      </c>
      <c r="L1748" s="42">
        <v>89.28</v>
      </c>
      <c r="M1748" s="42">
        <f t="shared" si="111"/>
        <v>3.75</v>
      </c>
    </row>
    <row r="1749" spans="2:13" x14ac:dyDescent="0.25">
      <c r="B1749" s="42">
        <f t="shared" si="108"/>
        <v>7</v>
      </c>
      <c r="C1749" s="42">
        <f t="shared" si="109"/>
        <v>9</v>
      </c>
      <c r="D1749" s="42">
        <f t="shared" si="110"/>
        <v>2022</v>
      </c>
      <c r="E1749" s="43">
        <v>44811</v>
      </c>
      <c r="F1749" s="42">
        <v>78.48</v>
      </c>
      <c r="G1749" s="42">
        <v>80.34</v>
      </c>
      <c r="H1749" s="42">
        <v>74.14</v>
      </c>
      <c r="I1749" s="42">
        <v>80.989999999999995</v>
      </c>
      <c r="J1749" s="42">
        <v>89.61</v>
      </c>
      <c r="K1749" s="42">
        <v>81.94</v>
      </c>
      <c r="L1749" s="42">
        <v>84.34</v>
      </c>
      <c r="M1749" s="42">
        <f t="shared" si="111"/>
        <v>3.4599999999999937</v>
      </c>
    </row>
    <row r="1750" spans="2:13" x14ac:dyDescent="0.25">
      <c r="B1750" s="42">
        <f t="shared" si="108"/>
        <v>8</v>
      </c>
      <c r="C1750" s="42">
        <f t="shared" si="109"/>
        <v>9</v>
      </c>
      <c r="D1750" s="42">
        <f t="shared" si="110"/>
        <v>2022</v>
      </c>
      <c r="E1750" s="43">
        <v>44812</v>
      </c>
      <c r="F1750" s="42">
        <v>79.180000000000007</v>
      </c>
      <c r="G1750" s="42">
        <v>81.819999999999993</v>
      </c>
      <c r="H1750" s="42">
        <v>75.62</v>
      </c>
      <c r="I1750" s="42">
        <v>82.47</v>
      </c>
      <c r="J1750" s="42">
        <v>89.01</v>
      </c>
      <c r="K1750" s="42">
        <v>83.54</v>
      </c>
      <c r="L1750" s="42">
        <v>85.94</v>
      </c>
      <c r="M1750" s="42">
        <f t="shared" si="111"/>
        <v>4.3599999999999994</v>
      </c>
    </row>
    <row r="1751" spans="2:13" x14ac:dyDescent="0.25">
      <c r="B1751" s="42">
        <f t="shared" si="108"/>
        <v>9</v>
      </c>
      <c r="C1751" s="42">
        <f t="shared" si="109"/>
        <v>9</v>
      </c>
      <c r="D1751" s="42">
        <f t="shared" si="110"/>
        <v>2022</v>
      </c>
      <c r="E1751" s="43">
        <v>44813</v>
      </c>
      <c r="F1751" s="42">
        <v>82.5</v>
      </c>
      <c r="G1751" s="42">
        <v>85.22</v>
      </c>
      <c r="H1751" s="42">
        <v>79.02</v>
      </c>
      <c r="I1751" s="42">
        <v>85.87</v>
      </c>
      <c r="J1751" s="42">
        <v>91.59</v>
      </c>
      <c r="K1751" s="42">
        <v>86.79</v>
      </c>
      <c r="L1751" s="42">
        <v>89.19</v>
      </c>
      <c r="M1751" s="42">
        <f t="shared" si="111"/>
        <v>4.2900000000000063</v>
      </c>
    </row>
    <row r="1752" spans="2:13" x14ac:dyDescent="0.25">
      <c r="B1752" s="42">
        <f t="shared" si="108"/>
        <v>12</v>
      </c>
      <c r="C1752" s="42">
        <f t="shared" si="109"/>
        <v>9</v>
      </c>
      <c r="D1752" s="42">
        <f t="shared" si="110"/>
        <v>2022</v>
      </c>
      <c r="E1752" s="43">
        <v>44816</v>
      </c>
      <c r="F1752" s="42">
        <v>83.71</v>
      </c>
      <c r="G1752" s="42">
        <v>85.22</v>
      </c>
      <c r="H1752" s="42">
        <v>79.02</v>
      </c>
      <c r="I1752" s="42">
        <v>85.87</v>
      </c>
      <c r="J1752" s="42">
        <v>91.59</v>
      </c>
      <c r="K1752" s="42">
        <v>86.79</v>
      </c>
      <c r="L1752" s="42">
        <v>89.19</v>
      </c>
      <c r="M1752" s="42">
        <f t="shared" si="111"/>
        <v>3.0800000000000125</v>
      </c>
    </row>
    <row r="1753" spans="2:13" x14ac:dyDescent="0.25">
      <c r="B1753" s="42">
        <f t="shared" si="108"/>
        <v>13</v>
      </c>
      <c r="C1753" s="42">
        <f t="shared" si="109"/>
        <v>9</v>
      </c>
      <c r="D1753" s="42">
        <f t="shared" si="110"/>
        <v>2022</v>
      </c>
      <c r="E1753" s="43">
        <v>44817</v>
      </c>
      <c r="F1753" s="42">
        <v>83.46</v>
      </c>
      <c r="G1753" s="42">
        <v>85.77</v>
      </c>
      <c r="H1753" s="42">
        <v>79.569999999999993</v>
      </c>
      <c r="I1753" s="42">
        <v>86.42</v>
      </c>
      <c r="J1753" s="42">
        <v>92.84</v>
      </c>
      <c r="K1753" s="42">
        <v>87.31</v>
      </c>
      <c r="L1753" s="42">
        <v>89.56</v>
      </c>
      <c r="M1753" s="42">
        <f t="shared" si="111"/>
        <v>3.8500000000000085</v>
      </c>
    </row>
    <row r="1754" spans="2:13" x14ac:dyDescent="0.25">
      <c r="B1754" s="42">
        <f t="shared" si="108"/>
        <v>14</v>
      </c>
      <c r="C1754" s="42">
        <f t="shared" si="109"/>
        <v>9</v>
      </c>
      <c r="D1754" s="42">
        <f t="shared" si="110"/>
        <v>2022</v>
      </c>
      <c r="E1754" s="43">
        <v>44818</v>
      </c>
      <c r="F1754" s="42">
        <v>84.13</v>
      </c>
      <c r="G1754" s="42">
        <v>86.82</v>
      </c>
      <c r="H1754" s="42">
        <v>80.62</v>
      </c>
      <c r="I1754" s="42">
        <v>87.47</v>
      </c>
      <c r="J1754" s="42">
        <v>94.51</v>
      </c>
      <c r="K1754" s="42">
        <v>88.48</v>
      </c>
      <c r="L1754" s="42">
        <v>90.63</v>
      </c>
      <c r="M1754" s="42">
        <f t="shared" si="111"/>
        <v>4.3500000000000085</v>
      </c>
    </row>
    <row r="1755" spans="2:13" x14ac:dyDescent="0.25">
      <c r="B1755" s="42">
        <f t="shared" si="108"/>
        <v>15</v>
      </c>
      <c r="C1755" s="42">
        <f t="shared" si="109"/>
        <v>9</v>
      </c>
      <c r="D1755" s="42">
        <f t="shared" si="110"/>
        <v>2022</v>
      </c>
      <c r="E1755" s="43">
        <v>44819</v>
      </c>
      <c r="F1755" s="42">
        <v>81.39</v>
      </c>
      <c r="G1755" s="42">
        <v>83.52</v>
      </c>
      <c r="H1755" s="42">
        <v>77.319999999999993</v>
      </c>
      <c r="I1755" s="42">
        <v>84.17</v>
      </c>
      <c r="J1755" s="42">
        <v>90.81</v>
      </c>
      <c r="K1755" s="42">
        <v>85.1</v>
      </c>
      <c r="L1755" s="42">
        <v>87.25</v>
      </c>
      <c r="M1755" s="42">
        <f t="shared" si="111"/>
        <v>3.7099999999999937</v>
      </c>
    </row>
    <row r="1756" spans="2:13" x14ac:dyDescent="0.25">
      <c r="B1756" s="42">
        <f t="shared" si="108"/>
        <v>16</v>
      </c>
      <c r="C1756" s="42">
        <f t="shared" si="109"/>
        <v>9</v>
      </c>
      <c r="D1756" s="42">
        <f t="shared" si="110"/>
        <v>2022</v>
      </c>
      <c r="E1756" s="43">
        <v>44820</v>
      </c>
      <c r="F1756" s="42">
        <v>81.39</v>
      </c>
      <c r="G1756" s="42">
        <v>83.9</v>
      </c>
      <c r="H1756" s="42">
        <v>77.7</v>
      </c>
      <c r="I1756" s="42">
        <v>84.55</v>
      </c>
      <c r="J1756" s="42">
        <v>92.25</v>
      </c>
      <c r="K1756" s="42">
        <v>85.11</v>
      </c>
      <c r="L1756" s="42">
        <v>87.11</v>
      </c>
      <c r="M1756" s="42">
        <f t="shared" si="111"/>
        <v>3.7199999999999989</v>
      </c>
    </row>
    <row r="1757" spans="2:13" x14ac:dyDescent="0.25">
      <c r="B1757" s="42">
        <f t="shared" si="108"/>
        <v>19</v>
      </c>
      <c r="C1757" s="42">
        <f t="shared" si="109"/>
        <v>9</v>
      </c>
      <c r="D1757" s="42">
        <f t="shared" si="110"/>
        <v>2022</v>
      </c>
      <c r="E1757" s="43">
        <v>44823</v>
      </c>
      <c r="F1757" s="42">
        <v>82.04</v>
      </c>
      <c r="G1757" s="42">
        <v>84.69</v>
      </c>
      <c r="H1757" s="42">
        <v>78.489999999999995</v>
      </c>
      <c r="I1757" s="42">
        <v>85.34</v>
      </c>
      <c r="J1757" s="42">
        <v>92.25</v>
      </c>
      <c r="K1757" s="42">
        <v>85.73</v>
      </c>
      <c r="L1757" s="42">
        <v>87.73</v>
      </c>
      <c r="M1757" s="42">
        <f t="shared" si="111"/>
        <v>3.6899999999999977</v>
      </c>
    </row>
    <row r="1758" spans="2:13" x14ac:dyDescent="0.25">
      <c r="B1758" s="42">
        <f t="shared" si="108"/>
        <v>20</v>
      </c>
      <c r="C1758" s="42">
        <f t="shared" si="109"/>
        <v>9</v>
      </c>
      <c r="D1758" s="42">
        <f t="shared" si="110"/>
        <v>2022</v>
      </c>
      <c r="E1758" s="43">
        <v>44824</v>
      </c>
      <c r="F1758" s="42">
        <v>81.05</v>
      </c>
      <c r="G1758" s="42">
        <v>83.25</v>
      </c>
      <c r="H1758" s="42">
        <v>77.05</v>
      </c>
      <c r="I1758" s="42">
        <v>83.9</v>
      </c>
      <c r="J1758" s="42">
        <v>90.63</v>
      </c>
      <c r="K1758" s="42">
        <v>84.45</v>
      </c>
      <c r="L1758" s="42">
        <v>87.05</v>
      </c>
      <c r="M1758" s="42">
        <f t="shared" si="111"/>
        <v>3.4000000000000057</v>
      </c>
    </row>
    <row r="1759" spans="2:13" x14ac:dyDescent="0.25">
      <c r="B1759" s="42">
        <f t="shared" si="108"/>
        <v>21</v>
      </c>
      <c r="C1759" s="42">
        <f t="shared" si="109"/>
        <v>9</v>
      </c>
      <c r="D1759" s="42">
        <f t="shared" si="110"/>
        <v>2022</v>
      </c>
      <c r="E1759" s="43">
        <v>44825</v>
      </c>
      <c r="F1759" s="42">
        <v>80.08</v>
      </c>
      <c r="G1759" s="42">
        <v>82.15</v>
      </c>
      <c r="H1759" s="42">
        <v>75.95</v>
      </c>
      <c r="I1759" s="42">
        <v>82.8</v>
      </c>
      <c r="J1759" s="42">
        <v>89.62</v>
      </c>
      <c r="K1759" s="42">
        <v>83.44</v>
      </c>
      <c r="L1759" s="42">
        <v>86.04</v>
      </c>
      <c r="M1759" s="42">
        <f t="shared" si="111"/>
        <v>3.3599999999999994</v>
      </c>
    </row>
    <row r="1760" spans="2:13" x14ac:dyDescent="0.25">
      <c r="B1760" s="42">
        <f t="shared" si="108"/>
        <v>22</v>
      </c>
      <c r="C1760" s="42">
        <f t="shared" si="109"/>
        <v>9</v>
      </c>
      <c r="D1760" s="42">
        <f t="shared" si="110"/>
        <v>2022</v>
      </c>
      <c r="E1760" s="43">
        <v>44826</v>
      </c>
      <c r="F1760" s="42">
        <v>80.2</v>
      </c>
      <c r="G1760" s="42">
        <v>82.47</v>
      </c>
      <c r="H1760" s="42">
        <v>76.27</v>
      </c>
      <c r="I1760" s="42">
        <v>83.12</v>
      </c>
      <c r="J1760" s="42">
        <v>90.73</v>
      </c>
      <c r="K1760" s="42">
        <v>83.89</v>
      </c>
      <c r="L1760" s="42">
        <v>86.39</v>
      </c>
      <c r="M1760" s="42">
        <f t="shared" si="111"/>
        <v>3.6899999999999977</v>
      </c>
    </row>
    <row r="1761" spans="2:13" x14ac:dyDescent="0.25">
      <c r="B1761" s="42">
        <f t="shared" si="108"/>
        <v>23</v>
      </c>
      <c r="C1761" s="42">
        <f t="shared" si="109"/>
        <v>9</v>
      </c>
      <c r="D1761" s="42">
        <f t="shared" si="110"/>
        <v>2022</v>
      </c>
      <c r="E1761" s="43">
        <v>44827</v>
      </c>
      <c r="F1761" s="42">
        <v>76.03</v>
      </c>
      <c r="G1761" s="42">
        <v>77.91</v>
      </c>
      <c r="H1761" s="42">
        <v>71.709999999999994</v>
      </c>
      <c r="I1761" s="42">
        <v>78.56</v>
      </c>
      <c r="J1761" s="42">
        <v>86.81</v>
      </c>
      <c r="K1761" s="42">
        <v>79.19</v>
      </c>
      <c r="L1761" s="42">
        <v>81.69</v>
      </c>
      <c r="M1761" s="42">
        <f t="shared" si="111"/>
        <v>3.1599999999999966</v>
      </c>
    </row>
    <row r="1762" spans="2:13" x14ac:dyDescent="0.25">
      <c r="B1762" s="42">
        <f t="shared" si="108"/>
        <v>26</v>
      </c>
      <c r="C1762" s="42">
        <f t="shared" si="109"/>
        <v>9</v>
      </c>
      <c r="D1762" s="42">
        <f t="shared" si="110"/>
        <v>2022</v>
      </c>
      <c r="E1762" s="43">
        <v>44830</v>
      </c>
      <c r="F1762" s="42">
        <v>73.66</v>
      </c>
      <c r="G1762" s="42">
        <v>75.73</v>
      </c>
      <c r="H1762" s="42">
        <v>69.53</v>
      </c>
      <c r="I1762" s="42">
        <v>76.38</v>
      </c>
      <c r="J1762" s="42">
        <v>85.74</v>
      </c>
      <c r="K1762" s="42">
        <v>76.709999999999994</v>
      </c>
      <c r="L1762" s="42">
        <v>79.260000000000005</v>
      </c>
      <c r="M1762" s="42">
        <f t="shared" si="111"/>
        <v>3.0499999999999972</v>
      </c>
    </row>
    <row r="1763" spans="2:13" x14ac:dyDescent="0.25">
      <c r="B1763" s="42">
        <f t="shared" si="108"/>
        <v>27</v>
      </c>
      <c r="C1763" s="42">
        <f t="shared" si="109"/>
        <v>9</v>
      </c>
      <c r="D1763" s="42">
        <f t="shared" si="110"/>
        <v>2022</v>
      </c>
      <c r="E1763" s="43">
        <v>44831</v>
      </c>
      <c r="F1763" s="42">
        <v>73.58</v>
      </c>
      <c r="G1763" s="42">
        <v>77.69</v>
      </c>
      <c r="H1763" s="42">
        <v>71.489999999999995</v>
      </c>
      <c r="I1763" s="42">
        <v>78.34</v>
      </c>
      <c r="J1763" s="42">
        <v>86.46</v>
      </c>
      <c r="K1763" s="42">
        <v>78.5</v>
      </c>
      <c r="L1763" s="42">
        <v>81.150000000000006</v>
      </c>
      <c r="M1763" s="42">
        <f t="shared" si="111"/>
        <v>4.9200000000000017</v>
      </c>
    </row>
    <row r="1764" spans="2:13" x14ac:dyDescent="0.25">
      <c r="B1764" s="42">
        <f t="shared" si="108"/>
        <v>28</v>
      </c>
      <c r="C1764" s="42">
        <f t="shared" si="109"/>
        <v>9</v>
      </c>
      <c r="D1764" s="42">
        <f t="shared" si="110"/>
        <v>2022</v>
      </c>
      <c r="E1764" s="43">
        <v>44832</v>
      </c>
      <c r="F1764" s="42">
        <v>78.260000000000005</v>
      </c>
      <c r="G1764" s="42">
        <v>81.069999999999993</v>
      </c>
      <c r="H1764" s="42">
        <v>74.87</v>
      </c>
      <c r="I1764" s="42">
        <v>81.72</v>
      </c>
      <c r="J1764" s="42">
        <v>88.22</v>
      </c>
      <c r="K1764" s="42">
        <v>82.15</v>
      </c>
      <c r="L1764" s="42">
        <v>84.75</v>
      </c>
      <c r="M1764" s="42">
        <f t="shared" si="111"/>
        <v>3.8900000000000006</v>
      </c>
    </row>
    <row r="1765" spans="2:13" x14ac:dyDescent="0.25">
      <c r="B1765" s="42">
        <f t="shared" si="108"/>
        <v>29</v>
      </c>
      <c r="C1765" s="42">
        <f t="shared" si="109"/>
        <v>9</v>
      </c>
      <c r="D1765" s="42">
        <f t="shared" si="110"/>
        <v>2022</v>
      </c>
      <c r="E1765" s="43">
        <v>44833</v>
      </c>
      <c r="F1765" s="42">
        <v>77.790000000000006</v>
      </c>
      <c r="G1765" s="42">
        <v>81.069999999999993</v>
      </c>
      <c r="H1765" s="42">
        <v>74.87</v>
      </c>
      <c r="I1765" s="42">
        <v>81.72</v>
      </c>
      <c r="J1765" s="42">
        <v>88.22</v>
      </c>
      <c r="K1765" s="42">
        <v>82.15</v>
      </c>
      <c r="L1765" s="42">
        <v>84.75</v>
      </c>
      <c r="M1765" s="42">
        <f t="shared" si="111"/>
        <v>4.3599999999999994</v>
      </c>
    </row>
    <row r="1766" spans="2:13" x14ac:dyDescent="0.25">
      <c r="B1766" s="42">
        <f t="shared" si="108"/>
        <v>30</v>
      </c>
      <c r="C1766" s="42">
        <f t="shared" si="109"/>
        <v>9</v>
      </c>
      <c r="D1766" s="42">
        <f t="shared" si="110"/>
        <v>2022</v>
      </c>
      <c r="E1766" s="43">
        <v>44834</v>
      </c>
      <c r="F1766" s="42">
        <v>77.16</v>
      </c>
      <c r="G1766" s="42">
        <v>78.900000000000006</v>
      </c>
      <c r="H1766" s="42">
        <v>72.7</v>
      </c>
      <c r="I1766" s="42">
        <v>79.55</v>
      </c>
      <c r="J1766" s="42">
        <v>87.4</v>
      </c>
      <c r="K1766" s="42">
        <v>79.489999999999995</v>
      </c>
      <c r="L1766" s="42">
        <v>81.94</v>
      </c>
      <c r="M1766" s="42">
        <f t="shared" si="111"/>
        <v>2.3299999999999983</v>
      </c>
    </row>
    <row r="1767" spans="2:13" x14ac:dyDescent="0.25">
      <c r="B1767" s="42">
        <f t="shared" si="108"/>
        <v>3</v>
      </c>
      <c r="C1767" s="42">
        <f t="shared" si="109"/>
        <v>10</v>
      </c>
      <c r="D1767" s="42">
        <f t="shared" si="110"/>
        <v>2022</v>
      </c>
      <c r="E1767" s="43">
        <v>44837</v>
      </c>
      <c r="F1767" s="42">
        <v>77.099999999999994</v>
      </c>
      <c r="G1767" s="42">
        <v>80</v>
      </c>
      <c r="H1767" s="42">
        <v>73.8</v>
      </c>
      <c r="I1767" s="42">
        <v>81.400000000000006</v>
      </c>
      <c r="J1767" s="42">
        <v>88.5</v>
      </c>
      <c r="K1767" s="42">
        <v>83.63</v>
      </c>
      <c r="L1767" s="42">
        <v>86.08</v>
      </c>
      <c r="M1767" s="42">
        <f t="shared" si="111"/>
        <v>6.5300000000000011</v>
      </c>
    </row>
    <row r="1768" spans="2:13" x14ac:dyDescent="0.25">
      <c r="B1768" s="42">
        <f t="shared" si="108"/>
        <v>4</v>
      </c>
      <c r="C1768" s="42">
        <f t="shared" si="109"/>
        <v>10</v>
      </c>
      <c r="D1768" s="42">
        <f t="shared" si="110"/>
        <v>2022</v>
      </c>
      <c r="E1768" s="43">
        <v>44838</v>
      </c>
      <c r="F1768" s="42">
        <v>79.78</v>
      </c>
      <c r="G1768" s="42">
        <v>82.88</v>
      </c>
      <c r="H1768" s="42">
        <v>76.680000000000007</v>
      </c>
      <c r="I1768" s="42">
        <v>84.28</v>
      </c>
      <c r="J1768" s="42">
        <v>91.89</v>
      </c>
      <c r="K1768" s="42">
        <v>86.52</v>
      </c>
      <c r="L1768" s="42">
        <v>89.12</v>
      </c>
      <c r="M1768" s="42">
        <f t="shared" si="111"/>
        <v>6.7399999999999949</v>
      </c>
    </row>
    <row r="1769" spans="2:13" x14ac:dyDescent="0.25">
      <c r="B1769" s="42">
        <f t="shared" si="108"/>
        <v>5</v>
      </c>
      <c r="C1769" s="42">
        <f t="shared" si="109"/>
        <v>10</v>
      </c>
      <c r="D1769" s="42">
        <f t="shared" si="110"/>
        <v>2022</v>
      </c>
      <c r="E1769" s="43">
        <v>44839</v>
      </c>
      <c r="F1769" s="42">
        <v>81.33</v>
      </c>
      <c r="G1769" s="42">
        <v>84.33</v>
      </c>
      <c r="H1769" s="42">
        <v>78.13</v>
      </c>
      <c r="I1769" s="42">
        <v>85.73</v>
      </c>
      <c r="J1769" s="42">
        <v>93.71</v>
      </c>
      <c r="K1769" s="42">
        <v>87.76</v>
      </c>
      <c r="L1769" s="42">
        <v>90.46</v>
      </c>
      <c r="M1769" s="42">
        <f t="shared" si="111"/>
        <v>6.4300000000000068</v>
      </c>
    </row>
    <row r="1770" spans="2:13" x14ac:dyDescent="0.25">
      <c r="B1770" s="42">
        <f t="shared" si="108"/>
        <v>6</v>
      </c>
      <c r="C1770" s="42">
        <f t="shared" si="109"/>
        <v>10</v>
      </c>
      <c r="D1770" s="42">
        <f t="shared" si="110"/>
        <v>2022</v>
      </c>
      <c r="E1770" s="43">
        <v>44840</v>
      </c>
      <c r="F1770" s="42">
        <v>82.34</v>
      </c>
      <c r="G1770" s="42">
        <v>85.15</v>
      </c>
      <c r="H1770" s="42">
        <v>78.95</v>
      </c>
      <c r="I1770" s="42">
        <v>86.55</v>
      </c>
      <c r="J1770" s="42">
        <v>94.54</v>
      </c>
      <c r="K1770" s="42">
        <v>88.45</v>
      </c>
      <c r="L1770" s="42">
        <v>91.15</v>
      </c>
      <c r="M1770" s="42">
        <f t="shared" si="111"/>
        <v>6.1099999999999994</v>
      </c>
    </row>
    <row r="1771" spans="2:13" x14ac:dyDescent="0.25">
      <c r="B1771" s="42">
        <f t="shared" si="108"/>
        <v>7</v>
      </c>
      <c r="C1771" s="42">
        <f t="shared" si="109"/>
        <v>10</v>
      </c>
      <c r="D1771" s="42">
        <f t="shared" si="110"/>
        <v>2022</v>
      </c>
      <c r="E1771" s="43">
        <v>44841</v>
      </c>
      <c r="F1771" s="42">
        <v>85.87</v>
      </c>
      <c r="G1771" s="42">
        <v>89</v>
      </c>
      <c r="H1771" s="42">
        <v>82.8</v>
      </c>
      <c r="I1771" s="42">
        <v>90.4</v>
      </c>
      <c r="J1771" s="42">
        <v>97.76</v>
      </c>
      <c r="K1771" s="42">
        <v>92.64</v>
      </c>
      <c r="L1771" s="42">
        <v>95.34</v>
      </c>
      <c r="M1771" s="42">
        <f t="shared" si="111"/>
        <v>6.769999999999996</v>
      </c>
    </row>
    <row r="1772" spans="2:13" x14ac:dyDescent="0.25">
      <c r="B1772" s="42">
        <f t="shared" si="108"/>
        <v>10</v>
      </c>
      <c r="C1772" s="42">
        <f t="shared" si="109"/>
        <v>10</v>
      </c>
      <c r="D1772" s="42">
        <f t="shared" si="110"/>
        <v>2022</v>
      </c>
      <c r="E1772" s="43">
        <v>44844</v>
      </c>
      <c r="F1772" s="42">
        <v>84.58</v>
      </c>
      <c r="G1772" s="42">
        <v>87.48</v>
      </c>
      <c r="H1772" s="42">
        <v>81.28</v>
      </c>
      <c r="I1772" s="42">
        <v>88.88</v>
      </c>
      <c r="J1772" s="42">
        <v>97.44</v>
      </c>
      <c r="K1772" s="42">
        <v>91.13</v>
      </c>
      <c r="L1772" s="42">
        <v>93.93</v>
      </c>
      <c r="M1772" s="42">
        <f t="shared" si="111"/>
        <v>6.5499999999999972</v>
      </c>
    </row>
    <row r="1773" spans="2:13" x14ac:dyDescent="0.25">
      <c r="B1773" s="42">
        <f t="shared" si="108"/>
        <v>11</v>
      </c>
      <c r="C1773" s="42">
        <f t="shared" si="109"/>
        <v>10</v>
      </c>
      <c r="D1773" s="42">
        <f t="shared" si="110"/>
        <v>2022</v>
      </c>
      <c r="E1773" s="43">
        <v>44845</v>
      </c>
      <c r="F1773" s="42">
        <v>82.67</v>
      </c>
      <c r="G1773" s="42">
        <v>85.65</v>
      </c>
      <c r="H1773" s="42">
        <v>79.45</v>
      </c>
      <c r="I1773" s="42">
        <v>87.05</v>
      </c>
      <c r="J1773" s="42">
        <v>94.38</v>
      </c>
      <c r="K1773" s="42">
        <v>89.35</v>
      </c>
      <c r="L1773" s="42">
        <v>92.35</v>
      </c>
      <c r="M1773" s="42">
        <f t="shared" si="111"/>
        <v>6.6799999999999926</v>
      </c>
    </row>
    <row r="1774" spans="2:13" x14ac:dyDescent="0.25">
      <c r="B1774" s="42">
        <f t="shared" si="108"/>
        <v>12</v>
      </c>
      <c r="C1774" s="42">
        <f t="shared" si="109"/>
        <v>10</v>
      </c>
      <c r="D1774" s="42">
        <f t="shared" si="110"/>
        <v>2022</v>
      </c>
      <c r="E1774" s="43">
        <v>44846</v>
      </c>
      <c r="F1774" s="42">
        <v>80.819999999999993</v>
      </c>
      <c r="G1774" s="42">
        <v>83.69</v>
      </c>
      <c r="H1774" s="42">
        <v>77.489999999999995</v>
      </c>
      <c r="I1774" s="42">
        <v>85.09</v>
      </c>
      <c r="J1774" s="42">
        <v>92.82</v>
      </c>
      <c r="K1774" s="42">
        <v>87.27</v>
      </c>
      <c r="L1774" s="42">
        <v>90.27</v>
      </c>
      <c r="M1774" s="42">
        <f t="shared" si="111"/>
        <v>6.4500000000000028</v>
      </c>
    </row>
    <row r="1775" spans="2:13" x14ac:dyDescent="0.25">
      <c r="B1775" s="42">
        <f t="shared" si="108"/>
        <v>13</v>
      </c>
      <c r="C1775" s="42">
        <f t="shared" si="109"/>
        <v>10</v>
      </c>
      <c r="D1775" s="42">
        <f t="shared" si="110"/>
        <v>2022</v>
      </c>
      <c r="E1775" s="43">
        <v>44847</v>
      </c>
      <c r="F1775" s="42">
        <v>82.45</v>
      </c>
      <c r="G1775" s="42">
        <v>85.6</v>
      </c>
      <c r="H1775" s="42">
        <v>79.400000000000006</v>
      </c>
      <c r="I1775" s="42">
        <v>87</v>
      </c>
      <c r="J1775" s="42">
        <v>93.93</v>
      </c>
      <c r="K1775" s="42">
        <v>89.11</v>
      </c>
      <c r="L1775" s="42">
        <v>92.11</v>
      </c>
      <c r="M1775" s="42">
        <f t="shared" si="111"/>
        <v>6.6599999999999966</v>
      </c>
    </row>
    <row r="1776" spans="2:13" x14ac:dyDescent="0.25">
      <c r="B1776" s="42">
        <f t="shared" si="108"/>
        <v>14</v>
      </c>
      <c r="C1776" s="42">
        <f t="shared" si="109"/>
        <v>10</v>
      </c>
      <c r="D1776" s="42">
        <f t="shared" si="110"/>
        <v>2022</v>
      </c>
      <c r="E1776" s="43">
        <v>44848</v>
      </c>
      <c r="F1776" s="42">
        <v>79.680000000000007</v>
      </c>
      <c r="G1776" s="42">
        <v>82.32</v>
      </c>
      <c r="H1776" s="42">
        <v>76.12</v>
      </c>
      <c r="I1776" s="42">
        <v>83.72</v>
      </c>
      <c r="J1776" s="42">
        <v>92.45</v>
      </c>
      <c r="K1776" s="42">
        <v>85.61</v>
      </c>
      <c r="L1776" s="42">
        <v>88.61</v>
      </c>
      <c r="M1776" s="42">
        <f t="shared" si="111"/>
        <v>5.9299999999999926</v>
      </c>
    </row>
    <row r="1777" spans="2:21" x14ac:dyDescent="0.25">
      <c r="B1777" s="42">
        <f t="shared" si="108"/>
        <v>17</v>
      </c>
      <c r="C1777" s="42">
        <f t="shared" si="109"/>
        <v>10</v>
      </c>
      <c r="D1777" s="42">
        <f t="shared" si="110"/>
        <v>2022</v>
      </c>
      <c r="E1777" s="43">
        <v>44851</v>
      </c>
      <c r="F1777" s="42">
        <v>79.42</v>
      </c>
      <c r="G1777" s="42">
        <v>82.29</v>
      </c>
      <c r="H1777" s="42">
        <v>76.09</v>
      </c>
      <c r="I1777" s="42">
        <v>83.69</v>
      </c>
      <c r="J1777" s="42">
        <v>91.86</v>
      </c>
      <c r="K1777" s="42">
        <v>85.46</v>
      </c>
      <c r="L1777" s="42">
        <v>88.46</v>
      </c>
      <c r="M1777" s="42">
        <f t="shared" si="111"/>
        <v>6.039999999999992</v>
      </c>
    </row>
    <row r="1778" spans="2:21" x14ac:dyDescent="0.25">
      <c r="B1778" s="42">
        <f t="shared" si="108"/>
        <v>18</v>
      </c>
      <c r="C1778" s="42">
        <f t="shared" si="109"/>
        <v>10</v>
      </c>
      <c r="D1778" s="42">
        <f t="shared" si="110"/>
        <v>2022</v>
      </c>
      <c r="E1778" s="43">
        <v>44852</v>
      </c>
      <c r="F1778" s="42">
        <v>77.47</v>
      </c>
      <c r="G1778" s="42">
        <v>80.02</v>
      </c>
      <c r="H1778" s="42">
        <v>73.819999999999993</v>
      </c>
      <c r="I1778" s="42">
        <v>81.42</v>
      </c>
      <c r="J1778" s="42">
        <v>89.15</v>
      </c>
      <c r="K1778" s="42">
        <v>82.82</v>
      </c>
      <c r="L1778" s="42">
        <v>86.32</v>
      </c>
      <c r="M1778" s="42">
        <f t="shared" si="111"/>
        <v>5.3499999999999943</v>
      </c>
    </row>
    <row r="1779" spans="2:21" x14ac:dyDescent="0.25">
      <c r="B1779" s="42">
        <f t="shared" si="108"/>
        <v>19</v>
      </c>
      <c r="C1779" s="42">
        <f t="shared" si="109"/>
        <v>10</v>
      </c>
      <c r="D1779" s="42">
        <f t="shared" si="110"/>
        <v>2022</v>
      </c>
      <c r="E1779" s="43">
        <v>44853</v>
      </c>
      <c r="F1779" s="42">
        <v>79.39</v>
      </c>
      <c r="G1779" s="42">
        <v>82.43</v>
      </c>
      <c r="H1779" s="42">
        <v>76.23</v>
      </c>
      <c r="I1779" s="42">
        <v>83.83</v>
      </c>
      <c r="J1779" s="42">
        <v>90.77</v>
      </c>
      <c r="K1779" s="42">
        <v>85.55</v>
      </c>
      <c r="L1779" s="42">
        <v>89.05</v>
      </c>
      <c r="M1779" s="42">
        <f t="shared" si="111"/>
        <v>6.1599999999999966</v>
      </c>
    </row>
    <row r="1780" spans="2:21" x14ac:dyDescent="0.25">
      <c r="B1780" s="42">
        <f t="shared" si="108"/>
        <v>20</v>
      </c>
      <c r="C1780" s="42">
        <f t="shared" si="109"/>
        <v>10</v>
      </c>
      <c r="D1780" s="42">
        <f t="shared" si="110"/>
        <v>2022</v>
      </c>
      <c r="E1780" s="43">
        <v>44854</v>
      </c>
      <c r="F1780" s="42">
        <v>79.819999999999993</v>
      </c>
      <c r="G1780" s="42">
        <v>82.5</v>
      </c>
      <c r="H1780" s="42">
        <v>76.3</v>
      </c>
      <c r="I1780" s="42">
        <v>83.9</v>
      </c>
      <c r="J1780" s="42">
        <v>93.62</v>
      </c>
      <c r="K1780" s="42">
        <v>85.98</v>
      </c>
      <c r="L1780" s="42">
        <v>89.38</v>
      </c>
      <c r="M1780" s="42">
        <f t="shared" si="111"/>
        <v>6.1600000000000108</v>
      </c>
    </row>
    <row r="1781" spans="2:21" x14ac:dyDescent="0.25">
      <c r="B1781" s="42">
        <f t="shared" si="108"/>
        <v>21</v>
      </c>
      <c r="C1781" s="42">
        <f t="shared" si="109"/>
        <v>10</v>
      </c>
      <c r="D1781" s="42">
        <f t="shared" si="110"/>
        <v>2022</v>
      </c>
      <c r="E1781" s="43">
        <v>44855</v>
      </c>
      <c r="F1781" s="42">
        <v>80.75</v>
      </c>
      <c r="G1781" s="42">
        <v>83.43</v>
      </c>
      <c r="H1781" s="42">
        <v>77.23</v>
      </c>
      <c r="I1781" s="42">
        <v>84.83</v>
      </c>
      <c r="J1781" s="42">
        <v>92.99</v>
      </c>
      <c r="K1781" s="42">
        <v>86.7</v>
      </c>
      <c r="L1781" s="42">
        <v>90.1</v>
      </c>
      <c r="M1781" s="42">
        <f t="shared" si="111"/>
        <v>5.9500000000000028</v>
      </c>
    </row>
    <row r="1782" spans="2:21" x14ac:dyDescent="0.25">
      <c r="B1782" s="42">
        <f t="shared" si="108"/>
        <v>24</v>
      </c>
      <c r="C1782" s="42">
        <f t="shared" si="109"/>
        <v>10</v>
      </c>
      <c r="D1782" s="42">
        <f t="shared" si="110"/>
        <v>2022</v>
      </c>
      <c r="E1782" s="43">
        <v>44858</v>
      </c>
      <c r="F1782" s="42">
        <v>80.75</v>
      </c>
      <c r="G1782" s="42">
        <v>82.91</v>
      </c>
      <c r="H1782" s="42">
        <v>76.709999999999994</v>
      </c>
      <c r="I1782" s="42">
        <v>84.31</v>
      </c>
      <c r="J1782" s="42">
        <v>93.31</v>
      </c>
      <c r="K1782" s="42">
        <v>86.23</v>
      </c>
      <c r="L1782" s="42">
        <v>89.43</v>
      </c>
      <c r="M1782" s="42">
        <f t="shared" si="111"/>
        <v>5.480000000000004</v>
      </c>
    </row>
    <row r="1783" spans="2:21" x14ac:dyDescent="0.25">
      <c r="B1783" s="42">
        <f t="shared" si="108"/>
        <v>25</v>
      </c>
      <c r="C1783" s="42">
        <f t="shared" si="109"/>
        <v>10</v>
      </c>
      <c r="D1783" s="42">
        <f t="shared" si="110"/>
        <v>2022</v>
      </c>
      <c r="E1783" s="43">
        <v>44859</v>
      </c>
      <c r="F1783" s="42">
        <v>80.540000000000006</v>
      </c>
      <c r="G1783" s="42">
        <v>83.23</v>
      </c>
      <c r="H1783" s="42">
        <v>77.03</v>
      </c>
      <c r="I1783" s="42">
        <v>84.63</v>
      </c>
      <c r="J1783" s="42">
        <v>93.51</v>
      </c>
      <c r="K1783" s="42">
        <v>86.93</v>
      </c>
      <c r="L1783" s="42">
        <v>88.88</v>
      </c>
      <c r="M1783" s="42">
        <f t="shared" si="111"/>
        <v>6.3900000000000006</v>
      </c>
    </row>
    <row r="1784" spans="2:21" x14ac:dyDescent="0.25">
      <c r="B1784" s="42">
        <f t="shared" si="108"/>
        <v>26</v>
      </c>
      <c r="C1784" s="42">
        <f t="shared" si="109"/>
        <v>10</v>
      </c>
      <c r="D1784" s="42">
        <f t="shared" si="110"/>
        <v>2022</v>
      </c>
      <c r="E1784" s="43">
        <v>44860</v>
      </c>
      <c r="F1784" s="42">
        <v>82.38</v>
      </c>
      <c r="G1784" s="42">
        <v>85.01</v>
      </c>
      <c r="H1784" s="42">
        <v>78.81</v>
      </c>
      <c r="I1784" s="42">
        <v>86.41</v>
      </c>
      <c r="J1784" s="42">
        <v>95.96</v>
      </c>
      <c r="K1784" s="42">
        <v>87.91</v>
      </c>
      <c r="L1784" s="42">
        <v>90.61</v>
      </c>
      <c r="M1784" s="42">
        <f t="shared" si="111"/>
        <v>5.5300000000000011</v>
      </c>
    </row>
    <row r="1785" spans="2:21" x14ac:dyDescent="0.25">
      <c r="B1785" s="42">
        <f t="shared" si="108"/>
        <v>27</v>
      </c>
      <c r="C1785" s="42">
        <f t="shared" si="109"/>
        <v>10</v>
      </c>
      <c r="D1785" s="42">
        <f t="shared" si="110"/>
        <v>2022</v>
      </c>
      <c r="E1785" s="43">
        <v>44861</v>
      </c>
      <c r="F1785" s="42">
        <v>83.65</v>
      </c>
      <c r="G1785" s="42">
        <v>86.15</v>
      </c>
      <c r="H1785" s="42">
        <v>79.95</v>
      </c>
      <c r="I1785" s="42">
        <v>87.55</v>
      </c>
      <c r="J1785" s="42">
        <v>97.07</v>
      </c>
      <c r="K1785" s="42">
        <v>89.08</v>
      </c>
      <c r="L1785" s="42">
        <v>91.63</v>
      </c>
      <c r="M1785" s="42">
        <f t="shared" si="111"/>
        <v>5.4299999999999926</v>
      </c>
    </row>
    <row r="1786" spans="2:21" x14ac:dyDescent="0.25">
      <c r="B1786" s="42">
        <f t="shared" si="108"/>
        <v>28</v>
      </c>
      <c r="C1786" s="42">
        <f t="shared" si="109"/>
        <v>10</v>
      </c>
      <c r="D1786" s="42">
        <f t="shared" si="110"/>
        <v>2022</v>
      </c>
      <c r="E1786" s="43">
        <v>44862</v>
      </c>
      <c r="F1786" s="42">
        <v>82.61</v>
      </c>
      <c r="G1786" s="42">
        <v>84.970000000000013</v>
      </c>
      <c r="H1786" s="42">
        <v>78.8</v>
      </c>
      <c r="I1786" s="42">
        <v>86.4</v>
      </c>
      <c r="J1786" s="42">
        <v>95.66</v>
      </c>
      <c r="K1786" s="42">
        <v>87.9</v>
      </c>
      <c r="L1786" s="42">
        <v>90.4</v>
      </c>
      <c r="M1786" s="42">
        <f t="shared" si="111"/>
        <v>5.2900000000000063</v>
      </c>
    </row>
    <row r="1787" spans="2:21" x14ac:dyDescent="0.25">
      <c r="B1787" s="42">
        <f t="shared" si="108"/>
        <v>31</v>
      </c>
      <c r="C1787" s="42">
        <f t="shared" si="109"/>
        <v>10</v>
      </c>
      <c r="D1787" s="42">
        <f t="shared" si="110"/>
        <v>2022</v>
      </c>
      <c r="E1787" s="43">
        <v>44865</v>
      </c>
      <c r="F1787" s="42">
        <v>81.39</v>
      </c>
      <c r="G1787" s="42">
        <v>83.78</v>
      </c>
      <c r="H1787" s="42">
        <v>77.58</v>
      </c>
      <c r="I1787" s="42">
        <v>85.18</v>
      </c>
      <c r="J1787" s="42">
        <v>94.76</v>
      </c>
      <c r="K1787" s="42">
        <v>86.53</v>
      </c>
      <c r="L1787" s="42">
        <v>89.03</v>
      </c>
      <c r="M1787" s="42">
        <f t="shared" si="111"/>
        <v>5.1400000000000006</v>
      </c>
    </row>
    <row r="1788" spans="2:21" x14ac:dyDescent="0.25">
      <c r="B1788" s="42">
        <f t="shared" si="108"/>
        <v>1</v>
      </c>
      <c r="C1788" s="42">
        <f t="shared" si="109"/>
        <v>11</v>
      </c>
      <c r="D1788" s="42">
        <f t="shared" si="110"/>
        <v>2022</v>
      </c>
      <c r="E1788" s="43">
        <v>44866</v>
      </c>
      <c r="F1788" s="44">
        <v>82.64</v>
      </c>
      <c r="G1788" s="42">
        <v>83.08</v>
      </c>
      <c r="H1788" s="42">
        <v>78.63</v>
      </c>
      <c r="I1788" s="42">
        <v>85.33</v>
      </c>
      <c r="J1788" s="42">
        <v>94.65</v>
      </c>
      <c r="K1788" s="42">
        <v>88.37</v>
      </c>
      <c r="L1788" s="42">
        <v>90.92</v>
      </c>
      <c r="M1788" s="42">
        <f t="shared" si="111"/>
        <v>5.730000000000004</v>
      </c>
    </row>
    <row r="1789" spans="2:21" x14ac:dyDescent="0.25">
      <c r="B1789" s="42">
        <f t="shared" si="108"/>
        <v>2</v>
      </c>
      <c r="C1789" s="42">
        <f t="shared" si="109"/>
        <v>11</v>
      </c>
      <c r="D1789" s="42">
        <f t="shared" si="110"/>
        <v>2022</v>
      </c>
      <c r="E1789" s="43">
        <v>44867</v>
      </c>
      <c r="F1789" s="42">
        <v>82.95</v>
      </c>
      <c r="G1789" s="42">
        <v>84.64</v>
      </c>
      <c r="H1789" s="42">
        <v>80.19</v>
      </c>
      <c r="I1789" s="42">
        <v>86.89</v>
      </c>
      <c r="J1789" s="42">
        <v>96.45</v>
      </c>
      <c r="K1789" s="42">
        <v>90</v>
      </c>
      <c r="L1789" s="42">
        <v>92.55</v>
      </c>
      <c r="M1789" s="42">
        <f t="shared" si="111"/>
        <v>7.0499999999999972</v>
      </c>
    </row>
    <row r="1790" spans="2:21" x14ac:dyDescent="0.25">
      <c r="B1790" s="42">
        <f t="shared" si="108"/>
        <v>3</v>
      </c>
      <c r="C1790" s="42">
        <f t="shared" si="109"/>
        <v>11</v>
      </c>
      <c r="D1790" s="42">
        <f t="shared" si="110"/>
        <v>2022</v>
      </c>
      <c r="E1790" s="43">
        <v>44868</v>
      </c>
      <c r="F1790" s="42">
        <v>81.84</v>
      </c>
      <c r="G1790" s="42">
        <v>82.93</v>
      </c>
      <c r="H1790" s="42">
        <v>78.48</v>
      </c>
      <c r="I1790" s="42">
        <v>85.18</v>
      </c>
      <c r="J1790" s="42">
        <v>95.29</v>
      </c>
      <c r="K1790" s="42">
        <v>88.17</v>
      </c>
      <c r="L1790" s="42">
        <v>90.72</v>
      </c>
      <c r="M1790" s="42">
        <f t="shared" si="111"/>
        <v>6.3299999999999983</v>
      </c>
    </row>
    <row r="1791" spans="2:21" x14ac:dyDescent="0.25">
      <c r="B1791" s="42">
        <f t="shared" si="108"/>
        <v>4</v>
      </c>
      <c r="C1791" s="42">
        <f t="shared" si="109"/>
        <v>11</v>
      </c>
      <c r="D1791" s="42">
        <f t="shared" si="110"/>
        <v>2022</v>
      </c>
      <c r="E1791" s="43">
        <v>44869</v>
      </c>
      <c r="F1791" s="42">
        <v>85.78</v>
      </c>
      <c r="G1791" s="42">
        <v>87.21</v>
      </c>
      <c r="H1791" s="42">
        <v>82.76</v>
      </c>
      <c r="I1791" s="42">
        <v>89.46</v>
      </c>
      <c r="J1791" s="42">
        <v>97.72</v>
      </c>
      <c r="K1791" s="42">
        <v>92.61</v>
      </c>
      <c r="L1791" s="42">
        <v>95.36</v>
      </c>
      <c r="M1791" s="42">
        <f t="shared" si="111"/>
        <v>6.8299999999999983</v>
      </c>
      <c r="U1791" s="1">
        <f t="shared" ref="U1791" si="112">M1791-M1790</f>
        <v>0.5</v>
      </c>
    </row>
    <row r="1792" spans="2:21" x14ac:dyDescent="0.25">
      <c r="B1792" s="42">
        <f t="shared" si="108"/>
        <v>7</v>
      </c>
      <c r="C1792" s="42">
        <f t="shared" si="109"/>
        <v>11</v>
      </c>
      <c r="D1792" s="42">
        <f t="shared" si="110"/>
        <v>2022</v>
      </c>
      <c r="E1792" s="43">
        <v>44872</v>
      </c>
      <c r="F1792" s="42">
        <v>85.22</v>
      </c>
      <c r="G1792" s="42">
        <v>86.42</v>
      </c>
      <c r="H1792" s="42">
        <v>81.97</v>
      </c>
      <c r="I1792" s="42">
        <v>88.67</v>
      </c>
      <c r="J1792" s="42">
        <v>99.53</v>
      </c>
      <c r="K1792" s="42">
        <v>91.79</v>
      </c>
      <c r="L1792" s="42">
        <v>95.14</v>
      </c>
      <c r="M1792" s="42">
        <f t="shared" si="111"/>
        <v>6.5700000000000074</v>
      </c>
    </row>
    <row r="1793" spans="2:13" x14ac:dyDescent="0.25">
      <c r="B1793" s="42">
        <f t="shared" si="108"/>
        <v>8</v>
      </c>
      <c r="C1793" s="42">
        <f t="shared" si="109"/>
        <v>11</v>
      </c>
      <c r="D1793" s="42">
        <f t="shared" si="110"/>
        <v>2022</v>
      </c>
      <c r="E1793" s="43">
        <v>44873</v>
      </c>
      <c r="F1793" s="42">
        <v>82.77</v>
      </c>
      <c r="G1793" s="42">
        <v>83.58</v>
      </c>
      <c r="H1793" s="42">
        <v>79.13</v>
      </c>
      <c r="I1793" s="42">
        <v>85.83</v>
      </c>
      <c r="J1793" s="42">
        <v>97.26</v>
      </c>
      <c r="K1793" s="42">
        <v>88.91</v>
      </c>
      <c r="L1793" s="42">
        <v>92.11</v>
      </c>
      <c r="M1793" s="42">
        <f t="shared" si="111"/>
        <v>6.1400000000000006</v>
      </c>
    </row>
    <row r="1794" spans="2:13" x14ac:dyDescent="0.25">
      <c r="B1794" s="42">
        <f t="shared" si="108"/>
        <v>9</v>
      </c>
      <c r="C1794" s="42">
        <f t="shared" si="109"/>
        <v>11</v>
      </c>
      <c r="D1794" s="42">
        <f t="shared" si="110"/>
        <v>2022</v>
      </c>
      <c r="E1794" s="43">
        <v>44874</v>
      </c>
      <c r="F1794" s="42">
        <v>79.88</v>
      </c>
      <c r="G1794" s="42">
        <v>80.569999999999993</v>
      </c>
      <c r="H1794" s="42">
        <v>76.12</v>
      </c>
      <c r="I1794" s="42">
        <v>82.82</v>
      </c>
      <c r="J1794" s="42">
        <v>94.04</v>
      </c>
      <c r="K1794" s="42">
        <v>85.83</v>
      </c>
      <c r="L1794" s="42">
        <v>89.03</v>
      </c>
      <c r="M1794" s="42">
        <f t="shared" si="111"/>
        <v>5.9500000000000028</v>
      </c>
    </row>
    <row r="1795" spans="2:13" x14ac:dyDescent="0.25">
      <c r="B1795" s="42">
        <f t="shared" si="108"/>
        <v>10</v>
      </c>
      <c r="C1795" s="42">
        <f t="shared" si="109"/>
        <v>11</v>
      </c>
      <c r="D1795" s="42">
        <f t="shared" si="110"/>
        <v>2022</v>
      </c>
      <c r="E1795" s="43">
        <v>44875</v>
      </c>
      <c r="F1795" s="42">
        <v>80.180000000000007</v>
      </c>
      <c r="G1795" s="42">
        <v>81.209999999999994</v>
      </c>
      <c r="H1795" s="42">
        <v>76.760000000000005</v>
      </c>
      <c r="I1795" s="42">
        <v>83.46</v>
      </c>
      <c r="J1795" s="42">
        <v>94</v>
      </c>
      <c r="K1795" s="42">
        <v>86.47</v>
      </c>
      <c r="L1795" s="42">
        <v>89.57</v>
      </c>
      <c r="M1795" s="42">
        <f t="shared" si="111"/>
        <v>6.289999999999992</v>
      </c>
    </row>
    <row r="1796" spans="2:13" x14ac:dyDescent="0.25">
      <c r="B1796" s="42">
        <f t="shared" si="108"/>
        <v>11</v>
      </c>
      <c r="C1796" s="42">
        <f t="shared" si="109"/>
        <v>11</v>
      </c>
      <c r="D1796" s="42">
        <f t="shared" si="110"/>
        <v>2022</v>
      </c>
      <c r="E1796" s="43">
        <v>44876</v>
      </c>
      <c r="F1796" s="42">
        <v>82.79</v>
      </c>
      <c r="G1796" s="42">
        <v>83.64</v>
      </c>
      <c r="H1796" s="42">
        <v>79.19</v>
      </c>
      <c r="I1796" s="42">
        <v>85.89</v>
      </c>
      <c r="J1796" s="42">
        <v>96.2</v>
      </c>
      <c r="K1796" s="42">
        <v>88.96</v>
      </c>
      <c r="L1796" s="42">
        <v>92.11</v>
      </c>
      <c r="M1796" s="42">
        <f t="shared" si="111"/>
        <v>6.1699999999999875</v>
      </c>
    </row>
    <row r="1797" spans="2:13" x14ac:dyDescent="0.25">
      <c r="B1797" s="42">
        <f t="shared" si="108"/>
        <v>14</v>
      </c>
      <c r="C1797" s="42">
        <f t="shared" si="109"/>
        <v>11</v>
      </c>
      <c r="D1797" s="42">
        <f t="shared" si="110"/>
        <v>2022</v>
      </c>
      <c r="E1797" s="43">
        <v>44879</v>
      </c>
      <c r="F1797" s="42">
        <v>80.09</v>
      </c>
      <c r="G1797" s="42">
        <v>80.44</v>
      </c>
      <c r="H1797" s="42">
        <v>75.989999999999995</v>
      </c>
      <c r="I1797" s="42">
        <v>82.69</v>
      </c>
      <c r="J1797" s="42">
        <v>95.04</v>
      </c>
      <c r="K1797" s="42">
        <v>85.87</v>
      </c>
      <c r="L1797" s="42">
        <v>89.87</v>
      </c>
      <c r="M1797" s="42">
        <f t="shared" si="111"/>
        <v>5.7800000000000011</v>
      </c>
    </row>
    <row r="1798" spans="2:13" x14ac:dyDescent="0.25">
      <c r="B1798" s="42">
        <f t="shared" si="108"/>
        <v>15</v>
      </c>
      <c r="C1798" s="42">
        <f t="shared" si="109"/>
        <v>11</v>
      </c>
      <c r="D1798" s="42">
        <f t="shared" si="110"/>
        <v>2022</v>
      </c>
      <c r="E1798" s="43">
        <v>44880</v>
      </c>
      <c r="F1798" s="42">
        <v>80.19</v>
      </c>
      <c r="G1798" s="42">
        <v>81.28</v>
      </c>
      <c r="H1798" s="42">
        <v>76.83</v>
      </c>
      <c r="I1798" s="42">
        <v>83.53</v>
      </c>
      <c r="J1798" s="42">
        <v>93.59</v>
      </c>
      <c r="K1798" s="42">
        <v>86.92</v>
      </c>
      <c r="L1798" s="42">
        <v>91.42</v>
      </c>
      <c r="M1798" s="42">
        <f t="shared" si="111"/>
        <v>6.730000000000004</v>
      </c>
    </row>
    <row r="1799" spans="2:13" x14ac:dyDescent="0.25">
      <c r="B1799" s="42">
        <f t="shared" si="108"/>
        <v>16</v>
      </c>
      <c r="C1799" s="42">
        <f t="shared" si="109"/>
        <v>11</v>
      </c>
      <c r="D1799" s="42">
        <f t="shared" si="110"/>
        <v>2022</v>
      </c>
      <c r="E1799" s="43">
        <v>44881</v>
      </c>
      <c r="F1799" s="42">
        <v>79.290000000000006</v>
      </c>
      <c r="G1799" s="42">
        <v>79.900000000000006</v>
      </c>
      <c r="H1799" s="42">
        <v>75.45</v>
      </c>
      <c r="I1799" s="42">
        <v>82.15</v>
      </c>
      <c r="J1799" s="42">
        <v>92.13</v>
      </c>
      <c r="K1799" s="42">
        <v>85.59</v>
      </c>
      <c r="L1799" s="42">
        <v>91.59</v>
      </c>
      <c r="M1799" s="42">
        <f t="shared" si="111"/>
        <v>6.2999999999999972</v>
      </c>
    </row>
    <row r="1800" spans="2:13" x14ac:dyDescent="0.25">
      <c r="B1800" s="42">
        <f t="shared" si="108"/>
        <v>17</v>
      </c>
      <c r="C1800" s="42">
        <f t="shared" si="109"/>
        <v>11</v>
      </c>
      <c r="D1800" s="42">
        <f t="shared" si="110"/>
        <v>2022</v>
      </c>
      <c r="E1800" s="43">
        <v>44882</v>
      </c>
      <c r="F1800" s="42">
        <v>75.91</v>
      </c>
      <c r="G1800" s="42">
        <v>76.03</v>
      </c>
      <c r="H1800" s="42">
        <v>71.58</v>
      </c>
      <c r="I1800" s="42">
        <v>78.28</v>
      </c>
      <c r="J1800" s="42">
        <v>90.51</v>
      </c>
      <c r="K1800" s="42">
        <v>81.64</v>
      </c>
      <c r="L1800" s="42">
        <v>87.64</v>
      </c>
      <c r="M1800" s="42">
        <f t="shared" si="111"/>
        <v>5.730000000000004</v>
      </c>
    </row>
    <row r="1801" spans="2:13" x14ac:dyDescent="0.25">
      <c r="B1801" s="42">
        <f t="shared" si="108"/>
        <v>18</v>
      </c>
      <c r="C1801" s="42">
        <f t="shared" si="109"/>
        <v>11</v>
      </c>
      <c r="D1801" s="42">
        <f t="shared" si="110"/>
        <v>2022</v>
      </c>
      <c r="E1801" s="43">
        <v>44883</v>
      </c>
      <c r="F1801" s="42">
        <v>73.97</v>
      </c>
      <c r="G1801" s="42">
        <v>74.290000000000006</v>
      </c>
      <c r="H1801" s="42">
        <v>69.84</v>
      </c>
      <c r="I1801" s="42">
        <v>76.540000000000006</v>
      </c>
      <c r="J1801" s="42">
        <v>87.6</v>
      </c>
      <c r="K1801" s="42">
        <v>80.08</v>
      </c>
      <c r="L1801" s="42">
        <v>87.63</v>
      </c>
      <c r="M1801" s="42">
        <f t="shared" si="111"/>
        <v>6.1099999999999994</v>
      </c>
    </row>
    <row r="1802" spans="2:13" x14ac:dyDescent="0.25">
      <c r="B1802" s="42">
        <f t="shared" si="108"/>
        <v>21</v>
      </c>
      <c r="C1802" s="42">
        <f t="shared" si="109"/>
        <v>11</v>
      </c>
      <c r="D1802" s="42">
        <f t="shared" si="110"/>
        <v>2022</v>
      </c>
      <c r="E1802" s="43">
        <v>44886</v>
      </c>
      <c r="F1802" s="42">
        <v>73.97</v>
      </c>
      <c r="G1802" s="42">
        <v>73.739999999999995</v>
      </c>
      <c r="H1802" s="42">
        <v>69.290000000000006</v>
      </c>
      <c r="I1802" s="42">
        <v>75.989999999999995</v>
      </c>
      <c r="J1802" s="42">
        <v>82.94</v>
      </c>
      <c r="K1802" s="42">
        <v>79.73</v>
      </c>
      <c r="L1802" s="42">
        <v>88.23</v>
      </c>
      <c r="M1802" s="42">
        <f t="shared" si="111"/>
        <v>5.7600000000000051</v>
      </c>
    </row>
    <row r="1803" spans="2:13" x14ac:dyDescent="0.25">
      <c r="B1803" s="42">
        <f t="shared" si="108"/>
        <v>22</v>
      </c>
      <c r="C1803" s="42">
        <f t="shared" si="109"/>
        <v>11</v>
      </c>
      <c r="D1803" s="42">
        <f t="shared" si="110"/>
        <v>2022</v>
      </c>
      <c r="E1803" s="43">
        <v>44887</v>
      </c>
      <c r="F1803" s="42">
        <v>74.25</v>
      </c>
      <c r="G1803" s="42">
        <v>74.89</v>
      </c>
      <c r="H1803" s="42">
        <v>70.44</v>
      </c>
      <c r="I1803" s="42">
        <v>77.14</v>
      </c>
      <c r="J1803" s="42">
        <v>89.2</v>
      </c>
      <c r="K1803" s="42">
        <v>80.900000000000006</v>
      </c>
      <c r="L1803" s="42">
        <v>82.85</v>
      </c>
      <c r="M1803" s="42">
        <f t="shared" si="111"/>
        <v>6.6500000000000057</v>
      </c>
    </row>
    <row r="1804" spans="2:13" x14ac:dyDescent="0.25">
      <c r="B1804" s="42">
        <f t="shared" si="108"/>
        <v>23</v>
      </c>
      <c r="C1804" s="42">
        <f t="shared" si="109"/>
        <v>11</v>
      </c>
      <c r="D1804" s="42">
        <f t="shared" si="110"/>
        <v>2022</v>
      </c>
      <c r="E1804" s="43">
        <v>44888</v>
      </c>
      <c r="F1804" s="42">
        <v>71.69</v>
      </c>
      <c r="G1804" s="42">
        <v>71.959999999999994</v>
      </c>
      <c r="H1804" s="42">
        <v>67.510000000000005</v>
      </c>
      <c r="I1804" s="42">
        <v>74.209999999999994</v>
      </c>
      <c r="J1804" s="42">
        <v>85.02</v>
      </c>
      <c r="K1804" s="42">
        <v>77.84</v>
      </c>
      <c r="L1804" s="42">
        <v>79.84</v>
      </c>
      <c r="M1804" s="42">
        <f t="shared" si="111"/>
        <v>6.1500000000000057</v>
      </c>
    </row>
    <row r="1805" spans="2:13" x14ac:dyDescent="0.25">
      <c r="B1805" s="42">
        <f t="shared" si="108"/>
        <v>24</v>
      </c>
      <c r="C1805" s="42">
        <f t="shared" si="109"/>
        <v>11</v>
      </c>
      <c r="D1805" s="42">
        <f t="shared" si="110"/>
        <v>2022</v>
      </c>
      <c r="E1805" s="43">
        <v>44889</v>
      </c>
      <c r="F1805" s="42">
        <v>71.69</v>
      </c>
      <c r="G1805" s="42">
        <v>71.959999999999994</v>
      </c>
      <c r="H1805" s="42">
        <v>67.510000000000005</v>
      </c>
      <c r="I1805" s="42">
        <v>74.209999999999994</v>
      </c>
      <c r="J1805" s="42">
        <v>85.27</v>
      </c>
      <c r="K1805" s="42">
        <v>77.84</v>
      </c>
      <c r="L1805" s="42">
        <v>79.84</v>
      </c>
      <c r="M1805" s="42">
        <f t="shared" ref="M1805:M1822" si="113">K1805-F1805</f>
        <v>6.1500000000000057</v>
      </c>
    </row>
    <row r="1806" spans="2:13" x14ac:dyDescent="0.25">
      <c r="B1806" s="42">
        <f t="shared" si="108"/>
        <v>25</v>
      </c>
      <c r="C1806" s="42">
        <f t="shared" si="109"/>
        <v>11</v>
      </c>
      <c r="D1806" s="42">
        <f t="shared" si="110"/>
        <v>2022</v>
      </c>
      <c r="E1806" s="43">
        <v>44890</v>
      </c>
      <c r="F1806" s="42">
        <v>71.69</v>
      </c>
      <c r="G1806" s="42">
        <v>71.959999999999994</v>
      </c>
      <c r="H1806" s="42">
        <v>67.510000000000005</v>
      </c>
      <c r="I1806" s="42">
        <v>74.209999999999994</v>
      </c>
      <c r="J1806" s="42">
        <v>85.42</v>
      </c>
      <c r="K1806" s="42">
        <v>77.84</v>
      </c>
      <c r="L1806" s="42">
        <v>79.84</v>
      </c>
      <c r="M1806" s="42">
        <f t="shared" si="113"/>
        <v>6.1500000000000057</v>
      </c>
    </row>
    <row r="1807" spans="2:13" x14ac:dyDescent="0.25">
      <c r="B1807" s="42">
        <f t="shared" si="108"/>
        <v>28</v>
      </c>
      <c r="C1807" s="42">
        <f t="shared" si="109"/>
        <v>11</v>
      </c>
      <c r="D1807" s="42">
        <f t="shared" si="110"/>
        <v>2022</v>
      </c>
      <c r="E1807" s="43">
        <v>44893</v>
      </c>
      <c r="F1807" s="42">
        <v>69.900000000000006</v>
      </c>
      <c r="G1807" s="42">
        <v>71.09</v>
      </c>
      <c r="H1807" s="42">
        <v>66.64</v>
      </c>
      <c r="I1807" s="42">
        <v>73.34</v>
      </c>
      <c r="J1807" s="42">
        <v>82.52</v>
      </c>
      <c r="K1807" s="42">
        <v>77.239999999999995</v>
      </c>
      <c r="L1807" s="42">
        <v>79.09</v>
      </c>
      <c r="M1807" s="42">
        <f t="shared" si="113"/>
        <v>7.3399999999999892</v>
      </c>
    </row>
    <row r="1808" spans="2:13" x14ac:dyDescent="0.25">
      <c r="B1808" s="42">
        <f t="shared" si="108"/>
        <v>29</v>
      </c>
      <c r="C1808" s="42">
        <f t="shared" si="109"/>
        <v>11</v>
      </c>
      <c r="D1808" s="42">
        <f t="shared" si="110"/>
        <v>2022</v>
      </c>
      <c r="E1808" s="43">
        <v>44894</v>
      </c>
      <c r="F1808" s="42">
        <v>70.84</v>
      </c>
      <c r="G1808" s="42">
        <v>71.75</v>
      </c>
      <c r="H1808" s="42">
        <v>67.3</v>
      </c>
      <c r="I1808" s="42">
        <v>74</v>
      </c>
      <c r="J1808" s="42">
        <v>83.04</v>
      </c>
      <c r="K1808" s="42">
        <v>78.2</v>
      </c>
      <c r="L1808" s="42">
        <v>80.05</v>
      </c>
      <c r="M1808" s="42">
        <f t="shared" si="113"/>
        <v>7.3599999999999994</v>
      </c>
    </row>
    <row r="1809" spans="2:13" x14ac:dyDescent="0.25">
      <c r="B1809" s="42">
        <f t="shared" si="108"/>
        <v>30</v>
      </c>
      <c r="C1809" s="42">
        <f t="shared" si="109"/>
        <v>11</v>
      </c>
      <c r="D1809" s="42">
        <f t="shared" si="110"/>
        <v>2022</v>
      </c>
      <c r="E1809" s="43">
        <v>44895</v>
      </c>
      <c r="F1809" s="42">
        <v>72.77</v>
      </c>
      <c r="G1809" s="42">
        <v>73.989999999999995</v>
      </c>
      <c r="H1809" s="42">
        <v>69.540000000000006</v>
      </c>
      <c r="I1809" s="42">
        <v>76.239999999999995</v>
      </c>
      <c r="J1809" s="42">
        <v>85.48</v>
      </c>
      <c r="K1809" s="42">
        <v>80.55</v>
      </c>
      <c r="L1809" s="42">
        <v>82.4</v>
      </c>
      <c r="M1809" s="42">
        <f t="shared" si="113"/>
        <v>7.7800000000000011</v>
      </c>
    </row>
    <row r="1810" spans="2:13" x14ac:dyDescent="0.25">
      <c r="B1810" s="42">
        <f t="shared" si="108"/>
        <v>1</v>
      </c>
      <c r="C1810" s="42">
        <f t="shared" si="109"/>
        <v>12</v>
      </c>
      <c r="D1810" s="42">
        <f t="shared" si="110"/>
        <v>2022</v>
      </c>
      <c r="E1810" s="43">
        <v>44896</v>
      </c>
      <c r="F1810" s="42">
        <v>71.08</v>
      </c>
      <c r="G1810" s="42">
        <v>73.569999999999993</v>
      </c>
      <c r="H1810" s="42">
        <v>67.52</v>
      </c>
      <c r="I1810" s="42">
        <v>75.319999999999993</v>
      </c>
      <c r="J1810" s="42">
        <v>88.74</v>
      </c>
      <c r="K1810" s="42">
        <v>81.22</v>
      </c>
      <c r="L1810" s="42">
        <v>83.07</v>
      </c>
      <c r="M1810" s="42">
        <f t="shared" si="113"/>
        <v>10.14</v>
      </c>
    </row>
    <row r="1811" spans="2:13" x14ac:dyDescent="0.25">
      <c r="B1811" s="42">
        <f t="shared" si="108"/>
        <v>2</v>
      </c>
      <c r="C1811" s="42">
        <f t="shared" si="109"/>
        <v>12</v>
      </c>
      <c r="D1811" s="42">
        <f t="shared" si="110"/>
        <v>2022</v>
      </c>
      <c r="E1811" s="43">
        <v>44897</v>
      </c>
      <c r="F1811" s="42">
        <v>69.88</v>
      </c>
      <c r="G1811" s="42">
        <v>72.239999999999995</v>
      </c>
      <c r="H1811" s="42">
        <v>66.19</v>
      </c>
      <c r="I1811" s="42">
        <v>73.989999999999995</v>
      </c>
      <c r="J1811" s="42">
        <v>86.47</v>
      </c>
      <c r="K1811" s="42">
        <v>79.98</v>
      </c>
      <c r="L1811" s="42">
        <v>81.430000000000007</v>
      </c>
      <c r="M1811" s="42">
        <f t="shared" si="113"/>
        <v>10.100000000000009</v>
      </c>
    </row>
    <row r="1812" spans="2:13" x14ac:dyDescent="0.25">
      <c r="B1812" s="42">
        <f t="shared" si="108"/>
        <v>5</v>
      </c>
      <c r="C1812" s="42">
        <f t="shared" si="109"/>
        <v>12</v>
      </c>
      <c r="D1812" s="42">
        <f t="shared" si="110"/>
        <v>2022</v>
      </c>
      <c r="E1812" s="43">
        <v>44900</v>
      </c>
      <c r="F1812" s="42">
        <v>67.16</v>
      </c>
      <c r="G1812" s="42">
        <v>69.25</v>
      </c>
      <c r="H1812" s="42">
        <v>63.2</v>
      </c>
      <c r="I1812" s="42">
        <v>71</v>
      </c>
      <c r="J1812" s="42">
        <v>85.11</v>
      </c>
      <c r="K1812" s="42">
        <v>76.959999999999994</v>
      </c>
      <c r="L1812" s="42">
        <v>78.23</v>
      </c>
      <c r="M1812" s="42">
        <f t="shared" si="113"/>
        <v>9.7999999999999972</v>
      </c>
    </row>
    <row r="1813" spans="2:13" x14ac:dyDescent="0.25">
      <c r="B1813" s="42">
        <f t="shared" si="108"/>
        <v>6</v>
      </c>
      <c r="C1813" s="42">
        <f t="shared" si="109"/>
        <v>12</v>
      </c>
      <c r="D1813" s="42">
        <f t="shared" si="110"/>
        <v>2022</v>
      </c>
      <c r="E1813" s="43">
        <v>44901</v>
      </c>
      <c r="F1813" s="42">
        <v>64.150000000000006</v>
      </c>
      <c r="G1813" s="42">
        <v>66.31</v>
      </c>
      <c r="H1813" s="42">
        <v>60.26</v>
      </c>
      <c r="I1813" s="42">
        <v>68.06</v>
      </c>
      <c r="J1813" s="42">
        <v>80.45</v>
      </c>
      <c r="K1813" s="42">
        <v>74.25</v>
      </c>
      <c r="L1813" s="42">
        <v>75.599999999999994</v>
      </c>
      <c r="M1813" s="42">
        <f t="shared" si="113"/>
        <v>10.099999999999994</v>
      </c>
    </row>
    <row r="1814" spans="2:13" x14ac:dyDescent="0.25">
      <c r="B1814" s="42">
        <f t="shared" si="108"/>
        <v>7</v>
      </c>
      <c r="C1814" s="42">
        <f t="shared" si="109"/>
        <v>12</v>
      </c>
      <c r="D1814" s="42">
        <f t="shared" si="110"/>
        <v>2022</v>
      </c>
      <c r="E1814" s="43">
        <v>44902</v>
      </c>
      <c r="F1814" s="42">
        <v>61.86</v>
      </c>
      <c r="G1814" s="42">
        <v>64.09</v>
      </c>
      <c r="H1814" s="42">
        <v>58.04</v>
      </c>
      <c r="I1814" s="42">
        <v>65.84</v>
      </c>
      <c r="J1814" s="42">
        <v>78.59</v>
      </c>
      <c r="K1814" s="42">
        <v>72.010000000000005</v>
      </c>
      <c r="L1814" s="42">
        <v>73.209999999999994</v>
      </c>
      <c r="M1814" s="42">
        <f t="shared" si="113"/>
        <v>10.150000000000006</v>
      </c>
    </row>
    <row r="1815" spans="2:13" x14ac:dyDescent="0.25">
      <c r="B1815" s="42">
        <f t="shared" si="108"/>
        <v>8</v>
      </c>
      <c r="C1815" s="42">
        <f t="shared" si="109"/>
        <v>12</v>
      </c>
      <c r="D1815" s="42">
        <f t="shared" si="110"/>
        <v>2022</v>
      </c>
      <c r="E1815" s="43">
        <v>44903</v>
      </c>
      <c r="F1815" s="42">
        <v>60.86</v>
      </c>
      <c r="G1815" s="42">
        <v>63.24</v>
      </c>
      <c r="H1815" s="42">
        <v>57.19</v>
      </c>
      <c r="I1815" s="42">
        <v>64.989999999999995</v>
      </c>
      <c r="J1815" s="42">
        <v>76.45</v>
      </c>
      <c r="K1815" s="42">
        <v>71.459999999999994</v>
      </c>
      <c r="L1815" s="42">
        <v>72.61</v>
      </c>
      <c r="M1815" s="42">
        <f t="shared" si="113"/>
        <v>10.599999999999994</v>
      </c>
    </row>
    <row r="1816" spans="2:13" x14ac:dyDescent="0.25">
      <c r="B1816" s="42">
        <f t="shared" si="108"/>
        <v>9</v>
      </c>
      <c r="C1816" s="42">
        <f t="shared" si="109"/>
        <v>12</v>
      </c>
      <c r="D1816" s="42">
        <f t="shared" si="110"/>
        <v>2022</v>
      </c>
      <c r="E1816" s="43">
        <v>44904</v>
      </c>
      <c r="F1816" s="42">
        <v>60.42</v>
      </c>
      <c r="G1816" s="42">
        <v>62.61</v>
      </c>
      <c r="H1816" s="42">
        <v>56.56</v>
      </c>
      <c r="I1816" s="42">
        <v>64.36</v>
      </c>
      <c r="J1816" s="42">
        <v>77.52</v>
      </c>
      <c r="K1816" s="42">
        <v>71.02</v>
      </c>
      <c r="L1816" s="42">
        <v>71.77</v>
      </c>
      <c r="M1816" s="42">
        <f t="shared" si="113"/>
        <v>10.599999999999994</v>
      </c>
    </row>
    <row r="1817" spans="2:13" x14ac:dyDescent="0.25">
      <c r="B1817" s="42">
        <f t="shared" si="108"/>
        <v>12</v>
      </c>
      <c r="C1817" s="42">
        <f t="shared" si="109"/>
        <v>12</v>
      </c>
      <c r="D1817" s="42">
        <f t="shared" si="110"/>
        <v>2022</v>
      </c>
      <c r="E1817" s="43">
        <v>44907</v>
      </c>
      <c r="F1817" s="42">
        <v>61.97</v>
      </c>
      <c r="G1817" s="42">
        <v>64.510000000000005</v>
      </c>
      <c r="H1817" s="42">
        <v>58.46</v>
      </c>
      <c r="I1817" s="42">
        <v>66.260000000000005</v>
      </c>
      <c r="J1817" s="42">
        <v>78.599999999999994</v>
      </c>
      <c r="K1817" s="42">
        <v>73.17</v>
      </c>
      <c r="L1817" s="42">
        <v>73.92</v>
      </c>
      <c r="M1817" s="42">
        <f t="shared" si="113"/>
        <v>11.200000000000003</v>
      </c>
    </row>
    <row r="1818" spans="2:13" x14ac:dyDescent="0.25">
      <c r="B1818" s="42">
        <f t="shared" si="108"/>
        <v>13</v>
      </c>
      <c r="C1818" s="42">
        <f t="shared" si="109"/>
        <v>12</v>
      </c>
      <c r="D1818" s="42">
        <f t="shared" si="110"/>
        <v>2022</v>
      </c>
      <c r="E1818" s="43">
        <v>44908</v>
      </c>
      <c r="F1818" s="42">
        <v>64.67</v>
      </c>
      <c r="G1818" s="42">
        <v>67.06</v>
      </c>
      <c r="H1818" s="42">
        <v>61.01</v>
      </c>
      <c r="I1818" s="42">
        <v>68.81</v>
      </c>
      <c r="J1818" s="42">
        <v>80.599999999999994</v>
      </c>
      <c r="K1818" s="42">
        <v>75.39</v>
      </c>
      <c r="L1818" s="42">
        <v>76.14</v>
      </c>
      <c r="M1818" s="42">
        <f t="shared" si="113"/>
        <v>10.719999999999999</v>
      </c>
    </row>
    <row r="1819" spans="2:13" x14ac:dyDescent="0.25">
      <c r="B1819" s="42">
        <f t="shared" si="108"/>
        <v>14</v>
      </c>
      <c r="C1819" s="42">
        <f t="shared" si="109"/>
        <v>12</v>
      </c>
      <c r="D1819" s="42">
        <f t="shared" si="110"/>
        <v>2022</v>
      </c>
      <c r="E1819" s="43">
        <v>44909</v>
      </c>
      <c r="F1819" s="42">
        <v>66.73</v>
      </c>
      <c r="G1819" s="42">
        <v>69.19</v>
      </c>
      <c r="H1819" s="42">
        <v>63.14</v>
      </c>
      <c r="I1819" s="42">
        <v>70.94</v>
      </c>
      <c r="J1819" s="42">
        <v>82.82</v>
      </c>
      <c r="K1819" s="42">
        <v>77.28</v>
      </c>
      <c r="L1819" s="42">
        <v>78.58</v>
      </c>
      <c r="M1819" s="42">
        <f t="shared" si="113"/>
        <v>10.549999999999997</v>
      </c>
    </row>
    <row r="1820" spans="2:13" x14ac:dyDescent="0.25">
      <c r="B1820" s="42">
        <f t="shared" si="108"/>
        <v>15</v>
      </c>
      <c r="C1820" s="42">
        <f t="shared" si="109"/>
        <v>12</v>
      </c>
      <c r="D1820" s="42">
        <f t="shared" si="110"/>
        <v>2022</v>
      </c>
      <c r="E1820" s="43">
        <v>44910</v>
      </c>
      <c r="F1820" s="42">
        <v>65.73</v>
      </c>
      <c r="G1820" s="42">
        <v>68.069999999999993</v>
      </c>
      <c r="H1820" s="42">
        <v>62.02</v>
      </c>
      <c r="I1820" s="42">
        <v>69.819999999999993</v>
      </c>
      <c r="J1820" s="42">
        <v>81.14</v>
      </c>
      <c r="K1820" s="42">
        <v>76.11</v>
      </c>
      <c r="L1820" s="42">
        <v>77.66</v>
      </c>
      <c r="M1820" s="42">
        <f t="shared" si="113"/>
        <v>10.379999999999995</v>
      </c>
    </row>
    <row r="1821" spans="2:13" x14ac:dyDescent="0.25">
      <c r="B1821" s="42">
        <f t="shared" si="108"/>
        <v>16</v>
      </c>
      <c r="C1821" s="42">
        <f t="shared" si="109"/>
        <v>12</v>
      </c>
      <c r="D1821" s="42">
        <f t="shared" si="110"/>
        <v>2022</v>
      </c>
      <c r="E1821" s="43">
        <v>44911</v>
      </c>
      <c r="F1821" s="42">
        <v>63.86</v>
      </c>
      <c r="G1821" s="42">
        <v>66.16</v>
      </c>
      <c r="H1821" s="42">
        <v>60.11</v>
      </c>
      <c r="I1821" s="42">
        <v>67.91</v>
      </c>
      <c r="J1821" s="42">
        <v>78.489999999999995</v>
      </c>
      <c r="K1821" s="42">
        <v>74.290000000000006</v>
      </c>
      <c r="L1821" s="42">
        <v>76.239999999999995</v>
      </c>
      <c r="M1821" s="42">
        <f t="shared" si="113"/>
        <v>10.430000000000007</v>
      </c>
    </row>
    <row r="1822" spans="2:13" x14ac:dyDescent="0.25">
      <c r="B1822" s="42">
        <f t="shared" si="108"/>
        <v>19</v>
      </c>
      <c r="C1822" s="42">
        <f t="shared" si="109"/>
        <v>12</v>
      </c>
      <c r="D1822" s="42">
        <f t="shared" si="110"/>
        <v>2022</v>
      </c>
      <c r="E1822" s="43">
        <v>44914</v>
      </c>
      <c r="F1822" s="42">
        <v>64.59</v>
      </c>
      <c r="G1822" s="42">
        <v>67.010000000000005</v>
      </c>
      <c r="H1822" s="42">
        <v>60.96</v>
      </c>
      <c r="I1822" s="42">
        <v>68.760000000000005</v>
      </c>
      <c r="J1822" s="42">
        <v>79.849999999999994</v>
      </c>
      <c r="K1822" s="42">
        <v>75.19</v>
      </c>
      <c r="L1822" s="42">
        <v>76.989999999999995</v>
      </c>
      <c r="M1822" s="42">
        <f t="shared" si="113"/>
        <v>10.599999999999994</v>
      </c>
    </row>
    <row r="1823" spans="2:13" x14ac:dyDescent="0.25">
      <c r="B1823" s="42">
        <f t="shared" si="108"/>
        <v>20</v>
      </c>
      <c r="C1823" s="42">
        <f t="shared" si="109"/>
        <v>12</v>
      </c>
      <c r="D1823" s="42">
        <f t="shared" si="110"/>
        <v>2022</v>
      </c>
      <c r="E1823" s="43">
        <v>44915</v>
      </c>
      <c r="F1823" s="42">
        <v>65.22</v>
      </c>
      <c r="G1823" s="42">
        <v>67.86</v>
      </c>
      <c r="H1823" s="42">
        <v>61.81</v>
      </c>
      <c r="I1823" s="42">
        <v>69.61</v>
      </c>
      <c r="J1823" s="42">
        <v>79.37</v>
      </c>
      <c r="K1823" s="42">
        <v>76.09</v>
      </c>
      <c r="L1823" s="42">
        <v>77.89</v>
      </c>
      <c r="M1823" s="42">
        <f t="shared" ref="M1823" si="114">K1823-F1823</f>
        <v>10.870000000000005</v>
      </c>
    </row>
    <row r="1824" spans="2:13" x14ac:dyDescent="0.25">
      <c r="B1824" s="42">
        <f t="shared" ref="B1824:B1826" si="115">DAY(E1824)</f>
        <v>21</v>
      </c>
      <c r="C1824" s="42">
        <f t="shared" ref="C1824:C1826" si="116">MONTH(E1824)</f>
        <v>12</v>
      </c>
      <c r="D1824" s="42">
        <f t="shared" ref="D1824:D1826" si="117">YEAR(E1824)</f>
        <v>2022</v>
      </c>
      <c r="E1824" s="43">
        <v>44916</v>
      </c>
      <c r="F1824" s="42">
        <v>67.209999999999994</v>
      </c>
      <c r="G1824" s="42">
        <v>69.959999999999994</v>
      </c>
      <c r="H1824" s="42">
        <v>63.91</v>
      </c>
      <c r="I1824" s="42">
        <v>71.709999999999994</v>
      </c>
      <c r="J1824" s="42">
        <v>81.709999999999994</v>
      </c>
      <c r="K1824" s="42">
        <v>78.14</v>
      </c>
      <c r="L1824" s="42">
        <v>80.14</v>
      </c>
      <c r="M1824" s="42">
        <f t="shared" ref="M1824:M1826" si="118">K1824-F1824</f>
        <v>10.930000000000007</v>
      </c>
    </row>
    <row r="1825" spans="2:13" x14ac:dyDescent="0.25">
      <c r="B1825" s="42">
        <f t="shared" si="115"/>
        <v>22</v>
      </c>
      <c r="C1825" s="42">
        <f t="shared" si="116"/>
        <v>12</v>
      </c>
      <c r="D1825" s="42">
        <f t="shared" si="117"/>
        <v>2022</v>
      </c>
      <c r="E1825" s="43">
        <v>44917</v>
      </c>
      <c r="F1825" s="42">
        <v>66.62</v>
      </c>
      <c r="G1825" s="42">
        <v>69.11</v>
      </c>
      <c r="H1825" s="42">
        <v>63.06</v>
      </c>
      <c r="I1825" s="42">
        <v>70.86</v>
      </c>
      <c r="J1825" s="42">
        <v>82.11</v>
      </c>
      <c r="K1825" s="42">
        <v>77.34</v>
      </c>
      <c r="L1825" s="42">
        <v>79.739999999999995</v>
      </c>
      <c r="M1825" s="42">
        <f t="shared" si="118"/>
        <v>10.719999999999999</v>
      </c>
    </row>
    <row r="1826" spans="2:13" x14ac:dyDescent="0.25">
      <c r="B1826" s="42">
        <f t="shared" si="115"/>
        <v>23</v>
      </c>
      <c r="C1826" s="42">
        <f t="shared" si="116"/>
        <v>12</v>
      </c>
      <c r="D1826" s="42">
        <f t="shared" si="117"/>
        <v>2022</v>
      </c>
      <c r="E1826" s="43">
        <v>44918</v>
      </c>
      <c r="F1826" s="42">
        <v>68.81</v>
      </c>
      <c r="G1826" s="42">
        <v>71.52</v>
      </c>
      <c r="H1826" s="42">
        <v>65.47</v>
      </c>
      <c r="I1826" s="42">
        <v>73.27</v>
      </c>
      <c r="J1826" s="42">
        <v>82.18</v>
      </c>
      <c r="K1826" s="42">
        <v>79.459999999999994</v>
      </c>
      <c r="L1826" s="42">
        <v>81.86</v>
      </c>
      <c r="M1826" s="42">
        <f t="shared" si="118"/>
        <v>10.649999999999991</v>
      </c>
    </row>
    <row r="1827" spans="2:13" x14ac:dyDescent="0.25">
      <c r="B1827" s="42">
        <f>DAY(E1827)</f>
        <v>26</v>
      </c>
      <c r="C1827" s="42">
        <f>MONTH(E1827)</f>
        <v>12</v>
      </c>
      <c r="D1827" s="42">
        <f>YEAR(E1827)</f>
        <v>2022</v>
      </c>
      <c r="E1827" s="43">
        <v>44921</v>
      </c>
      <c r="F1827" s="42">
        <v>68.81</v>
      </c>
      <c r="G1827" s="42">
        <v>71.52</v>
      </c>
      <c r="H1827" s="42">
        <v>65.47</v>
      </c>
      <c r="I1827" s="42">
        <v>73.27</v>
      </c>
      <c r="J1827" s="42">
        <v>82.18</v>
      </c>
      <c r="K1827" s="42">
        <v>79.459999999999994</v>
      </c>
      <c r="L1827" s="42">
        <v>81.86</v>
      </c>
      <c r="M1827" s="42">
        <f t="shared" ref="M1827:M1859" si="119">K1827-F1827</f>
        <v>10.649999999999991</v>
      </c>
    </row>
    <row r="1828" spans="2:13" x14ac:dyDescent="0.25">
      <c r="B1828" s="42">
        <f>DAY(E1828)</f>
        <v>27</v>
      </c>
      <c r="C1828" s="42">
        <f>MONTH(E1828)</f>
        <v>12</v>
      </c>
      <c r="D1828" s="42">
        <f>YEAR(E1828)</f>
        <v>2022</v>
      </c>
      <c r="E1828" s="43">
        <v>44922</v>
      </c>
      <c r="F1828" s="42">
        <v>69.11</v>
      </c>
      <c r="G1828" s="42">
        <v>71.58</v>
      </c>
      <c r="H1828" s="42">
        <v>65.53</v>
      </c>
      <c r="I1828" s="42">
        <v>73.33</v>
      </c>
      <c r="J1828" s="42">
        <v>85.24</v>
      </c>
      <c r="K1828" s="42">
        <v>79.53</v>
      </c>
      <c r="L1828" s="42">
        <v>81.03</v>
      </c>
      <c r="M1828" s="42">
        <f t="shared" si="119"/>
        <v>10.420000000000002</v>
      </c>
    </row>
    <row r="1829" spans="2:13" x14ac:dyDescent="0.25">
      <c r="B1829" s="42">
        <f>DAY(E1829)</f>
        <v>28</v>
      </c>
      <c r="C1829" s="42">
        <f>MONTH(E1829)</f>
        <v>12</v>
      </c>
      <c r="D1829" s="42">
        <f>YEAR(E1829)</f>
        <v>2022</v>
      </c>
      <c r="E1829" s="43">
        <v>44923</v>
      </c>
      <c r="F1829" s="42">
        <v>68.28</v>
      </c>
      <c r="G1829" s="42">
        <v>70.739999999999995</v>
      </c>
      <c r="H1829" s="42">
        <v>64.69</v>
      </c>
      <c r="I1829" s="42">
        <v>72.489999999999995</v>
      </c>
      <c r="J1829" s="42">
        <v>82.49</v>
      </c>
      <c r="K1829" s="42">
        <v>78.959999999999994</v>
      </c>
      <c r="L1829" s="42">
        <v>80.510000000000005</v>
      </c>
      <c r="M1829" s="42">
        <f t="shared" si="119"/>
        <v>10.679999999999993</v>
      </c>
    </row>
    <row r="1830" spans="2:13" x14ac:dyDescent="0.25">
      <c r="B1830" s="42">
        <f>DAY(E1830)</f>
        <v>29</v>
      </c>
      <c r="C1830" s="42">
        <f>MONTH(E1830)</f>
        <v>12</v>
      </c>
      <c r="D1830" s="42">
        <f>YEAR(E1830)</f>
        <v>2022</v>
      </c>
      <c r="E1830" s="43">
        <v>44924</v>
      </c>
      <c r="F1830" s="42">
        <v>67.31</v>
      </c>
      <c r="G1830" s="42">
        <v>69.89</v>
      </c>
      <c r="H1830" s="42">
        <v>63.84</v>
      </c>
      <c r="I1830" s="42">
        <v>71.64</v>
      </c>
      <c r="J1830" s="42">
        <v>82.26</v>
      </c>
      <c r="K1830" s="42">
        <v>78.400000000000006</v>
      </c>
      <c r="L1830" s="42">
        <v>79.95</v>
      </c>
      <c r="M1830" s="42">
        <f t="shared" si="119"/>
        <v>11.090000000000003</v>
      </c>
    </row>
    <row r="1831" spans="2:13" x14ac:dyDescent="0.25">
      <c r="B1831" s="42">
        <f>DAY(E1831)</f>
        <v>30</v>
      </c>
      <c r="C1831" s="42">
        <f>MONTH(E1831)</f>
        <v>12</v>
      </c>
      <c r="D1831" s="42">
        <f>YEAR(E1831)</f>
        <v>2022</v>
      </c>
      <c r="E1831" s="43">
        <v>44925</v>
      </c>
      <c r="F1831" s="42">
        <v>69.709999999999994</v>
      </c>
      <c r="G1831" s="42">
        <v>72.31</v>
      </c>
      <c r="H1831" s="42">
        <v>66.260000000000005</v>
      </c>
      <c r="I1831" s="42">
        <v>74.06</v>
      </c>
      <c r="J1831" s="42">
        <v>82.64</v>
      </c>
      <c r="K1831" s="42">
        <v>80.260000000000005</v>
      </c>
      <c r="L1831" s="42">
        <v>81.81</v>
      </c>
      <c r="M1831" s="42">
        <f t="shared" si="119"/>
        <v>10.550000000000011</v>
      </c>
    </row>
    <row r="1832" spans="2:13" x14ac:dyDescent="0.25">
      <c r="B1832" s="42">
        <f t="shared" ref="B1832:B1833" si="120">DAY(E1832)</f>
        <v>3</v>
      </c>
      <c r="C1832" s="42">
        <f t="shared" ref="C1832:C1833" si="121">MONTH(E1832)</f>
        <v>1</v>
      </c>
      <c r="D1832" s="42">
        <f t="shared" ref="D1832:D1833" si="122">YEAR(E1832)</f>
        <v>2023</v>
      </c>
      <c r="E1832" s="43">
        <v>44929</v>
      </c>
      <c r="F1832" s="42">
        <v>65.84</v>
      </c>
      <c r="G1832" s="42">
        <v>67.040000000000006</v>
      </c>
      <c r="H1832" s="42">
        <v>62.54</v>
      </c>
      <c r="I1832" s="42">
        <v>71.19</v>
      </c>
      <c r="J1832" s="42">
        <v>83.16</v>
      </c>
      <c r="K1832" s="42">
        <v>76.930000000000007</v>
      </c>
      <c r="L1832" s="42">
        <v>78.430000000000007</v>
      </c>
      <c r="M1832" s="42">
        <f t="shared" si="119"/>
        <v>11.090000000000003</v>
      </c>
    </row>
    <row r="1833" spans="2:13" x14ac:dyDescent="0.25">
      <c r="B1833" s="42">
        <f t="shared" si="120"/>
        <v>4</v>
      </c>
      <c r="C1833" s="42">
        <f t="shared" si="121"/>
        <v>1</v>
      </c>
      <c r="D1833" s="42">
        <f t="shared" si="122"/>
        <v>2023</v>
      </c>
      <c r="E1833" s="43">
        <v>44930</v>
      </c>
      <c r="F1833" s="42">
        <v>61.66</v>
      </c>
      <c r="G1833" s="42">
        <v>62.86</v>
      </c>
      <c r="H1833" s="42">
        <v>58.36</v>
      </c>
      <c r="I1833" s="42">
        <v>67.010000000000005</v>
      </c>
      <c r="J1833" s="42">
        <v>77.97</v>
      </c>
      <c r="K1833" s="42">
        <v>72.84</v>
      </c>
      <c r="L1833" s="42">
        <v>74.34</v>
      </c>
      <c r="M1833" s="42">
        <f t="shared" si="119"/>
        <v>11.180000000000007</v>
      </c>
    </row>
    <row r="1834" spans="2:13" x14ac:dyDescent="0.25">
      <c r="B1834" s="42">
        <f t="shared" ref="B1834:B1842" si="123">DAY(E1834)</f>
        <v>5</v>
      </c>
      <c r="C1834" s="42">
        <f t="shared" ref="C1834:C1842" si="124">MONTH(E1834)</f>
        <v>1</v>
      </c>
      <c r="D1834" s="42">
        <f t="shared" ref="D1834:D1842" si="125">YEAR(E1834)</f>
        <v>2023</v>
      </c>
      <c r="E1834" s="43">
        <v>44931</v>
      </c>
      <c r="F1834" s="42">
        <v>62.47</v>
      </c>
      <c r="G1834" s="42">
        <v>63.8</v>
      </c>
      <c r="H1834" s="42">
        <v>53.9</v>
      </c>
      <c r="I1834" s="42">
        <v>67.95</v>
      </c>
      <c r="J1834" s="42">
        <v>79.16</v>
      </c>
      <c r="K1834" s="42">
        <v>73.67</v>
      </c>
      <c r="L1834" s="42">
        <v>75.319999999999993</v>
      </c>
      <c r="M1834" s="42">
        <f t="shared" si="119"/>
        <v>11.200000000000003</v>
      </c>
    </row>
    <row r="1835" spans="2:13" x14ac:dyDescent="0.25">
      <c r="B1835" s="42">
        <f t="shared" si="123"/>
        <v>6</v>
      </c>
      <c r="C1835" s="42">
        <f t="shared" si="124"/>
        <v>1</v>
      </c>
      <c r="D1835" s="42">
        <f t="shared" si="125"/>
        <v>2023</v>
      </c>
      <c r="E1835" s="43">
        <v>44932</v>
      </c>
      <c r="F1835" s="42">
        <v>62.51</v>
      </c>
      <c r="G1835" s="42">
        <v>63.95</v>
      </c>
      <c r="H1835" s="42">
        <v>59.45</v>
      </c>
      <c r="I1835" s="42">
        <v>68.099999999999994</v>
      </c>
      <c r="J1835" s="42">
        <v>79.739999999999995</v>
      </c>
      <c r="K1835" s="42">
        <v>73.77</v>
      </c>
      <c r="L1835" s="42">
        <v>75.569999999999993</v>
      </c>
      <c r="M1835" s="45">
        <f t="shared" si="119"/>
        <v>11.259999999999998</v>
      </c>
    </row>
    <row r="1836" spans="2:13" x14ac:dyDescent="0.25">
      <c r="B1836" s="42">
        <f t="shared" si="123"/>
        <v>9</v>
      </c>
      <c r="C1836" s="42">
        <f t="shared" si="124"/>
        <v>1</v>
      </c>
      <c r="D1836" s="42">
        <f t="shared" si="125"/>
        <v>2023</v>
      </c>
      <c r="E1836" s="43">
        <v>44935</v>
      </c>
      <c r="F1836" s="42">
        <v>63.5</v>
      </c>
      <c r="G1836" s="42">
        <v>64.819999999999993</v>
      </c>
      <c r="H1836" s="42">
        <v>60.32</v>
      </c>
      <c r="I1836" s="42">
        <v>68.97</v>
      </c>
      <c r="J1836" s="42">
        <v>79.7</v>
      </c>
      <c r="K1836" s="42">
        <v>74.63</v>
      </c>
      <c r="L1836" s="42">
        <v>76.03</v>
      </c>
      <c r="M1836" s="42">
        <f t="shared" si="119"/>
        <v>11.129999999999995</v>
      </c>
    </row>
    <row r="1837" spans="2:13" x14ac:dyDescent="0.25">
      <c r="B1837" s="42">
        <f t="shared" si="123"/>
        <v>10</v>
      </c>
      <c r="C1837" s="42">
        <f t="shared" si="124"/>
        <v>1</v>
      </c>
      <c r="D1837" s="42">
        <f t="shared" si="125"/>
        <v>2023</v>
      </c>
      <c r="E1837" s="43">
        <v>44936</v>
      </c>
      <c r="F1837" s="42">
        <v>63.89</v>
      </c>
      <c r="G1837" s="42">
        <v>65.3</v>
      </c>
      <c r="H1837" s="42">
        <v>60.8</v>
      </c>
      <c r="I1837" s="42">
        <v>69.45</v>
      </c>
      <c r="J1837" s="42">
        <v>79.760000000000005</v>
      </c>
      <c r="K1837" s="42">
        <v>75.12</v>
      </c>
      <c r="L1837" s="42">
        <v>76.77</v>
      </c>
      <c r="M1837" s="42">
        <f t="shared" si="119"/>
        <v>11.230000000000004</v>
      </c>
    </row>
    <row r="1838" spans="2:13" x14ac:dyDescent="0.25">
      <c r="B1838" s="42">
        <f t="shared" si="123"/>
        <v>11</v>
      </c>
      <c r="C1838" s="42">
        <f t="shared" si="124"/>
        <v>1</v>
      </c>
      <c r="D1838" s="42">
        <f t="shared" si="125"/>
        <v>2023</v>
      </c>
      <c r="E1838" s="43">
        <v>44937</v>
      </c>
      <c r="F1838" s="42">
        <v>66.239999999999995</v>
      </c>
      <c r="G1838" s="42">
        <v>67.72</v>
      </c>
      <c r="H1838" s="42">
        <v>63.22</v>
      </c>
      <c r="I1838" s="42">
        <v>71.87</v>
      </c>
      <c r="J1838" s="42">
        <v>82.19</v>
      </c>
      <c r="K1838" s="42">
        <v>77.41</v>
      </c>
      <c r="L1838" s="42">
        <v>79.11</v>
      </c>
      <c r="M1838" s="42">
        <f t="shared" si="119"/>
        <v>11.170000000000002</v>
      </c>
    </row>
    <row r="1839" spans="2:13" x14ac:dyDescent="0.25">
      <c r="B1839" s="42">
        <f t="shared" si="123"/>
        <v>12</v>
      </c>
      <c r="C1839" s="42">
        <f t="shared" si="124"/>
        <v>1</v>
      </c>
      <c r="D1839" s="42">
        <f t="shared" si="125"/>
        <v>2023</v>
      </c>
      <c r="E1839" s="43">
        <v>44938</v>
      </c>
      <c r="F1839" s="42">
        <v>67.540000000000006</v>
      </c>
      <c r="G1839" s="42">
        <v>68.930000000000007</v>
      </c>
      <c r="H1839" s="42">
        <v>64.430000000000007</v>
      </c>
      <c r="I1839" s="42">
        <v>73.08</v>
      </c>
      <c r="J1839" s="42">
        <v>84.34</v>
      </c>
      <c r="K1839" s="42">
        <v>78.39</v>
      </c>
      <c r="L1839" s="42">
        <v>80.290000000000006</v>
      </c>
      <c r="M1839" s="42">
        <f t="shared" si="119"/>
        <v>10.849999999999994</v>
      </c>
    </row>
    <row r="1840" spans="2:13" x14ac:dyDescent="0.25">
      <c r="B1840" s="42">
        <f t="shared" si="123"/>
        <v>13</v>
      </c>
      <c r="C1840" s="42">
        <f t="shared" si="124"/>
        <v>1</v>
      </c>
      <c r="D1840" s="42">
        <f t="shared" si="125"/>
        <v>2023</v>
      </c>
      <c r="E1840" s="43">
        <v>44939</v>
      </c>
      <c r="F1840" s="42">
        <v>68.94</v>
      </c>
      <c r="G1840" s="42">
        <v>70.349999999999994</v>
      </c>
      <c r="H1840" s="42">
        <v>65.849999999999994</v>
      </c>
      <c r="I1840" s="42">
        <v>74.5</v>
      </c>
      <c r="J1840" s="42">
        <v>84.9</v>
      </c>
      <c r="K1840" s="42">
        <v>79.86</v>
      </c>
      <c r="L1840" s="42">
        <v>82.66</v>
      </c>
      <c r="M1840" s="42">
        <f t="shared" si="119"/>
        <v>10.920000000000002</v>
      </c>
    </row>
    <row r="1841" spans="2:13" x14ac:dyDescent="0.25">
      <c r="B1841" s="42">
        <f t="shared" si="123"/>
        <v>17</v>
      </c>
      <c r="C1841" s="42">
        <f t="shared" si="124"/>
        <v>1</v>
      </c>
      <c r="D1841" s="42">
        <f t="shared" si="125"/>
        <v>2023</v>
      </c>
      <c r="E1841" s="43">
        <v>44943</v>
      </c>
      <c r="F1841" s="42">
        <v>69.709999999999994</v>
      </c>
      <c r="G1841" s="42">
        <v>71.08</v>
      </c>
      <c r="H1841" s="42">
        <v>66.58</v>
      </c>
      <c r="I1841" s="42">
        <v>75.23</v>
      </c>
      <c r="J1841" s="42">
        <v>85.75</v>
      </c>
      <c r="K1841" s="42">
        <v>80.180000000000007</v>
      </c>
      <c r="L1841" s="42">
        <v>83.43</v>
      </c>
      <c r="M1841" s="42">
        <f t="shared" si="119"/>
        <v>10.470000000000013</v>
      </c>
    </row>
    <row r="1842" spans="2:13" x14ac:dyDescent="0.25">
      <c r="B1842" s="42">
        <f t="shared" si="123"/>
        <v>18</v>
      </c>
      <c r="C1842" s="42">
        <f t="shared" si="124"/>
        <v>1</v>
      </c>
      <c r="D1842" s="42">
        <f t="shared" si="125"/>
        <v>2023</v>
      </c>
      <c r="E1842" s="43">
        <v>44944</v>
      </c>
      <c r="F1842" s="42">
        <v>69.16</v>
      </c>
      <c r="G1842" s="42">
        <v>70.56</v>
      </c>
      <c r="H1842" s="42">
        <v>66.06</v>
      </c>
      <c r="I1842" s="42">
        <v>74.709999999999994</v>
      </c>
      <c r="J1842" s="42">
        <v>87.31</v>
      </c>
      <c r="K1842" s="42">
        <v>79.48</v>
      </c>
      <c r="L1842" s="42">
        <v>83.13</v>
      </c>
      <c r="M1842" s="42">
        <f t="shared" si="119"/>
        <v>10.320000000000007</v>
      </c>
    </row>
    <row r="1843" spans="2:13" x14ac:dyDescent="0.25">
      <c r="B1843" s="42">
        <f t="shared" ref="B1843:B1845" si="126">DAY(E1843)</f>
        <v>19</v>
      </c>
      <c r="C1843" s="42">
        <f t="shared" ref="C1843:C1845" si="127">MONTH(E1843)</f>
        <v>1</v>
      </c>
      <c r="D1843" s="42">
        <f t="shared" ref="D1843:D1845" si="128">YEAR(E1843)</f>
        <v>2023</v>
      </c>
      <c r="E1843" s="43">
        <v>44945</v>
      </c>
      <c r="F1843" s="42">
        <v>69.88</v>
      </c>
      <c r="G1843" s="42">
        <v>71.459999999999994</v>
      </c>
      <c r="H1843" s="42">
        <v>66.959999999999994</v>
      </c>
      <c r="I1843" s="42">
        <v>75.61</v>
      </c>
      <c r="J1843" s="42">
        <v>85.54</v>
      </c>
      <c r="K1843" s="42">
        <v>80.33</v>
      </c>
      <c r="L1843" s="42">
        <v>83.98</v>
      </c>
      <c r="M1843" s="42">
        <f t="shared" si="119"/>
        <v>10.450000000000003</v>
      </c>
    </row>
    <row r="1844" spans="2:13" x14ac:dyDescent="0.25">
      <c r="B1844" s="42">
        <f t="shared" si="126"/>
        <v>20</v>
      </c>
      <c r="C1844" s="42">
        <f t="shared" si="127"/>
        <v>1</v>
      </c>
      <c r="D1844" s="42">
        <f t="shared" si="128"/>
        <v>2023</v>
      </c>
      <c r="E1844" s="43">
        <v>44946</v>
      </c>
      <c r="F1844" s="42">
        <v>70.099999999999994</v>
      </c>
      <c r="G1844" s="42">
        <v>72.38</v>
      </c>
      <c r="H1844" s="42">
        <v>67.88</v>
      </c>
      <c r="I1844" s="42">
        <v>76.53</v>
      </c>
      <c r="J1844" s="42">
        <v>86.78</v>
      </c>
      <c r="K1844" s="42">
        <v>81.31</v>
      </c>
      <c r="L1844" s="42">
        <v>84.71</v>
      </c>
      <c r="M1844" s="42">
        <f t="shared" si="119"/>
        <v>11.210000000000008</v>
      </c>
    </row>
    <row r="1845" spans="2:13" x14ac:dyDescent="0.25">
      <c r="B1845" s="42">
        <f t="shared" si="126"/>
        <v>23</v>
      </c>
      <c r="C1845" s="42">
        <f t="shared" si="127"/>
        <v>1</v>
      </c>
      <c r="D1845" s="42">
        <f t="shared" si="128"/>
        <v>2023</v>
      </c>
      <c r="E1845" s="43">
        <v>44949</v>
      </c>
      <c r="F1845" s="42">
        <v>70.099999999999994</v>
      </c>
      <c r="G1845" s="42">
        <v>72.650000000000006</v>
      </c>
      <c r="H1845" s="42">
        <v>68.150000000000006</v>
      </c>
      <c r="I1845" s="42">
        <v>76.8</v>
      </c>
      <c r="J1845" s="42">
        <v>89.07</v>
      </c>
      <c r="K1845" s="42">
        <v>81.319999999999993</v>
      </c>
      <c r="L1845" s="42">
        <v>84.72</v>
      </c>
      <c r="M1845" s="42">
        <f t="shared" si="119"/>
        <v>11.219999999999999</v>
      </c>
    </row>
    <row r="1846" spans="2:13" x14ac:dyDescent="0.25">
      <c r="B1846" s="42">
        <f t="shared" ref="B1846:B1853" si="129">DAY(E1846)</f>
        <v>24</v>
      </c>
      <c r="C1846" s="42">
        <f t="shared" ref="C1846:C1853" si="130">MONTH(E1846)</f>
        <v>1</v>
      </c>
      <c r="D1846" s="42">
        <f t="shared" ref="D1846:D1853" si="131">YEAR(E1846)</f>
        <v>2023</v>
      </c>
      <c r="E1846" s="43">
        <v>44950</v>
      </c>
      <c r="F1846" s="42">
        <v>70.099999999999994</v>
      </c>
      <c r="G1846" s="42">
        <v>71.22</v>
      </c>
      <c r="H1846" s="42">
        <v>66.72</v>
      </c>
      <c r="I1846" s="42">
        <v>75.37</v>
      </c>
      <c r="J1846" s="42">
        <v>86.88</v>
      </c>
      <c r="K1846" s="42">
        <v>79.78</v>
      </c>
      <c r="L1846" s="42">
        <v>83.18</v>
      </c>
      <c r="M1846" s="42">
        <f t="shared" si="119"/>
        <v>9.6800000000000068</v>
      </c>
    </row>
    <row r="1847" spans="2:13" x14ac:dyDescent="0.25">
      <c r="B1847" s="42">
        <f t="shared" si="129"/>
        <v>25</v>
      </c>
      <c r="C1847" s="42">
        <f t="shared" si="130"/>
        <v>1</v>
      </c>
      <c r="D1847" s="42">
        <f t="shared" si="131"/>
        <v>2023</v>
      </c>
      <c r="E1847" s="43">
        <v>44951</v>
      </c>
      <c r="F1847" s="42">
        <v>69.819999999999993</v>
      </c>
      <c r="G1847" s="42">
        <v>71.489999999999995</v>
      </c>
      <c r="H1847" s="42">
        <v>66.989999999999995</v>
      </c>
      <c r="I1847" s="42">
        <v>75.64</v>
      </c>
      <c r="J1847" s="42">
        <v>86.66</v>
      </c>
      <c r="K1847" s="42">
        <v>79.8</v>
      </c>
      <c r="L1847" s="42">
        <v>83</v>
      </c>
      <c r="M1847" s="42">
        <f t="shared" si="119"/>
        <v>9.980000000000004</v>
      </c>
    </row>
    <row r="1848" spans="2:13" x14ac:dyDescent="0.25">
      <c r="B1848" s="42">
        <f t="shared" si="129"/>
        <v>26</v>
      </c>
      <c r="C1848" s="42">
        <f t="shared" si="130"/>
        <v>1</v>
      </c>
      <c r="D1848" s="42">
        <f t="shared" si="131"/>
        <v>2023</v>
      </c>
      <c r="E1848" s="43">
        <v>44952</v>
      </c>
      <c r="F1848" s="42">
        <v>71.069999999999993</v>
      </c>
      <c r="G1848" s="42">
        <v>72.42</v>
      </c>
      <c r="H1848" s="42">
        <v>67.92</v>
      </c>
      <c r="I1848" s="42">
        <v>76.569999999999993</v>
      </c>
      <c r="J1848" s="42">
        <v>87.73</v>
      </c>
      <c r="K1848" s="42">
        <v>81.010000000000005</v>
      </c>
      <c r="L1848" s="42">
        <v>84.06</v>
      </c>
      <c r="M1848" s="42">
        <f t="shared" si="119"/>
        <v>9.9400000000000119</v>
      </c>
    </row>
    <row r="1849" spans="2:13" x14ac:dyDescent="0.25">
      <c r="B1849" s="42">
        <f t="shared" si="129"/>
        <v>27</v>
      </c>
      <c r="C1849" s="42">
        <f t="shared" si="130"/>
        <v>1</v>
      </c>
      <c r="D1849" s="42">
        <f t="shared" si="131"/>
        <v>2023</v>
      </c>
      <c r="E1849" s="43">
        <v>44953</v>
      </c>
      <c r="F1849" s="42">
        <v>70.17</v>
      </c>
      <c r="G1849" s="42">
        <v>71.400000000000006</v>
      </c>
      <c r="H1849" s="42">
        <v>66.900000000000006</v>
      </c>
      <c r="I1849" s="42">
        <v>75.55</v>
      </c>
      <c r="J1849" s="42">
        <v>86.88</v>
      </c>
      <c r="K1849" s="42">
        <v>79.680000000000007</v>
      </c>
      <c r="L1849" s="42">
        <v>82.73</v>
      </c>
      <c r="M1849" s="42">
        <f t="shared" si="119"/>
        <v>9.5100000000000051</v>
      </c>
    </row>
    <row r="1850" spans="2:13" x14ac:dyDescent="0.25">
      <c r="B1850" s="42">
        <f t="shared" si="129"/>
        <v>30</v>
      </c>
      <c r="C1850" s="42">
        <f t="shared" si="130"/>
        <v>1</v>
      </c>
      <c r="D1850" s="42">
        <f t="shared" si="131"/>
        <v>2023</v>
      </c>
      <c r="E1850" s="43">
        <v>44956</v>
      </c>
      <c r="F1850" s="42">
        <v>68.459999999999994</v>
      </c>
      <c r="G1850" s="42">
        <v>69.73</v>
      </c>
      <c r="H1850" s="42">
        <v>63.23</v>
      </c>
      <c r="I1850" s="42">
        <v>73.88</v>
      </c>
      <c r="J1850" s="42">
        <v>85.83</v>
      </c>
      <c r="K1850" s="42">
        <v>77.900000000000006</v>
      </c>
      <c r="L1850" s="42">
        <v>81.349999999999994</v>
      </c>
      <c r="M1850" s="42">
        <f t="shared" si="119"/>
        <v>9.4400000000000119</v>
      </c>
    </row>
    <row r="1851" spans="2:13" x14ac:dyDescent="0.25">
      <c r="B1851" s="42">
        <f t="shared" si="129"/>
        <v>31</v>
      </c>
      <c r="C1851" s="42">
        <f t="shared" si="130"/>
        <v>1</v>
      </c>
      <c r="D1851" s="42">
        <f t="shared" si="131"/>
        <v>2023</v>
      </c>
      <c r="E1851" s="43">
        <v>44957</v>
      </c>
      <c r="F1851" s="42">
        <v>68.66</v>
      </c>
      <c r="G1851" s="42">
        <v>70.150000000000006</v>
      </c>
      <c r="H1851" s="42">
        <v>65.650000000000006</v>
      </c>
      <c r="I1851" s="42">
        <v>74.3</v>
      </c>
      <c r="J1851" s="42">
        <v>85.27</v>
      </c>
      <c r="K1851" s="42">
        <v>78.87</v>
      </c>
      <c r="L1851" s="42">
        <v>82.32</v>
      </c>
      <c r="M1851" s="42">
        <f t="shared" si="119"/>
        <v>10.210000000000008</v>
      </c>
    </row>
    <row r="1852" spans="2:13" x14ac:dyDescent="0.25">
      <c r="B1852" s="42">
        <f t="shared" si="129"/>
        <v>1</v>
      </c>
      <c r="C1852" s="42">
        <f t="shared" si="130"/>
        <v>2</v>
      </c>
      <c r="D1852" s="42">
        <f t="shared" si="131"/>
        <v>2023</v>
      </c>
      <c r="E1852" s="43">
        <v>44958</v>
      </c>
      <c r="F1852" s="42">
        <v>66.61</v>
      </c>
      <c r="G1852" s="42">
        <v>67.94</v>
      </c>
      <c r="H1852" s="42">
        <v>63.39</v>
      </c>
      <c r="I1852" s="42">
        <v>72.64</v>
      </c>
      <c r="J1852" s="42">
        <v>84.29</v>
      </c>
      <c r="K1852" s="42">
        <v>76.41</v>
      </c>
      <c r="L1852" s="42">
        <v>79.91</v>
      </c>
      <c r="M1852" s="42">
        <f t="shared" si="119"/>
        <v>9.7999999999999972</v>
      </c>
    </row>
    <row r="1853" spans="2:13" x14ac:dyDescent="0.25">
      <c r="B1853" s="42">
        <f t="shared" si="129"/>
        <v>2</v>
      </c>
      <c r="C1853" s="42">
        <f t="shared" si="130"/>
        <v>2</v>
      </c>
      <c r="D1853" s="42">
        <f t="shared" si="131"/>
        <v>2023</v>
      </c>
      <c r="E1853" s="43">
        <v>44959</v>
      </c>
      <c r="F1853" s="42">
        <v>65.83</v>
      </c>
      <c r="G1853" s="42">
        <v>67.39</v>
      </c>
      <c r="H1853" s="42">
        <v>62.84</v>
      </c>
      <c r="I1853" s="42">
        <v>72.09</v>
      </c>
      <c r="J1853" s="42">
        <v>81.94</v>
      </c>
      <c r="K1853" s="42">
        <v>75.88</v>
      </c>
      <c r="L1853" s="42">
        <v>79.38</v>
      </c>
      <c r="M1853" s="42">
        <f t="shared" si="119"/>
        <v>10.049999999999997</v>
      </c>
    </row>
    <row r="1854" spans="2:13" x14ac:dyDescent="0.25">
      <c r="B1854" s="42">
        <f t="shared" ref="B1854" si="132">DAY(E1854)</f>
        <v>3</v>
      </c>
      <c r="C1854" s="42">
        <f t="shared" ref="C1854" si="133">MONTH(E1854)</f>
        <v>2</v>
      </c>
      <c r="D1854" s="42">
        <f t="shared" ref="D1854" si="134">YEAR(E1854)</f>
        <v>2023</v>
      </c>
      <c r="E1854" s="43">
        <v>44960</v>
      </c>
      <c r="F1854" s="42">
        <v>63.63</v>
      </c>
      <c r="G1854" s="42">
        <v>65</v>
      </c>
      <c r="H1854" s="42">
        <v>60.45</v>
      </c>
      <c r="I1854" s="42">
        <v>69.7</v>
      </c>
      <c r="J1854" s="42">
        <v>81.69</v>
      </c>
      <c r="K1854" s="42">
        <v>73.39</v>
      </c>
      <c r="L1854" s="42">
        <v>76.94</v>
      </c>
      <c r="M1854" s="42">
        <f t="shared" si="119"/>
        <v>9.759999999999998</v>
      </c>
    </row>
    <row r="1855" spans="2:13" x14ac:dyDescent="0.25">
      <c r="B1855" s="42">
        <f t="shared" ref="B1855:B1871" si="135">DAY(E1855)</f>
        <v>6</v>
      </c>
      <c r="C1855" s="42">
        <f t="shared" ref="C1855:C1871" si="136">MONTH(E1855)</f>
        <v>2</v>
      </c>
      <c r="D1855" s="42">
        <f t="shared" ref="D1855:D1871" si="137">YEAR(E1855)</f>
        <v>2023</v>
      </c>
      <c r="E1855" s="43">
        <v>44963</v>
      </c>
      <c r="F1855" s="42">
        <v>63.63</v>
      </c>
      <c r="G1855" s="42">
        <v>65.959999999999994</v>
      </c>
      <c r="H1855" s="42">
        <v>61.41</v>
      </c>
      <c r="I1855" s="42">
        <v>70.66</v>
      </c>
      <c r="J1855" s="42">
        <v>80.209999999999994</v>
      </c>
      <c r="K1855" s="42">
        <v>74.11</v>
      </c>
      <c r="L1855" s="42">
        <v>77.86</v>
      </c>
      <c r="M1855" s="42">
        <f t="shared" si="119"/>
        <v>10.479999999999997</v>
      </c>
    </row>
    <row r="1856" spans="2:13" x14ac:dyDescent="0.25">
      <c r="B1856" s="42">
        <f t="shared" si="135"/>
        <v>7</v>
      </c>
      <c r="C1856" s="42">
        <f t="shared" si="136"/>
        <v>2</v>
      </c>
      <c r="D1856" s="42">
        <f t="shared" si="137"/>
        <v>2023</v>
      </c>
      <c r="E1856" s="43">
        <v>44964</v>
      </c>
      <c r="F1856" s="42">
        <v>67.27</v>
      </c>
      <c r="G1856" s="42">
        <v>68.88</v>
      </c>
      <c r="H1856" s="42">
        <v>64.33</v>
      </c>
      <c r="I1856" s="42">
        <v>73.58</v>
      </c>
      <c r="J1856" s="42">
        <v>83.1</v>
      </c>
      <c r="K1856" s="42">
        <v>77.14</v>
      </c>
      <c r="L1856" s="42">
        <v>81.040000000000006</v>
      </c>
      <c r="M1856" s="42">
        <f t="shared" si="119"/>
        <v>9.8700000000000045</v>
      </c>
    </row>
    <row r="1857" spans="2:14" x14ac:dyDescent="0.25">
      <c r="B1857" s="42">
        <f t="shared" si="135"/>
        <v>8</v>
      </c>
      <c r="C1857" s="42">
        <f t="shared" si="136"/>
        <v>2</v>
      </c>
      <c r="D1857" s="42">
        <f t="shared" si="137"/>
        <v>2023</v>
      </c>
      <c r="E1857" s="43">
        <v>44965</v>
      </c>
      <c r="F1857" s="42">
        <v>68.599999999999994</v>
      </c>
      <c r="G1857" s="42">
        <v>70.2</v>
      </c>
      <c r="H1857" s="42">
        <v>65.650000000000006</v>
      </c>
      <c r="I1857" s="42">
        <v>74.900000000000006</v>
      </c>
      <c r="J1857" s="42">
        <v>84</v>
      </c>
      <c r="K1857" s="42">
        <v>78.47</v>
      </c>
      <c r="L1857" s="42">
        <v>82.52</v>
      </c>
      <c r="M1857" s="42">
        <f t="shared" si="119"/>
        <v>9.8700000000000045</v>
      </c>
    </row>
    <row r="1858" spans="2:14" x14ac:dyDescent="0.25">
      <c r="B1858" s="42">
        <f t="shared" si="135"/>
        <v>9</v>
      </c>
      <c r="C1858" s="42">
        <f t="shared" si="136"/>
        <v>2</v>
      </c>
      <c r="D1858" s="42">
        <f t="shared" si="137"/>
        <v>2023</v>
      </c>
      <c r="E1858" s="43">
        <v>44966</v>
      </c>
      <c r="F1858" s="42">
        <v>68.209999999999994</v>
      </c>
      <c r="G1858" s="42">
        <v>69.760000000000005</v>
      </c>
      <c r="H1858" s="42">
        <v>65.209999999999994</v>
      </c>
      <c r="I1858" s="42">
        <v>74.459999999999994</v>
      </c>
      <c r="J1858" s="42">
        <v>84.1</v>
      </c>
      <c r="K1858" s="42">
        <v>78.06</v>
      </c>
      <c r="L1858" s="42">
        <v>81.96</v>
      </c>
      <c r="M1858" s="42">
        <f t="shared" si="119"/>
        <v>9.8500000000000085</v>
      </c>
    </row>
    <row r="1859" spans="2:14" x14ac:dyDescent="0.25">
      <c r="B1859" s="42">
        <f t="shared" si="135"/>
        <v>10</v>
      </c>
      <c r="C1859" s="42">
        <f t="shared" si="136"/>
        <v>2</v>
      </c>
      <c r="D1859" s="42">
        <f t="shared" si="137"/>
        <v>2023</v>
      </c>
      <c r="E1859" s="43">
        <v>44967</v>
      </c>
      <c r="F1859" s="42">
        <v>69.92</v>
      </c>
      <c r="G1859" s="42">
        <v>71.5</v>
      </c>
      <c r="H1859" s="42">
        <v>66.95</v>
      </c>
      <c r="I1859" s="42">
        <v>76.2</v>
      </c>
      <c r="J1859" s="42">
        <v>86.49</v>
      </c>
      <c r="K1859" s="42">
        <v>79.72</v>
      </c>
      <c r="L1859" s="42">
        <v>83.62</v>
      </c>
      <c r="M1859" s="42">
        <f t="shared" si="119"/>
        <v>9.7999999999999972</v>
      </c>
    </row>
    <row r="1860" spans="2:14" x14ac:dyDescent="0.25">
      <c r="B1860" s="42">
        <f t="shared" si="135"/>
        <v>13</v>
      </c>
      <c r="C1860" s="42">
        <f t="shared" si="136"/>
        <v>2</v>
      </c>
      <c r="D1860" s="42">
        <f t="shared" si="137"/>
        <v>2023</v>
      </c>
      <c r="E1860" s="43">
        <v>44970</v>
      </c>
      <c r="F1860" s="42">
        <v>70.33</v>
      </c>
      <c r="G1860" s="42">
        <v>71.98</v>
      </c>
      <c r="H1860" s="42">
        <v>67.430000000000007</v>
      </c>
      <c r="I1860" s="42">
        <v>76.680000000000007</v>
      </c>
      <c r="J1860" s="42">
        <v>86.11</v>
      </c>
      <c r="K1860" s="42">
        <v>80.14</v>
      </c>
      <c r="L1860" s="42">
        <v>84.04</v>
      </c>
      <c r="M1860" s="42">
        <f t="shared" ref="M1860:M1875" si="138">K1860-F1860</f>
        <v>9.8100000000000023</v>
      </c>
    </row>
    <row r="1861" spans="2:14" x14ac:dyDescent="0.25">
      <c r="B1861" s="42">
        <f t="shared" si="135"/>
        <v>14</v>
      </c>
      <c r="C1861" s="42">
        <f t="shared" si="136"/>
        <v>2</v>
      </c>
      <c r="D1861" s="42">
        <f t="shared" si="137"/>
        <v>2023</v>
      </c>
      <c r="E1861" s="43">
        <v>44971</v>
      </c>
      <c r="F1861" s="42">
        <v>69.47</v>
      </c>
      <c r="G1861" s="42">
        <v>71.08</v>
      </c>
      <c r="H1861" s="42">
        <v>66.53</v>
      </c>
      <c r="I1861" s="42">
        <v>75.78</v>
      </c>
      <c r="J1861" s="42">
        <v>85.34</v>
      </c>
      <c r="K1861" s="42">
        <v>79.06</v>
      </c>
      <c r="L1861" s="42">
        <v>82.96</v>
      </c>
      <c r="M1861" s="42">
        <f t="shared" si="138"/>
        <v>9.5900000000000034</v>
      </c>
    </row>
    <row r="1862" spans="2:14" x14ac:dyDescent="0.25">
      <c r="B1862" s="42">
        <f t="shared" si="135"/>
        <v>15</v>
      </c>
      <c r="C1862" s="42">
        <f t="shared" si="136"/>
        <v>2</v>
      </c>
      <c r="D1862" s="42">
        <f t="shared" si="137"/>
        <v>2023</v>
      </c>
      <c r="E1862" s="43">
        <v>44972</v>
      </c>
      <c r="F1862" s="42">
        <v>69.06</v>
      </c>
      <c r="G1862" s="42">
        <v>70.599999999999994</v>
      </c>
      <c r="H1862" s="42">
        <v>66.05</v>
      </c>
      <c r="I1862" s="42">
        <v>75.3</v>
      </c>
      <c r="J1862" s="42">
        <v>84.43</v>
      </c>
      <c r="K1862" s="42">
        <v>78.59</v>
      </c>
      <c r="L1862" s="42">
        <v>82.04</v>
      </c>
      <c r="M1862" s="42">
        <f t="shared" si="138"/>
        <v>9.5300000000000011</v>
      </c>
    </row>
    <row r="1863" spans="2:14" x14ac:dyDescent="0.25">
      <c r="B1863" s="42">
        <f t="shared" si="135"/>
        <v>16</v>
      </c>
      <c r="C1863" s="42">
        <f t="shared" si="136"/>
        <v>2</v>
      </c>
      <c r="D1863" s="42">
        <f t="shared" si="137"/>
        <v>2023</v>
      </c>
      <c r="E1863" s="43">
        <v>44973</v>
      </c>
      <c r="F1863" s="42">
        <v>68.819999999999993</v>
      </c>
      <c r="G1863" s="42">
        <v>70.36</v>
      </c>
      <c r="H1863" s="42">
        <v>65.81</v>
      </c>
      <c r="I1863" s="42">
        <v>75.06</v>
      </c>
      <c r="J1863" s="42">
        <v>85.42</v>
      </c>
      <c r="K1863" s="42">
        <v>78.489999999999995</v>
      </c>
      <c r="L1863" s="42">
        <v>81.89</v>
      </c>
      <c r="M1863" s="42">
        <f t="shared" si="138"/>
        <v>9.6700000000000017</v>
      </c>
    </row>
    <row r="1864" spans="2:14" x14ac:dyDescent="0.25">
      <c r="B1864" s="42">
        <f t="shared" si="135"/>
        <v>17</v>
      </c>
      <c r="C1864" s="42">
        <f t="shared" si="136"/>
        <v>2</v>
      </c>
      <c r="D1864" s="42">
        <f t="shared" si="137"/>
        <v>2023</v>
      </c>
      <c r="E1864" s="43">
        <v>44974</v>
      </c>
      <c r="F1864" s="42">
        <v>66.680000000000007</v>
      </c>
      <c r="G1864" s="42">
        <v>68.180000000000007</v>
      </c>
      <c r="H1864" s="42">
        <v>63.63</v>
      </c>
      <c r="I1864" s="42">
        <v>72.88</v>
      </c>
      <c r="J1864" s="42">
        <v>83</v>
      </c>
      <c r="K1864" s="42">
        <v>76.34</v>
      </c>
      <c r="L1864" s="42">
        <v>80.19</v>
      </c>
      <c r="M1864" s="42">
        <f t="shared" si="138"/>
        <v>9.6599999999999966</v>
      </c>
    </row>
    <row r="1865" spans="2:14" x14ac:dyDescent="0.25">
      <c r="B1865" s="42">
        <f t="shared" si="135"/>
        <v>20</v>
      </c>
      <c r="C1865" s="42">
        <f t="shared" si="136"/>
        <v>2</v>
      </c>
      <c r="D1865" s="42">
        <f t="shared" si="137"/>
        <v>2023</v>
      </c>
      <c r="E1865" s="43">
        <v>44977</v>
      </c>
      <c r="F1865" s="46">
        <v>66.680000000000007</v>
      </c>
      <c r="G1865" s="46">
        <v>68.180000000000007</v>
      </c>
      <c r="H1865" s="46">
        <v>63.63</v>
      </c>
      <c r="I1865" s="46">
        <v>72.88</v>
      </c>
      <c r="J1865" s="47">
        <v>83.4</v>
      </c>
      <c r="K1865" s="46">
        <v>76.34</v>
      </c>
      <c r="L1865" s="46">
        <v>80.19</v>
      </c>
      <c r="M1865" s="42">
        <f t="shared" si="138"/>
        <v>9.6599999999999966</v>
      </c>
      <c r="N1865" s="1" t="s">
        <v>41</v>
      </c>
    </row>
    <row r="1866" spans="2:14" x14ac:dyDescent="0.25">
      <c r="B1866" s="42">
        <f t="shared" si="135"/>
        <v>21</v>
      </c>
      <c r="C1866" s="42">
        <f t="shared" si="136"/>
        <v>2</v>
      </c>
      <c r="D1866" s="42">
        <f t="shared" si="137"/>
        <v>2023</v>
      </c>
      <c r="E1866" s="43">
        <v>44978</v>
      </c>
      <c r="F1866" s="42">
        <v>66.63</v>
      </c>
      <c r="G1866" s="42">
        <v>68.05</v>
      </c>
      <c r="H1866" s="42">
        <v>63.5</v>
      </c>
      <c r="I1866" s="42">
        <v>72.75</v>
      </c>
      <c r="J1866" s="42">
        <v>83.19</v>
      </c>
      <c r="K1866" s="42">
        <v>76.16</v>
      </c>
      <c r="L1866" s="42">
        <v>80.010000000000005</v>
      </c>
      <c r="M1866" s="42">
        <f t="shared" si="138"/>
        <v>9.5300000000000011</v>
      </c>
    </row>
    <row r="1867" spans="2:14" x14ac:dyDescent="0.25">
      <c r="B1867" s="42">
        <f t="shared" si="135"/>
        <v>22</v>
      </c>
      <c r="C1867" s="42">
        <f t="shared" si="136"/>
        <v>2</v>
      </c>
      <c r="D1867" s="42">
        <f t="shared" si="137"/>
        <v>2023</v>
      </c>
      <c r="E1867" s="43">
        <v>44979</v>
      </c>
      <c r="F1867" s="42">
        <v>64.22</v>
      </c>
      <c r="G1867" s="42">
        <v>65.489999999999995</v>
      </c>
      <c r="H1867" s="42">
        <v>60.94</v>
      </c>
      <c r="I1867" s="42">
        <v>70.19</v>
      </c>
      <c r="J1867" s="42">
        <v>81.349999999999994</v>
      </c>
      <c r="K1867" s="42">
        <v>73.8</v>
      </c>
      <c r="L1867" s="42">
        <v>76.45</v>
      </c>
      <c r="M1867" s="42">
        <f t="shared" si="138"/>
        <v>9.5799999999999983</v>
      </c>
    </row>
    <row r="1868" spans="2:14" x14ac:dyDescent="0.25">
      <c r="B1868" s="42">
        <f t="shared" si="135"/>
        <v>23</v>
      </c>
      <c r="C1868" s="42">
        <f t="shared" si="136"/>
        <v>2</v>
      </c>
      <c r="D1868" s="42">
        <f t="shared" si="137"/>
        <v>2023</v>
      </c>
      <c r="E1868" s="43">
        <v>44980</v>
      </c>
      <c r="F1868" s="42">
        <v>65.69</v>
      </c>
      <c r="G1868" s="42">
        <v>67.19</v>
      </c>
      <c r="H1868" s="42">
        <v>62.64</v>
      </c>
      <c r="I1868" s="42">
        <v>71.89</v>
      </c>
      <c r="J1868" s="42">
        <v>81.84</v>
      </c>
      <c r="K1868" s="42">
        <v>75.290000000000006</v>
      </c>
      <c r="L1868" s="42">
        <v>78.19</v>
      </c>
      <c r="M1868" s="42">
        <f t="shared" si="138"/>
        <v>9.6000000000000085</v>
      </c>
    </row>
    <row r="1869" spans="2:14" x14ac:dyDescent="0.25">
      <c r="B1869" s="42">
        <f t="shared" si="135"/>
        <v>24</v>
      </c>
      <c r="C1869" s="42">
        <f t="shared" si="136"/>
        <v>2</v>
      </c>
      <c r="D1869" s="42">
        <f t="shared" si="137"/>
        <v>2023</v>
      </c>
      <c r="E1869" s="43">
        <v>44981</v>
      </c>
      <c r="F1869" s="42">
        <v>66.64</v>
      </c>
      <c r="G1869" s="42">
        <v>68.06</v>
      </c>
      <c r="H1869" s="42">
        <v>63.51</v>
      </c>
      <c r="I1869" s="42">
        <v>72.760000000000005</v>
      </c>
      <c r="J1869" s="42">
        <v>82.84</v>
      </c>
      <c r="K1869" s="42">
        <v>76.319999999999993</v>
      </c>
      <c r="L1869" s="42">
        <v>79.22</v>
      </c>
      <c r="M1869" s="42">
        <f t="shared" si="138"/>
        <v>9.6799999999999926</v>
      </c>
    </row>
    <row r="1870" spans="2:14" x14ac:dyDescent="0.25">
      <c r="B1870" s="42">
        <f t="shared" si="135"/>
        <v>27</v>
      </c>
      <c r="C1870" s="42">
        <f t="shared" si="136"/>
        <v>2</v>
      </c>
      <c r="D1870" s="42">
        <f t="shared" si="137"/>
        <v>2023</v>
      </c>
      <c r="E1870" s="43">
        <v>44984</v>
      </c>
      <c r="F1870" s="42">
        <v>66.05</v>
      </c>
      <c r="G1870" s="42">
        <v>67.430000000000007</v>
      </c>
      <c r="H1870" s="42">
        <v>62.88</v>
      </c>
      <c r="I1870" s="42">
        <v>72.13</v>
      </c>
      <c r="J1870" s="42">
        <v>82.22</v>
      </c>
      <c r="K1870" s="42">
        <v>75.680000000000007</v>
      </c>
      <c r="L1870" s="42">
        <v>78.73</v>
      </c>
      <c r="M1870" s="42">
        <f t="shared" si="138"/>
        <v>9.6300000000000097</v>
      </c>
    </row>
    <row r="1871" spans="2:14" x14ac:dyDescent="0.25">
      <c r="B1871" s="42">
        <f t="shared" si="135"/>
        <v>28</v>
      </c>
      <c r="C1871" s="42">
        <f t="shared" si="136"/>
        <v>2</v>
      </c>
      <c r="D1871" s="42">
        <f t="shared" si="137"/>
        <v>2023</v>
      </c>
      <c r="E1871" s="43">
        <v>44985</v>
      </c>
      <c r="F1871" s="42">
        <v>67.27</v>
      </c>
      <c r="G1871" s="42">
        <v>68.66</v>
      </c>
      <c r="H1871" s="42">
        <v>64.11</v>
      </c>
      <c r="I1871" s="42">
        <v>73.36</v>
      </c>
      <c r="J1871" s="42">
        <v>84.22</v>
      </c>
      <c r="K1871" s="42">
        <v>77.05</v>
      </c>
      <c r="L1871" s="42">
        <v>80.099999999999994</v>
      </c>
      <c r="M1871" s="42">
        <f t="shared" si="138"/>
        <v>9.7800000000000011</v>
      </c>
    </row>
    <row r="1872" spans="2:14" x14ac:dyDescent="0.25">
      <c r="B1872" s="42">
        <f>DAY(E1872)</f>
        <v>1</v>
      </c>
      <c r="C1872" s="42">
        <f>MONTH(E1872)</f>
        <v>3</v>
      </c>
      <c r="D1872" s="42">
        <f>YEAR(E1872)</f>
        <v>2023</v>
      </c>
      <c r="E1872" s="43">
        <v>44986</v>
      </c>
      <c r="F1872" s="42">
        <v>68.260000000000005</v>
      </c>
      <c r="G1872" s="42">
        <v>69.19</v>
      </c>
      <c r="H1872" s="42">
        <v>64.89</v>
      </c>
      <c r="I1872" s="42">
        <v>72.39</v>
      </c>
      <c r="J1872" s="42">
        <v>83.71</v>
      </c>
      <c r="K1872" s="42">
        <v>77.69</v>
      </c>
      <c r="L1872" s="42">
        <v>80.739999999999995</v>
      </c>
      <c r="M1872" s="42">
        <f t="shared" si="138"/>
        <v>9.4299999999999926</v>
      </c>
    </row>
    <row r="1873" spans="2:13" x14ac:dyDescent="0.25">
      <c r="B1873" s="42">
        <f t="shared" ref="B1873:B1874" si="139">DAY(E1873)</f>
        <v>2</v>
      </c>
      <c r="C1873" s="42">
        <f t="shared" ref="C1873:C1874" si="140">MONTH(E1873)</f>
        <v>3</v>
      </c>
      <c r="D1873" s="42">
        <f t="shared" ref="D1873:D1874" si="141">YEAR(E1873)</f>
        <v>2023</v>
      </c>
      <c r="E1873" s="43">
        <v>44987</v>
      </c>
      <c r="F1873" s="42">
        <v>68.680000000000007</v>
      </c>
      <c r="G1873" s="42">
        <v>69.650000000000006</v>
      </c>
      <c r="H1873" s="42">
        <v>65.349999999999994</v>
      </c>
      <c r="I1873" s="42">
        <v>72.849999999999994</v>
      </c>
      <c r="J1873" s="42">
        <v>85.09</v>
      </c>
      <c r="K1873" s="42">
        <v>78.16</v>
      </c>
      <c r="L1873" s="42">
        <v>81.11</v>
      </c>
      <c r="M1873" s="42">
        <f t="shared" si="138"/>
        <v>9.4799999999999898</v>
      </c>
    </row>
    <row r="1874" spans="2:13" x14ac:dyDescent="0.25">
      <c r="B1874" s="42">
        <f t="shared" si="139"/>
        <v>3</v>
      </c>
      <c r="C1874" s="42">
        <f t="shared" si="140"/>
        <v>3</v>
      </c>
      <c r="D1874" s="42">
        <f t="shared" si="141"/>
        <v>2023</v>
      </c>
      <c r="E1874" s="43">
        <v>44988</v>
      </c>
      <c r="F1874" s="42">
        <v>69.88</v>
      </c>
      <c r="G1874" s="42">
        <v>70.92</v>
      </c>
      <c r="H1874" s="42">
        <v>66.62</v>
      </c>
      <c r="I1874" s="42">
        <v>74.12</v>
      </c>
      <c r="J1874" s="42">
        <v>85.44</v>
      </c>
      <c r="K1874" s="42">
        <v>79.680000000000007</v>
      </c>
      <c r="L1874" s="42">
        <v>82.68</v>
      </c>
      <c r="M1874" s="42">
        <f t="shared" si="138"/>
        <v>9.8000000000000114</v>
      </c>
    </row>
    <row r="1875" spans="2:13" x14ac:dyDescent="0.25">
      <c r="B1875" s="42">
        <f t="shared" ref="B1875:B1876" si="142">DAY(E1875)</f>
        <v>6</v>
      </c>
      <c r="C1875" s="42">
        <f t="shared" ref="C1875:C1876" si="143">MONTH(E1875)</f>
        <v>3</v>
      </c>
      <c r="D1875" s="42">
        <f t="shared" ref="D1875:D1876" si="144">YEAR(E1875)</f>
        <v>2023</v>
      </c>
      <c r="E1875" s="43">
        <v>44991</v>
      </c>
      <c r="F1875" s="42">
        <v>70.37</v>
      </c>
      <c r="G1875" s="42">
        <v>71.510000000000005</v>
      </c>
      <c r="H1875" s="42">
        <v>67.209999999999994</v>
      </c>
      <c r="I1875" s="42">
        <v>74.709999999999994</v>
      </c>
      <c r="J1875" s="42">
        <v>86.18</v>
      </c>
      <c r="K1875" s="42">
        <v>80.459999999999994</v>
      </c>
      <c r="L1875" s="42">
        <v>83.36</v>
      </c>
      <c r="M1875" s="42">
        <f t="shared" si="138"/>
        <v>10.089999999999989</v>
      </c>
    </row>
    <row r="1876" spans="2:13" x14ac:dyDescent="0.25">
      <c r="B1876" s="42">
        <f t="shared" si="142"/>
        <v>7</v>
      </c>
      <c r="C1876" s="42">
        <f t="shared" si="143"/>
        <v>3</v>
      </c>
      <c r="D1876" s="42">
        <f t="shared" si="144"/>
        <v>2023</v>
      </c>
      <c r="E1876" s="43">
        <v>44992</v>
      </c>
      <c r="F1876" s="42">
        <v>67.61</v>
      </c>
      <c r="G1876" s="45">
        <f>IFERROR(VALUE(MID("N AAXKJ00u 202303070000 68.5",24,6)),"ND")</f>
        <v>68.5</v>
      </c>
      <c r="H1876" s="42">
        <f>IFERROR(VALUE(MID("N PDATS09u 202303070000 64.2",24,6)),"ND")</f>
        <v>64.2</v>
      </c>
      <c r="I1876" s="42">
        <f>IFERROR(VALUE(MID("N PDATT09u 202303070000 71.7",24,6)),"ND")</f>
        <v>71.7</v>
      </c>
      <c r="J1876" s="42">
        <f>IFERROR(VALUE(MID("N PCAAQ00c 202303070000 84.31",24,6)),"ND")</f>
        <v>84.31</v>
      </c>
      <c r="K1876" s="42">
        <f>IFERROR(VALUE(MID("N PCACG00c 202303070000 77.58",24,6)),"ND")</f>
        <v>77.58</v>
      </c>
      <c r="L1876" s="42">
        <f>IFERROR(VALUE(MID("N PCABN00c 202303070000 80.08",24,6)),"ND")</f>
        <v>80.08</v>
      </c>
      <c r="M1876" s="42">
        <f>K1876-F1876</f>
        <v>9.9699999999999989</v>
      </c>
    </row>
    <row r="1877" spans="2:13" x14ac:dyDescent="0.25">
      <c r="B1877" s="42">
        <f t="shared" ref="B1877:B1885" si="145">DAY(E1877)</f>
        <v>8</v>
      </c>
      <c r="C1877" s="42">
        <f t="shared" ref="C1877:C1885" si="146">MONTH(E1877)</f>
        <v>3</v>
      </c>
      <c r="D1877" s="42">
        <f t="shared" ref="D1877:D1885" si="147">YEAR(E1877)</f>
        <v>2023</v>
      </c>
      <c r="E1877" s="43">
        <v>44993</v>
      </c>
      <c r="F1877" s="42">
        <v>66.819999999999993</v>
      </c>
      <c r="G1877" s="42">
        <f>IFERROR(VALUE(MID("N AAXKJ00u 202303080000 67.81",24,6)),"ND")</f>
        <v>67.81</v>
      </c>
      <c r="H1877" s="42">
        <f>IFERROR(VALUE(MID("N PDATS09u 202303080000 63.51",24,6)),"ND")</f>
        <v>63.51</v>
      </c>
      <c r="I1877" s="42">
        <f>IFERROR(VALUE(MID("N PDATT09u 202303080000 71.01",24,6)),"ND")</f>
        <v>71.010000000000005</v>
      </c>
      <c r="J1877" s="42">
        <f>IFERROR(VALUE(MID("N PCAAQ00c 202303080000 82.85",24,6)),"ND")</f>
        <v>82.85</v>
      </c>
      <c r="K1877" s="42">
        <f>IFERROR(VALUE(MID("N PCACG00c 202303080000 76.66",24,6)),"ND")</f>
        <v>76.66</v>
      </c>
      <c r="L1877" s="42">
        <f>IFERROR(VALUE(MID("N PCABN00c 202303080000 79.36",24,6)),"ND")</f>
        <v>79.36</v>
      </c>
      <c r="M1877" s="42">
        <f>K1877-F1877</f>
        <v>9.8400000000000034</v>
      </c>
    </row>
    <row r="1878" spans="2:13" x14ac:dyDescent="0.25">
      <c r="B1878" s="42">
        <f t="shared" si="145"/>
        <v>9</v>
      </c>
      <c r="C1878" s="42">
        <f t="shared" si="146"/>
        <v>3</v>
      </c>
      <c r="D1878" s="42">
        <f t="shared" si="147"/>
        <v>2023</v>
      </c>
      <c r="E1878" s="43">
        <v>44994</v>
      </c>
      <c r="F1878" s="42">
        <v>65.95</v>
      </c>
      <c r="G1878" s="42">
        <f>IFERROR(VALUE(MID("N AAXKJ00u 202303090000 66.86",24,6)),"ND")</f>
        <v>66.86</v>
      </c>
      <c r="H1878" s="42">
        <f>IFERROR(VALUE(MID("N PDATS09u 202303090000 62.56",24,6)),"ND")</f>
        <v>62.56</v>
      </c>
      <c r="I1878" s="42">
        <f>IFERROR(VALUE(MID("N PDATT09u 202303090000 70.06",24,6)),"ND")</f>
        <v>70.06</v>
      </c>
      <c r="J1878" s="42">
        <f>IFERROR(VALUE(MID("N PCAAQ00c 202303090000 83.41",24,6)),"ND")</f>
        <v>83.41</v>
      </c>
      <c r="K1878" s="42">
        <f>IFERROR(VALUE(MID("N PCACG00c 202303090000 75.72",24,6)),"ND")</f>
        <v>75.72</v>
      </c>
      <c r="L1878" s="42">
        <f>IFERROR(VALUE(MID("N PCABN00c 202303090000 78.82",24,6)),"ND")</f>
        <v>78.819999999999993</v>
      </c>
      <c r="M1878" s="42">
        <f>K1878-F1878</f>
        <v>9.769999999999996</v>
      </c>
    </row>
    <row r="1879" spans="2:13" x14ac:dyDescent="0.25">
      <c r="B1879" s="42">
        <f t="shared" si="145"/>
        <v>10</v>
      </c>
      <c r="C1879" s="42">
        <f t="shared" si="146"/>
        <v>3</v>
      </c>
      <c r="D1879" s="42">
        <f t="shared" si="147"/>
        <v>2023</v>
      </c>
      <c r="E1879" s="43">
        <v>44995</v>
      </c>
      <c r="F1879" s="42">
        <v>66.84</v>
      </c>
      <c r="G1879" s="42">
        <f>IFERROR(VALUE(MID("N AAXKJ00u 202303100000 67.84",24,6)),"ND")</f>
        <v>67.84</v>
      </c>
      <c r="H1879" s="42">
        <f>IFERROR(VALUE(MID("N PDATS09u 202303100000 63.54",24,6)),"ND")</f>
        <v>63.54</v>
      </c>
      <c r="I1879" s="42">
        <f>IFERROR(VALUE(MID("N PDATT09u 202303100000 71.04",24,6)),"ND")</f>
        <v>71.040000000000006</v>
      </c>
      <c r="J1879" s="42">
        <f>IFERROR(VALUE(MID("N PCAAQ00c 202303100000 82.8",24,6)),"ND")</f>
        <v>82.8</v>
      </c>
      <c r="K1879" s="42">
        <f>IFERROR(VALUE(MID("N PCACG00c 202303100000 76.68",24,6)),"ND")</f>
        <v>76.680000000000007</v>
      </c>
      <c r="L1879" s="42">
        <f>IFERROR(VALUE(MID("N PCABN00c 202303100000 79.78",24,6)),"ND")</f>
        <v>79.78</v>
      </c>
      <c r="M1879" s="42">
        <f>K1879-F1879</f>
        <v>9.8400000000000034</v>
      </c>
    </row>
    <row r="1880" spans="2:13" x14ac:dyDescent="0.25">
      <c r="B1880" s="42">
        <f t="shared" si="145"/>
        <v>13</v>
      </c>
      <c r="C1880" s="42">
        <f t="shared" si="146"/>
        <v>3</v>
      </c>
      <c r="D1880" s="42">
        <f t="shared" si="147"/>
        <v>2023</v>
      </c>
      <c r="E1880" s="43">
        <v>44998</v>
      </c>
      <c r="F1880" s="42">
        <v>65.069999999999993</v>
      </c>
      <c r="G1880" s="42">
        <f>IFERROR(VALUE(MID("N AAXKJ00u 202303130000 65.88",24,6)),"ND")</f>
        <v>65.88</v>
      </c>
      <c r="H1880" s="42">
        <f>IFERROR(VALUE(MID("N PDATS09u 202303130000 61.58",24,6)),"ND")</f>
        <v>61.58</v>
      </c>
      <c r="I1880" s="42">
        <f>IFERROR(VALUE(MID("N PDATT09u 202303130000 69.08",24,6)),"ND")</f>
        <v>69.08</v>
      </c>
      <c r="J1880" s="42">
        <f>IFERROR(VALUE(MID("N PCAAQ00c 202303130000 81.72",24,6)),"ND")</f>
        <v>81.72</v>
      </c>
      <c r="K1880" s="42">
        <f>IFERROR(VALUE(MID("N PCACG00c 202303130000 74.8",24,6)),"ND")</f>
        <v>74.8</v>
      </c>
      <c r="L1880" s="42">
        <f>IFERROR(VALUE(MID("N PCABN00c 202303130000 77.9",24,6)),"ND")</f>
        <v>77.900000000000006</v>
      </c>
      <c r="M1880" s="42">
        <f>K1880-F1880</f>
        <v>9.730000000000004</v>
      </c>
    </row>
    <row r="1881" spans="2:13" x14ac:dyDescent="0.25">
      <c r="B1881" s="42">
        <f t="shared" si="145"/>
        <v>0</v>
      </c>
      <c r="C1881" s="42">
        <f t="shared" si="146"/>
        <v>1</v>
      </c>
      <c r="D1881" s="42">
        <f t="shared" si="147"/>
        <v>1900</v>
      </c>
      <c r="E1881" s="48"/>
      <c r="F1881" s="42"/>
      <c r="G1881" s="43"/>
      <c r="H1881" s="42"/>
      <c r="I1881" s="42"/>
      <c r="J1881" s="42"/>
      <c r="K1881" s="42"/>
      <c r="L1881" s="42"/>
      <c r="M1881" s="42"/>
    </row>
    <row r="1882" spans="2:13" x14ac:dyDescent="0.25">
      <c r="B1882" s="42">
        <f t="shared" si="145"/>
        <v>0</v>
      </c>
      <c r="C1882" s="42">
        <f t="shared" si="146"/>
        <v>1</v>
      </c>
      <c r="D1882" s="42">
        <f t="shared" si="147"/>
        <v>1900</v>
      </c>
      <c r="E1882" s="42"/>
      <c r="F1882" s="42"/>
      <c r="G1882" s="42"/>
      <c r="H1882" s="42"/>
      <c r="I1882" s="42"/>
      <c r="J1882" s="42"/>
      <c r="K1882" s="42"/>
      <c r="L1882" s="42"/>
      <c r="M1882" s="42"/>
    </row>
    <row r="1883" spans="2:13" x14ac:dyDescent="0.25">
      <c r="B1883" s="42">
        <f t="shared" si="145"/>
        <v>0</v>
      </c>
      <c r="C1883" s="42">
        <f t="shared" si="146"/>
        <v>1</v>
      </c>
      <c r="D1883" s="42">
        <f t="shared" si="147"/>
        <v>1900</v>
      </c>
      <c r="E1883" s="42"/>
      <c r="F1883" s="42"/>
      <c r="G1883" s="42"/>
      <c r="H1883" s="42"/>
      <c r="I1883" s="42"/>
      <c r="J1883" s="42"/>
      <c r="K1883" s="42"/>
      <c r="L1883" s="42"/>
      <c r="M1883" s="42"/>
    </row>
    <row r="1884" spans="2:13" x14ac:dyDescent="0.25">
      <c r="B1884" s="42">
        <f t="shared" si="145"/>
        <v>0</v>
      </c>
      <c r="C1884" s="42">
        <f t="shared" si="146"/>
        <v>1</v>
      </c>
      <c r="D1884" s="42">
        <f t="shared" si="147"/>
        <v>1900</v>
      </c>
      <c r="E1884" s="42"/>
      <c r="F1884" s="42"/>
      <c r="G1884" s="42"/>
      <c r="H1884" s="42"/>
      <c r="I1884" s="42"/>
      <c r="J1884" s="42"/>
      <c r="K1884" s="42"/>
      <c r="L1884" s="42"/>
      <c r="M1884" s="42"/>
    </row>
    <row r="1885" spans="2:13" x14ac:dyDescent="0.25">
      <c r="B1885" s="42">
        <f t="shared" si="145"/>
        <v>0</v>
      </c>
      <c r="C1885" s="42">
        <f t="shared" si="146"/>
        <v>1</v>
      </c>
      <c r="D1885" s="42">
        <f t="shared" si="147"/>
        <v>1900</v>
      </c>
      <c r="E1885" s="42"/>
      <c r="F1885" s="42"/>
      <c r="G1885" s="42"/>
      <c r="H1885" s="42"/>
      <c r="I1885" s="42"/>
      <c r="J1885" s="42"/>
      <c r="K1885" s="42"/>
      <c r="L1885" s="42"/>
      <c r="M1885" s="42"/>
    </row>
  </sheetData>
  <mergeCells count="1">
    <mergeCell ref="G3:L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" r:id="rId3" name="CommandButton7">
          <controlPr defaultSize="0" autoLine="0" r:id="rId4">
            <anchor moveWithCells="1">
              <from>
                <xdr:col>11</xdr:col>
                <xdr:colOff>38100</xdr:colOff>
                <xdr:row>3</xdr:row>
                <xdr:rowOff>38100</xdr:rowOff>
              </from>
              <to>
                <xdr:col>11</xdr:col>
                <xdr:colOff>676275</xdr:colOff>
                <xdr:row>3</xdr:row>
                <xdr:rowOff>295275</xdr:rowOff>
              </to>
            </anchor>
          </controlPr>
        </control>
      </mc:Choice>
      <mc:Fallback>
        <control shapeId="2058" r:id="rId3" name="CommandButton7"/>
      </mc:Fallback>
    </mc:AlternateContent>
    <mc:AlternateContent xmlns:mc="http://schemas.openxmlformats.org/markup-compatibility/2006">
      <mc:Choice Requires="x14">
        <control shapeId="2057" r:id="rId5" name="CommandButton6">
          <controlPr defaultSize="0" autoLine="0" r:id="rId6">
            <anchor moveWithCells="1">
              <from>
                <xdr:col>10</xdr:col>
                <xdr:colOff>38100</xdr:colOff>
                <xdr:row>3</xdr:row>
                <xdr:rowOff>38100</xdr:rowOff>
              </from>
              <to>
                <xdr:col>10</xdr:col>
                <xdr:colOff>676275</xdr:colOff>
                <xdr:row>3</xdr:row>
                <xdr:rowOff>295275</xdr:rowOff>
              </to>
            </anchor>
          </controlPr>
        </control>
      </mc:Choice>
      <mc:Fallback>
        <control shapeId="2057" r:id="rId5" name="CommandButton6"/>
      </mc:Fallback>
    </mc:AlternateContent>
    <mc:AlternateContent xmlns:mc="http://schemas.openxmlformats.org/markup-compatibility/2006">
      <mc:Choice Requires="x14">
        <control shapeId="2056" r:id="rId7" name="CommandButton5">
          <controlPr defaultSize="0" autoLine="0" r:id="rId8">
            <anchor moveWithCells="1">
              <from>
                <xdr:col>9</xdr:col>
                <xdr:colOff>28575</xdr:colOff>
                <xdr:row>3</xdr:row>
                <xdr:rowOff>38100</xdr:rowOff>
              </from>
              <to>
                <xdr:col>9</xdr:col>
                <xdr:colOff>666750</xdr:colOff>
                <xdr:row>3</xdr:row>
                <xdr:rowOff>295275</xdr:rowOff>
              </to>
            </anchor>
          </controlPr>
        </control>
      </mc:Choice>
      <mc:Fallback>
        <control shapeId="2056" r:id="rId7" name="CommandButton5"/>
      </mc:Fallback>
    </mc:AlternateContent>
    <mc:AlternateContent xmlns:mc="http://schemas.openxmlformats.org/markup-compatibility/2006">
      <mc:Choice Requires="x14">
        <control shapeId="2055" r:id="rId9" name="CommandButton4">
          <controlPr defaultSize="0" autoLine="0" r:id="rId10">
            <anchor moveWithCells="1">
              <from>
                <xdr:col>8</xdr:col>
                <xdr:colOff>28575</xdr:colOff>
                <xdr:row>3</xdr:row>
                <xdr:rowOff>38100</xdr:rowOff>
              </from>
              <to>
                <xdr:col>8</xdr:col>
                <xdr:colOff>666750</xdr:colOff>
                <xdr:row>3</xdr:row>
                <xdr:rowOff>295275</xdr:rowOff>
              </to>
            </anchor>
          </controlPr>
        </control>
      </mc:Choice>
      <mc:Fallback>
        <control shapeId="2055" r:id="rId9" name="CommandButton4"/>
      </mc:Fallback>
    </mc:AlternateContent>
    <mc:AlternateContent xmlns:mc="http://schemas.openxmlformats.org/markup-compatibility/2006">
      <mc:Choice Requires="x14">
        <control shapeId="2054" r:id="rId11" name="CommandButton3">
          <controlPr defaultSize="0" autoLine="0" r:id="rId12">
            <anchor moveWithCells="1">
              <from>
                <xdr:col>7</xdr:col>
                <xdr:colOff>28575</xdr:colOff>
                <xdr:row>3</xdr:row>
                <xdr:rowOff>38100</xdr:rowOff>
              </from>
              <to>
                <xdr:col>7</xdr:col>
                <xdr:colOff>666750</xdr:colOff>
                <xdr:row>3</xdr:row>
                <xdr:rowOff>295275</xdr:rowOff>
              </to>
            </anchor>
          </controlPr>
        </control>
      </mc:Choice>
      <mc:Fallback>
        <control shapeId="2054" r:id="rId11" name="CommandButton3"/>
      </mc:Fallback>
    </mc:AlternateContent>
    <mc:AlternateContent xmlns:mc="http://schemas.openxmlformats.org/markup-compatibility/2006">
      <mc:Choice Requires="x14">
        <control shapeId="2052" r:id="rId13" name="CommandButton2">
          <controlPr defaultSize="0" autoLine="0" r:id="rId14">
            <anchor moveWithCells="1">
              <from>
                <xdr:col>6</xdr:col>
                <xdr:colOff>19050</xdr:colOff>
                <xdr:row>3</xdr:row>
                <xdr:rowOff>38100</xdr:rowOff>
              </from>
              <to>
                <xdr:col>6</xdr:col>
                <xdr:colOff>657225</xdr:colOff>
                <xdr:row>3</xdr:row>
                <xdr:rowOff>295275</xdr:rowOff>
              </to>
            </anchor>
          </controlPr>
        </control>
      </mc:Choice>
      <mc:Fallback>
        <control shapeId="2052" r:id="rId13" name="CommandButton2"/>
      </mc:Fallback>
    </mc:AlternateContent>
    <mc:AlternateContent xmlns:mc="http://schemas.openxmlformats.org/markup-compatibility/2006">
      <mc:Choice Requires="x14">
        <control shapeId="2049" r:id="rId15" name="CommandButton1">
          <controlPr defaultSize="0" autoLine="0" autoPict="0" r:id="rId16">
            <anchor moveWithCells="1">
              <from>
                <xdr:col>5</xdr:col>
                <xdr:colOff>19050</xdr:colOff>
                <xdr:row>3</xdr:row>
                <xdr:rowOff>38100</xdr:rowOff>
              </from>
              <to>
                <xdr:col>5</xdr:col>
                <xdr:colOff>657225</xdr:colOff>
                <xdr:row>3</xdr:row>
                <xdr:rowOff>295275</xdr:rowOff>
              </to>
            </anchor>
          </controlPr>
        </control>
      </mc:Choice>
      <mc:Fallback>
        <control shapeId="2049" r:id="rId1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3150"/>
  <sheetViews>
    <sheetView showGridLines="0" workbookViewId="0">
      <pane xSplit="2" ySplit="3" topLeftCell="C2615" activePane="bottomRight" state="frozen"/>
      <selection pane="topRight" activeCell="C1" sqref="C1"/>
      <selection pane="bottomLeft" activeCell="A4" sqref="A4"/>
      <selection pane="bottomRight" activeCell="B2635" sqref="B2635"/>
    </sheetView>
  </sheetViews>
  <sheetFormatPr baseColWidth="10" defaultColWidth="11.5703125" defaultRowHeight="12.75" x14ac:dyDescent="0.25"/>
  <cols>
    <col min="1" max="1" width="5" style="1" customWidth="1"/>
    <col min="2" max="2" width="12.28515625" style="1" bestFit="1" customWidth="1"/>
    <col min="3" max="9" width="11.5703125" style="1"/>
    <col min="10" max="10" width="13.140625" style="1" customWidth="1"/>
    <col min="11" max="16384" width="11.5703125" style="1"/>
  </cols>
  <sheetData>
    <row r="1" spans="1:10" s="2" customFormat="1" ht="15.75" x14ac:dyDescent="0.25">
      <c r="A1" s="7" t="s">
        <v>9</v>
      </c>
    </row>
    <row r="3" spans="1:10" x14ac:dyDescent="0.25">
      <c r="B3" s="3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4" t="s">
        <v>8</v>
      </c>
    </row>
    <row r="4" spans="1:10" x14ac:dyDescent="0.25">
      <c r="B4" s="5">
        <v>42370</v>
      </c>
      <c r="C4" s="6">
        <f>IFERROR(VLOOKUP($B4,Platts!$E$5:$M$4994,MATCH(C$3,Platts!$F$5:$M$5,0)+1,FALSE),C3)</f>
        <v>27.04</v>
      </c>
      <c r="D4" s="6">
        <f>IFERROR(VLOOKUP($B4,Platts!$E$5:$M$4994,MATCH(D$3,Platts!$F$5:$M$5,0)+1,FALSE),D3)</f>
        <v>37.020000000000003</v>
      </c>
      <c r="E4" s="6">
        <f>IFERROR(VLOOKUP($B4,Platts!$E$5:$M$4994,MATCH(E$3,Platts!$F$5:$M$5,0)+1,FALSE),E3)</f>
        <v>27.86</v>
      </c>
      <c r="F4" s="6">
        <f>IFERROR(VLOOKUP($B4,Platts!$E$5:$M$4994,MATCH(F$3,Platts!$F$5:$M$5,0)+1,FALSE),F3)</f>
        <v>39.270000000000003</v>
      </c>
      <c r="G4" s="6">
        <f>IFERROR(VLOOKUP($B4,Platts!$E$5:$M$4994,MATCH(G$3,Platts!$F$5:$M$5,0)+1,FALSE),G3)</f>
        <v>37.26</v>
      </c>
      <c r="H4" s="6">
        <f>IFERROR(VLOOKUP($B4,Platts!$E$5:$M$4994,MATCH(H$3,Platts!$F$5:$M$5,0)+1,FALSE),H3)</f>
        <v>36.770000000000003</v>
      </c>
      <c r="I4" s="6">
        <f>IFERROR(VLOOKUP($B4,Platts!$E$5:$M$4994,MATCH(I$3,Platts!$F$5:$M$5,0)+1,FALSE),I3)</f>
        <v>38.369999999999997</v>
      </c>
      <c r="J4" s="6">
        <f t="shared" ref="J4:J67" si="0">H4-C4</f>
        <v>9.730000000000004</v>
      </c>
    </row>
    <row r="5" spans="1:10" x14ac:dyDescent="0.25">
      <c r="B5" s="5">
        <f>B4+1</f>
        <v>42371</v>
      </c>
      <c r="C5" s="6">
        <f>IFERROR(VLOOKUP($B5,Platts!$E$5:$M$4994,MATCH(C$3,Platts!$F$5:$M$5,0)+1,FALSE),C4)</f>
        <v>27.04</v>
      </c>
      <c r="D5" s="6">
        <f>IFERROR(VLOOKUP($B5,Platts!$E$5:$M$4994,MATCH(D$3,Platts!$F$5:$M$5,0)+1,FALSE),D4)</f>
        <v>37.020000000000003</v>
      </c>
      <c r="E5" s="6">
        <f>IFERROR(VLOOKUP($B5,Platts!$E$5:$M$4994,MATCH(E$3,Platts!$F$5:$M$5,0)+1,FALSE),E4)</f>
        <v>27.86</v>
      </c>
      <c r="F5" s="6">
        <f>IFERROR(VLOOKUP($B5,Platts!$E$5:$M$4994,MATCH(F$3,Platts!$F$5:$M$5,0)+1,FALSE),F4)</f>
        <v>39.270000000000003</v>
      </c>
      <c r="G5" s="6">
        <f>IFERROR(VLOOKUP($B5,Platts!$E$5:$M$4994,MATCH(G$3,Platts!$F$5:$M$5,0)+1,FALSE),G4)</f>
        <v>37.26</v>
      </c>
      <c r="H5" s="6">
        <f>IFERROR(VLOOKUP($B5,Platts!$E$5:$M$4994,MATCH(H$3,Platts!$F$5:$M$5,0)+1,FALSE),H4)</f>
        <v>36.770000000000003</v>
      </c>
      <c r="I5" s="6">
        <f>IFERROR(VLOOKUP($B5,Platts!$E$5:$M$4994,MATCH(I$3,Platts!$F$5:$M$5,0)+1,FALSE),I4)</f>
        <v>38.369999999999997</v>
      </c>
      <c r="J5" s="6">
        <f t="shared" si="0"/>
        <v>9.730000000000004</v>
      </c>
    </row>
    <row r="6" spans="1:10" x14ac:dyDescent="0.25">
      <c r="B6" s="5">
        <f t="shared" ref="B6:B69" si="1">B5+1</f>
        <v>42372</v>
      </c>
      <c r="C6" s="6">
        <f>IFERROR(VLOOKUP($B6,Platts!$E$5:$M$4994,MATCH(C$3,Platts!$F$5:$M$5,0)+1,FALSE),C5)</f>
        <v>27.04</v>
      </c>
      <c r="D6" s="6">
        <f>IFERROR(VLOOKUP($B6,Platts!$E$5:$M$4994,MATCH(D$3,Platts!$F$5:$M$5,0)+1,FALSE),D5)</f>
        <v>37.020000000000003</v>
      </c>
      <c r="E6" s="6">
        <f>IFERROR(VLOOKUP($B6,Platts!$E$5:$M$4994,MATCH(E$3,Platts!$F$5:$M$5,0)+1,FALSE),E5)</f>
        <v>27.86</v>
      </c>
      <c r="F6" s="6">
        <f>IFERROR(VLOOKUP($B6,Platts!$E$5:$M$4994,MATCH(F$3,Platts!$F$5:$M$5,0)+1,FALSE),F5)</f>
        <v>39.270000000000003</v>
      </c>
      <c r="G6" s="6">
        <f>IFERROR(VLOOKUP($B6,Platts!$E$5:$M$4994,MATCH(G$3,Platts!$F$5:$M$5,0)+1,FALSE),G5)</f>
        <v>37.26</v>
      </c>
      <c r="H6" s="6">
        <f>IFERROR(VLOOKUP($B6,Platts!$E$5:$M$4994,MATCH(H$3,Platts!$F$5:$M$5,0)+1,FALSE),H5)</f>
        <v>36.770000000000003</v>
      </c>
      <c r="I6" s="6">
        <f>IFERROR(VLOOKUP($B6,Platts!$E$5:$M$4994,MATCH(I$3,Platts!$F$5:$M$5,0)+1,FALSE),I5)</f>
        <v>38.369999999999997</v>
      </c>
      <c r="J6" s="6">
        <f t="shared" si="0"/>
        <v>9.730000000000004</v>
      </c>
    </row>
    <row r="7" spans="1:10" x14ac:dyDescent="0.25">
      <c r="B7" s="5">
        <f t="shared" si="1"/>
        <v>42373</v>
      </c>
      <c r="C7" s="6">
        <f>IFERROR(VLOOKUP($B7,Platts!$E$5:$M$4994,MATCH(C$3,Platts!$F$5:$M$5,0)+1,FALSE),C6)</f>
        <v>27.04</v>
      </c>
      <c r="D7" s="6">
        <f>IFERROR(VLOOKUP($B7,Platts!$E$5:$M$4994,MATCH(D$3,Platts!$F$5:$M$5,0)+1,FALSE),D6)</f>
        <v>35.43</v>
      </c>
      <c r="E7" s="6">
        <f>IFERROR(VLOOKUP($B7,Platts!$E$5:$M$4994,MATCH(E$3,Platts!$F$5:$M$5,0)+1,FALSE),E6)</f>
        <v>27.9</v>
      </c>
      <c r="F7" s="6">
        <f>IFERROR(VLOOKUP($B7,Platts!$E$5:$M$4994,MATCH(F$3,Platts!$F$5:$M$5,0)+1,FALSE),F6)</f>
        <v>37.64</v>
      </c>
      <c r="G7" s="6">
        <f>IFERROR(VLOOKUP($B7,Platts!$E$5:$M$4994,MATCH(G$3,Platts!$F$5:$M$5,0)+1,FALSE),G6)</f>
        <v>37.26</v>
      </c>
      <c r="H7" s="6">
        <f>IFERROR(VLOOKUP($B7,Platts!$E$5:$M$4994,MATCH(H$3,Platts!$F$5:$M$5,0)+1,FALSE),H6)</f>
        <v>36.770000000000003</v>
      </c>
      <c r="I7" s="6">
        <f>IFERROR(VLOOKUP($B7,Platts!$E$5:$M$4994,MATCH(I$3,Platts!$F$5:$M$5,0)+1,FALSE),I6)</f>
        <v>38.369999999999997</v>
      </c>
      <c r="J7" s="6">
        <f t="shared" si="0"/>
        <v>9.730000000000004</v>
      </c>
    </row>
    <row r="8" spans="1:10" x14ac:dyDescent="0.25">
      <c r="B8" s="5">
        <f t="shared" si="1"/>
        <v>42374</v>
      </c>
      <c r="C8" s="6">
        <f>IFERROR(VLOOKUP($B8,Platts!$E$5:$M$4994,MATCH(C$3,Platts!$F$5:$M$5,0)+1,FALSE),C7)</f>
        <v>26.26</v>
      </c>
      <c r="D8" s="6">
        <f>IFERROR(VLOOKUP($B8,Platts!$E$5:$M$4994,MATCH(D$3,Platts!$F$5:$M$5,0)+1,FALSE),D7)</f>
        <v>34.630000000000003</v>
      </c>
      <c r="E8" s="6">
        <f>IFERROR(VLOOKUP($B8,Platts!$E$5:$M$4994,MATCH(E$3,Platts!$F$5:$M$5,0)+1,FALSE),E7)</f>
        <v>27.34</v>
      </c>
      <c r="F8" s="6">
        <f>IFERROR(VLOOKUP($B8,Platts!$E$5:$M$4994,MATCH(F$3,Platts!$F$5:$M$5,0)+1,FALSE),F7)</f>
        <v>36.83</v>
      </c>
      <c r="G8" s="6">
        <f>IFERROR(VLOOKUP($B8,Platts!$E$5:$M$4994,MATCH(G$3,Platts!$F$5:$M$5,0)+1,FALSE),G7)</f>
        <v>36.93</v>
      </c>
      <c r="H8" s="6">
        <f>IFERROR(VLOOKUP($B8,Platts!$E$5:$M$4994,MATCH(H$3,Platts!$F$5:$M$5,0)+1,FALSE),H7)</f>
        <v>35.85</v>
      </c>
      <c r="I8" s="6">
        <f>IFERROR(VLOOKUP($B8,Platts!$E$5:$M$4994,MATCH(I$3,Platts!$F$5:$M$5,0)+1,FALSE),I7)</f>
        <v>37.4</v>
      </c>
      <c r="J8" s="6">
        <f t="shared" si="0"/>
        <v>9.59</v>
      </c>
    </row>
    <row r="9" spans="1:10" x14ac:dyDescent="0.25">
      <c r="B9" s="5">
        <f t="shared" si="1"/>
        <v>42375</v>
      </c>
      <c r="C9" s="6">
        <f>IFERROR(VLOOKUP($B9,Platts!$E$5:$M$4994,MATCH(C$3,Platts!$F$5:$M$5,0)+1,FALSE),C8)</f>
        <v>24.75</v>
      </c>
      <c r="D9" s="6">
        <f>IFERROR(VLOOKUP($B9,Platts!$E$5:$M$4994,MATCH(D$3,Platts!$F$5:$M$5,0)+1,FALSE),D8)</f>
        <v>32.44</v>
      </c>
      <c r="E9" s="6">
        <f>IFERROR(VLOOKUP($B9,Platts!$E$5:$M$4994,MATCH(E$3,Platts!$F$5:$M$5,0)+1,FALSE),E8)</f>
        <v>25.55</v>
      </c>
      <c r="F9" s="6">
        <f>IFERROR(VLOOKUP($B9,Platts!$E$5:$M$4994,MATCH(F$3,Platts!$F$5:$M$5,0)+1,FALSE),F8)</f>
        <v>34.590000000000003</v>
      </c>
      <c r="G9" s="6">
        <f>IFERROR(VLOOKUP($B9,Platts!$E$5:$M$4994,MATCH(G$3,Platts!$F$5:$M$5,0)+1,FALSE),G8)</f>
        <v>35.15</v>
      </c>
      <c r="H9" s="6">
        <f>IFERROR(VLOOKUP($B9,Platts!$E$5:$M$4994,MATCH(H$3,Platts!$F$5:$M$5,0)+1,FALSE),H8)</f>
        <v>33.86</v>
      </c>
      <c r="I9" s="6">
        <f>IFERROR(VLOOKUP($B9,Platts!$E$5:$M$4994,MATCH(I$3,Platts!$F$5:$M$5,0)+1,FALSE),I8)</f>
        <v>35.31</v>
      </c>
      <c r="J9" s="6">
        <f t="shared" si="0"/>
        <v>9.11</v>
      </c>
    </row>
    <row r="10" spans="1:10" x14ac:dyDescent="0.25">
      <c r="B10" s="5">
        <f t="shared" si="1"/>
        <v>42376</v>
      </c>
      <c r="C10" s="6">
        <f>IFERROR(VLOOKUP($B10,Platts!$E$5:$M$4994,MATCH(C$3,Platts!$F$5:$M$5,0)+1,FALSE),C9)</f>
        <v>24.11</v>
      </c>
      <c r="D10" s="6">
        <f>IFERROR(VLOOKUP($B10,Platts!$E$5:$M$4994,MATCH(D$3,Platts!$F$5:$M$5,0)+1,FALSE),D9)</f>
        <v>31.85</v>
      </c>
      <c r="E10" s="6">
        <f>IFERROR(VLOOKUP($B10,Platts!$E$5:$M$4994,MATCH(E$3,Platts!$F$5:$M$5,0)+1,FALSE),E9)</f>
        <v>25.07</v>
      </c>
      <c r="F10" s="6">
        <f>IFERROR(VLOOKUP($B10,Platts!$E$5:$M$4994,MATCH(F$3,Platts!$F$5:$M$5,0)+1,FALSE),F9)</f>
        <v>34.020000000000003</v>
      </c>
      <c r="G10" s="6">
        <f>IFERROR(VLOOKUP($B10,Platts!$E$5:$M$4994,MATCH(G$3,Platts!$F$5:$M$5,0)+1,FALSE),G9)</f>
        <v>35.1</v>
      </c>
      <c r="H10" s="6">
        <f>IFERROR(VLOOKUP($B10,Platts!$E$5:$M$4994,MATCH(H$3,Platts!$F$5:$M$5,0)+1,FALSE),H9)</f>
        <v>33.19</v>
      </c>
      <c r="I10" s="6">
        <f>IFERROR(VLOOKUP($B10,Platts!$E$5:$M$4994,MATCH(I$3,Platts!$F$5:$M$5,0)+1,FALSE),I9)</f>
        <v>34.79</v>
      </c>
      <c r="J10" s="6">
        <f t="shared" si="0"/>
        <v>9.0799999999999983</v>
      </c>
    </row>
    <row r="11" spans="1:10" x14ac:dyDescent="0.25">
      <c r="B11" s="5">
        <f t="shared" si="1"/>
        <v>42377</v>
      </c>
      <c r="C11" s="6">
        <f>IFERROR(VLOOKUP($B11,Platts!$E$5:$M$4994,MATCH(C$3,Platts!$F$5:$M$5,0)+1,FALSE),C10)</f>
        <v>23.65</v>
      </c>
      <c r="D11" s="6">
        <f>IFERROR(VLOOKUP($B11,Platts!$E$5:$M$4994,MATCH(D$3,Platts!$F$5:$M$5,0)+1,FALSE),D10)</f>
        <v>31.77</v>
      </c>
      <c r="E11" s="6">
        <f>IFERROR(VLOOKUP($B11,Platts!$E$5:$M$4994,MATCH(E$3,Platts!$F$5:$M$5,0)+1,FALSE),E10)</f>
        <v>24.91</v>
      </c>
      <c r="F11" s="6">
        <f>IFERROR(VLOOKUP($B11,Platts!$E$5:$M$4994,MATCH(F$3,Platts!$F$5:$M$5,0)+1,FALSE),F10)</f>
        <v>33.92</v>
      </c>
      <c r="G11" s="6">
        <f>IFERROR(VLOOKUP($B11,Platts!$E$5:$M$4994,MATCH(G$3,Platts!$F$5:$M$5,0)+1,FALSE),G10)</f>
        <v>33.26</v>
      </c>
      <c r="H11" s="6">
        <f>IFERROR(VLOOKUP($B11,Platts!$E$5:$M$4994,MATCH(H$3,Platts!$F$5:$M$5,0)+1,FALSE),H10)</f>
        <v>33.07</v>
      </c>
      <c r="I11" s="6">
        <f>IFERROR(VLOOKUP($B11,Platts!$E$5:$M$4994,MATCH(I$3,Platts!$F$5:$M$5,0)+1,FALSE),I10)</f>
        <v>34.72</v>
      </c>
      <c r="J11" s="6">
        <f t="shared" si="0"/>
        <v>9.4200000000000017</v>
      </c>
    </row>
    <row r="12" spans="1:10" x14ac:dyDescent="0.25">
      <c r="B12" s="5">
        <f t="shared" si="1"/>
        <v>42378</v>
      </c>
      <c r="C12" s="6">
        <f>IFERROR(VLOOKUP($B12,Platts!$E$5:$M$4994,MATCH(C$3,Platts!$F$5:$M$5,0)+1,FALSE),C11)</f>
        <v>23.65</v>
      </c>
      <c r="D12" s="6">
        <f>IFERROR(VLOOKUP($B12,Platts!$E$5:$M$4994,MATCH(D$3,Platts!$F$5:$M$5,0)+1,FALSE),D11)</f>
        <v>31.77</v>
      </c>
      <c r="E12" s="6">
        <f>IFERROR(VLOOKUP($B12,Platts!$E$5:$M$4994,MATCH(E$3,Platts!$F$5:$M$5,0)+1,FALSE),E11)</f>
        <v>24.91</v>
      </c>
      <c r="F12" s="6">
        <f>IFERROR(VLOOKUP($B12,Platts!$E$5:$M$4994,MATCH(F$3,Platts!$F$5:$M$5,0)+1,FALSE),F11)</f>
        <v>33.92</v>
      </c>
      <c r="G12" s="6">
        <f>IFERROR(VLOOKUP($B12,Platts!$E$5:$M$4994,MATCH(G$3,Platts!$F$5:$M$5,0)+1,FALSE),G11)</f>
        <v>33.26</v>
      </c>
      <c r="H12" s="6">
        <f>IFERROR(VLOOKUP($B12,Platts!$E$5:$M$4994,MATCH(H$3,Platts!$F$5:$M$5,0)+1,FALSE),H11)</f>
        <v>33.07</v>
      </c>
      <c r="I12" s="6">
        <f>IFERROR(VLOOKUP($B12,Platts!$E$5:$M$4994,MATCH(I$3,Platts!$F$5:$M$5,0)+1,FALSE),I11)</f>
        <v>34.72</v>
      </c>
      <c r="J12" s="6">
        <f t="shared" si="0"/>
        <v>9.4200000000000017</v>
      </c>
    </row>
    <row r="13" spans="1:10" x14ac:dyDescent="0.25">
      <c r="B13" s="5">
        <f t="shared" si="1"/>
        <v>42379</v>
      </c>
      <c r="C13" s="6">
        <f>IFERROR(VLOOKUP($B13,Platts!$E$5:$M$4994,MATCH(C$3,Platts!$F$5:$M$5,0)+1,FALSE),C12)</f>
        <v>23.65</v>
      </c>
      <c r="D13" s="6">
        <f>IFERROR(VLOOKUP($B13,Platts!$E$5:$M$4994,MATCH(D$3,Platts!$F$5:$M$5,0)+1,FALSE),D12)</f>
        <v>31.77</v>
      </c>
      <c r="E13" s="6">
        <f>IFERROR(VLOOKUP($B13,Platts!$E$5:$M$4994,MATCH(E$3,Platts!$F$5:$M$5,0)+1,FALSE),E12)</f>
        <v>24.91</v>
      </c>
      <c r="F13" s="6">
        <f>IFERROR(VLOOKUP($B13,Platts!$E$5:$M$4994,MATCH(F$3,Platts!$F$5:$M$5,0)+1,FALSE),F12)</f>
        <v>33.92</v>
      </c>
      <c r="G13" s="6">
        <f>IFERROR(VLOOKUP($B13,Platts!$E$5:$M$4994,MATCH(G$3,Platts!$F$5:$M$5,0)+1,FALSE),G12)</f>
        <v>33.26</v>
      </c>
      <c r="H13" s="6">
        <f>IFERROR(VLOOKUP($B13,Platts!$E$5:$M$4994,MATCH(H$3,Platts!$F$5:$M$5,0)+1,FALSE),H12)</f>
        <v>33.07</v>
      </c>
      <c r="I13" s="6">
        <f>IFERROR(VLOOKUP($B13,Platts!$E$5:$M$4994,MATCH(I$3,Platts!$F$5:$M$5,0)+1,FALSE),I12)</f>
        <v>34.72</v>
      </c>
      <c r="J13" s="6">
        <f t="shared" si="0"/>
        <v>9.4200000000000017</v>
      </c>
    </row>
    <row r="14" spans="1:10" x14ac:dyDescent="0.25">
      <c r="B14" s="5">
        <f t="shared" si="1"/>
        <v>42380</v>
      </c>
      <c r="C14" s="6">
        <f>IFERROR(VLOOKUP($B14,Platts!$E$5:$M$4994,MATCH(C$3,Platts!$F$5:$M$5,0)+1,FALSE),C13)</f>
        <v>22.07</v>
      </c>
      <c r="D14" s="6">
        <f>IFERROR(VLOOKUP($B14,Platts!$E$5:$M$4994,MATCH(D$3,Platts!$F$5:$M$5,0)+1,FALSE),D13)</f>
        <v>29.81</v>
      </c>
      <c r="E14" s="6">
        <f>IFERROR(VLOOKUP($B14,Platts!$E$5:$M$4994,MATCH(E$3,Platts!$F$5:$M$5,0)+1,FALSE),E13)</f>
        <v>23.18</v>
      </c>
      <c r="F14" s="6">
        <f>IFERROR(VLOOKUP($B14,Platts!$E$5:$M$4994,MATCH(F$3,Platts!$F$5:$M$5,0)+1,FALSE),F13)</f>
        <v>31.86</v>
      </c>
      <c r="G14" s="6">
        <f>IFERROR(VLOOKUP($B14,Platts!$E$5:$M$4994,MATCH(G$3,Platts!$F$5:$M$5,0)+1,FALSE),G13)</f>
        <v>32.06</v>
      </c>
      <c r="H14" s="6">
        <f>IFERROR(VLOOKUP($B14,Platts!$E$5:$M$4994,MATCH(H$3,Platts!$F$5:$M$5,0)+1,FALSE),H13)</f>
        <v>31.16</v>
      </c>
      <c r="I14" s="6">
        <f>IFERROR(VLOOKUP($B14,Platts!$E$5:$M$4994,MATCH(I$3,Platts!$F$5:$M$5,0)+1,FALSE),I13)</f>
        <v>32.659999999999997</v>
      </c>
      <c r="J14" s="6">
        <f t="shared" si="0"/>
        <v>9.09</v>
      </c>
    </row>
    <row r="15" spans="1:10" x14ac:dyDescent="0.25">
      <c r="B15" s="5">
        <f t="shared" si="1"/>
        <v>42381</v>
      </c>
      <c r="C15" s="6">
        <f>IFERROR(VLOOKUP($B15,Platts!$E$5:$M$4994,MATCH(C$3,Platts!$F$5:$M$5,0)+1,FALSE),C14)</f>
        <v>21.5</v>
      </c>
      <c r="D15" s="6">
        <f>IFERROR(VLOOKUP($B15,Platts!$E$5:$M$4994,MATCH(D$3,Platts!$F$5:$M$5,0)+1,FALSE),D14)</f>
        <v>28.95</v>
      </c>
      <c r="E15" s="6">
        <f>IFERROR(VLOOKUP($B15,Platts!$E$5:$M$4994,MATCH(E$3,Platts!$F$5:$M$5,0)+1,FALSE),E14)</f>
        <v>22.66</v>
      </c>
      <c r="F15" s="6">
        <f>IFERROR(VLOOKUP($B15,Platts!$E$5:$M$4994,MATCH(F$3,Platts!$F$5:$M$5,0)+1,FALSE),F14)</f>
        <v>31.05</v>
      </c>
      <c r="G15" s="6">
        <f>IFERROR(VLOOKUP($B15,Platts!$E$5:$M$4994,MATCH(G$3,Platts!$F$5:$M$5,0)+1,FALSE),G14)</f>
        <v>30.92</v>
      </c>
      <c r="H15" s="6">
        <f>IFERROR(VLOOKUP($B15,Platts!$E$5:$M$4994,MATCH(H$3,Platts!$F$5:$M$5,0)+1,FALSE),H14)</f>
        <v>30.49</v>
      </c>
      <c r="I15" s="6">
        <f>IFERROR(VLOOKUP($B15,Platts!$E$5:$M$4994,MATCH(I$3,Platts!$F$5:$M$5,0)+1,FALSE),I14)</f>
        <v>31.94</v>
      </c>
      <c r="J15" s="6">
        <f t="shared" si="0"/>
        <v>8.9899999999999984</v>
      </c>
    </row>
    <row r="16" spans="1:10" x14ac:dyDescent="0.25">
      <c r="B16" s="5">
        <f t="shared" si="1"/>
        <v>42382</v>
      </c>
      <c r="C16" s="6">
        <f>IFERROR(VLOOKUP($B16,Platts!$E$5:$M$4994,MATCH(C$3,Platts!$F$5:$M$5,0)+1,FALSE),C15)</f>
        <v>21.38</v>
      </c>
      <c r="D16" s="6">
        <f>IFERROR(VLOOKUP($B16,Platts!$E$5:$M$4994,MATCH(D$3,Platts!$F$5:$M$5,0)+1,FALSE),D15)</f>
        <v>29.12</v>
      </c>
      <c r="E16" s="6">
        <f>IFERROR(VLOOKUP($B16,Platts!$E$5:$M$4994,MATCH(E$3,Platts!$F$5:$M$5,0)+1,FALSE),E15)</f>
        <v>22.85</v>
      </c>
      <c r="F16" s="6">
        <f>IFERROR(VLOOKUP($B16,Platts!$E$5:$M$4994,MATCH(F$3,Platts!$F$5:$M$5,0)+1,FALSE),F15)</f>
        <v>31.1</v>
      </c>
      <c r="G16" s="6">
        <f>IFERROR(VLOOKUP($B16,Platts!$E$5:$M$4994,MATCH(G$3,Platts!$F$5:$M$5,0)+1,FALSE),G15)</f>
        <v>30.5</v>
      </c>
      <c r="H16" s="6">
        <f>IFERROR(VLOOKUP($B16,Platts!$E$5:$M$4994,MATCH(H$3,Platts!$F$5:$M$5,0)+1,FALSE),H15)</f>
        <v>30.44</v>
      </c>
      <c r="I16" s="6">
        <f>IFERROR(VLOOKUP($B16,Platts!$E$5:$M$4994,MATCH(I$3,Platts!$F$5:$M$5,0)+1,FALSE),I15)</f>
        <v>32.04</v>
      </c>
      <c r="J16" s="6">
        <f t="shared" si="0"/>
        <v>9.0600000000000023</v>
      </c>
    </row>
    <row r="17" spans="2:10" x14ac:dyDescent="0.25">
      <c r="B17" s="5">
        <f t="shared" si="1"/>
        <v>42383</v>
      </c>
      <c r="C17" s="6">
        <f>IFERROR(VLOOKUP($B17,Platts!$E$5:$M$4994,MATCH(C$3,Platts!$F$5:$M$5,0)+1,FALSE),C16)</f>
        <v>21.7</v>
      </c>
      <c r="D17" s="6">
        <f>IFERROR(VLOOKUP($B17,Platts!$E$5:$M$4994,MATCH(D$3,Platts!$F$5:$M$5,0)+1,FALSE),D16)</f>
        <v>29.83</v>
      </c>
      <c r="E17" s="6">
        <f>IFERROR(VLOOKUP($B17,Platts!$E$5:$M$4994,MATCH(E$3,Platts!$F$5:$M$5,0)+1,FALSE),E16)</f>
        <v>23.49</v>
      </c>
      <c r="F17" s="6">
        <f>IFERROR(VLOOKUP($B17,Platts!$E$5:$M$4994,MATCH(F$3,Platts!$F$5:$M$5,0)+1,FALSE),F16)</f>
        <v>31.9</v>
      </c>
      <c r="G17" s="6">
        <f>IFERROR(VLOOKUP($B17,Platts!$E$5:$M$4994,MATCH(G$3,Platts!$F$5:$M$5,0)+1,FALSE),G16)</f>
        <v>30.31</v>
      </c>
      <c r="H17" s="6">
        <f>IFERROR(VLOOKUP($B17,Platts!$E$5:$M$4994,MATCH(H$3,Platts!$F$5:$M$5,0)+1,FALSE),H16)</f>
        <v>31.25</v>
      </c>
      <c r="I17" s="6">
        <f>IFERROR(VLOOKUP($B17,Platts!$E$5:$M$4994,MATCH(I$3,Platts!$F$5:$M$5,0)+1,FALSE),I16)</f>
        <v>32.549999999999997</v>
      </c>
      <c r="J17" s="6">
        <f t="shared" si="0"/>
        <v>9.5500000000000007</v>
      </c>
    </row>
    <row r="18" spans="2:10" x14ac:dyDescent="0.25">
      <c r="B18" s="5">
        <f t="shared" si="1"/>
        <v>42384</v>
      </c>
      <c r="C18" s="6">
        <f>IFERROR(VLOOKUP($B18,Platts!$E$5:$M$4994,MATCH(C$3,Platts!$F$5:$M$5,0)+1,FALSE),C17)</f>
        <v>20.7</v>
      </c>
      <c r="D18" s="6">
        <f>IFERROR(VLOOKUP($B18,Platts!$E$5:$M$4994,MATCH(D$3,Platts!$F$5:$M$5,0)+1,FALSE),D17)</f>
        <v>27.89</v>
      </c>
      <c r="E18" s="6">
        <f>IFERROR(VLOOKUP($B18,Platts!$E$5:$M$4994,MATCH(E$3,Platts!$F$5:$M$5,0)+1,FALSE),E17)</f>
        <v>21.68</v>
      </c>
      <c r="F18" s="6">
        <f>IFERROR(VLOOKUP($B18,Platts!$E$5:$M$4994,MATCH(F$3,Platts!$F$5:$M$5,0)+1,FALSE),F17)</f>
        <v>30</v>
      </c>
      <c r="G18" s="6">
        <f>IFERROR(VLOOKUP($B18,Platts!$E$5:$M$4994,MATCH(G$3,Platts!$F$5:$M$5,0)+1,FALSE),G17)</f>
        <v>29.41</v>
      </c>
      <c r="H18" s="6">
        <f>IFERROR(VLOOKUP($B18,Platts!$E$5:$M$4994,MATCH(H$3,Platts!$F$5:$M$5,0)+1,FALSE),H17)</f>
        <v>29.74</v>
      </c>
      <c r="I18" s="6">
        <f>IFERROR(VLOOKUP($B18,Platts!$E$5:$M$4994,MATCH(I$3,Platts!$F$5:$M$5,0)+1,FALSE),I17)</f>
        <v>30.99</v>
      </c>
      <c r="J18" s="6">
        <f t="shared" si="0"/>
        <v>9.0399999999999991</v>
      </c>
    </row>
    <row r="19" spans="2:10" x14ac:dyDescent="0.25">
      <c r="B19" s="5">
        <f t="shared" si="1"/>
        <v>42385</v>
      </c>
      <c r="C19" s="6">
        <f>IFERROR(VLOOKUP($B19,Platts!$E$5:$M$4994,MATCH(C$3,Platts!$F$5:$M$5,0)+1,FALSE),C18)</f>
        <v>20.7</v>
      </c>
      <c r="D19" s="6">
        <f>IFERROR(VLOOKUP($B19,Platts!$E$5:$M$4994,MATCH(D$3,Platts!$F$5:$M$5,0)+1,FALSE),D18)</f>
        <v>27.89</v>
      </c>
      <c r="E19" s="6">
        <f>IFERROR(VLOOKUP($B19,Platts!$E$5:$M$4994,MATCH(E$3,Platts!$F$5:$M$5,0)+1,FALSE),E18)</f>
        <v>21.68</v>
      </c>
      <c r="F19" s="6">
        <f>IFERROR(VLOOKUP($B19,Platts!$E$5:$M$4994,MATCH(F$3,Platts!$F$5:$M$5,0)+1,FALSE),F18)</f>
        <v>30</v>
      </c>
      <c r="G19" s="6">
        <f>IFERROR(VLOOKUP($B19,Platts!$E$5:$M$4994,MATCH(G$3,Platts!$F$5:$M$5,0)+1,FALSE),G18)</f>
        <v>29.41</v>
      </c>
      <c r="H19" s="6">
        <f>IFERROR(VLOOKUP($B19,Platts!$E$5:$M$4994,MATCH(H$3,Platts!$F$5:$M$5,0)+1,FALSE),H18)</f>
        <v>29.74</v>
      </c>
      <c r="I19" s="6">
        <f>IFERROR(VLOOKUP($B19,Platts!$E$5:$M$4994,MATCH(I$3,Platts!$F$5:$M$5,0)+1,FALSE),I18)</f>
        <v>30.99</v>
      </c>
      <c r="J19" s="6">
        <f t="shared" si="0"/>
        <v>9.0399999999999991</v>
      </c>
    </row>
    <row r="20" spans="2:10" x14ac:dyDescent="0.25">
      <c r="B20" s="5">
        <f t="shared" si="1"/>
        <v>42386</v>
      </c>
      <c r="C20" s="6">
        <f>IFERROR(VLOOKUP($B20,Platts!$E$5:$M$4994,MATCH(C$3,Platts!$F$5:$M$5,0)+1,FALSE),C19)</f>
        <v>20.7</v>
      </c>
      <c r="D20" s="6">
        <f>IFERROR(VLOOKUP($B20,Platts!$E$5:$M$4994,MATCH(D$3,Platts!$F$5:$M$5,0)+1,FALSE),D19)</f>
        <v>27.89</v>
      </c>
      <c r="E20" s="6">
        <f>IFERROR(VLOOKUP($B20,Platts!$E$5:$M$4994,MATCH(E$3,Platts!$F$5:$M$5,0)+1,FALSE),E19)</f>
        <v>21.68</v>
      </c>
      <c r="F20" s="6">
        <f>IFERROR(VLOOKUP($B20,Platts!$E$5:$M$4994,MATCH(F$3,Platts!$F$5:$M$5,0)+1,FALSE),F19)</f>
        <v>30</v>
      </c>
      <c r="G20" s="6">
        <f>IFERROR(VLOOKUP($B20,Platts!$E$5:$M$4994,MATCH(G$3,Platts!$F$5:$M$5,0)+1,FALSE),G19)</f>
        <v>29.41</v>
      </c>
      <c r="H20" s="6">
        <f>IFERROR(VLOOKUP($B20,Platts!$E$5:$M$4994,MATCH(H$3,Platts!$F$5:$M$5,0)+1,FALSE),H19)</f>
        <v>29.74</v>
      </c>
      <c r="I20" s="6">
        <f>IFERROR(VLOOKUP($B20,Platts!$E$5:$M$4994,MATCH(I$3,Platts!$F$5:$M$5,0)+1,FALSE),I19)</f>
        <v>30.99</v>
      </c>
      <c r="J20" s="6">
        <f t="shared" si="0"/>
        <v>9.0399999999999991</v>
      </c>
    </row>
    <row r="21" spans="2:10" x14ac:dyDescent="0.25">
      <c r="B21" s="5">
        <f t="shared" si="1"/>
        <v>42387</v>
      </c>
      <c r="C21" s="6">
        <f>IFERROR(VLOOKUP($B21,Platts!$E$5:$M$4994,MATCH(C$3,Platts!$F$5:$M$5,0)+1,FALSE),C20)</f>
        <v>20.71</v>
      </c>
      <c r="D21" s="6">
        <f>IFERROR(VLOOKUP($B21,Platts!$E$5:$M$4994,MATCH(D$3,Platts!$F$5:$M$5,0)+1,FALSE),D20)</f>
        <v>27.89</v>
      </c>
      <c r="E21" s="6">
        <f>IFERROR(VLOOKUP($B21,Platts!$E$5:$M$4994,MATCH(E$3,Platts!$F$5:$M$5,0)+1,FALSE),E20)</f>
        <v>21.68</v>
      </c>
      <c r="F21" s="6">
        <f>IFERROR(VLOOKUP($B21,Platts!$E$5:$M$4994,MATCH(F$3,Platts!$F$5:$M$5,0)+1,FALSE),F20)</f>
        <v>30</v>
      </c>
      <c r="G21" s="6">
        <f>IFERROR(VLOOKUP($B21,Platts!$E$5:$M$4994,MATCH(G$3,Platts!$F$5:$M$5,0)+1,FALSE),G20)</f>
        <v>28.6</v>
      </c>
      <c r="H21" s="6">
        <f>IFERROR(VLOOKUP($B21,Platts!$E$5:$M$4994,MATCH(H$3,Platts!$F$5:$M$5,0)+1,FALSE),H20)</f>
        <v>29.74</v>
      </c>
      <c r="I21" s="6">
        <f>IFERROR(VLOOKUP($B21,Platts!$E$5:$M$4994,MATCH(I$3,Platts!$F$5:$M$5,0)+1,FALSE),I20)</f>
        <v>30.99</v>
      </c>
      <c r="J21" s="6">
        <f t="shared" si="0"/>
        <v>9.0299999999999976</v>
      </c>
    </row>
    <row r="22" spans="2:10" x14ac:dyDescent="0.25">
      <c r="B22" s="5">
        <f t="shared" si="1"/>
        <v>42388</v>
      </c>
      <c r="C22" s="6">
        <f>IFERROR(VLOOKUP($B22,Platts!$E$5:$M$4994,MATCH(C$3,Platts!$F$5:$M$5,0)+1,FALSE),C21)</f>
        <v>20.02</v>
      </c>
      <c r="D22" s="6">
        <f>IFERROR(VLOOKUP($B22,Platts!$E$5:$M$4994,MATCH(D$3,Platts!$F$5:$M$5,0)+1,FALSE),D21)</f>
        <v>26.96</v>
      </c>
      <c r="E22" s="6">
        <f>IFERROR(VLOOKUP($B22,Platts!$E$5:$M$4994,MATCH(E$3,Platts!$F$5:$M$5,0)+1,FALSE),E21)</f>
        <v>20.91</v>
      </c>
      <c r="F22" s="6">
        <f>IFERROR(VLOOKUP($B22,Platts!$E$5:$M$4994,MATCH(F$3,Platts!$F$5:$M$5,0)+1,FALSE),F21)</f>
        <v>29.12</v>
      </c>
      <c r="G22" s="6">
        <f>IFERROR(VLOOKUP($B22,Platts!$E$5:$M$4994,MATCH(G$3,Platts!$F$5:$M$5,0)+1,FALSE),G21)</f>
        <v>29.43</v>
      </c>
      <c r="H22" s="6">
        <f>IFERROR(VLOOKUP($B22,Platts!$E$5:$M$4994,MATCH(H$3,Platts!$F$5:$M$5,0)+1,FALSE),H21)</f>
        <v>28.35</v>
      </c>
      <c r="I22" s="6">
        <f>IFERROR(VLOOKUP($B22,Platts!$E$5:$M$4994,MATCH(I$3,Platts!$F$5:$M$5,0)+1,FALSE),I21)</f>
        <v>29.25</v>
      </c>
      <c r="J22" s="6">
        <f t="shared" si="0"/>
        <v>8.3300000000000018</v>
      </c>
    </row>
    <row r="23" spans="2:10" x14ac:dyDescent="0.25">
      <c r="B23" s="5">
        <f t="shared" si="1"/>
        <v>42389</v>
      </c>
      <c r="C23" s="6">
        <f>IFERROR(VLOOKUP($B23,Platts!$E$5:$M$4994,MATCH(C$3,Platts!$F$5:$M$5,0)+1,FALSE),C22)</f>
        <v>18.899999999999999</v>
      </c>
      <c r="D23" s="6">
        <f>IFERROR(VLOOKUP($B23,Platts!$E$5:$M$4994,MATCH(D$3,Platts!$F$5:$M$5,0)+1,FALSE),D22)</f>
        <v>25.36</v>
      </c>
      <c r="E23" s="6">
        <f>IFERROR(VLOOKUP($B23,Platts!$E$5:$M$4994,MATCH(E$3,Platts!$F$5:$M$5,0)+1,FALSE),E22)</f>
        <v>20.03</v>
      </c>
      <c r="F23" s="6">
        <f>IFERROR(VLOOKUP($B23,Platts!$E$5:$M$4994,MATCH(F$3,Platts!$F$5:$M$5,0)+1,FALSE),F22)</f>
        <v>27.68</v>
      </c>
      <c r="G23" s="6">
        <f>IFERROR(VLOOKUP($B23,Platts!$E$5:$M$4994,MATCH(G$3,Platts!$F$5:$M$5,0)+1,FALSE),G22)</f>
        <v>27.54</v>
      </c>
      <c r="H23" s="6">
        <f>IFERROR(VLOOKUP($B23,Platts!$E$5:$M$4994,MATCH(H$3,Platts!$F$5:$M$5,0)+1,FALSE),H22)</f>
        <v>26.54</v>
      </c>
      <c r="I23" s="6">
        <f>IFERROR(VLOOKUP($B23,Platts!$E$5:$M$4994,MATCH(I$3,Platts!$F$5:$M$5,0)+1,FALSE),I22)</f>
        <v>27.49</v>
      </c>
      <c r="J23" s="6">
        <f t="shared" si="0"/>
        <v>7.6400000000000006</v>
      </c>
    </row>
    <row r="24" spans="2:10" x14ac:dyDescent="0.25">
      <c r="B24" s="5">
        <f t="shared" si="1"/>
        <v>42390</v>
      </c>
      <c r="C24" s="6">
        <f>IFERROR(VLOOKUP($B24,Platts!$E$5:$M$4994,MATCH(C$3,Platts!$F$5:$M$5,0)+1,FALSE),C23)</f>
        <v>20.32</v>
      </c>
      <c r="D24" s="6">
        <f>IFERROR(VLOOKUP($B24,Platts!$E$5:$M$4994,MATCH(D$3,Platts!$F$5:$M$5,0)+1,FALSE),D23)</f>
        <v>26.97</v>
      </c>
      <c r="E24" s="6">
        <f>IFERROR(VLOOKUP($B24,Platts!$E$5:$M$4994,MATCH(E$3,Platts!$F$5:$M$5,0)+1,FALSE),E23)</f>
        <v>21.49</v>
      </c>
      <c r="F24" s="6">
        <f>IFERROR(VLOOKUP($B24,Platts!$E$5:$M$4994,MATCH(F$3,Platts!$F$5:$M$5,0)+1,FALSE),F23)</f>
        <v>29.24</v>
      </c>
      <c r="G24" s="6">
        <f>IFERROR(VLOOKUP($B24,Platts!$E$5:$M$4994,MATCH(G$3,Platts!$F$5:$M$5,0)+1,FALSE),G23)</f>
        <v>28.68</v>
      </c>
      <c r="H24" s="6">
        <f>IFERROR(VLOOKUP($B24,Platts!$E$5:$M$4994,MATCH(H$3,Platts!$F$5:$M$5,0)+1,FALSE),H23)</f>
        <v>28.47</v>
      </c>
      <c r="I24" s="6">
        <f>IFERROR(VLOOKUP($B24,Platts!$E$5:$M$4994,MATCH(I$3,Platts!$F$5:$M$5,0)+1,FALSE),I23)</f>
        <v>29.42</v>
      </c>
      <c r="J24" s="6">
        <f t="shared" si="0"/>
        <v>8.1499999999999986</v>
      </c>
    </row>
    <row r="25" spans="2:10" x14ac:dyDescent="0.25">
      <c r="B25" s="5">
        <f t="shared" si="1"/>
        <v>42391</v>
      </c>
      <c r="C25" s="6">
        <f>IFERROR(VLOOKUP($B25,Platts!$E$5:$M$4994,MATCH(C$3,Platts!$F$5:$M$5,0)+1,FALSE),C24)</f>
        <v>22.77</v>
      </c>
      <c r="D25" s="6">
        <f>IFERROR(VLOOKUP($B25,Platts!$E$5:$M$4994,MATCH(D$3,Platts!$F$5:$M$5,0)+1,FALSE),D24)</f>
        <v>29.74</v>
      </c>
      <c r="E25" s="6">
        <f>IFERROR(VLOOKUP($B25,Platts!$E$5:$M$4994,MATCH(E$3,Platts!$F$5:$M$5,0)+1,FALSE),E24)</f>
        <v>24.2</v>
      </c>
      <c r="F25" s="6">
        <f>IFERROR(VLOOKUP($B25,Platts!$E$5:$M$4994,MATCH(F$3,Platts!$F$5:$M$5,0)+1,FALSE),F24)</f>
        <v>32.03</v>
      </c>
      <c r="G25" s="6">
        <f>IFERROR(VLOOKUP($B25,Platts!$E$5:$M$4994,MATCH(G$3,Platts!$F$5:$M$5,0)+1,FALSE),G24)</f>
        <v>31.38</v>
      </c>
      <c r="H25" s="6">
        <f>IFERROR(VLOOKUP($B25,Platts!$E$5:$M$4994,MATCH(H$3,Platts!$F$5:$M$5,0)+1,FALSE),H24)</f>
        <v>30.88</v>
      </c>
      <c r="I25" s="6">
        <f>IFERROR(VLOOKUP($B25,Platts!$E$5:$M$4994,MATCH(I$3,Platts!$F$5:$M$5,0)+1,FALSE),I24)</f>
        <v>31.68</v>
      </c>
      <c r="J25" s="6">
        <f t="shared" si="0"/>
        <v>8.11</v>
      </c>
    </row>
    <row r="26" spans="2:10" x14ac:dyDescent="0.25">
      <c r="B26" s="5">
        <f t="shared" si="1"/>
        <v>42392</v>
      </c>
      <c r="C26" s="6">
        <f>IFERROR(VLOOKUP($B26,Platts!$E$5:$M$4994,MATCH(C$3,Platts!$F$5:$M$5,0)+1,FALSE),C25)</f>
        <v>22.77</v>
      </c>
      <c r="D26" s="6">
        <f>IFERROR(VLOOKUP($B26,Platts!$E$5:$M$4994,MATCH(D$3,Platts!$F$5:$M$5,0)+1,FALSE),D25)</f>
        <v>29.74</v>
      </c>
      <c r="E26" s="6">
        <f>IFERROR(VLOOKUP($B26,Platts!$E$5:$M$4994,MATCH(E$3,Platts!$F$5:$M$5,0)+1,FALSE),E25)</f>
        <v>24.2</v>
      </c>
      <c r="F26" s="6">
        <f>IFERROR(VLOOKUP($B26,Platts!$E$5:$M$4994,MATCH(F$3,Platts!$F$5:$M$5,0)+1,FALSE),F25)</f>
        <v>32.03</v>
      </c>
      <c r="G26" s="6">
        <f>IFERROR(VLOOKUP($B26,Platts!$E$5:$M$4994,MATCH(G$3,Platts!$F$5:$M$5,0)+1,FALSE),G25)</f>
        <v>31.38</v>
      </c>
      <c r="H26" s="6">
        <f>IFERROR(VLOOKUP($B26,Platts!$E$5:$M$4994,MATCH(H$3,Platts!$F$5:$M$5,0)+1,FALSE),H25)</f>
        <v>30.88</v>
      </c>
      <c r="I26" s="6">
        <f>IFERROR(VLOOKUP($B26,Platts!$E$5:$M$4994,MATCH(I$3,Platts!$F$5:$M$5,0)+1,FALSE),I25)</f>
        <v>31.68</v>
      </c>
      <c r="J26" s="6">
        <f t="shared" si="0"/>
        <v>8.11</v>
      </c>
    </row>
    <row r="27" spans="2:10" x14ac:dyDescent="0.25">
      <c r="B27" s="5">
        <f t="shared" si="1"/>
        <v>42393</v>
      </c>
      <c r="C27" s="6">
        <f>IFERROR(VLOOKUP($B27,Platts!$E$5:$M$4994,MATCH(C$3,Platts!$F$5:$M$5,0)+1,FALSE),C26)</f>
        <v>22.77</v>
      </c>
      <c r="D27" s="6">
        <f>IFERROR(VLOOKUP($B27,Platts!$E$5:$M$4994,MATCH(D$3,Platts!$F$5:$M$5,0)+1,FALSE),D26)</f>
        <v>29.74</v>
      </c>
      <c r="E27" s="6">
        <f>IFERROR(VLOOKUP($B27,Platts!$E$5:$M$4994,MATCH(E$3,Platts!$F$5:$M$5,0)+1,FALSE),E26)</f>
        <v>24.2</v>
      </c>
      <c r="F27" s="6">
        <f>IFERROR(VLOOKUP($B27,Platts!$E$5:$M$4994,MATCH(F$3,Platts!$F$5:$M$5,0)+1,FALSE),F26)</f>
        <v>32.03</v>
      </c>
      <c r="G27" s="6">
        <f>IFERROR(VLOOKUP($B27,Platts!$E$5:$M$4994,MATCH(G$3,Platts!$F$5:$M$5,0)+1,FALSE),G26)</f>
        <v>31.38</v>
      </c>
      <c r="H27" s="6">
        <f>IFERROR(VLOOKUP($B27,Platts!$E$5:$M$4994,MATCH(H$3,Platts!$F$5:$M$5,0)+1,FALSE),H26)</f>
        <v>30.88</v>
      </c>
      <c r="I27" s="6">
        <f>IFERROR(VLOOKUP($B27,Platts!$E$5:$M$4994,MATCH(I$3,Platts!$F$5:$M$5,0)+1,FALSE),I26)</f>
        <v>31.68</v>
      </c>
      <c r="J27" s="6">
        <f t="shared" si="0"/>
        <v>8.11</v>
      </c>
    </row>
    <row r="28" spans="2:10" x14ac:dyDescent="0.25">
      <c r="B28" s="5">
        <f t="shared" si="1"/>
        <v>42394</v>
      </c>
      <c r="C28" s="6">
        <f>IFERROR(VLOOKUP($B28,Platts!$E$5:$M$4994,MATCH(C$3,Platts!$F$5:$M$5,0)+1,FALSE),C27)</f>
        <v>21.87</v>
      </c>
      <c r="D28" s="6">
        <f>IFERROR(VLOOKUP($B28,Platts!$E$5:$M$4994,MATCH(D$3,Platts!$F$5:$M$5,0)+1,FALSE),D27)</f>
        <v>27.36</v>
      </c>
      <c r="E28" s="6">
        <f>IFERROR(VLOOKUP($B28,Platts!$E$5:$M$4994,MATCH(E$3,Platts!$F$5:$M$5,0)+1,FALSE),E27)</f>
        <v>22.08</v>
      </c>
      <c r="F28" s="6">
        <f>IFERROR(VLOOKUP($B28,Platts!$E$5:$M$4994,MATCH(F$3,Platts!$F$5:$M$5,0)+1,FALSE),F27)</f>
        <v>29.66</v>
      </c>
      <c r="G28" s="6">
        <f>IFERROR(VLOOKUP($B28,Platts!$E$5:$M$4994,MATCH(G$3,Platts!$F$5:$M$5,0)+1,FALSE),G27)</f>
        <v>31.03</v>
      </c>
      <c r="H28" s="6">
        <f>IFERROR(VLOOKUP($B28,Platts!$E$5:$M$4994,MATCH(H$3,Platts!$F$5:$M$5,0)+1,FALSE),H27)</f>
        <v>28.7</v>
      </c>
      <c r="I28" s="6">
        <f>IFERROR(VLOOKUP($B28,Platts!$E$5:$M$4994,MATCH(I$3,Platts!$F$5:$M$5,0)+1,FALSE),I27)</f>
        <v>30.05</v>
      </c>
      <c r="J28" s="6">
        <f t="shared" si="0"/>
        <v>6.8299999999999983</v>
      </c>
    </row>
    <row r="29" spans="2:10" x14ac:dyDescent="0.25">
      <c r="B29" s="5">
        <f t="shared" si="1"/>
        <v>42395</v>
      </c>
      <c r="C29" s="6">
        <f>IFERROR(VLOOKUP($B29,Platts!$E$5:$M$4994,MATCH(C$3,Platts!$F$5:$M$5,0)+1,FALSE),C28)</f>
        <v>22.55</v>
      </c>
      <c r="D29" s="6">
        <f>IFERROR(VLOOKUP($B29,Platts!$E$5:$M$4994,MATCH(D$3,Platts!$F$5:$M$5,0)+1,FALSE),D28)</f>
        <v>29.69</v>
      </c>
      <c r="E29" s="6">
        <f>IFERROR(VLOOKUP($B29,Platts!$E$5:$M$4994,MATCH(E$3,Platts!$F$5:$M$5,0)+1,FALSE),E28)</f>
        <v>23.6</v>
      </c>
      <c r="F29" s="6">
        <f>IFERROR(VLOOKUP($B29,Platts!$E$5:$M$4994,MATCH(F$3,Platts!$F$5:$M$5,0)+1,FALSE),F28)</f>
        <v>31.89</v>
      </c>
      <c r="G29" s="6">
        <f>IFERROR(VLOOKUP($B29,Platts!$E$5:$M$4994,MATCH(G$3,Platts!$F$5:$M$5,0)+1,FALSE),G28)</f>
        <v>31.81</v>
      </c>
      <c r="H29" s="6">
        <f>IFERROR(VLOOKUP($B29,Platts!$E$5:$M$4994,MATCH(H$3,Platts!$F$5:$M$5,0)+1,FALSE),H28)</f>
        <v>31.27</v>
      </c>
      <c r="I29" s="6">
        <f>IFERROR(VLOOKUP($B29,Platts!$E$5:$M$4994,MATCH(I$3,Platts!$F$5:$M$5,0)+1,FALSE),I28)</f>
        <v>32.32</v>
      </c>
      <c r="J29" s="6">
        <f t="shared" si="0"/>
        <v>8.7199999999999989</v>
      </c>
    </row>
    <row r="30" spans="2:10" x14ac:dyDescent="0.25">
      <c r="B30" s="5">
        <f t="shared" si="1"/>
        <v>42396</v>
      </c>
      <c r="C30" s="6">
        <f>IFERROR(VLOOKUP($B30,Platts!$E$5:$M$4994,MATCH(C$3,Platts!$F$5:$M$5,0)+1,FALSE),C29)</f>
        <v>23.38</v>
      </c>
      <c r="D30" s="6">
        <f>IFERROR(VLOOKUP($B30,Platts!$E$5:$M$4994,MATCH(D$3,Platts!$F$5:$M$5,0)+1,FALSE),D29)</f>
        <v>30.55</v>
      </c>
      <c r="E30" s="6">
        <f>IFERROR(VLOOKUP($B30,Platts!$E$5:$M$4994,MATCH(E$3,Platts!$F$5:$M$5,0)+1,FALSE),E29)</f>
        <v>24.58</v>
      </c>
      <c r="F30" s="6">
        <f>IFERROR(VLOOKUP($B30,Platts!$E$5:$M$4994,MATCH(F$3,Platts!$F$5:$M$5,0)+1,FALSE),F29)</f>
        <v>32.81</v>
      </c>
      <c r="G30" s="6">
        <f>IFERROR(VLOOKUP($B30,Platts!$E$5:$M$4994,MATCH(G$3,Platts!$F$5:$M$5,0)+1,FALSE),G29)</f>
        <v>32.450000000000003</v>
      </c>
      <c r="H30" s="6">
        <f>IFERROR(VLOOKUP($B30,Platts!$E$5:$M$4994,MATCH(H$3,Platts!$F$5:$M$5,0)+1,FALSE),H29)</f>
        <v>31.82</v>
      </c>
      <c r="I30" s="6">
        <f>IFERROR(VLOOKUP($B30,Platts!$E$5:$M$4994,MATCH(I$3,Platts!$F$5:$M$5,0)+1,FALSE),I29)</f>
        <v>32.869999999999997</v>
      </c>
      <c r="J30" s="6">
        <f t="shared" si="0"/>
        <v>8.4400000000000013</v>
      </c>
    </row>
    <row r="31" spans="2:10" x14ac:dyDescent="0.25">
      <c r="B31" s="5">
        <f t="shared" si="1"/>
        <v>42397</v>
      </c>
      <c r="C31" s="6">
        <f>IFERROR(VLOOKUP($B31,Platts!$E$5:$M$4994,MATCH(C$3,Platts!$F$5:$M$5,0)+1,FALSE),C30)</f>
        <v>25.04</v>
      </c>
      <c r="D31" s="6">
        <f>IFERROR(VLOOKUP($B31,Platts!$E$5:$M$4994,MATCH(D$3,Platts!$F$5:$M$5,0)+1,FALSE),D30)</f>
        <v>31.65</v>
      </c>
      <c r="E31" s="6">
        <f>IFERROR(VLOOKUP($B31,Platts!$E$5:$M$4994,MATCH(E$3,Platts!$F$5:$M$5,0)+1,FALSE),E30)</f>
        <v>25.74</v>
      </c>
      <c r="F31" s="6">
        <f>IFERROR(VLOOKUP($B31,Platts!$E$5:$M$4994,MATCH(F$3,Platts!$F$5:$M$5,0)+1,FALSE),F30)</f>
        <v>33.950000000000003</v>
      </c>
      <c r="G31" s="6">
        <f>IFERROR(VLOOKUP($B31,Platts!$E$5:$M$4994,MATCH(G$3,Platts!$F$5:$M$5,0)+1,FALSE),G30)</f>
        <v>34.17</v>
      </c>
      <c r="H31" s="6">
        <f>IFERROR(VLOOKUP($B31,Platts!$E$5:$M$4994,MATCH(H$3,Platts!$F$5:$M$5,0)+1,FALSE),H30)</f>
        <v>33.6</v>
      </c>
      <c r="I31" s="6">
        <f>IFERROR(VLOOKUP($B31,Platts!$E$5:$M$4994,MATCH(I$3,Platts!$F$5:$M$5,0)+1,FALSE),I30)</f>
        <v>34.799999999999997</v>
      </c>
      <c r="J31" s="6">
        <f t="shared" si="0"/>
        <v>8.5600000000000023</v>
      </c>
    </row>
    <row r="32" spans="2:10" x14ac:dyDescent="0.25">
      <c r="B32" s="5">
        <f t="shared" si="1"/>
        <v>42398</v>
      </c>
      <c r="C32" s="6">
        <f>IFERROR(VLOOKUP($B32,Platts!$E$5:$M$4994,MATCH(C$3,Platts!$F$5:$M$5,0)+1,FALSE),C31)</f>
        <v>25.53</v>
      </c>
      <c r="D32" s="6">
        <f>IFERROR(VLOOKUP($B32,Platts!$E$5:$M$4994,MATCH(D$3,Platts!$F$5:$M$5,0)+1,FALSE),D31)</f>
        <v>31.94</v>
      </c>
      <c r="E32" s="6">
        <f>IFERROR(VLOOKUP($B32,Platts!$E$5:$M$4994,MATCH(E$3,Platts!$F$5:$M$5,0)+1,FALSE),E31)</f>
        <v>26.42</v>
      </c>
      <c r="F32" s="6">
        <f>IFERROR(VLOOKUP($B32,Platts!$E$5:$M$4994,MATCH(F$3,Platts!$F$5:$M$5,0)+1,FALSE),F31)</f>
        <v>34.22</v>
      </c>
      <c r="G32" s="6">
        <f>IFERROR(VLOOKUP($B32,Platts!$E$5:$M$4994,MATCH(G$3,Platts!$F$5:$M$5,0)+1,FALSE),G31)</f>
        <v>34.14</v>
      </c>
      <c r="H32" s="6">
        <f>IFERROR(VLOOKUP($B32,Platts!$E$5:$M$4994,MATCH(H$3,Platts!$F$5:$M$5,0)+1,FALSE),H31)</f>
        <v>33.729999999999997</v>
      </c>
      <c r="I32" s="6">
        <f>IFERROR(VLOOKUP($B32,Platts!$E$5:$M$4994,MATCH(I$3,Platts!$F$5:$M$5,0)+1,FALSE),I31)</f>
        <v>34.880000000000003</v>
      </c>
      <c r="J32" s="6">
        <f t="shared" si="0"/>
        <v>8.1999999999999957</v>
      </c>
    </row>
    <row r="33" spans="2:10" x14ac:dyDescent="0.25">
      <c r="B33" s="5">
        <f t="shared" si="1"/>
        <v>42399</v>
      </c>
      <c r="C33" s="6">
        <f>IFERROR(VLOOKUP($B33,Platts!$E$5:$M$4994,MATCH(C$3,Platts!$F$5:$M$5,0)+1,FALSE),C32)</f>
        <v>25.53</v>
      </c>
      <c r="D33" s="6">
        <f>IFERROR(VLOOKUP($B33,Platts!$E$5:$M$4994,MATCH(D$3,Platts!$F$5:$M$5,0)+1,FALSE),D32)</f>
        <v>31.94</v>
      </c>
      <c r="E33" s="6">
        <f>IFERROR(VLOOKUP($B33,Platts!$E$5:$M$4994,MATCH(E$3,Platts!$F$5:$M$5,0)+1,FALSE),E32)</f>
        <v>26.42</v>
      </c>
      <c r="F33" s="6">
        <f>IFERROR(VLOOKUP($B33,Platts!$E$5:$M$4994,MATCH(F$3,Platts!$F$5:$M$5,0)+1,FALSE),F32)</f>
        <v>34.22</v>
      </c>
      <c r="G33" s="6">
        <f>IFERROR(VLOOKUP($B33,Platts!$E$5:$M$4994,MATCH(G$3,Platts!$F$5:$M$5,0)+1,FALSE),G32)</f>
        <v>34.14</v>
      </c>
      <c r="H33" s="6">
        <f>IFERROR(VLOOKUP($B33,Platts!$E$5:$M$4994,MATCH(H$3,Platts!$F$5:$M$5,0)+1,FALSE),H32)</f>
        <v>33.729999999999997</v>
      </c>
      <c r="I33" s="6">
        <f>IFERROR(VLOOKUP($B33,Platts!$E$5:$M$4994,MATCH(I$3,Platts!$F$5:$M$5,0)+1,FALSE),I32)</f>
        <v>34.880000000000003</v>
      </c>
      <c r="J33" s="6">
        <f t="shared" si="0"/>
        <v>8.1999999999999957</v>
      </c>
    </row>
    <row r="34" spans="2:10" x14ac:dyDescent="0.25">
      <c r="B34" s="5">
        <f t="shared" si="1"/>
        <v>42400</v>
      </c>
      <c r="C34" s="6">
        <f>IFERROR(VLOOKUP($B34,Platts!$E$5:$M$4994,MATCH(C$3,Platts!$F$5:$M$5,0)+1,FALSE),C33)</f>
        <v>25.53</v>
      </c>
      <c r="D34" s="6">
        <f>IFERROR(VLOOKUP($B34,Platts!$E$5:$M$4994,MATCH(D$3,Platts!$F$5:$M$5,0)+1,FALSE),D33)</f>
        <v>31.94</v>
      </c>
      <c r="E34" s="6">
        <f>IFERROR(VLOOKUP($B34,Platts!$E$5:$M$4994,MATCH(E$3,Platts!$F$5:$M$5,0)+1,FALSE),E33)</f>
        <v>26.42</v>
      </c>
      <c r="F34" s="6">
        <f>IFERROR(VLOOKUP($B34,Platts!$E$5:$M$4994,MATCH(F$3,Platts!$F$5:$M$5,0)+1,FALSE),F33)</f>
        <v>34.22</v>
      </c>
      <c r="G34" s="6">
        <f>IFERROR(VLOOKUP($B34,Platts!$E$5:$M$4994,MATCH(G$3,Platts!$F$5:$M$5,0)+1,FALSE),G33)</f>
        <v>34.14</v>
      </c>
      <c r="H34" s="6">
        <f>IFERROR(VLOOKUP($B34,Platts!$E$5:$M$4994,MATCH(H$3,Platts!$F$5:$M$5,0)+1,FALSE),H33)</f>
        <v>33.729999999999997</v>
      </c>
      <c r="I34" s="6">
        <f>IFERROR(VLOOKUP($B34,Platts!$E$5:$M$4994,MATCH(I$3,Platts!$F$5:$M$5,0)+1,FALSE),I33)</f>
        <v>34.880000000000003</v>
      </c>
      <c r="J34" s="6">
        <f t="shared" si="0"/>
        <v>8.1999999999999957</v>
      </c>
    </row>
    <row r="35" spans="2:10" x14ac:dyDescent="0.25">
      <c r="B35" s="5">
        <f t="shared" si="1"/>
        <v>42401</v>
      </c>
      <c r="C35" s="6">
        <f>IFERROR(VLOOKUP($B35,Platts!$E$5:$M$4994,MATCH(C$3,Platts!$F$5:$M$5,0)+1,FALSE),C34)</f>
        <v>25.82</v>
      </c>
      <c r="D35" s="6">
        <f>IFERROR(VLOOKUP($B35,Platts!$E$5:$M$4994,MATCH(D$3,Platts!$F$5:$M$5,0)+1,FALSE),D34)</f>
        <v>29.51</v>
      </c>
      <c r="E35" s="6">
        <f>IFERROR(VLOOKUP($B35,Platts!$E$5:$M$4994,MATCH(E$3,Platts!$F$5:$M$5,0)+1,FALSE),E34)</f>
        <v>25.62</v>
      </c>
      <c r="F35" s="6">
        <f>IFERROR(VLOOKUP($B35,Platts!$E$5:$M$4994,MATCH(F$3,Platts!$F$5:$M$5,0)+1,FALSE),F34)</f>
        <v>32.44</v>
      </c>
      <c r="G35" s="6">
        <f>IFERROR(VLOOKUP($B35,Platts!$E$5:$M$4994,MATCH(G$3,Platts!$F$5:$M$5,0)+1,FALSE),G34)</f>
        <v>34.869999999999997</v>
      </c>
      <c r="H35" s="6">
        <f>IFERROR(VLOOKUP($B35,Platts!$E$5:$M$4994,MATCH(H$3,Platts!$F$5:$M$5,0)+1,FALSE),H34)</f>
        <v>31.42</v>
      </c>
      <c r="I35" s="6">
        <f>IFERROR(VLOOKUP($B35,Platts!$E$5:$M$4994,MATCH(I$3,Platts!$F$5:$M$5,0)+1,FALSE),I34)</f>
        <v>32.82</v>
      </c>
      <c r="J35" s="6">
        <f t="shared" si="0"/>
        <v>5.6000000000000014</v>
      </c>
    </row>
    <row r="36" spans="2:10" x14ac:dyDescent="0.25">
      <c r="B36" s="5">
        <f t="shared" si="1"/>
        <v>42402</v>
      </c>
      <c r="C36" s="6">
        <f>IFERROR(VLOOKUP($B36,Platts!$E$5:$M$4994,MATCH(C$3,Platts!$F$5:$M$5,0)+1,FALSE),C35)</f>
        <v>24.47</v>
      </c>
      <c r="D36" s="6">
        <f>IFERROR(VLOOKUP($B36,Platts!$E$5:$M$4994,MATCH(D$3,Platts!$F$5:$M$5,0)+1,FALSE),D35)</f>
        <v>28.01</v>
      </c>
      <c r="E36" s="6">
        <f>IFERROR(VLOOKUP($B36,Platts!$E$5:$M$4994,MATCH(E$3,Platts!$F$5:$M$5,0)+1,FALSE),E35)</f>
        <v>24.19</v>
      </c>
      <c r="F36" s="6">
        <f>IFERROR(VLOOKUP($B36,Platts!$E$5:$M$4994,MATCH(F$3,Platts!$F$5:$M$5,0)+1,FALSE),F35)</f>
        <v>30.98</v>
      </c>
      <c r="G36" s="6">
        <f>IFERROR(VLOOKUP($B36,Platts!$E$5:$M$4994,MATCH(G$3,Platts!$F$5:$M$5,0)+1,FALSE),G35)</f>
        <v>33.299999999999997</v>
      </c>
      <c r="H36" s="6">
        <f>IFERROR(VLOOKUP($B36,Platts!$E$5:$M$4994,MATCH(H$3,Platts!$F$5:$M$5,0)+1,FALSE),H35)</f>
        <v>29.97</v>
      </c>
      <c r="I36" s="6">
        <f>IFERROR(VLOOKUP($B36,Platts!$E$5:$M$4994,MATCH(I$3,Platts!$F$5:$M$5,0)+1,FALSE),I35)</f>
        <v>31.42</v>
      </c>
      <c r="J36" s="6">
        <f t="shared" si="0"/>
        <v>5.5</v>
      </c>
    </row>
    <row r="37" spans="2:10" x14ac:dyDescent="0.25">
      <c r="B37" s="5">
        <f t="shared" si="1"/>
        <v>42403</v>
      </c>
      <c r="C37" s="6">
        <f>IFERROR(VLOOKUP($B37,Platts!$E$5:$M$4994,MATCH(C$3,Platts!$F$5:$M$5,0)+1,FALSE),C36)</f>
        <v>26.15</v>
      </c>
      <c r="D37" s="6">
        <f>IFERROR(VLOOKUP($B37,Platts!$E$5:$M$4994,MATCH(D$3,Platts!$F$5:$M$5,0)+1,FALSE),D36)</f>
        <v>30.65</v>
      </c>
      <c r="E37" s="6">
        <f>IFERROR(VLOOKUP($B37,Platts!$E$5:$M$4994,MATCH(E$3,Platts!$F$5:$M$5,0)+1,FALSE),E36)</f>
        <v>26.93</v>
      </c>
      <c r="F37" s="6">
        <f>IFERROR(VLOOKUP($B37,Platts!$E$5:$M$4994,MATCH(F$3,Platts!$F$5:$M$5,0)+1,FALSE),F36)</f>
        <v>33.659999999999997</v>
      </c>
      <c r="G37" s="6">
        <f>IFERROR(VLOOKUP($B37,Platts!$E$5:$M$4994,MATCH(G$3,Platts!$F$5:$M$5,0)+1,FALSE),G36)</f>
        <v>34.450000000000003</v>
      </c>
      <c r="H37" s="6">
        <f>IFERROR(VLOOKUP($B37,Platts!$E$5:$M$4994,MATCH(H$3,Platts!$F$5:$M$5,0)+1,FALSE),H36)</f>
        <v>32.409999999999997</v>
      </c>
      <c r="I37" s="6">
        <f>IFERROR(VLOOKUP($B37,Platts!$E$5:$M$4994,MATCH(I$3,Platts!$F$5:$M$5,0)+1,FALSE),I36)</f>
        <v>33.909999999999997</v>
      </c>
      <c r="J37" s="6">
        <f t="shared" si="0"/>
        <v>6.259999999999998</v>
      </c>
    </row>
    <row r="38" spans="2:10" x14ac:dyDescent="0.25">
      <c r="B38" s="5">
        <f t="shared" si="1"/>
        <v>42404</v>
      </c>
      <c r="C38" s="6">
        <f>IFERROR(VLOOKUP($B38,Platts!$E$5:$M$4994,MATCH(C$3,Platts!$F$5:$M$5,0)+1,FALSE),C37)</f>
        <v>26.34</v>
      </c>
      <c r="D38" s="6">
        <f>IFERROR(VLOOKUP($B38,Platts!$E$5:$M$4994,MATCH(D$3,Platts!$F$5:$M$5,0)+1,FALSE),D37)</f>
        <v>29.92</v>
      </c>
      <c r="E38" s="6">
        <f>IFERROR(VLOOKUP($B38,Platts!$E$5:$M$4994,MATCH(E$3,Platts!$F$5:$M$5,0)+1,FALSE),E37)</f>
        <v>26.31</v>
      </c>
      <c r="F38" s="6">
        <f>IFERROR(VLOOKUP($B38,Platts!$E$5:$M$4994,MATCH(F$3,Platts!$F$5:$M$5,0)+1,FALSE),F37)</f>
        <v>32.89</v>
      </c>
      <c r="G38" s="6">
        <f>IFERROR(VLOOKUP($B38,Platts!$E$5:$M$4994,MATCH(G$3,Platts!$F$5:$M$5,0)+1,FALSE),G37)</f>
        <v>34.909999999999997</v>
      </c>
      <c r="H38" s="6">
        <f>IFERROR(VLOOKUP($B38,Platts!$E$5:$M$4994,MATCH(H$3,Platts!$F$5:$M$5,0)+1,FALSE),H37)</f>
        <v>31.7</v>
      </c>
      <c r="I38" s="6">
        <f>IFERROR(VLOOKUP($B38,Platts!$E$5:$M$4994,MATCH(I$3,Platts!$F$5:$M$5,0)+1,FALSE),I37)</f>
        <v>33.049999999999997</v>
      </c>
      <c r="J38" s="6">
        <f t="shared" si="0"/>
        <v>5.3599999999999994</v>
      </c>
    </row>
    <row r="39" spans="2:10" x14ac:dyDescent="0.25">
      <c r="B39" s="5">
        <f t="shared" si="1"/>
        <v>42405</v>
      </c>
      <c r="C39" s="6">
        <f>IFERROR(VLOOKUP($B39,Platts!$E$5:$M$4994,MATCH(C$3,Platts!$F$5:$M$5,0)+1,FALSE),C38)</f>
        <v>25.73</v>
      </c>
      <c r="D39" s="6">
        <f>IFERROR(VLOOKUP($B39,Platts!$E$5:$M$4994,MATCH(D$3,Platts!$F$5:$M$5,0)+1,FALSE),D38)</f>
        <v>29.2</v>
      </c>
      <c r="E39" s="6">
        <f>IFERROR(VLOOKUP($B39,Platts!$E$5:$M$4994,MATCH(E$3,Platts!$F$5:$M$5,0)+1,FALSE),E38)</f>
        <v>25.73</v>
      </c>
      <c r="F39" s="6">
        <f>IFERROR(VLOOKUP($B39,Platts!$E$5:$M$4994,MATCH(F$3,Platts!$F$5:$M$5,0)+1,FALSE),F38)</f>
        <v>32.229999999999997</v>
      </c>
      <c r="G39" s="6">
        <f>IFERROR(VLOOKUP($B39,Platts!$E$5:$M$4994,MATCH(G$3,Platts!$F$5:$M$5,0)+1,FALSE),G38)</f>
        <v>34.58</v>
      </c>
      <c r="H39" s="6">
        <f>IFERROR(VLOOKUP($B39,Platts!$E$5:$M$4994,MATCH(H$3,Platts!$F$5:$M$5,0)+1,FALSE),H38)</f>
        <v>30.85</v>
      </c>
      <c r="I39" s="6">
        <f>IFERROR(VLOOKUP($B39,Platts!$E$5:$M$4994,MATCH(I$3,Platts!$F$5:$M$5,0)+1,FALSE),I38)</f>
        <v>32.299999999999997</v>
      </c>
      <c r="J39" s="6">
        <f t="shared" si="0"/>
        <v>5.120000000000001</v>
      </c>
    </row>
    <row r="40" spans="2:10" x14ac:dyDescent="0.25">
      <c r="B40" s="5">
        <f t="shared" si="1"/>
        <v>42406</v>
      </c>
      <c r="C40" s="6">
        <f>IFERROR(VLOOKUP($B40,Platts!$E$5:$M$4994,MATCH(C$3,Platts!$F$5:$M$5,0)+1,FALSE),C39)</f>
        <v>25.73</v>
      </c>
      <c r="D40" s="6">
        <f>IFERROR(VLOOKUP($B40,Platts!$E$5:$M$4994,MATCH(D$3,Platts!$F$5:$M$5,0)+1,FALSE),D39)</f>
        <v>29.2</v>
      </c>
      <c r="E40" s="6">
        <f>IFERROR(VLOOKUP($B40,Platts!$E$5:$M$4994,MATCH(E$3,Platts!$F$5:$M$5,0)+1,FALSE),E39)</f>
        <v>25.73</v>
      </c>
      <c r="F40" s="6">
        <f>IFERROR(VLOOKUP($B40,Platts!$E$5:$M$4994,MATCH(F$3,Platts!$F$5:$M$5,0)+1,FALSE),F39)</f>
        <v>32.229999999999997</v>
      </c>
      <c r="G40" s="6">
        <f>IFERROR(VLOOKUP($B40,Platts!$E$5:$M$4994,MATCH(G$3,Platts!$F$5:$M$5,0)+1,FALSE),G39)</f>
        <v>34.58</v>
      </c>
      <c r="H40" s="6">
        <f>IFERROR(VLOOKUP($B40,Platts!$E$5:$M$4994,MATCH(H$3,Platts!$F$5:$M$5,0)+1,FALSE),H39)</f>
        <v>30.85</v>
      </c>
      <c r="I40" s="6">
        <f>IFERROR(VLOOKUP($B40,Platts!$E$5:$M$4994,MATCH(I$3,Platts!$F$5:$M$5,0)+1,FALSE),I39)</f>
        <v>32.299999999999997</v>
      </c>
      <c r="J40" s="6">
        <f t="shared" si="0"/>
        <v>5.120000000000001</v>
      </c>
    </row>
    <row r="41" spans="2:10" x14ac:dyDescent="0.25">
      <c r="B41" s="5">
        <f t="shared" si="1"/>
        <v>42407</v>
      </c>
      <c r="C41" s="6">
        <f>IFERROR(VLOOKUP($B41,Platts!$E$5:$M$4994,MATCH(C$3,Platts!$F$5:$M$5,0)+1,FALSE),C40)</f>
        <v>25.73</v>
      </c>
      <c r="D41" s="6">
        <f>IFERROR(VLOOKUP($B41,Platts!$E$5:$M$4994,MATCH(D$3,Platts!$F$5:$M$5,0)+1,FALSE),D40)</f>
        <v>29.2</v>
      </c>
      <c r="E41" s="6">
        <f>IFERROR(VLOOKUP($B41,Platts!$E$5:$M$4994,MATCH(E$3,Platts!$F$5:$M$5,0)+1,FALSE),E40)</f>
        <v>25.73</v>
      </c>
      <c r="F41" s="6">
        <f>IFERROR(VLOOKUP($B41,Platts!$E$5:$M$4994,MATCH(F$3,Platts!$F$5:$M$5,0)+1,FALSE),F40)</f>
        <v>32.229999999999997</v>
      </c>
      <c r="G41" s="6">
        <f>IFERROR(VLOOKUP($B41,Platts!$E$5:$M$4994,MATCH(G$3,Platts!$F$5:$M$5,0)+1,FALSE),G40)</f>
        <v>34.58</v>
      </c>
      <c r="H41" s="6">
        <f>IFERROR(VLOOKUP($B41,Platts!$E$5:$M$4994,MATCH(H$3,Platts!$F$5:$M$5,0)+1,FALSE),H40)</f>
        <v>30.85</v>
      </c>
      <c r="I41" s="6">
        <f>IFERROR(VLOOKUP($B41,Platts!$E$5:$M$4994,MATCH(I$3,Platts!$F$5:$M$5,0)+1,FALSE),I40)</f>
        <v>32.299999999999997</v>
      </c>
      <c r="J41" s="6">
        <f t="shared" si="0"/>
        <v>5.120000000000001</v>
      </c>
    </row>
    <row r="42" spans="2:10" x14ac:dyDescent="0.25">
      <c r="B42" s="5">
        <f t="shared" si="1"/>
        <v>42408</v>
      </c>
      <c r="C42" s="6">
        <f>IFERROR(VLOOKUP($B42,Platts!$E$5:$M$4994,MATCH(C$3,Platts!$F$5:$M$5,0)+1,FALSE),C41)</f>
        <v>25.73</v>
      </c>
      <c r="D42" s="6">
        <f>IFERROR(VLOOKUP($B42,Platts!$E$5:$M$4994,MATCH(D$3,Platts!$F$5:$M$5,0)+1,FALSE),D41)</f>
        <v>28.19</v>
      </c>
      <c r="E42" s="6">
        <f>IFERROR(VLOOKUP($B42,Platts!$E$5:$M$4994,MATCH(E$3,Platts!$F$5:$M$5,0)+1,FALSE),E41)</f>
        <v>24.65</v>
      </c>
      <c r="F42" s="6">
        <f>IFERROR(VLOOKUP($B42,Platts!$E$5:$M$4994,MATCH(F$3,Platts!$F$5:$M$5,0)+1,FALSE),F41)</f>
        <v>31.22</v>
      </c>
      <c r="G42" s="6">
        <f>IFERROR(VLOOKUP($B42,Platts!$E$5:$M$4994,MATCH(G$3,Platts!$F$5:$M$5,0)+1,FALSE),G41)</f>
        <v>33.869999999999997</v>
      </c>
      <c r="H42" s="6">
        <f>IFERROR(VLOOKUP($B42,Platts!$E$5:$M$4994,MATCH(H$3,Platts!$F$5:$M$5,0)+1,FALSE),H41)</f>
        <v>29.97</v>
      </c>
      <c r="I42" s="6">
        <f>IFERROR(VLOOKUP($B42,Platts!$E$5:$M$4994,MATCH(I$3,Platts!$F$5:$M$5,0)+1,FALSE),I41)</f>
        <v>31.52</v>
      </c>
      <c r="J42" s="6">
        <f t="shared" si="0"/>
        <v>4.2399999999999984</v>
      </c>
    </row>
    <row r="43" spans="2:10" x14ac:dyDescent="0.25">
      <c r="B43" s="5">
        <f t="shared" si="1"/>
        <v>42409</v>
      </c>
      <c r="C43" s="6">
        <f>IFERROR(VLOOKUP($B43,Platts!$E$5:$M$4994,MATCH(C$3,Platts!$F$5:$M$5,0)+1,FALSE),C42)</f>
        <v>25.73</v>
      </c>
      <c r="D43" s="6">
        <f>IFERROR(VLOOKUP($B43,Platts!$E$5:$M$4994,MATCH(D$3,Platts!$F$5:$M$5,0)+1,FALSE),D42)</f>
        <v>26.25</v>
      </c>
      <c r="E43" s="6">
        <f>IFERROR(VLOOKUP($B43,Platts!$E$5:$M$4994,MATCH(E$3,Platts!$F$5:$M$5,0)+1,FALSE),E42)</f>
        <v>22.78</v>
      </c>
      <c r="F43" s="6">
        <f>IFERROR(VLOOKUP($B43,Platts!$E$5:$M$4994,MATCH(F$3,Platts!$F$5:$M$5,0)+1,FALSE),F42)</f>
        <v>29.22</v>
      </c>
      <c r="G43" s="6">
        <f>IFERROR(VLOOKUP($B43,Platts!$E$5:$M$4994,MATCH(G$3,Platts!$F$5:$M$5,0)+1,FALSE),G42)</f>
        <v>32.22</v>
      </c>
      <c r="H43" s="6">
        <f>IFERROR(VLOOKUP($B43,Platts!$E$5:$M$4994,MATCH(H$3,Platts!$F$5:$M$5,0)+1,FALSE),H42)</f>
        <v>28.43</v>
      </c>
      <c r="I43" s="6">
        <f>IFERROR(VLOOKUP($B43,Platts!$E$5:$M$4994,MATCH(I$3,Platts!$F$5:$M$5,0)+1,FALSE),I42)</f>
        <v>29.88</v>
      </c>
      <c r="J43" s="6">
        <f t="shared" si="0"/>
        <v>2.6999999999999993</v>
      </c>
    </row>
    <row r="44" spans="2:10" x14ac:dyDescent="0.25">
      <c r="B44" s="5">
        <f t="shared" si="1"/>
        <v>42410</v>
      </c>
      <c r="C44" s="6">
        <f>IFERROR(VLOOKUP($B44,Platts!$E$5:$M$4994,MATCH(C$3,Platts!$F$5:$M$5,0)+1,FALSE),C43)</f>
        <v>22.84</v>
      </c>
      <c r="D44" s="6">
        <f>IFERROR(VLOOKUP($B44,Platts!$E$5:$M$4994,MATCH(D$3,Platts!$F$5:$M$5,0)+1,FALSE),D43)</f>
        <v>25.74</v>
      </c>
      <c r="E44" s="6">
        <f>IFERROR(VLOOKUP($B44,Platts!$E$5:$M$4994,MATCH(E$3,Platts!$F$5:$M$5,0)+1,FALSE),E43)</f>
        <v>22.86</v>
      </c>
      <c r="F44" s="6">
        <f>IFERROR(VLOOKUP($B44,Platts!$E$5:$M$4994,MATCH(F$3,Platts!$F$5:$M$5,0)+1,FALSE),F43)</f>
        <v>28.87</v>
      </c>
      <c r="G44" s="6">
        <f>IFERROR(VLOOKUP($B44,Platts!$E$5:$M$4994,MATCH(G$3,Platts!$F$5:$M$5,0)+1,FALSE),G43)</f>
        <v>31.01</v>
      </c>
      <c r="H44" s="6">
        <f>IFERROR(VLOOKUP($B44,Platts!$E$5:$M$4994,MATCH(H$3,Platts!$F$5:$M$5,0)+1,FALSE),H43)</f>
        <v>27.69</v>
      </c>
      <c r="I44" s="6">
        <f>IFERROR(VLOOKUP($B44,Platts!$E$5:$M$4994,MATCH(I$3,Platts!$F$5:$M$5,0)+1,FALSE),I43)</f>
        <v>28.89</v>
      </c>
      <c r="J44" s="6">
        <f t="shared" si="0"/>
        <v>4.8500000000000014</v>
      </c>
    </row>
    <row r="45" spans="2:10" x14ac:dyDescent="0.25">
      <c r="B45" s="5">
        <f t="shared" si="1"/>
        <v>42411</v>
      </c>
      <c r="C45" s="6">
        <f>IFERROR(VLOOKUP($B45,Platts!$E$5:$M$4994,MATCH(C$3,Platts!$F$5:$M$5,0)+1,FALSE),C44)</f>
        <v>22.08</v>
      </c>
      <c r="D45" s="6">
        <f>IFERROR(VLOOKUP($B45,Platts!$E$5:$M$4994,MATCH(D$3,Platts!$F$5:$M$5,0)+1,FALSE),D44)</f>
        <v>24.82</v>
      </c>
      <c r="E45" s="6">
        <f>IFERROR(VLOOKUP($B45,Platts!$E$5:$M$4994,MATCH(E$3,Platts!$F$5:$M$5,0)+1,FALSE),E44)</f>
        <v>22.06</v>
      </c>
      <c r="F45" s="6">
        <f>IFERROR(VLOOKUP($B45,Platts!$E$5:$M$4994,MATCH(F$3,Platts!$F$5:$M$5,0)+1,FALSE),F44)</f>
        <v>28.08</v>
      </c>
      <c r="G45" s="6">
        <f>IFERROR(VLOOKUP($B45,Platts!$E$5:$M$4994,MATCH(G$3,Platts!$F$5:$M$5,0)+1,FALSE),G44)</f>
        <v>30.1</v>
      </c>
      <c r="H45" s="6">
        <f>IFERROR(VLOOKUP($B45,Platts!$E$5:$M$4994,MATCH(H$3,Platts!$F$5:$M$5,0)+1,FALSE),H44)</f>
        <v>26.82</v>
      </c>
      <c r="I45" s="6">
        <f>IFERROR(VLOOKUP($B45,Platts!$E$5:$M$4994,MATCH(I$3,Platts!$F$5:$M$5,0)+1,FALSE),I44)</f>
        <v>28.32</v>
      </c>
      <c r="J45" s="6">
        <f t="shared" si="0"/>
        <v>4.740000000000002</v>
      </c>
    </row>
    <row r="46" spans="2:10" x14ac:dyDescent="0.25">
      <c r="B46" s="5">
        <f t="shared" si="1"/>
        <v>42412</v>
      </c>
      <c r="C46" s="6">
        <f>IFERROR(VLOOKUP($B46,Platts!$E$5:$M$4994,MATCH(C$3,Platts!$F$5:$M$5,0)+1,FALSE),C45)</f>
        <v>24.11</v>
      </c>
      <c r="D46" s="6">
        <f>IFERROR(VLOOKUP($B46,Platts!$E$5:$M$4994,MATCH(D$3,Platts!$F$5:$M$5,0)+1,FALSE),D45)</f>
        <v>27.88</v>
      </c>
      <c r="E46" s="6">
        <f>IFERROR(VLOOKUP($B46,Platts!$E$5:$M$4994,MATCH(E$3,Platts!$F$5:$M$5,0)+1,FALSE),E45)</f>
        <v>24.49</v>
      </c>
      <c r="F46" s="6">
        <f>IFERROR(VLOOKUP($B46,Platts!$E$5:$M$4994,MATCH(F$3,Platts!$F$5:$M$5,0)+1,FALSE),F45)</f>
        <v>30.91</v>
      </c>
      <c r="G46" s="6">
        <f>IFERROR(VLOOKUP($B46,Platts!$E$5:$M$4994,MATCH(G$3,Platts!$F$5:$M$5,0)+1,FALSE),G45)</f>
        <v>32.86</v>
      </c>
      <c r="H46" s="6">
        <f>IFERROR(VLOOKUP($B46,Platts!$E$5:$M$4994,MATCH(H$3,Platts!$F$5:$M$5,0)+1,FALSE),H45)</f>
        <v>29.18</v>
      </c>
      <c r="I46" s="6">
        <f>IFERROR(VLOOKUP($B46,Platts!$E$5:$M$4994,MATCH(I$3,Platts!$F$5:$M$5,0)+1,FALSE),I45)</f>
        <v>30.88</v>
      </c>
      <c r="J46" s="6">
        <f t="shared" si="0"/>
        <v>5.07</v>
      </c>
    </row>
    <row r="47" spans="2:10" x14ac:dyDescent="0.25">
      <c r="B47" s="5">
        <f t="shared" si="1"/>
        <v>42413</v>
      </c>
      <c r="C47" s="6">
        <f>IFERROR(VLOOKUP($B47,Platts!$E$5:$M$4994,MATCH(C$3,Platts!$F$5:$M$5,0)+1,FALSE),C46)</f>
        <v>24.11</v>
      </c>
      <c r="D47" s="6">
        <f>IFERROR(VLOOKUP($B47,Platts!$E$5:$M$4994,MATCH(D$3,Platts!$F$5:$M$5,0)+1,FALSE),D46)</f>
        <v>27.88</v>
      </c>
      <c r="E47" s="6">
        <f>IFERROR(VLOOKUP($B47,Platts!$E$5:$M$4994,MATCH(E$3,Platts!$F$5:$M$5,0)+1,FALSE),E46)</f>
        <v>24.49</v>
      </c>
      <c r="F47" s="6">
        <f>IFERROR(VLOOKUP($B47,Platts!$E$5:$M$4994,MATCH(F$3,Platts!$F$5:$M$5,0)+1,FALSE),F46)</f>
        <v>30.91</v>
      </c>
      <c r="G47" s="6">
        <f>IFERROR(VLOOKUP($B47,Platts!$E$5:$M$4994,MATCH(G$3,Platts!$F$5:$M$5,0)+1,FALSE),G46)</f>
        <v>32.86</v>
      </c>
      <c r="H47" s="6">
        <f>IFERROR(VLOOKUP($B47,Platts!$E$5:$M$4994,MATCH(H$3,Platts!$F$5:$M$5,0)+1,FALSE),H46)</f>
        <v>29.18</v>
      </c>
      <c r="I47" s="6">
        <f>IFERROR(VLOOKUP($B47,Platts!$E$5:$M$4994,MATCH(I$3,Platts!$F$5:$M$5,0)+1,FALSE),I46)</f>
        <v>30.88</v>
      </c>
      <c r="J47" s="6">
        <f t="shared" si="0"/>
        <v>5.07</v>
      </c>
    </row>
    <row r="48" spans="2:10" x14ac:dyDescent="0.25">
      <c r="B48" s="5">
        <f t="shared" si="1"/>
        <v>42414</v>
      </c>
      <c r="C48" s="6">
        <f>IFERROR(VLOOKUP($B48,Platts!$E$5:$M$4994,MATCH(C$3,Platts!$F$5:$M$5,0)+1,FALSE),C47)</f>
        <v>24.11</v>
      </c>
      <c r="D48" s="6">
        <f>IFERROR(VLOOKUP($B48,Platts!$E$5:$M$4994,MATCH(D$3,Platts!$F$5:$M$5,0)+1,FALSE),D47)</f>
        <v>27.88</v>
      </c>
      <c r="E48" s="6">
        <f>IFERROR(VLOOKUP($B48,Platts!$E$5:$M$4994,MATCH(E$3,Platts!$F$5:$M$5,0)+1,FALSE),E47)</f>
        <v>24.49</v>
      </c>
      <c r="F48" s="6">
        <f>IFERROR(VLOOKUP($B48,Platts!$E$5:$M$4994,MATCH(F$3,Platts!$F$5:$M$5,0)+1,FALSE),F47)</f>
        <v>30.91</v>
      </c>
      <c r="G48" s="6">
        <f>IFERROR(VLOOKUP($B48,Platts!$E$5:$M$4994,MATCH(G$3,Platts!$F$5:$M$5,0)+1,FALSE),G47)</f>
        <v>32.86</v>
      </c>
      <c r="H48" s="6">
        <f>IFERROR(VLOOKUP($B48,Platts!$E$5:$M$4994,MATCH(H$3,Platts!$F$5:$M$5,0)+1,FALSE),H47)</f>
        <v>29.18</v>
      </c>
      <c r="I48" s="6">
        <f>IFERROR(VLOOKUP($B48,Platts!$E$5:$M$4994,MATCH(I$3,Platts!$F$5:$M$5,0)+1,FALSE),I47)</f>
        <v>30.88</v>
      </c>
      <c r="J48" s="6">
        <f t="shared" si="0"/>
        <v>5.07</v>
      </c>
    </row>
    <row r="49" spans="2:10" x14ac:dyDescent="0.25">
      <c r="B49" s="5">
        <f t="shared" si="1"/>
        <v>42415</v>
      </c>
      <c r="C49" s="6">
        <f>IFERROR(VLOOKUP($B49,Platts!$E$5:$M$4994,MATCH(C$3,Platts!$F$5:$M$5,0)+1,FALSE),C48)</f>
        <v>24.11</v>
      </c>
      <c r="D49" s="6">
        <f>IFERROR(VLOOKUP($B49,Platts!$E$5:$M$4994,MATCH(D$3,Platts!$F$5:$M$5,0)+1,FALSE),D48)</f>
        <v>27.88</v>
      </c>
      <c r="E49" s="6">
        <f>IFERROR(VLOOKUP($B49,Platts!$E$5:$M$4994,MATCH(E$3,Platts!$F$5:$M$5,0)+1,FALSE),E48)</f>
        <v>24.49</v>
      </c>
      <c r="F49" s="6">
        <f>IFERROR(VLOOKUP($B49,Platts!$E$5:$M$4994,MATCH(F$3,Platts!$F$5:$M$5,0)+1,FALSE),F48)</f>
        <v>30.91</v>
      </c>
      <c r="G49" s="6">
        <f>IFERROR(VLOOKUP($B49,Platts!$E$5:$M$4994,MATCH(G$3,Platts!$F$5:$M$5,0)+1,FALSE),G48)</f>
        <v>33.72</v>
      </c>
      <c r="H49" s="6">
        <f>IFERROR(VLOOKUP($B49,Platts!$E$5:$M$4994,MATCH(H$3,Platts!$F$5:$M$5,0)+1,FALSE),H48)</f>
        <v>29.18</v>
      </c>
      <c r="I49" s="6">
        <f>IFERROR(VLOOKUP($B49,Platts!$E$5:$M$4994,MATCH(I$3,Platts!$F$5:$M$5,0)+1,FALSE),I48)</f>
        <v>30.88</v>
      </c>
      <c r="J49" s="6">
        <f t="shared" si="0"/>
        <v>5.07</v>
      </c>
    </row>
    <row r="50" spans="2:10" x14ac:dyDescent="0.25">
      <c r="B50" s="5">
        <f t="shared" si="1"/>
        <v>42416</v>
      </c>
      <c r="C50" s="6">
        <f>IFERROR(VLOOKUP($B50,Platts!$E$5:$M$4994,MATCH(C$3,Platts!$F$5:$M$5,0)+1,FALSE),C49)</f>
        <v>24.56</v>
      </c>
      <c r="D50" s="6">
        <f>IFERROR(VLOOKUP($B50,Platts!$E$5:$M$4994,MATCH(D$3,Platts!$F$5:$M$5,0)+1,FALSE),D49)</f>
        <v>27.49</v>
      </c>
      <c r="E50" s="6">
        <f>IFERROR(VLOOKUP($B50,Platts!$E$5:$M$4994,MATCH(E$3,Platts!$F$5:$M$5,0)+1,FALSE),E49)</f>
        <v>24.15</v>
      </c>
      <c r="F50" s="6">
        <f>IFERROR(VLOOKUP($B50,Platts!$E$5:$M$4994,MATCH(F$3,Platts!$F$5:$M$5,0)+1,FALSE),F49)</f>
        <v>30.47</v>
      </c>
      <c r="G50" s="6">
        <f>IFERROR(VLOOKUP($B50,Platts!$E$5:$M$4994,MATCH(G$3,Platts!$F$5:$M$5,0)+1,FALSE),G49)</f>
        <v>32.409999999999997</v>
      </c>
      <c r="H50" s="6">
        <f>IFERROR(VLOOKUP($B50,Platts!$E$5:$M$4994,MATCH(H$3,Platts!$F$5:$M$5,0)+1,FALSE),H49)</f>
        <v>29.16</v>
      </c>
      <c r="I50" s="6">
        <f>IFERROR(VLOOKUP($B50,Platts!$E$5:$M$4994,MATCH(I$3,Platts!$F$5:$M$5,0)+1,FALSE),I49)</f>
        <v>30.91</v>
      </c>
      <c r="J50" s="6">
        <f t="shared" si="0"/>
        <v>4.6000000000000014</v>
      </c>
    </row>
    <row r="51" spans="2:10" x14ac:dyDescent="0.25">
      <c r="B51" s="5">
        <f t="shared" si="1"/>
        <v>42417</v>
      </c>
      <c r="C51" s="6">
        <f>IFERROR(VLOOKUP($B51,Platts!$E$5:$M$4994,MATCH(C$3,Platts!$F$5:$M$5,0)+1,FALSE),C50)</f>
        <v>25.61</v>
      </c>
      <c r="D51" s="6">
        <f>IFERROR(VLOOKUP($B51,Platts!$E$5:$M$4994,MATCH(D$3,Platts!$F$5:$M$5,0)+1,FALSE),D50)</f>
        <v>29.38</v>
      </c>
      <c r="E51" s="6">
        <f>IFERROR(VLOOKUP($B51,Platts!$E$5:$M$4994,MATCH(E$3,Platts!$F$5:$M$5,0)+1,FALSE),E50)</f>
        <v>25.6</v>
      </c>
      <c r="F51" s="6">
        <f>IFERROR(VLOOKUP($B51,Platts!$E$5:$M$4994,MATCH(F$3,Platts!$F$5:$M$5,0)+1,FALSE),F50)</f>
        <v>32.4</v>
      </c>
      <c r="G51" s="6">
        <f>IFERROR(VLOOKUP($B51,Platts!$E$5:$M$4994,MATCH(G$3,Platts!$F$5:$M$5,0)+1,FALSE),G50)</f>
        <v>34.619999999999997</v>
      </c>
      <c r="H51" s="6">
        <f>IFERROR(VLOOKUP($B51,Platts!$E$5:$M$4994,MATCH(H$3,Platts!$F$5:$M$5,0)+1,FALSE),H50)</f>
        <v>30.58</v>
      </c>
      <c r="I51" s="6">
        <f>IFERROR(VLOOKUP($B51,Platts!$E$5:$M$4994,MATCH(I$3,Platts!$F$5:$M$5,0)+1,FALSE),I50)</f>
        <v>32.93</v>
      </c>
      <c r="J51" s="6">
        <f t="shared" si="0"/>
        <v>4.9699999999999989</v>
      </c>
    </row>
    <row r="52" spans="2:10" x14ac:dyDescent="0.25">
      <c r="B52" s="5">
        <f t="shared" si="1"/>
        <v>42418</v>
      </c>
      <c r="C52" s="6">
        <f>IFERROR(VLOOKUP($B52,Platts!$E$5:$M$4994,MATCH(C$3,Platts!$F$5:$M$5,0)+1,FALSE),C51)</f>
        <v>25.92</v>
      </c>
      <c r="D52" s="6">
        <f>IFERROR(VLOOKUP($B52,Platts!$E$5:$M$4994,MATCH(D$3,Platts!$F$5:$M$5,0)+1,FALSE),D51)</f>
        <v>29.57</v>
      </c>
      <c r="E52" s="6">
        <f>IFERROR(VLOOKUP($B52,Platts!$E$5:$M$4994,MATCH(E$3,Platts!$F$5:$M$5,0)+1,FALSE),E51)</f>
        <v>25.5</v>
      </c>
      <c r="F52" s="6">
        <f>IFERROR(VLOOKUP($B52,Platts!$E$5:$M$4994,MATCH(F$3,Platts!$F$5:$M$5,0)+1,FALSE),F51)</f>
        <v>32.46</v>
      </c>
      <c r="G52" s="6">
        <f>IFERROR(VLOOKUP($B52,Platts!$E$5:$M$4994,MATCH(G$3,Platts!$F$5:$M$5,0)+1,FALSE),G51)</f>
        <v>34.65</v>
      </c>
      <c r="H52" s="6">
        <f>IFERROR(VLOOKUP($B52,Platts!$E$5:$M$4994,MATCH(H$3,Platts!$F$5:$M$5,0)+1,FALSE),H51)</f>
        <v>30.57</v>
      </c>
      <c r="I52" s="6">
        <f>IFERROR(VLOOKUP($B52,Platts!$E$5:$M$4994,MATCH(I$3,Platts!$F$5:$M$5,0)+1,FALSE),I51)</f>
        <v>33.32</v>
      </c>
      <c r="J52" s="6">
        <f t="shared" si="0"/>
        <v>4.6499999999999986</v>
      </c>
    </row>
    <row r="53" spans="2:10" x14ac:dyDescent="0.25">
      <c r="B53" s="5">
        <f t="shared" si="1"/>
        <v>42419</v>
      </c>
      <c r="C53" s="6">
        <f>IFERROR(VLOOKUP($B53,Platts!$E$5:$M$4994,MATCH(C$3,Platts!$F$5:$M$5,0)+1,FALSE),C52)</f>
        <v>24.94</v>
      </c>
      <c r="D53" s="6">
        <f>IFERROR(VLOOKUP($B53,Platts!$E$5:$M$4994,MATCH(D$3,Platts!$F$5:$M$5,0)+1,FALSE),D52)</f>
        <v>28.48</v>
      </c>
      <c r="E53" s="6">
        <f>IFERROR(VLOOKUP($B53,Platts!$E$5:$M$4994,MATCH(E$3,Platts!$F$5:$M$5,0)+1,FALSE),E52)</f>
        <v>24.42</v>
      </c>
      <c r="F53" s="6">
        <f>IFERROR(VLOOKUP($B53,Platts!$E$5:$M$4994,MATCH(F$3,Platts!$F$5:$M$5,0)+1,FALSE),F52)</f>
        <v>31.45</v>
      </c>
      <c r="G53" s="6">
        <f>IFERROR(VLOOKUP($B53,Platts!$E$5:$M$4994,MATCH(G$3,Platts!$F$5:$M$5,0)+1,FALSE),G52)</f>
        <v>33.159999999999997</v>
      </c>
      <c r="H53" s="6">
        <f>IFERROR(VLOOKUP($B53,Platts!$E$5:$M$4994,MATCH(H$3,Platts!$F$5:$M$5,0)+1,FALSE),H52)</f>
        <v>29.84</v>
      </c>
      <c r="I53" s="6">
        <f>IFERROR(VLOOKUP($B53,Platts!$E$5:$M$4994,MATCH(I$3,Platts!$F$5:$M$5,0)+1,FALSE),I52)</f>
        <v>32.54</v>
      </c>
      <c r="J53" s="6">
        <f t="shared" si="0"/>
        <v>4.8999999999999986</v>
      </c>
    </row>
    <row r="54" spans="2:10" x14ac:dyDescent="0.25">
      <c r="B54" s="5">
        <f t="shared" si="1"/>
        <v>42420</v>
      </c>
      <c r="C54" s="6">
        <f>IFERROR(VLOOKUP($B54,Platts!$E$5:$M$4994,MATCH(C$3,Platts!$F$5:$M$5,0)+1,FALSE),C53)</f>
        <v>24.94</v>
      </c>
      <c r="D54" s="6">
        <f>IFERROR(VLOOKUP($B54,Platts!$E$5:$M$4994,MATCH(D$3,Platts!$F$5:$M$5,0)+1,FALSE),D53)</f>
        <v>28.48</v>
      </c>
      <c r="E54" s="6">
        <f>IFERROR(VLOOKUP($B54,Platts!$E$5:$M$4994,MATCH(E$3,Platts!$F$5:$M$5,0)+1,FALSE),E53)</f>
        <v>24.42</v>
      </c>
      <c r="F54" s="6">
        <f>IFERROR(VLOOKUP($B54,Platts!$E$5:$M$4994,MATCH(F$3,Platts!$F$5:$M$5,0)+1,FALSE),F53)</f>
        <v>31.45</v>
      </c>
      <c r="G54" s="6">
        <f>IFERROR(VLOOKUP($B54,Platts!$E$5:$M$4994,MATCH(G$3,Platts!$F$5:$M$5,0)+1,FALSE),G53)</f>
        <v>33.159999999999997</v>
      </c>
      <c r="H54" s="6">
        <f>IFERROR(VLOOKUP($B54,Platts!$E$5:$M$4994,MATCH(H$3,Platts!$F$5:$M$5,0)+1,FALSE),H53)</f>
        <v>29.84</v>
      </c>
      <c r="I54" s="6">
        <f>IFERROR(VLOOKUP($B54,Platts!$E$5:$M$4994,MATCH(I$3,Platts!$F$5:$M$5,0)+1,FALSE),I53)</f>
        <v>32.54</v>
      </c>
      <c r="J54" s="6">
        <f t="shared" si="0"/>
        <v>4.8999999999999986</v>
      </c>
    </row>
    <row r="55" spans="2:10" x14ac:dyDescent="0.25">
      <c r="B55" s="5">
        <f t="shared" si="1"/>
        <v>42421</v>
      </c>
      <c r="C55" s="6">
        <f>IFERROR(VLOOKUP($B55,Platts!$E$5:$M$4994,MATCH(C$3,Platts!$F$5:$M$5,0)+1,FALSE),C54)</f>
        <v>24.94</v>
      </c>
      <c r="D55" s="6">
        <f>IFERROR(VLOOKUP($B55,Platts!$E$5:$M$4994,MATCH(D$3,Platts!$F$5:$M$5,0)+1,FALSE),D54)</f>
        <v>28.48</v>
      </c>
      <c r="E55" s="6">
        <f>IFERROR(VLOOKUP($B55,Platts!$E$5:$M$4994,MATCH(E$3,Platts!$F$5:$M$5,0)+1,FALSE),E54)</f>
        <v>24.42</v>
      </c>
      <c r="F55" s="6">
        <f>IFERROR(VLOOKUP($B55,Platts!$E$5:$M$4994,MATCH(F$3,Platts!$F$5:$M$5,0)+1,FALSE),F54)</f>
        <v>31.45</v>
      </c>
      <c r="G55" s="6">
        <f>IFERROR(VLOOKUP($B55,Platts!$E$5:$M$4994,MATCH(G$3,Platts!$F$5:$M$5,0)+1,FALSE),G54)</f>
        <v>33.159999999999997</v>
      </c>
      <c r="H55" s="6">
        <f>IFERROR(VLOOKUP($B55,Platts!$E$5:$M$4994,MATCH(H$3,Platts!$F$5:$M$5,0)+1,FALSE),H54)</f>
        <v>29.84</v>
      </c>
      <c r="I55" s="6">
        <f>IFERROR(VLOOKUP($B55,Platts!$E$5:$M$4994,MATCH(I$3,Platts!$F$5:$M$5,0)+1,FALSE),I54)</f>
        <v>32.54</v>
      </c>
      <c r="J55" s="6">
        <f t="shared" si="0"/>
        <v>4.8999999999999986</v>
      </c>
    </row>
    <row r="56" spans="2:10" x14ac:dyDescent="0.25">
      <c r="B56" s="5">
        <f t="shared" si="1"/>
        <v>42422</v>
      </c>
      <c r="C56" s="6">
        <f>IFERROR(VLOOKUP($B56,Platts!$E$5:$M$4994,MATCH(C$3,Platts!$F$5:$M$5,0)+1,FALSE),C55)</f>
        <v>26.34</v>
      </c>
      <c r="D56" s="6">
        <f>IFERROR(VLOOKUP($B56,Platts!$E$5:$M$4994,MATCH(D$3,Platts!$F$5:$M$5,0)+1,FALSE),D55)</f>
        <v>30.26</v>
      </c>
      <c r="E56" s="6">
        <f>IFERROR(VLOOKUP($B56,Platts!$E$5:$M$4994,MATCH(E$3,Platts!$F$5:$M$5,0)+1,FALSE),E55)</f>
        <v>26.08</v>
      </c>
      <c r="F56" s="6">
        <f>IFERROR(VLOOKUP($B56,Platts!$E$5:$M$4994,MATCH(F$3,Platts!$F$5:$M$5,0)+1,FALSE),F55)</f>
        <v>33.18</v>
      </c>
      <c r="G56" s="6">
        <f>IFERROR(VLOOKUP($B56,Platts!$E$5:$M$4994,MATCH(G$3,Platts!$F$5:$M$5,0)+1,FALSE),G55)</f>
        <v>34.950000000000003</v>
      </c>
      <c r="H56" s="6">
        <f>IFERROR(VLOOKUP($B56,Platts!$E$5:$M$4994,MATCH(H$3,Platts!$F$5:$M$5,0)+1,FALSE),H55)</f>
        <v>31.27</v>
      </c>
      <c r="I56" s="6">
        <f>IFERROR(VLOOKUP($B56,Platts!$E$5:$M$4994,MATCH(I$3,Platts!$F$5:$M$5,0)+1,FALSE),I55)</f>
        <v>33.82</v>
      </c>
      <c r="J56" s="6">
        <f t="shared" si="0"/>
        <v>4.93</v>
      </c>
    </row>
    <row r="57" spans="2:10" x14ac:dyDescent="0.25">
      <c r="B57" s="5">
        <f t="shared" si="1"/>
        <v>42423</v>
      </c>
      <c r="C57" s="6">
        <f>IFERROR(VLOOKUP($B57,Platts!$E$5:$M$4994,MATCH(C$3,Platts!$F$5:$M$5,0)+1,FALSE),C56)</f>
        <v>24.96</v>
      </c>
      <c r="D57" s="6">
        <f>IFERROR(VLOOKUP($B57,Platts!$E$5:$M$4994,MATCH(D$3,Platts!$F$5:$M$5,0)+1,FALSE),D56)</f>
        <v>28.97</v>
      </c>
      <c r="E57" s="6">
        <f>IFERROR(VLOOKUP($B57,Platts!$E$5:$M$4994,MATCH(E$3,Platts!$F$5:$M$5,0)+1,FALSE),E56)</f>
        <v>24.54</v>
      </c>
      <c r="F57" s="6">
        <f>IFERROR(VLOOKUP($B57,Platts!$E$5:$M$4994,MATCH(F$3,Platts!$F$5:$M$5,0)+1,FALSE),F56)</f>
        <v>31.89</v>
      </c>
      <c r="G57" s="6">
        <f>IFERROR(VLOOKUP($B57,Platts!$E$5:$M$4994,MATCH(G$3,Platts!$F$5:$M$5,0)+1,FALSE),G56)</f>
        <v>33.32</v>
      </c>
      <c r="H57" s="6">
        <f>IFERROR(VLOOKUP($B57,Platts!$E$5:$M$4994,MATCH(H$3,Platts!$F$5:$M$5,0)+1,FALSE),H56)</f>
        <v>30.06</v>
      </c>
      <c r="I57" s="6">
        <f>IFERROR(VLOOKUP($B57,Platts!$E$5:$M$4994,MATCH(I$3,Platts!$F$5:$M$5,0)+1,FALSE),I56)</f>
        <v>33.159999999999997</v>
      </c>
      <c r="J57" s="6">
        <f t="shared" si="0"/>
        <v>5.0999999999999979</v>
      </c>
    </row>
    <row r="58" spans="2:10" x14ac:dyDescent="0.25">
      <c r="B58" s="5">
        <f t="shared" si="1"/>
        <v>42424</v>
      </c>
      <c r="C58" s="6">
        <f>IFERROR(VLOOKUP($B58,Platts!$E$5:$M$4994,MATCH(C$3,Platts!$F$5:$M$5,0)+1,FALSE),C57)</f>
        <v>24.95</v>
      </c>
      <c r="D58" s="6">
        <f>IFERROR(VLOOKUP($B58,Platts!$E$5:$M$4994,MATCH(D$3,Platts!$F$5:$M$5,0)+1,FALSE),D57)</f>
        <v>29.37</v>
      </c>
      <c r="E58" s="6">
        <f>IFERROR(VLOOKUP($B58,Platts!$E$5:$M$4994,MATCH(E$3,Platts!$F$5:$M$5,0)+1,FALSE),E57)</f>
        <v>24.91</v>
      </c>
      <c r="F58" s="6">
        <f>IFERROR(VLOOKUP($B58,Platts!$E$5:$M$4994,MATCH(F$3,Platts!$F$5:$M$5,0)+1,FALSE),F57)</f>
        <v>32.44</v>
      </c>
      <c r="G58" s="6">
        <f>IFERROR(VLOOKUP($B58,Platts!$E$5:$M$4994,MATCH(G$3,Platts!$F$5:$M$5,0)+1,FALSE),G57)</f>
        <v>33.159999999999997</v>
      </c>
      <c r="H58" s="6">
        <f>IFERROR(VLOOKUP($B58,Platts!$E$5:$M$4994,MATCH(H$3,Platts!$F$5:$M$5,0)+1,FALSE),H57)</f>
        <v>30.52</v>
      </c>
      <c r="I58" s="6">
        <f>IFERROR(VLOOKUP($B58,Platts!$E$5:$M$4994,MATCH(I$3,Platts!$F$5:$M$5,0)+1,FALSE),I57)</f>
        <v>33.619999999999997</v>
      </c>
      <c r="J58" s="6">
        <f t="shared" si="0"/>
        <v>5.57</v>
      </c>
    </row>
    <row r="59" spans="2:10" x14ac:dyDescent="0.25">
      <c r="B59" s="5">
        <f t="shared" si="1"/>
        <v>42425</v>
      </c>
      <c r="C59" s="6">
        <f>IFERROR(VLOOKUP($B59,Platts!$E$5:$M$4994,MATCH(C$3,Platts!$F$5:$M$5,0)+1,FALSE),C58)</f>
        <v>26.01</v>
      </c>
      <c r="D59" s="6">
        <f>IFERROR(VLOOKUP($B59,Platts!$E$5:$M$4994,MATCH(D$3,Platts!$F$5:$M$5,0)+1,FALSE),D58)</f>
        <v>30.9</v>
      </c>
      <c r="E59" s="6">
        <f>IFERROR(VLOOKUP($B59,Platts!$E$5:$M$4994,MATCH(E$3,Platts!$F$5:$M$5,0)+1,FALSE),E58)</f>
        <v>26.17</v>
      </c>
      <c r="F59" s="6">
        <f>IFERROR(VLOOKUP($B59,Platts!$E$5:$M$4994,MATCH(F$3,Platts!$F$5:$M$5,0)+1,FALSE),F58)</f>
        <v>33.76</v>
      </c>
      <c r="G59" s="6">
        <f>IFERROR(VLOOKUP($B59,Platts!$E$5:$M$4994,MATCH(G$3,Platts!$F$5:$M$5,0)+1,FALSE),G58)</f>
        <v>33.86</v>
      </c>
      <c r="H59" s="6">
        <f>IFERROR(VLOOKUP($B59,Platts!$E$5:$M$4994,MATCH(H$3,Platts!$F$5:$M$5,0)+1,FALSE),H58)</f>
        <v>32</v>
      </c>
      <c r="I59" s="6">
        <f>IFERROR(VLOOKUP($B59,Platts!$E$5:$M$4994,MATCH(I$3,Platts!$F$5:$M$5,0)+1,FALSE),I58)</f>
        <v>35.049999999999997</v>
      </c>
      <c r="J59" s="6">
        <f t="shared" si="0"/>
        <v>5.9899999999999984</v>
      </c>
    </row>
    <row r="60" spans="2:10" x14ac:dyDescent="0.25">
      <c r="B60" s="5">
        <f t="shared" si="1"/>
        <v>42426</v>
      </c>
      <c r="C60" s="6">
        <f>IFERROR(VLOOKUP($B60,Platts!$E$5:$M$4994,MATCH(C$3,Platts!$F$5:$M$5,0)+1,FALSE),C59)</f>
        <v>27.01</v>
      </c>
      <c r="D60" s="6">
        <f>IFERROR(VLOOKUP($B60,Platts!$E$5:$M$4994,MATCH(D$3,Platts!$F$5:$M$5,0)+1,FALSE),D59)</f>
        <v>31.24</v>
      </c>
      <c r="E60" s="6">
        <f>IFERROR(VLOOKUP($B60,Platts!$E$5:$M$4994,MATCH(E$3,Platts!$F$5:$M$5,0)+1,FALSE),E59)</f>
        <v>26.17</v>
      </c>
      <c r="F60" s="6">
        <f>IFERROR(VLOOKUP($B60,Platts!$E$5:$M$4994,MATCH(F$3,Platts!$F$5:$M$5,0)+1,FALSE),F59)</f>
        <v>34.130000000000003</v>
      </c>
      <c r="G60" s="6">
        <f>IFERROR(VLOOKUP($B60,Platts!$E$5:$M$4994,MATCH(G$3,Platts!$F$5:$M$5,0)+1,FALSE),G59)</f>
        <v>36.479999999999997</v>
      </c>
      <c r="H60" s="6">
        <f>IFERROR(VLOOKUP($B60,Platts!$E$5:$M$4994,MATCH(H$3,Platts!$F$5:$M$5,0)+1,FALSE),H59)</f>
        <v>33.04</v>
      </c>
      <c r="I60" s="6">
        <f>IFERROR(VLOOKUP($B60,Platts!$E$5:$M$4994,MATCH(I$3,Platts!$F$5:$M$5,0)+1,FALSE),I59)</f>
        <v>35.19</v>
      </c>
      <c r="J60" s="6">
        <f t="shared" si="0"/>
        <v>6.0299999999999976</v>
      </c>
    </row>
    <row r="61" spans="2:10" x14ac:dyDescent="0.25">
      <c r="B61" s="5">
        <f t="shared" si="1"/>
        <v>42427</v>
      </c>
      <c r="C61" s="6">
        <f>IFERROR(VLOOKUP($B61,Platts!$E$5:$M$4994,MATCH(C$3,Platts!$F$5:$M$5,0)+1,FALSE),C60)</f>
        <v>27.01</v>
      </c>
      <c r="D61" s="6">
        <f>IFERROR(VLOOKUP($B61,Platts!$E$5:$M$4994,MATCH(D$3,Platts!$F$5:$M$5,0)+1,FALSE),D60)</f>
        <v>31.24</v>
      </c>
      <c r="E61" s="6">
        <f>IFERROR(VLOOKUP($B61,Platts!$E$5:$M$4994,MATCH(E$3,Platts!$F$5:$M$5,0)+1,FALSE),E60)</f>
        <v>26.17</v>
      </c>
      <c r="F61" s="6">
        <f>IFERROR(VLOOKUP($B61,Platts!$E$5:$M$4994,MATCH(F$3,Platts!$F$5:$M$5,0)+1,FALSE),F60)</f>
        <v>34.130000000000003</v>
      </c>
      <c r="G61" s="6">
        <f>IFERROR(VLOOKUP($B61,Platts!$E$5:$M$4994,MATCH(G$3,Platts!$F$5:$M$5,0)+1,FALSE),G60)</f>
        <v>36.479999999999997</v>
      </c>
      <c r="H61" s="6">
        <f>IFERROR(VLOOKUP($B61,Platts!$E$5:$M$4994,MATCH(H$3,Platts!$F$5:$M$5,0)+1,FALSE),H60)</f>
        <v>33.04</v>
      </c>
      <c r="I61" s="6">
        <f>IFERROR(VLOOKUP($B61,Platts!$E$5:$M$4994,MATCH(I$3,Platts!$F$5:$M$5,0)+1,FALSE),I60)</f>
        <v>35.19</v>
      </c>
      <c r="J61" s="6">
        <f t="shared" si="0"/>
        <v>6.0299999999999976</v>
      </c>
    </row>
    <row r="62" spans="2:10" x14ac:dyDescent="0.25">
      <c r="B62" s="5">
        <f t="shared" si="1"/>
        <v>42428</v>
      </c>
      <c r="C62" s="6">
        <f>IFERROR(VLOOKUP($B62,Platts!$E$5:$M$4994,MATCH(C$3,Platts!$F$5:$M$5,0)+1,FALSE),C61)</f>
        <v>27.01</v>
      </c>
      <c r="D62" s="6">
        <f>IFERROR(VLOOKUP($B62,Platts!$E$5:$M$4994,MATCH(D$3,Platts!$F$5:$M$5,0)+1,FALSE),D61)</f>
        <v>31.24</v>
      </c>
      <c r="E62" s="6">
        <f>IFERROR(VLOOKUP($B62,Platts!$E$5:$M$4994,MATCH(E$3,Platts!$F$5:$M$5,0)+1,FALSE),E61)</f>
        <v>26.17</v>
      </c>
      <c r="F62" s="6">
        <f>IFERROR(VLOOKUP($B62,Platts!$E$5:$M$4994,MATCH(F$3,Platts!$F$5:$M$5,0)+1,FALSE),F61)</f>
        <v>34.130000000000003</v>
      </c>
      <c r="G62" s="6">
        <f>IFERROR(VLOOKUP($B62,Platts!$E$5:$M$4994,MATCH(G$3,Platts!$F$5:$M$5,0)+1,FALSE),G61)</f>
        <v>36.479999999999997</v>
      </c>
      <c r="H62" s="6">
        <f>IFERROR(VLOOKUP($B62,Platts!$E$5:$M$4994,MATCH(H$3,Platts!$F$5:$M$5,0)+1,FALSE),H61)</f>
        <v>33.04</v>
      </c>
      <c r="I62" s="6">
        <f>IFERROR(VLOOKUP($B62,Platts!$E$5:$M$4994,MATCH(I$3,Platts!$F$5:$M$5,0)+1,FALSE),I61)</f>
        <v>35.19</v>
      </c>
      <c r="J62" s="6">
        <f t="shared" si="0"/>
        <v>6.0299999999999976</v>
      </c>
    </row>
    <row r="63" spans="2:10" x14ac:dyDescent="0.25">
      <c r="B63" s="5">
        <f t="shared" si="1"/>
        <v>42429</v>
      </c>
      <c r="C63" s="6">
        <f>IFERROR(VLOOKUP($B63,Platts!$E$5:$M$4994,MATCH(C$3,Platts!$F$5:$M$5,0)+1,FALSE),C62)</f>
        <v>27.14</v>
      </c>
      <c r="D63" s="6">
        <f>IFERROR(VLOOKUP($B63,Platts!$E$5:$M$4994,MATCH(D$3,Platts!$F$5:$M$5,0)+1,FALSE),D62)</f>
        <v>32.36</v>
      </c>
      <c r="E63" s="6">
        <f>IFERROR(VLOOKUP($B63,Platts!$E$5:$M$4994,MATCH(E$3,Platts!$F$5:$M$5,0)+1,FALSE),E62)</f>
        <v>27.03</v>
      </c>
      <c r="F63" s="6">
        <f>IFERROR(VLOOKUP($B63,Platts!$E$5:$M$4994,MATCH(F$3,Platts!$F$5:$M$5,0)+1,FALSE),F62)</f>
        <v>35.22</v>
      </c>
      <c r="G63" s="6">
        <f>IFERROR(VLOOKUP($B63,Platts!$E$5:$M$4994,MATCH(G$3,Platts!$F$5:$M$5,0)+1,FALSE),G62)</f>
        <v>36.369999999999997</v>
      </c>
      <c r="H63" s="6">
        <f>IFERROR(VLOOKUP($B63,Platts!$E$5:$M$4994,MATCH(H$3,Platts!$F$5:$M$5,0)+1,FALSE),H62)</f>
        <v>33.79</v>
      </c>
      <c r="I63" s="6">
        <f>IFERROR(VLOOKUP($B63,Platts!$E$5:$M$4994,MATCH(I$3,Platts!$F$5:$M$5,0)+1,FALSE),I62)</f>
        <v>36.14</v>
      </c>
      <c r="J63" s="6">
        <f t="shared" si="0"/>
        <v>6.6499999999999986</v>
      </c>
    </row>
    <row r="64" spans="2:10" x14ac:dyDescent="0.25">
      <c r="B64" s="5">
        <f t="shared" si="1"/>
        <v>42430</v>
      </c>
      <c r="C64" s="6">
        <f>IFERROR(VLOOKUP($B64,Platts!$E$5:$M$4994,MATCH(C$3,Platts!$F$5:$M$5,0)+1,FALSE),C63)</f>
        <v>27.67</v>
      </c>
      <c r="D64" s="6">
        <f>IFERROR(VLOOKUP($B64,Platts!$E$5:$M$4994,MATCH(D$3,Platts!$F$5:$M$5,0)+1,FALSE),D63)</f>
        <v>32.67</v>
      </c>
      <c r="E64" s="6">
        <f>IFERROR(VLOOKUP($B64,Platts!$E$5:$M$4994,MATCH(E$3,Platts!$F$5:$M$5,0)+1,FALSE),E63)</f>
        <v>26.73</v>
      </c>
      <c r="F64" s="6">
        <f>IFERROR(VLOOKUP($B64,Platts!$E$5:$M$4994,MATCH(F$3,Platts!$F$5:$M$5,0)+1,FALSE),F63)</f>
        <v>35.270000000000003</v>
      </c>
      <c r="G64" s="6">
        <f>IFERROR(VLOOKUP($B64,Platts!$E$5:$M$4994,MATCH(G$3,Platts!$F$5:$M$5,0)+1,FALSE),G63)</f>
        <v>36.69</v>
      </c>
      <c r="H64" s="6">
        <f>IFERROR(VLOOKUP($B64,Platts!$E$5:$M$4994,MATCH(H$3,Platts!$F$5:$M$5,0)+1,FALSE),H63)</f>
        <v>34.42</v>
      </c>
      <c r="I64" s="6">
        <f>IFERROR(VLOOKUP($B64,Platts!$E$5:$M$4994,MATCH(I$3,Platts!$F$5:$M$5,0)+1,FALSE),I63)</f>
        <v>36.869999999999997</v>
      </c>
      <c r="J64" s="6">
        <f t="shared" si="0"/>
        <v>6.75</v>
      </c>
    </row>
    <row r="65" spans="2:10" x14ac:dyDescent="0.25">
      <c r="B65" s="5">
        <f t="shared" si="1"/>
        <v>42431</v>
      </c>
      <c r="C65" s="6">
        <f>IFERROR(VLOOKUP($B65,Platts!$E$5:$M$4994,MATCH(C$3,Platts!$F$5:$M$5,0)+1,FALSE),C64)</f>
        <v>28.02</v>
      </c>
      <c r="D65" s="6">
        <f>IFERROR(VLOOKUP($B65,Platts!$E$5:$M$4994,MATCH(D$3,Platts!$F$5:$M$5,0)+1,FALSE),D64)</f>
        <v>32.909999999999997</v>
      </c>
      <c r="E65" s="6">
        <f>IFERROR(VLOOKUP($B65,Platts!$E$5:$M$4994,MATCH(E$3,Platts!$F$5:$M$5,0)+1,FALSE),E64)</f>
        <v>26.56</v>
      </c>
      <c r="F65" s="6">
        <f>IFERROR(VLOOKUP($B65,Platts!$E$5:$M$4994,MATCH(F$3,Platts!$F$5:$M$5,0)+1,FALSE),F64)</f>
        <v>35.51</v>
      </c>
      <c r="G65" s="6">
        <f>IFERROR(VLOOKUP($B65,Platts!$E$5:$M$4994,MATCH(G$3,Platts!$F$5:$M$5,0)+1,FALSE),G64)</f>
        <v>37.4</v>
      </c>
      <c r="H65" s="6">
        <f>IFERROR(VLOOKUP($B65,Platts!$E$5:$M$4994,MATCH(H$3,Platts!$F$5:$M$5,0)+1,FALSE),H64)</f>
        <v>34.68</v>
      </c>
      <c r="I65" s="6">
        <f>IFERROR(VLOOKUP($B65,Platts!$E$5:$M$4994,MATCH(I$3,Platts!$F$5:$M$5,0)+1,FALSE),I64)</f>
        <v>37.18</v>
      </c>
      <c r="J65" s="6">
        <f t="shared" si="0"/>
        <v>6.66</v>
      </c>
    </row>
    <row r="66" spans="2:10" x14ac:dyDescent="0.25">
      <c r="B66" s="5">
        <f t="shared" si="1"/>
        <v>42432</v>
      </c>
      <c r="C66" s="6">
        <f>IFERROR(VLOOKUP($B66,Platts!$E$5:$M$4994,MATCH(C$3,Platts!$F$5:$M$5,0)+1,FALSE),C65)</f>
        <v>27.86</v>
      </c>
      <c r="D66" s="6">
        <f>IFERROR(VLOOKUP($B66,Platts!$E$5:$M$4994,MATCH(D$3,Platts!$F$5:$M$5,0)+1,FALSE),D65)</f>
        <v>32.72</v>
      </c>
      <c r="E66" s="6">
        <f>IFERROR(VLOOKUP($B66,Platts!$E$5:$M$4994,MATCH(E$3,Platts!$F$5:$M$5,0)+1,FALSE),E65)</f>
        <v>27.08</v>
      </c>
      <c r="F66" s="6">
        <f>IFERROR(VLOOKUP($B66,Platts!$E$5:$M$4994,MATCH(F$3,Platts!$F$5:$M$5,0)+1,FALSE),F65)</f>
        <v>35.369999999999997</v>
      </c>
      <c r="G66" s="6">
        <f>IFERROR(VLOOKUP($B66,Platts!$E$5:$M$4994,MATCH(G$3,Platts!$F$5:$M$5,0)+1,FALSE),G65)</f>
        <v>37.08</v>
      </c>
      <c r="H66" s="6">
        <f>IFERROR(VLOOKUP($B66,Platts!$E$5:$M$4994,MATCH(H$3,Platts!$F$5:$M$5,0)+1,FALSE),H65)</f>
        <v>34.65</v>
      </c>
      <c r="I66" s="6">
        <f>IFERROR(VLOOKUP($B66,Platts!$E$5:$M$4994,MATCH(I$3,Platts!$F$5:$M$5,0)+1,FALSE),I65)</f>
        <v>36.9</v>
      </c>
      <c r="J66" s="6">
        <f t="shared" si="0"/>
        <v>6.7899999999999991</v>
      </c>
    </row>
    <row r="67" spans="2:10" x14ac:dyDescent="0.25">
      <c r="B67" s="5">
        <f t="shared" si="1"/>
        <v>42433</v>
      </c>
      <c r="C67" s="6">
        <f>IFERROR(VLOOKUP($B67,Platts!$E$5:$M$4994,MATCH(C$3,Platts!$F$5:$M$5,0)+1,FALSE),C66)</f>
        <v>29.05</v>
      </c>
      <c r="D67" s="6">
        <f>IFERROR(VLOOKUP($B67,Platts!$E$5:$M$4994,MATCH(D$3,Platts!$F$5:$M$5,0)+1,FALSE),D66)</f>
        <v>34.19</v>
      </c>
      <c r="E67" s="6">
        <f>IFERROR(VLOOKUP($B67,Platts!$E$5:$M$4994,MATCH(E$3,Platts!$F$5:$M$5,0)+1,FALSE),E66)</f>
        <v>28.31</v>
      </c>
      <c r="F67" s="6">
        <f>IFERROR(VLOOKUP($B67,Platts!$E$5:$M$4994,MATCH(F$3,Platts!$F$5:$M$5,0)+1,FALSE),F66)</f>
        <v>36.880000000000003</v>
      </c>
      <c r="G67" s="6">
        <f>IFERROR(VLOOKUP($B67,Platts!$E$5:$M$4994,MATCH(G$3,Platts!$F$5:$M$5,0)+1,FALSE),G66)</f>
        <v>38.42</v>
      </c>
      <c r="H67" s="6">
        <f>IFERROR(VLOOKUP($B67,Platts!$E$5:$M$4994,MATCH(H$3,Platts!$F$5:$M$5,0)+1,FALSE),H66)</f>
        <v>35.94</v>
      </c>
      <c r="I67" s="6">
        <f>IFERROR(VLOOKUP($B67,Platts!$E$5:$M$4994,MATCH(I$3,Platts!$F$5:$M$5,0)+1,FALSE),I66)</f>
        <v>38.340000000000003</v>
      </c>
      <c r="J67" s="6">
        <f t="shared" si="0"/>
        <v>6.889999999999997</v>
      </c>
    </row>
    <row r="68" spans="2:10" x14ac:dyDescent="0.25">
      <c r="B68" s="5">
        <f t="shared" si="1"/>
        <v>42434</v>
      </c>
      <c r="C68" s="6">
        <f>IFERROR(VLOOKUP($B68,Platts!$E$5:$M$4994,MATCH(C$3,Platts!$F$5:$M$5,0)+1,FALSE),C67)</f>
        <v>29.05</v>
      </c>
      <c r="D68" s="6">
        <f>IFERROR(VLOOKUP($B68,Platts!$E$5:$M$4994,MATCH(D$3,Platts!$F$5:$M$5,0)+1,FALSE),D67)</f>
        <v>34.19</v>
      </c>
      <c r="E68" s="6">
        <f>IFERROR(VLOOKUP($B68,Platts!$E$5:$M$4994,MATCH(E$3,Platts!$F$5:$M$5,0)+1,FALSE),E67)</f>
        <v>28.31</v>
      </c>
      <c r="F68" s="6">
        <f>IFERROR(VLOOKUP($B68,Platts!$E$5:$M$4994,MATCH(F$3,Platts!$F$5:$M$5,0)+1,FALSE),F67)</f>
        <v>36.880000000000003</v>
      </c>
      <c r="G68" s="6">
        <f>IFERROR(VLOOKUP($B68,Platts!$E$5:$M$4994,MATCH(G$3,Platts!$F$5:$M$5,0)+1,FALSE),G67)</f>
        <v>38.42</v>
      </c>
      <c r="H68" s="6">
        <f>IFERROR(VLOOKUP($B68,Platts!$E$5:$M$4994,MATCH(H$3,Platts!$F$5:$M$5,0)+1,FALSE),H67)</f>
        <v>35.94</v>
      </c>
      <c r="I68" s="6">
        <f>IFERROR(VLOOKUP($B68,Platts!$E$5:$M$4994,MATCH(I$3,Platts!$F$5:$M$5,0)+1,FALSE),I67)</f>
        <v>38.340000000000003</v>
      </c>
      <c r="J68" s="6">
        <f t="shared" ref="J68:J131" si="2">H68-C68</f>
        <v>6.889999999999997</v>
      </c>
    </row>
    <row r="69" spans="2:10" x14ac:dyDescent="0.25">
      <c r="B69" s="5">
        <f t="shared" si="1"/>
        <v>42435</v>
      </c>
      <c r="C69" s="6">
        <f>IFERROR(VLOOKUP($B69,Platts!$E$5:$M$4994,MATCH(C$3,Platts!$F$5:$M$5,0)+1,FALSE),C68)</f>
        <v>29.05</v>
      </c>
      <c r="D69" s="6">
        <f>IFERROR(VLOOKUP($B69,Platts!$E$5:$M$4994,MATCH(D$3,Platts!$F$5:$M$5,0)+1,FALSE),D68)</f>
        <v>34.19</v>
      </c>
      <c r="E69" s="6">
        <f>IFERROR(VLOOKUP($B69,Platts!$E$5:$M$4994,MATCH(E$3,Platts!$F$5:$M$5,0)+1,FALSE),E68)</f>
        <v>28.31</v>
      </c>
      <c r="F69" s="6">
        <f>IFERROR(VLOOKUP($B69,Platts!$E$5:$M$4994,MATCH(F$3,Platts!$F$5:$M$5,0)+1,FALSE),F68)</f>
        <v>36.880000000000003</v>
      </c>
      <c r="G69" s="6">
        <f>IFERROR(VLOOKUP($B69,Platts!$E$5:$M$4994,MATCH(G$3,Platts!$F$5:$M$5,0)+1,FALSE),G68)</f>
        <v>38.42</v>
      </c>
      <c r="H69" s="6">
        <f>IFERROR(VLOOKUP($B69,Platts!$E$5:$M$4994,MATCH(H$3,Platts!$F$5:$M$5,0)+1,FALSE),H68)</f>
        <v>35.94</v>
      </c>
      <c r="I69" s="6">
        <f>IFERROR(VLOOKUP($B69,Platts!$E$5:$M$4994,MATCH(I$3,Platts!$F$5:$M$5,0)+1,FALSE),I68)</f>
        <v>38.340000000000003</v>
      </c>
      <c r="J69" s="6">
        <f t="shared" si="2"/>
        <v>6.889999999999997</v>
      </c>
    </row>
    <row r="70" spans="2:10" x14ac:dyDescent="0.25">
      <c r="B70" s="5">
        <f t="shared" ref="B70:B133" si="3">B69+1</f>
        <v>42436</v>
      </c>
      <c r="C70" s="6">
        <f>IFERROR(VLOOKUP($B70,Platts!$E$5:$M$4994,MATCH(C$3,Platts!$F$5:$M$5,0)+1,FALSE),C69)</f>
        <v>30.93</v>
      </c>
      <c r="D70" s="6">
        <f>IFERROR(VLOOKUP($B70,Platts!$E$5:$M$4994,MATCH(D$3,Platts!$F$5:$M$5,0)+1,FALSE),D69)</f>
        <v>36.11</v>
      </c>
      <c r="E70" s="6">
        <f>IFERROR(VLOOKUP($B70,Platts!$E$5:$M$4994,MATCH(E$3,Platts!$F$5:$M$5,0)+1,FALSE),E69)</f>
        <v>29.85</v>
      </c>
      <c r="F70" s="6">
        <f>IFERROR(VLOOKUP($B70,Platts!$E$5:$M$4994,MATCH(F$3,Platts!$F$5:$M$5,0)+1,FALSE),F69)</f>
        <v>38.770000000000003</v>
      </c>
      <c r="G70" s="6">
        <f>IFERROR(VLOOKUP($B70,Platts!$E$5:$M$4994,MATCH(G$3,Platts!$F$5:$M$5,0)+1,FALSE),G69)</f>
        <v>40.19</v>
      </c>
      <c r="H70" s="6">
        <f>IFERROR(VLOOKUP($B70,Platts!$E$5:$M$4994,MATCH(H$3,Platts!$F$5:$M$5,0)+1,FALSE),H69)</f>
        <v>37.950000000000003</v>
      </c>
      <c r="I70" s="6">
        <f>IFERROR(VLOOKUP($B70,Platts!$E$5:$M$4994,MATCH(I$3,Platts!$F$5:$M$5,0)+1,FALSE),I69)</f>
        <v>40.450000000000003</v>
      </c>
      <c r="J70" s="6">
        <f t="shared" si="2"/>
        <v>7.0200000000000031</v>
      </c>
    </row>
    <row r="71" spans="2:10" x14ac:dyDescent="0.25">
      <c r="B71" s="5">
        <f t="shared" si="3"/>
        <v>42437</v>
      </c>
      <c r="C71" s="6">
        <f>IFERROR(VLOOKUP($B71,Platts!$E$5:$M$4994,MATCH(C$3,Platts!$F$5:$M$5,0)+1,FALSE),C70)</f>
        <v>30.4</v>
      </c>
      <c r="D71" s="6">
        <f>IFERROR(VLOOKUP($B71,Platts!$E$5:$M$4994,MATCH(D$3,Platts!$F$5:$M$5,0)+1,FALSE),D70)</f>
        <v>34.72</v>
      </c>
      <c r="E71" s="6">
        <f>IFERROR(VLOOKUP($B71,Platts!$E$5:$M$4994,MATCH(E$3,Platts!$F$5:$M$5,0)+1,FALSE),E70)</f>
        <v>29.2</v>
      </c>
      <c r="F71" s="6">
        <f>IFERROR(VLOOKUP($B71,Platts!$E$5:$M$4994,MATCH(F$3,Platts!$F$5:$M$5,0)+1,FALSE),F70)</f>
        <v>37.380000000000003</v>
      </c>
      <c r="G71" s="6">
        <f>IFERROR(VLOOKUP($B71,Platts!$E$5:$M$4994,MATCH(G$3,Platts!$F$5:$M$5,0)+1,FALSE),G70)</f>
        <v>40.18</v>
      </c>
      <c r="H71" s="6">
        <f>IFERROR(VLOOKUP($B71,Platts!$E$5:$M$4994,MATCH(H$3,Platts!$F$5:$M$5,0)+1,FALSE),H70)</f>
        <v>36.33</v>
      </c>
      <c r="I71" s="6">
        <f>IFERROR(VLOOKUP($B71,Platts!$E$5:$M$4994,MATCH(I$3,Platts!$F$5:$M$5,0)+1,FALSE),I70)</f>
        <v>38.729999999999997</v>
      </c>
      <c r="J71" s="6">
        <f t="shared" si="2"/>
        <v>5.93</v>
      </c>
    </row>
    <row r="72" spans="2:10" x14ac:dyDescent="0.25">
      <c r="B72" s="5">
        <f t="shared" si="3"/>
        <v>42438</v>
      </c>
      <c r="C72" s="6">
        <f>IFERROR(VLOOKUP($B72,Platts!$E$5:$M$4994,MATCH(C$3,Platts!$F$5:$M$5,0)+1,FALSE),C71)</f>
        <v>31.43</v>
      </c>
      <c r="D72" s="6">
        <f>IFERROR(VLOOKUP($B72,Platts!$E$5:$M$4994,MATCH(D$3,Platts!$F$5:$M$5,0)+1,FALSE),D71)</f>
        <v>36.5</v>
      </c>
      <c r="E72" s="6">
        <f>IFERROR(VLOOKUP($B72,Platts!$E$5:$M$4994,MATCH(E$3,Platts!$F$5:$M$5,0)+1,FALSE),E71)</f>
        <v>30.47</v>
      </c>
      <c r="F72" s="6">
        <f>IFERROR(VLOOKUP($B72,Platts!$E$5:$M$4994,MATCH(F$3,Platts!$F$5:$M$5,0)+1,FALSE),F71)</f>
        <v>39.049999999999997</v>
      </c>
      <c r="G72" s="6">
        <f>IFERROR(VLOOKUP($B72,Platts!$E$5:$M$4994,MATCH(G$3,Platts!$F$5:$M$5,0)+1,FALSE),G71)</f>
        <v>41.06</v>
      </c>
      <c r="H72" s="6">
        <f>IFERROR(VLOOKUP($B72,Platts!$E$5:$M$4994,MATCH(H$3,Platts!$F$5:$M$5,0)+1,FALSE),H71)</f>
        <v>38.14</v>
      </c>
      <c r="I72" s="6">
        <f>IFERROR(VLOOKUP($B72,Platts!$E$5:$M$4994,MATCH(I$3,Platts!$F$5:$M$5,0)+1,FALSE),I71)</f>
        <v>40.79</v>
      </c>
      <c r="J72" s="6">
        <f t="shared" si="2"/>
        <v>6.7100000000000009</v>
      </c>
    </row>
    <row r="73" spans="2:10" x14ac:dyDescent="0.25">
      <c r="B73" s="5">
        <f t="shared" si="3"/>
        <v>42439</v>
      </c>
      <c r="C73" s="6">
        <f>IFERROR(VLOOKUP($B73,Platts!$E$5:$M$4994,MATCH(C$3,Platts!$F$5:$M$5,0)+1,FALSE),C72)</f>
        <v>30.84</v>
      </c>
      <c r="D73" s="6">
        <f>IFERROR(VLOOKUP($B73,Platts!$E$5:$M$4994,MATCH(D$3,Platts!$F$5:$M$5,0)+1,FALSE),D72)</f>
        <v>35.96</v>
      </c>
      <c r="E73" s="6">
        <f>IFERROR(VLOOKUP($B73,Platts!$E$5:$M$4994,MATCH(E$3,Platts!$F$5:$M$5,0)+1,FALSE),E72)</f>
        <v>29.91</v>
      </c>
      <c r="F73" s="6">
        <f>IFERROR(VLOOKUP($B73,Platts!$E$5:$M$4994,MATCH(F$3,Platts!$F$5:$M$5,0)+1,FALSE),F72)</f>
        <v>38.5</v>
      </c>
      <c r="G73" s="6">
        <f>IFERROR(VLOOKUP($B73,Platts!$E$5:$M$4994,MATCH(G$3,Platts!$F$5:$M$5,0)+1,FALSE),G72)</f>
        <v>39.799999999999997</v>
      </c>
      <c r="H73" s="6">
        <f>IFERROR(VLOOKUP($B73,Platts!$E$5:$M$4994,MATCH(H$3,Platts!$F$5:$M$5,0)+1,FALSE),H72)</f>
        <v>37.83</v>
      </c>
      <c r="I73" s="6">
        <f>IFERROR(VLOOKUP($B73,Platts!$E$5:$M$4994,MATCH(I$3,Platts!$F$5:$M$5,0)+1,FALSE),I72)</f>
        <v>40.479999999999997</v>
      </c>
      <c r="J73" s="6">
        <f t="shared" si="2"/>
        <v>6.9899999999999984</v>
      </c>
    </row>
    <row r="74" spans="2:10" x14ac:dyDescent="0.25">
      <c r="B74" s="5">
        <f t="shared" si="3"/>
        <v>42440</v>
      </c>
      <c r="C74" s="6">
        <f>IFERROR(VLOOKUP($B74,Platts!$E$5:$M$4994,MATCH(C$3,Platts!$F$5:$M$5,0)+1,FALSE),C73)</f>
        <v>31.32</v>
      </c>
      <c r="D74" s="6">
        <f>IFERROR(VLOOKUP($B74,Platts!$E$5:$M$4994,MATCH(D$3,Platts!$F$5:$M$5,0)+1,FALSE),D73)</f>
        <v>36.53</v>
      </c>
      <c r="E74" s="6">
        <f>IFERROR(VLOOKUP($B74,Platts!$E$5:$M$4994,MATCH(E$3,Platts!$F$5:$M$5,0)+1,FALSE),E73)</f>
        <v>30.47</v>
      </c>
      <c r="F74" s="6">
        <f>IFERROR(VLOOKUP($B74,Platts!$E$5:$M$4994,MATCH(F$3,Platts!$F$5:$M$5,0)+1,FALSE),F73)</f>
        <v>39</v>
      </c>
      <c r="G74" s="6">
        <f>IFERROR(VLOOKUP($B74,Platts!$E$5:$M$4994,MATCH(G$3,Platts!$F$5:$M$5,0)+1,FALSE),G73)</f>
        <v>40.58</v>
      </c>
      <c r="H74" s="6">
        <f>IFERROR(VLOOKUP($B74,Platts!$E$5:$M$4994,MATCH(H$3,Platts!$F$5:$M$5,0)+1,FALSE),H73)</f>
        <v>38.479999999999997</v>
      </c>
      <c r="I74" s="6">
        <f>IFERROR(VLOOKUP($B74,Platts!$E$5:$M$4994,MATCH(I$3,Platts!$F$5:$M$5,0)+1,FALSE),I73)</f>
        <v>41.03</v>
      </c>
      <c r="J74" s="6">
        <f t="shared" si="2"/>
        <v>7.1599999999999966</v>
      </c>
    </row>
    <row r="75" spans="2:10" x14ac:dyDescent="0.25">
      <c r="B75" s="5">
        <f t="shared" si="3"/>
        <v>42441</v>
      </c>
      <c r="C75" s="6">
        <f>IFERROR(VLOOKUP($B75,Platts!$E$5:$M$4994,MATCH(C$3,Platts!$F$5:$M$5,0)+1,FALSE),C74)</f>
        <v>31.32</v>
      </c>
      <c r="D75" s="6">
        <f>IFERROR(VLOOKUP($B75,Platts!$E$5:$M$4994,MATCH(D$3,Platts!$F$5:$M$5,0)+1,FALSE),D74)</f>
        <v>36.53</v>
      </c>
      <c r="E75" s="6">
        <f>IFERROR(VLOOKUP($B75,Platts!$E$5:$M$4994,MATCH(E$3,Platts!$F$5:$M$5,0)+1,FALSE),E74)</f>
        <v>30.47</v>
      </c>
      <c r="F75" s="6">
        <f>IFERROR(VLOOKUP($B75,Platts!$E$5:$M$4994,MATCH(F$3,Platts!$F$5:$M$5,0)+1,FALSE),F74)</f>
        <v>39</v>
      </c>
      <c r="G75" s="6">
        <f>IFERROR(VLOOKUP($B75,Platts!$E$5:$M$4994,MATCH(G$3,Platts!$F$5:$M$5,0)+1,FALSE),G74)</f>
        <v>40.58</v>
      </c>
      <c r="H75" s="6">
        <f>IFERROR(VLOOKUP($B75,Platts!$E$5:$M$4994,MATCH(H$3,Platts!$F$5:$M$5,0)+1,FALSE),H74)</f>
        <v>38.479999999999997</v>
      </c>
      <c r="I75" s="6">
        <f>IFERROR(VLOOKUP($B75,Platts!$E$5:$M$4994,MATCH(I$3,Platts!$F$5:$M$5,0)+1,FALSE),I74)</f>
        <v>41.03</v>
      </c>
      <c r="J75" s="6">
        <f t="shared" si="2"/>
        <v>7.1599999999999966</v>
      </c>
    </row>
    <row r="76" spans="2:10" x14ac:dyDescent="0.25">
      <c r="B76" s="5">
        <f t="shared" si="3"/>
        <v>42442</v>
      </c>
      <c r="C76" s="6">
        <f>IFERROR(VLOOKUP($B76,Platts!$E$5:$M$4994,MATCH(C$3,Platts!$F$5:$M$5,0)+1,FALSE),C75)</f>
        <v>31.32</v>
      </c>
      <c r="D76" s="6">
        <f>IFERROR(VLOOKUP($B76,Platts!$E$5:$M$4994,MATCH(D$3,Platts!$F$5:$M$5,0)+1,FALSE),D75)</f>
        <v>36.53</v>
      </c>
      <c r="E76" s="6">
        <f>IFERROR(VLOOKUP($B76,Platts!$E$5:$M$4994,MATCH(E$3,Platts!$F$5:$M$5,0)+1,FALSE),E75)</f>
        <v>30.47</v>
      </c>
      <c r="F76" s="6">
        <f>IFERROR(VLOOKUP($B76,Platts!$E$5:$M$4994,MATCH(F$3,Platts!$F$5:$M$5,0)+1,FALSE),F75)</f>
        <v>39</v>
      </c>
      <c r="G76" s="6">
        <f>IFERROR(VLOOKUP($B76,Platts!$E$5:$M$4994,MATCH(G$3,Platts!$F$5:$M$5,0)+1,FALSE),G75)</f>
        <v>40.58</v>
      </c>
      <c r="H76" s="6">
        <f>IFERROR(VLOOKUP($B76,Platts!$E$5:$M$4994,MATCH(H$3,Platts!$F$5:$M$5,0)+1,FALSE),H75)</f>
        <v>38.479999999999997</v>
      </c>
      <c r="I76" s="6">
        <f>IFERROR(VLOOKUP($B76,Platts!$E$5:$M$4994,MATCH(I$3,Platts!$F$5:$M$5,0)+1,FALSE),I75)</f>
        <v>41.03</v>
      </c>
      <c r="J76" s="6">
        <f t="shared" si="2"/>
        <v>7.1599999999999966</v>
      </c>
    </row>
    <row r="77" spans="2:10" x14ac:dyDescent="0.25">
      <c r="B77" s="5">
        <f t="shared" si="3"/>
        <v>42443</v>
      </c>
      <c r="C77" s="6">
        <f>IFERROR(VLOOKUP($B77,Platts!$E$5:$M$4994,MATCH(C$3,Platts!$F$5:$M$5,0)+1,FALSE),C76)</f>
        <v>30.28</v>
      </c>
      <c r="D77" s="6">
        <f>IFERROR(VLOOKUP($B77,Platts!$E$5:$M$4994,MATCH(D$3,Platts!$F$5:$M$5,0)+1,FALSE),D76)</f>
        <v>35.159999999999997</v>
      </c>
      <c r="E77" s="6">
        <f>IFERROR(VLOOKUP($B77,Platts!$E$5:$M$4994,MATCH(E$3,Platts!$F$5:$M$5,0)+1,FALSE),E76)</f>
        <v>29.64</v>
      </c>
      <c r="F77" s="6">
        <f>IFERROR(VLOOKUP($B77,Platts!$E$5:$M$4994,MATCH(F$3,Platts!$F$5:$M$5,0)+1,FALSE),F76)</f>
        <v>37.69</v>
      </c>
      <c r="G77" s="6">
        <f>IFERROR(VLOOKUP($B77,Platts!$E$5:$M$4994,MATCH(G$3,Platts!$F$5:$M$5,0)+1,FALSE),G76)</f>
        <v>39.19</v>
      </c>
      <c r="H77" s="6">
        <f>IFERROR(VLOOKUP($B77,Platts!$E$5:$M$4994,MATCH(H$3,Platts!$F$5:$M$5,0)+1,FALSE),H76)</f>
        <v>37.299999999999997</v>
      </c>
      <c r="I77" s="6">
        <f>IFERROR(VLOOKUP($B77,Platts!$E$5:$M$4994,MATCH(I$3,Platts!$F$5:$M$5,0)+1,FALSE),I76)</f>
        <v>39.950000000000003</v>
      </c>
      <c r="J77" s="6">
        <f t="shared" si="2"/>
        <v>7.019999999999996</v>
      </c>
    </row>
    <row r="78" spans="2:10" x14ac:dyDescent="0.25">
      <c r="B78" s="5">
        <f t="shared" si="3"/>
        <v>42444</v>
      </c>
      <c r="C78" s="6">
        <f>IFERROR(VLOOKUP($B78,Platts!$E$5:$M$4994,MATCH(C$3,Platts!$F$5:$M$5,0)+1,FALSE),C77)</f>
        <v>29.38</v>
      </c>
      <c r="D78" s="6">
        <f>IFERROR(VLOOKUP($B78,Platts!$E$5:$M$4994,MATCH(D$3,Platts!$F$5:$M$5,0)+1,FALSE),D77)</f>
        <v>34.43</v>
      </c>
      <c r="E78" s="6">
        <f>IFERROR(VLOOKUP($B78,Platts!$E$5:$M$4994,MATCH(E$3,Platts!$F$5:$M$5,0)+1,FALSE),E77)</f>
        <v>28.8</v>
      </c>
      <c r="F78" s="6">
        <f>IFERROR(VLOOKUP($B78,Platts!$E$5:$M$4994,MATCH(F$3,Platts!$F$5:$M$5,0)+1,FALSE),F77)</f>
        <v>36.96</v>
      </c>
      <c r="G78" s="6">
        <f>IFERROR(VLOOKUP($B78,Platts!$E$5:$M$4994,MATCH(G$3,Platts!$F$5:$M$5,0)+1,FALSE),G77)</f>
        <v>38.79</v>
      </c>
      <c r="H78" s="6">
        <f>IFERROR(VLOOKUP($B78,Platts!$E$5:$M$4994,MATCH(H$3,Platts!$F$5:$M$5,0)+1,FALSE),H77)</f>
        <v>36.49</v>
      </c>
      <c r="I78" s="6">
        <f>IFERROR(VLOOKUP($B78,Platts!$E$5:$M$4994,MATCH(I$3,Platts!$F$5:$M$5,0)+1,FALSE),I77)</f>
        <v>39.19</v>
      </c>
      <c r="J78" s="6">
        <f t="shared" si="2"/>
        <v>7.110000000000003</v>
      </c>
    </row>
    <row r="79" spans="2:10" x14ac:dyDescent="0.25">
      <c r="B79" s="5">
        <f t="shared" si="3"/>
        <v>42445</v>
      </c>
      <c r="C79" s="6">
        <f>IFERROR(VLOOKUP($B79,Platts!$E$5:$M$4994,MATCH(C$3,Platts!$F$5:$M$5,0)+1,FALSE),C78)</f>
        <v>30.74</v>
      </c>
      <c r="D79" s="6">
        <f>IFERROR(VLOOKUP($B79,Platts!$E$5:$M$4994,MATCH(D$3,Platts!$F$5:$M$5,0)+1,FALSE),D78)</f>
        <v>36.479999999999997</v>
      </c>
      <c r="E79" s="6">
        <f>IFERROR(VLOOKUP($B79,Platts!$E$5:$M$4994,MATCH(E$3,Platts!$F$5:$M$5,0)+1,FALSE),E78)</f>
        <v>30.03</v>
      </c>
      <c r="F79" s="6">
        <f>IFERROR(VLOOKUP($B79,Platts!$E$5:$M$4994,MATCH(F$3,Platts!$F$5:$M$5,0)+1,FALSE),F78)</f>
        <v>38.96</v>
      </c>
      <c r="G79" s="6">
        <f>IFERROR(VLOOKUP($B79,Platts!$E$5:$M$4994,MATCH(G$3,Platts!$F$5:$M$5,0)+1,FALSE),G78)</f>
        <v>40.07</v>
      </c>
      <c r="H79" s="6">
        <f>IFERROR(VLOOKUP($B79,Platts!$E$5:$M$4994,MATCH(H$3,Platts!$F$5:$M$5,0)+1,FALSE),H78)</f>
        <v>38.450000000000003</v>
      </c>
      <c r="I79" s="6">
        <f>IFERROR(VLOOKUP($B79,Platts!$E$5:$M$4994,MATCH(I$3,Platts!$F$5:$M$5,0)+1,FALSE),I78)</f>
        <v>41</v>
      </c>
      <c r="J79" s="6">
        <f t="shared" si="2"/>
        <v>7.7100000000000044</v>
      </c>
    </row>
    <row r="80" spans="2:10" x14ac:dyDescent="0.25">
      <c r="B80" s="5">
        <f t="shared" si="3"/>
        <v>42446</v>
      </c>
      <c r="C80" s="6">
        <f>IFERROR(VLOOKUP($B80,Platts!$E$5:$M$4994,MATCH(C$3,Platts!$F$5:$M$5,0)+1,FALSE),C79)</f>
        <v>32.04</v>
      </c>
      <c r="D80" s="6">
        <f>IFERROR(VLOOKUP($B80,Platts!$E$5:$M$4994,MATCH(D$3,Platts!$F$5:$M$5,0)+1,FALSE),D79)</f>
        <v>37.950000000000003</v>
      </c>
      <c r="E80" s="6">
        <f>IFERROR(VLOOKUP($B80,Platts!$E$5:$M$4994,MATCH(E$3,Platts!$F$5:$M$5,0)+1,FALSE),E79)</f>
        <v>31.23</v>
      </c>
      <c r="F80" s="6">
        <f>IFERROR(VLOOKUP($B80,Platts!$E$5:$M$4994,MATCH(F$3,Platts!$F$5:$M$5,0)+1,FALSE),F79)</f>
        <v>40.36</v>
      </c>
      <c r="G80" s="6">
        <f>IFERROR(VLOOKUP($B80,Platts!$E$5:$M$4994,MATCH(G$3,Platts!$F$5:$M$5,0)+1,FALSE),G79)</f>
        <v>41.51</v>
      </c>
      <c r="H80" s="6">
        <f>IFERROR(VLOOKUP($B80,Platts!$E$5:$M$4994,MATCH(H$3,Platts!$F$5:$M$5,0)+1,FALSE),H79)</f>
        <v>40.229999999999997</v>
      </c>
      <c r="I80" s="6">
        <f>IFERROR(VLOOKUP($B80,Platts!$E$5:$M$4994,MATCH(I$3,Platts!$F$5:$M$5,0)+1,FALSE),I79)</f>
        <v>42.73</v>
      </c>
      <c r="J80" s="6">
        <f t="shared" si="2"/>
        <v>8.1899999999999977</v>
      </c>
    </row>
    <row r="81" spans="2:10" x14ac:dyDescent="0.25">
      <c r="B81" s="5">
        <f t="shared" si="3"/>
        <v>42447</v>
      </c>
      <c r="C81" s="6">
        <f>IFERROR(VLOOKUP($B81,Platts!$E$5:$M$4994,MATCH(C$3,Platts!$F$5:$M$5,0)+1,FALSE),C80)</f>
        <v>32.04</v>
      </c>
      <c r="D81" s="6">
        <f>IFERROR(VLOOKUP($B81,Platts!$E$5:$M$4994,MATCH(D$3,Platts!$F$5:$M$5,0)+1,FALSE),D80)</f>
        <v>36.99</v>
      </c>
      <c r="E81" s="6">
        <f>IFERROR(VLOOKUP($B81,Platts!$E$5:$M$4994,MATCH(E$3,Platts!$F$5:$M$5,0)+1,FALSE),E80)</f>
        <v>30.49</v>
      </c>
      <c r="F81" s="6">
        <f>IFERROR(VLOOKUP($B81,Platts!$E$5:$M$4994,MATCH(F$3,Platts!$F$5:$M$5,0)+1,FALSE),F80)</f>
        <v>39.549999999999997</v>
      </c>
      <c r="G81" s="6">
        <f>IFERROR(VLOOKUP($B81,Platts!$E$5:$M$4994,MATCH(G$3,Platts!$F$5:$M$5,0)+1,FALSE),G80)</f>
        <v>41.58</v>
      </c>
      <c r="H81" s="6">
        <f>IFERROR(VLOOKUP($B81,Platts!$E$5:$M$4994,MATCH(H$3,Platts!$F$5:$M$5,0)+1,FALSE),H80)</f>
        <v>39.43</v>
      </c>
      <c r="I81" s="6">
        <f>IFERROR(VLOOKUP($B81,Platts!$E$5:$M$4994,MATCH(I$3,Platts!$F$5:$M$5,0)+1,FALSE),I80)</f>
        <v>41.68</v>
      </c>
      <c r="J81" s="6">
        <f t="shared" si="2"/>
        <v>7.3900000000000006</v>
      </c>
    </row>
    <row r="82" spans="2:10" x14ac:dyDescent="0.25">
      <c r="B82" s="5">
        <f t="shared" si="3"/>
        <v>42448</v>
      </c>
      <c r="C82" s="6">
        <f>IFERROR(VLOOKUP($B82,Platts!$E$5:$M$4994,MATCH(C$3,Platts!$F$5:$M$5,0)+1,FALSE),C81)</f>
        <v>32.04</v>
      </c>
      <c r="D82" s="6">
        <f>IFERROR(VLOOKUP($B82,Platts!$E$5:$M$4994,MATCH(D$3,Platts!$F$5:$M$5,0)+1,FALSE),D81)</f>
        <v>36.99</v>
      </c>
      <c r="E82" s="6">
        <f>IFERROR(VLOOKUP($B82,Platts!$E$5:$M$4994,MATCH(E$3,Platts!$F$5:$M$5,0)+1,FALSE),E81)</f>
        <v>30.49</v>
      </c>
      <c r="F82" s="6">
        <f>IFERROR(VLOOKUP($B82,Platts!$E$5:$M$4994,MATCH(F$3,Platts!$F$5:$M$5,0)+1,FALSE),F81)</f>
        <v>39.549999999999997</v>
      </c>
      <c r="G82" s="6">
        <f>IFERROR(VLOOKUP($B82,Platts!$E$5:$M$4994,MATCH(G$3,Platts!$F$5:$M$5,0)+1,FALSE),G81)</f>
        <v>41.58</v>
      </c>
      <c r="H82" s="6">
        <f>IFERROR(VLOOKUP($B82,Platts!$E$5:$M$4994,MATCH(H$3,Platts!$F$5:$M$5,0)+1,FALSE),H81)</f>
        <v>39.43</v>
      </c>
      <c r="I82" s="6">
        <f>IFERROR(VLOOKUP($B82,Platts!$E$5:$M$4994,MATCH(I$3,Platts!$F$5:$M$5,0)+1,FALSE),I81)</f>
        <v>41.68</v>
      </c>
      <c r="J82" s="6">
        <f t="shared" si="2"/>
        <v>7.3900000000000006</v>
      </c>
    </row>
    <row r="83" spans="2:10" x14ac:dyDescent="0.25">
      <c r="B83" s="5">
        <f t="shared" si="3"/>
        <v>42449</v>
      </c>
      <c r="C83" s="6">
        <f>IFERROR(VLOOKUP($B83,Platts!$E$5:$M$4994,MATCH(C$3,Platts!$F$5:$M$5,0)+1,FALSE),C82)</f>
        <v>32.04</v>
      </c>
      <c r="D83" s="6">
        <f>IFERROR(VLOOKUP($B83,Platts!$E$5:$M$4994,MATCH(D$3,Platts!$F$5:$M$5,0)+1,FALSE),D82)</f>
        <v>36.99</v>
      </c>
      <c r="E83" s="6">
        <f>IFERROR(VLOOKUP($B83,Platts!$E$5:$M$4994,MATCH(E$3,Platts!$F$5:$M$5,0)+1,FALSE),E82)</f>
        <v>30.49</v>
      </c>
      <c r="F83" s="6">
        <f>IFERROR(VLOOKUP($B83,Platts!$E$5:$M$4994,MATCH(F$3,Platts!$F$5:$M$5,0)+1,FALSE),F82)</f>
        <v>39.549999999999997</v>
      </c>
      <c r="G83" s="6">
        <f>IFERROR(VLOOKUP($B83,Platts!$E$5:$M$4994,MATCH(G$3,Platts!$F$5:$M$5,0)+1,FALSE),G82)</f>
        <v>41.58</v>
      </c>
      <c r="H83" s="6">
        <f>IFERROR(VLOOKUP($B83,Platts!$E$5:$M$4994,MATCH(H$3,Platts!$F$5:$M$5,0)+1,FALSE),H82)</f>
        <v>39.43</v>
      </c>
      <c r="I83" s="6">
        <f>IFERROR(VLOOKUP($B83,Platts!$E$5:$M$4994,MATCH(I$3,Platts!$F$5:$M$5,0)+1,FALSE),I82)</f>
        <v>41.68</v>
      </c>
      <c r="J83" s="6">
        <f t="shared" si="2"/>
        <v>7.3900000000000006</v>
      </c>
    </row>
    <row r="84" spans="2:10" x14ac:dyDescent="0.25">
      <c r="B84" s="5">
        <f t="shared" si="3"/>
        <v>42450</v>
      </c>
      <c r="C84" s="6">
        <f>IFERROR(VLOOKUP($B84,Platts!$E$5:$M$4994,MATCH(C$3,Platts!$F$5:$M$5,0)+1,FALSE),C83)</f>
        <v>32.090000000000003</v>
      </c>
      <c r="D84" s="6">
        <f>IFERROR(VLOOKUP($B84,Platts!$E$5:$M$4994,MATCH(D$3,Platts!$F$5:$M$5,0)+1,FALSE),D83)</f>
        <v>37.49</v>
      </c>
      <c r="E84" s="6">
        <f>IFERROR(VLOOKUP($B84,Platts!$E$5:$M$4994,MATCH(E$3,Platts!$F$5:$M$5,0)+1,FALSE),E83)</f>
        <v>30.77</v>
      </c>
      <c r="F84" s="6">
        <f>IFERROR(VLOOKUP($B84,Platts!$E$5:$M$4994,MATCH(F$3,Platts!$F$5:$M$5,0)+1,FALSE),F83)</f>
        <v>40</v>
      </c>
      <c r="G84" s="6">
        <f>IFERROR(VLOOKUP($B84,Platts!$E$5:$M$4994,MATCH(G$3,Platts!$F$5:$M$5,0)+1,FALSE),G83)</f>
        <v>41.41</v>
      </c>
      <c r="H84" s="6">
        <f>IFERROR(VLOOKUP($B84,Platts!$E$5:$M$4994,MATCH(H$3,Platts!$F$5:$M$5,0)+1,FALSE),H83)</f>
        <v>40.119999999999997</v>
      </c>
      <c r="I84" s="6">
        <f>IFERROR(VLOOKUP($B84,Platts!$E$5:$M$4994,MATCH(I$3,Platts!$F$5:$M$5,0)+1,FALSE),I83)</f>
        <v>42.52</v>
      </c>
      <c r="J84" s="6">
        <f t="shared" si="2"/>
        <v>8.029999999999994</v>
      </c>
    </row>
    <row r="85" spans="2:10" x14ac:dyDescent="0.25">
      <c r="B85" s="5">
        <f t="shared" si="3"/>
        <v>42451</v>
      </c>
      <c r="C85" s="6">
        <f>IFERROR(VLOOKUP($B85,Platts!$E$5:$M$4994,MATCH(C$3,Platts!$F$5:$M$5,0)+1,FALSE),C84)</f>
        <v>32.159999999999997</v>
      </c>
      <c r="D85" s="6">
        <f>IFERROR(VLOOKUP($B85,Platts!$E$5:$M$4994,MATCH(D$3,Platts!$F$5:$M$5,0)+1,FALSE),D84)</f>
        <v>37.57</v>
      </c>
      <c r="E85" s="6">
        <f>IFERROR(VLOOKUP($B85,Platts!$E$5:$M$4994,MATCH(E$3,Platts!$F$5:$M$5,0)+1,FALSE),E84)</f>
        <v>31</v>
      </c>
      <c r="F85" s="6">
        <f>IFERROR(VLOOKUP($B85,Platts!$E$5:$M$4994,MATCH(F$3,Platts!$F$5:$M$5,0)+1,FALSE),F84)</f>
        <v>40.14</v>
      </c>
      <c r="G85" s="6">
        <f>IFERROR(VLOOKUP($B85,Platts!$E$5:$M$4994,MATCH(G$3,Platts!$F$5:$M$5,0)+1,FALSE),G84)</f>
        <v>41.73</v>
      </c>
      <c r="H85" s="6">
        <f>IFERROR(VLOOKUP($B85,Platts!$E$5:$M$4994,MATCH(H$3,Platts!$F$5:$M$5,0)+1,FALSE),H84)</f>
        <v>40.090000000000003</v>
      </c>
      <c r="I85" s="6">
        <f>IFERROR(VLOOKUP($B85,Platts!$E$5:$M$4994,MATCH(I$3,Platts!$F$5:$M$5,0)+1,FALSE),I84)</f>
        <v>42.49</v>
      </c>
      <c r="J85" s="6">
        <f t="shared" si="2"/>
        <v>7.9300000000000068</v>
      </c>
    </row>
    <row r="86" spans="2:10" x14ac:dyDescent="0.25">
      <c r="B86" s="5">
        <f t="shared" si="3"/>
        <v>42452</v>
      </c>
      <c r="C86" s="6">
        <f>IFERROR(VLOOKUP($B86,Platts!$E$5:$M$4994,MATCH(C$3,Platts!$F$5:$M$5,0)+1,FALSE),C85)</f>
        <v>31.1</v>
      </c>
      <c r="D86" s="6">
        <f>IFERROR(VLOOKUP($B86,Platts!$E$5:$M$4994,MATCH(D$3,Platts!$F$5:$M$5,0)+1,FALSE),D85)</f>
        <v>36.119999999999997</v>
      </c>
      <c r="E86" s="6">
        <f>IFERROR(VLOOKUP($B86,Platts!$E$5:$M$4994,MATCH(E$3,Platts!$F$5:$M$5,0)+1,FALSE),E85)</f>
        <v>30.32</v>
      </c>
      <c r="F86" s="6">
        <f>IFERROR(VLOOKUP($B86,Platts!$E$5:$M$4994,MATCH(F$3,Platts!$F$5:$M$5,0)+1,FALSE),F85)</f>
        <v>38.700000000000003</v>
      </c>
      <c r="G86" s="6">
        <f>IFERROR(VLOOKUP($B86,Platts!$E$5:$M$4994,MATCH(G$3,Platts!$F$5:$M$5,0)+1,FALSE),G85)</f>
        <v>40.89</v>
      </c>
      <c r="H86" s="6">
        <f>IFERROR(VLOOKUP($B86,Platts!$E$5:$M$4994,MATCH(H$3,Platts!$F$5:$M$5,0)+1,FALSE),H85)</f>
        <v>38.450000000000003</v>
      </c>
      <c r="I86" s="6">
        <f>IFERROR(VLOOKUP($B86,Platts!$E$5:$M$4994,MATCH(I$3,Platts!$F$5:$M$5,0)+1,FALSE),I85)</f>
        <v>40.549999999999997</v>
      </c>
      <c r="J86" s="6">
        <f t="shared" si="2"/>
        <v>7.3500000000000014</v>
      </c>
    </row>
    <row r="87" spans="2:10" x14ac:dyDescent="0.25">
      <c r="B87" s="5">
        <f t="shared" si="3"/>
        <v>42453</v>
      </c>
      <c r="C87" s="6">
        <f>IFERROR(VLOOKUP($B87,Platts!$E$5:$M$4994,MATCH(C$3,Platts!$F$5:$M$5,0)+1,FALSE),C86)</f>
        <v>30.8</v>
      </c>
      <c r="D87" s="6">
        <f>IFERROR(VLOOKUP($B87,Platts!$E$5:$M$4994,MATCH(D$3,Platts!$F$5:$M$5,0)+1,FALSE),D86)</f>
        <v>34.880000000000003</v>
      </c>
      <c r="E87" s="6">
        <f>IFERROR(VLOOKUP($B87,Platts!$E$5:$M$4994,MATCH(E$3,Platts!$F$5:$M$5,0)+1,FALSE),E86)</f>
        <v>29.49</v>
      </c>
      <c r="F87" s="6">
        <f>IFERROR(VLOOKUP($B87,Platts!$E$5:$M$4994,MATCH(F$3,Platts!$F$5:$M$5,0)+1,FALSE),F86)</f>
        <v>37.630000000000003</v>
      </c>
      <c r="G87" s="6">
        <f>IFERROR(VLOOKUP($B87,Platts!$E$5:$M$4994,MATCH(G$3,Platts!$F$5:$M$5,0)+1,FALSE),G86)</f>
        <v>39.89</v>
      </c>
      <c r="H87" s="6">
        <f>IFERROR(VLOOKUP($B87,Platts!$E$5:$M$4994,MATCH(H$3,Platts!$F$5:$M$5,0)+1,FALSE),H86)</f>
        <v>38.51</v>
      </c>
      <c r="I87" s="6">
        <f>IFERROR(VLOOKUP($B87,Platts!$E$5:$M$4994,MATCH(I$3,Platts!$F$5:$M$5,0)+1,FALSE),I86)</f>
        <v>39.76</v>
      </c>
      <c r="J87" s="6">
        <f t="shared" si="2"/>
        <v>7.7099999999999973</v>
      </c>
    </row>
    <row r="88" spans="2:10" x14ac:dyDescent="0.25">
      <c r="B88" s="5">
        <f t="shared" si="3"/>
        <v>42454</v>
      </c>
      <c r="C88" s="6">
        <f>IFERROR(VLOOKUP($B88,Platts!$E$5:$M$4994,MATCH(C$3,Platts!$F$5:$M$5,0)+1,FALSE),C87)</f>
        <v>30.8</v>
      </c>
      <c r="D88" s="6">
        <f>IFERROR(VLOOKUP($B88,Platts!$E$5:$M$4994,MATCH(D$3,Platts!$F$5:$M$5,0)+1,FALSE),D87)</f>
        <v>34.880000000000003</v>
      </c>
      <c r="E88" s="6">
        <f>IFERROR(VLOOKUP($B88,Platts!$E$5:$M$4994,MATCH(E$3,Platts!$F$5:$M$5,0)+1,FALSE),E87)</f>
        <v>29.49</v>
      </c>
      <c r="F88" s="6">
        <f>IFERROR(VLOOKUP($B88,Platts!$E$5:$M$4994,MATCH(F$3,Platts!$F$5:$M$5,0)+1,FALSE),F87)</f>
        <v>37.630000000000003</v>
      </c>
      <c r="G88" s="6">
        <f>IFERROR(VLOOKUP($B88,Platts!$E$5:$M$4994,MATCH(G$3,Platts!$F$5:$M$5,0)+1,FALSE),G87)</f>
        <v>39.89</v>
      </c>
      <c r="H88" s="6">
        <f>IFERROR(VLOOKUP($B88,Platts!$E$5:$M$4994,MATCH(H$3,Platts!$F$5:$M$5,0)+1,FALSE),H87)</f>
        <v>38.51</v>
      </c>
      <c r="I88" s="6">
        <f>IFERROR(VLOOKUP($B88,Platts!$E$5:$M$4994,MATCH(I$3,Platts!$F$5:$M$5,0)+1,FALSE),I87)</f>
        <v>39.76</v>
      </c>
      <c r="J88" s="6">
        <f t="shared" si="2"/>
        <v>7.7099999999999973</v>
      </c>
    </row>
    <row r="89" spans="2:10" x14ac:dyDescent="0.25">
      <c r="B89" s="5">
        <f t="shared" si="3"/>
        <v>42455</v>
      </c>
      <c r="C89" s="6">
        <f>IFERROR(VLOOKUP($B89,Platts!$E$5:$M$4994,MATCH(C$3,Platts!$F$5:$M$5,0)+1,FALSE),C88)</f>
        <v>30.8</v>
      </c>
      <c r="D89" s="6">
        <f>IFERROR(VLOOKUP($B89,Platts!$E$5:$M$4994,MATCH(D$3,Platts!$F$5:$M$5,0)+1,FALSE),D88)</f>
        <v>34.880000000000003</v>
      </c>
      <c r="E89" s="6">
        <f>IFERROR(VLOOKUP($B89,Platts!$E$5:$M$4994,MATCH(E$3,Platts!$F$5:$M$5,0)+1,FALSE),E88)</f>
        <v>29.49</v>
      </c>
      <c r="F89" s="6">
        <f>IFERROR(VLOOKUP($B89,Platts!$E$5:$M$4994,MATCH(F$3,Platts!$F$5:$M$5,0)+1,FALSE),F88)</f>
        <v>37.630000000000003</v>
      </c>
      <c r="G89" s="6">
        <f>IFERROR(VLOOKUP($B89,Platts!$E$5:$M$4994,MATCH(G$3,Platts!$F$5:$M$5,0)+1,FALSE),G88)</f>
        <v>39.89</v>
      </c>
      <c r="H89" s="6">
        <f>IFERROR(VLOOKUP($B89,Platts!$E$5:$M$4994,MATCH(H$3,Platts!$F$5:$M$5,0)+1,FALSE),H88)</f>
        <v>38.51</v>
      </c>
      <c r="I89" s="6">
        <f>IFERROR(VLOOKUP($B89,Platts!$E$5:$M$4994,MATCH(I$3,Platts!$F$5:$M$5,0)+1,FALSE),I88)</f>
        <v>39.76</v>
      </c>
      <c r="J89" s="6">
        <f t="shared" si="2"/>
        <v>7.7099999999999973</v>
      </c>
    </row>
    <row r="90" spans="2:10" x14ac:dyDescent="0.25">
      <c r="B90" s="5">
        <f t="shared" si="3"/>
        <v>42456</v>
      </c>
      <c r="C90" s="6">
        <f>IFERROR(VLOOKUP($B90,Platts!$E$5:$M$4994,MATCH(C$3,Platts!$F$5:$M$5,0)+1,FALSE),C89)</f>
        <v>30.8</v>
      </c>
      <c r="D90" s="6">
        <f>IFERROR(VLOOKUP($B90,Platts!$E$5:$M$4994,MATCH(D$3,Platts!$F$5:$M$5,0)+1,FALSE),D89)</f>
        <v>34.880000000000003</v>
      </c>
      <c r="E90" s="6">
        <f>IFERROR(VLOOKUP($B90,Platts!$E$5:$M$4994,MATCH(E$3,Platts!$F$5:$M$5,0)+1,FALSE),E89)</f>
        <v>29.49</v>
      </c>
      <c r="F90" s="6">
        <f>IFERROR(VLOOKUP($B90,Platts!$E$5:$M$4994,MATCH(F$3,Platts!$F$5:$M$5,0)+1,FALSE),F89)</f>
        <v>37.630000000000003</v>
      </c>
      <c r="G90" s="6">
        <f>IFERROR(VLOOKUP($B90,Platts!$E$5:$M$4994,MATCH(G$3,Platts!$F$5:$M$5,0)+1,FALSE),G89)</f>
        <v>39.89</v>
      </c>
      <c r="H90" s="6">
        <f>IFERROR(VLOOKUP($B90,Platts!$E$5:$M$4994,MATCH(H$3,Platts!$F$5:$M$5,0)+1,FALSE),H89)</f>
        <v>38.51</v>
      </c>
      <c r="I90" s="6">
        <f>IFERROR(VLOOKUP($B90,Platts!$E$5:$M$4994,MATCH(I$3,Platts!$F$5:$M$5,0)+1,FALSE),I89)</f>
        <v>39.76</v>
      </c>
      <c r="J90" s="6">
        <f t="shared" si="2"/>
        <v>7.7099999999999973</v>
      </c>
    </row>
    <row r="91" spans="2:10" x14ac:dyDescent="0.25">
      <c r="B91" s="5">
        <f t="shared" si="3"/>
        <v>42457</v>
      </c>
      <c r="C91" s="6">
        <f>IFERROR(VLOOKUP($B91,Platts!$E$5:$M$4994,MATCH(C$3,Platts!$F$5:$M$5,0)+1,FALSE),C90)</f>
        <v>30.8</v>
      </c>
      <c r="D91" s="6">
        <f>IFERROR(VLOOKUP($B91,Platts!$E$5:$M$4994,MATCH(D$3,Platts!$F$5:$M$5,0)+1,FALSE),D90)</f>
        <v>36.619999999999997</v>
      </c>
      <c r="E91" s="6">
        <f>IFERROR(VLOOKUP($B91,Platts!$E$5:$M$4994,MATCH(E$3,Platts!$F$5:$M$5,0)+1,FALSE),E90)</f>
        <v>30.61</v>
      </c>
      <c r="F91" s="6">
        <f>IFERROR(VLOOKUP($B91,Platts!$E$5:$M$4994,MATCH(F$3,Platts!$F$5:$M$5,0)+1,FALSE),F90)</f>
        <v>39.049999999999997</v>
      </c>
      <c r="G91" s="6">
        <f>IFERROR(VLOOKUP($B91,Platts!$E$5:$M$4994,MATCH(G$3,Platts!$F$5:$M$5,0)+1,FALSE),G90)</f>
        <v>39.89</v>
      </c>
      <c r="H91" s="6">
        <f>IFERROR(VLOOKUP($B91,Platts!$E$5:$M$4994,MATCH(H$3,Platts!$F$5:$M$5,0)+1,FALSE),H90)</f>
        <v>39.39</v>
      </c>
      <c r="I91" s="6">
        <f>IFERROR(VLOOKUP($B91,Platts!$E$5:$M$4994,MATCH(I$3,Platts!$F$5:$M$5,0)+1,FALSE),I90)</f>
        <v>41.34</v>
      </c>
      <c r="J91" s="6">
        <f t="shared" si="2"/>
        <v>8.59</v>
      </c>
    </row>
    <row r="92" spans="2:10" x14ac:dyDescent="0.25">
      <c r="B92" s="5">
        <f t="shared" si="3"/>
        <v>42458</v>
      </c>
      <c r="C92" s="6">
        <f>IFERROR(VLOOKUP($B92,Platts!$E$5:$M$4994,MATCH(C$3,Platts!$F$5:$M$5,0)+1,FALSE),C91)</f>
        <v>30.27</v>
      </c>
      <c r="D92" s="6">
        <f>IFERROR(VLOOKUP($B92,Platts!$E$5:$M$4994,MATCH(D$3,Platts!$F$5:$M$5,0)+1,FALSE),D91)</f>
        <v>35.700000000000003</v>
      </c>
      <c r="E92" s="6">
        <f>IFERROR(VLOOKUP($B92,Platts!$E$5:$M$4994,MATCH(E$3,Platts!$F$5:$M$5,0)+1,FALSE),E91)</f>
        <v>29.9</v>
      </c>
      <c r="F92" s="6">
        <f>IFERROR(VLOOKUP($B92,Platts!$E$5:$M$4994,MATCH(F$3,Platts!$F$5:$M$5,0)+1,FALSE),F91)</f>
        <v>38.15</v>
      </c>
      <c r="G92" s="6">
        <f>IFERROR(VLOOKUP($B92,Platts!$E$5:$M$4994,MATCH(G$3,Platts!$F$5:$M$5,0)+1,FALSE),G91)</f>
        <v>38.83</v>
      </c>
      <c r="H92" s="6">
        <f>IFERROR(VLOOKUP($B92,Platts!$E$5:$M$4994,MATCH(H$3,Platts!$F$5:$M$5,0)+1,FALSE),H91)</f>
        <v>38.36</v>
      </c>
      <c r="I92" s="6">
        <f>IFERROR(VLOOKUP($B92,Platts!$E$5:$M$4994,MATCH(I$3,Platts!$F$5:$M$5,0)+1,FALSE),I91)</f>
        <v>40.11</v>
      </c>
      <c r="J92" s="6">
        <f t="shared" si="2"/>
        <v>8.09</v>
      </c>
    </row>
    <row r="93" spans="2:10" x14ac:dyDescent="0.25">
      <c r="B93" s="5">
        <f t="shared" si="3"/>
        <v>42459</v>
      </c>
      <c r="C93" s="6">
        <f>IFERROR(VLOOKUP($B93,Platts!$E$5:$M$4994,MATCH(C$3,Platts!$F$5:$M$5,0)+1,FALSE),C92)</f>
        <v>30.74</v>
      </c>
      <c r="D93" s="6">
        <f>IFERROR(VLOOKUP($B93,Platts!$E$5:$M$4994,MATCH(D$3,Platts!$F$5:$M$5,0)+1,FALSE),D92)</f>
        <v>35.590000000000003</v>
      </c>
      <c r="E93" s="6">
        <f>IFERROR(VLOOKUP($B93,Platts!$E$5:$M$4994,MATCH(E$3,Platts!$F$5:$M$5,0)+1,FALSE),E92)</f>
        <v>29.54</v>
      </c>
      <c r="F93" s="6">
        <f>IFERROR(VLOOKUP($B93,Platts!$E$5:$M$4994,MATCH(F$3,Platts!$F$5:$M$5,0)+1,FALSE),F92)</f>
        <v>38.1</v>
      </c>
      <c r="G93" s="6">
        <f>IFERROR(VLOOKUP($B93,Platts!$E$5:$M$4994,MATCH(G$3,Platts!$F$5:$M$5,0)+1,FALSE),G92)</f>
        <v>39.869999999999997</v>
      </c>
      <c r="H93" s="6">
        <f>IFERROR(VLOOKUP($B93,Platts!$E$5:$M$4994,MATCH(H$3,Platts!$F$5:$M$5,0)+1,FALSE),H92)</f>
        <v>38.380000000000003</v>
      </c>
      <c r="I93" s="6">
        <f>IFERROR(VLOOKUP($B93,Platts!$E$5:$M$4994,MATCH(I$3,Platts!$F$5:$M$5,0)+1,FALSE),I92)</f>
        <v>40.08</v>
      </c>
      <c r="J93" s="6">
        <f t="shared" si="2"/>
        <v>7.6400000000000041</v>
      </c>
    </row>
    <row r="94" spans="2:10" x14ac:dyDescent="0.25">
      <c r="B94" s="5">
        <f t="shared" si="3"/>
        <v>42460</v>
      </c>
      <c r="C94" s="6">
        <f>IFERROR(VLOOKUP($B94,Platts!$E$5:$M$4994,MATCH(C$3,Platts!$F$5:$M$5,0)+1,FALSE),C93)</f>
        <v>30.75</v>
      </c>
      <c r="D94" s="6">
        <f>IFERROR(VLOOKUP($B94,Platts!$E$5:$M$4994,MATCH(D$3,Platts!$F$5:$M$5,0)+1,FALSE),D93)</f>
        <v>35.659999999999997</v>
      </c>
      <c r="E94" s="6">
        <f>IFERROR(VLOOKUP($B94,Platts!$E$5:$M$4994,MATCH(E$3,Platts!$F$5:$M$5,0)+1,FALSE),E93)</f>
        <v>29.69</v>
      </c>
      <c r="F94" s="6">
        <f>IFERROR(VLOOKUP($B94,Platts!$E$5:$M$4994,MATCH(F$3,Platts!$F$5:$M$5,0)+1,FALSE),F93)</f>
        <v>38.159999999999997</v>
      </c>
      <c r="G94" s="6">
        <f>IFERROR(VLOOKUP($B94,Platts!$E$5:$M$4994,MATCH(G$3,Platts!$F$5:$M$5,0)+1,FALSE),G93)</f>
        <v>39.92</v>
      </c>
      <c r="H94" s="6">
        <f>IFERROR(VLOOKUP($B94,Platts!$E$5:$M$4994,MATCH(H$3,Platts!$F$5:$M$5,0)+1,FALSE),H93)</f>
        <v>38.31</v>
      </c>
      <c r="I94" s="6">
        <f>IFERROR(VLOOKUP($B94,Platts!$E$5:$M$4994,MATCH(I$3,Platts!$F$5:$M$5,0)+1,FALSE),I93)</f>
        <v>40.18</v>
      </c>
      <c r="J94" s="6">
        <f t="shared" si="2"/>
        <v>7.5600000000000023</v>
      </c>
    </row>
    <row r="95" spans="2:10" x14ac:dyDescent="0.25">
      <c r="B95" s="5">
        <f t="shared" si="3"/>
        <v>42461</v>
      </c>
      <c r="C95" s="6">
        <f>IFERROR(VLOOKUP($B95,Platts!$E$5:$M$4994,MATCH(C$3,Platts!$F$5:$M$5,0)+1,FALSE),C94)</f>
        <v>28.96</v>
      </c>
      <c r="D95" s="6">
        <f>IFERROR(VLOOKUP($B95,Platts!$E$5:$M$4994,MATCH(D$3,Platts!$F$5:$M$5,0)+1,FALSE),D94)</f>
        <v>34.01</v>
      </c>
      <c r="E95" s="6">
        <f>IFERROR(VLOOKUP($B95,Platts!$E$5:$M$4994,MATCH(E$3,Platts!$F$5:$M$5,0)+1,FALSE),E94)</f>
        <v>28.87</v>
      </c>
      <c r="F95" s="6">
        <f>IFERROR(VLOOKUP($B95,Platts!$E$5:$M$4994,MATCH(F$3,Platts!$F$5:$M$5,0)+1,FALSE),F94)</f>
        <v>36.74</v>
      </c>
      <c r="G95" s="6">
        <f>IFERROR(VLOOKUP($B95,Platts!$E$5:$M$4994,MATCH(G$3,Platts!$F$5:$M$5,0)+1,FALSE),G94)</f>
        <v>38.64</v>
      </c>
      <c r="H95" s="6">
        <f>IFERROR(VLOOKUP($B95,Platts!$E$5:$M$4994,MATCH(H$3,Platts!$F$5:$M$5,0)+1,FALSE),H94)</f>
        <v>36.880000000000003</v>
      </c>
      <c r="I95" s="6">
        <f>IFERROR(VLOOKUP($B95,Platts!$E$5:$M$4994,MATCH(I$3,Platts!$F$5:$M$5,0)+1,FALSE),I94)</f>
        <v>38.68</v>
      </c>
      <c r="J95" s="6">
        <f t="shared" si="2"/>
        <v>7.9200000000000017</v>
      </c>
    </row>
    <row r="96" spans="2:10" x14ac:dyDescent="0.25">
      <c r="B96" s="5">
        <f t="shared" si="3"/>
        <v>42462</v>
      </c>
      <c r="C96" s="6">
        <f>IFERROR(VLOOKUP($B96,Platts!$E$5:$M$4994,MATCH(C$3,Platts!$F$5:$M$5,0)+1,FALSE),C95)</f>
        <v>28.96</v>
      </c>
      <c r="D96" s="6">
        <f>IFERROR(VLOOKUP($B96,Platts!$E$5:$M$4994,MATCH(D$3,Platts!$F$5:$M$5,0)+1,FALSE),D95)</f>
        <v>34.01</v>
      </c>
      <c r="E96" s="6">
        <f>IFERROR(VLOOKUP($B96,Platts!$E$5:$M$4994,MATCH(E$3,Platts!$F$5:$M$5,0)+1,FALSE),E95)</f>
        <v>28.87</v>
      </c>
      <c r="F96" s="6">
        <f>IFERROR(VLOOKUP($B96,Platts!$E$5:$M$4994,MATCH(F$3,Platts!$F$5:$M$5,0)+1,FALSE),F95)</f>
        <v>36.74</v>
      </c>
      <c r="G96" s="6">
        <f>IFERROR(VLOOKUP($B96,Platts!$E$5:$M$4994,MATCH(G$3,Platts!$F$5:$M$5,0)+1,FALSE),G95)</f>
        <v>38.64</v>
      </c>
      <c r="H96" s="6">
        <f>IFERROR(VLOOKUP($B96,Platts!$E$5:$M$4994,MATCH(H$3,Platts!$F$5:$M$5,0)+1,FALSE),H95)</f>
        <v>36.880000000000003</v>
      </c>
      <c r="I96" s="6">
        <f>IFERROR(VLOOKUP($B96,Platts!$E$5:$M$4994,MATCH(I$3,Platts!$F$5:$M$5,0)+1,FALSE),I95)</f>
        <v>38.68</v>
      </c>
      <c r="J96" s="6">
        <f t="shared" si="2"/>
        <v>7.9200000000000017</v>
      </c>
    </row>
    <row r="97" spans="2:10" x14ac:dyDescent="0.25">
      <c r="B97" s="5">
        <f t="shared" si="3"/>
        <v>42463</v>
      </c>
      <c r="C97" s="6">
        <f>IFERROR(VLOOKUP($B97,Platts!$E$5:$M$4994,MATCH(C$3,Platts!$F$5:$M$5,0)+1,FALSE),C96)</f>
        <v>28.96</v>
      </c>
      <c r="D97" s="6">
        <f>IFERROR(VLOOKUP($B97,Platts!$E$5:$M$4994,MATCH(D$3,Platts!$F$5:$M$5,0)+1,FALSE),D96)</f>
        <v>34.01</v>
      </c>
      <c r="E97" s="6">
        <f>IFERROR(VLOOKUP($B97,Platts!$E$5:$M$4994,MATCH(E$3,Platts!$F$5:$M$5,0)+1,FALSE),E96)</f>
        <v>28.87</v>
      </c>
      <c r="F97" s="6">
        <f>IFERROR(VLOOKUP($B97,Platts!$E$5:$M$4994,MATCH(F$3,Platts!$F$5:$M$5,0)+1,FALSE),F96)</f>
        <v>36.74</v>
      </c>
      <c r="G97" s="6">
        <f>IFERROR(VLOOKUP($B97,Platts!$E$5:$M$4994,MATCH(G$3,Platts!$F$5:$M$5,0)+1,FALSE),G96)</f>
        <v>38.64</v>
      </c>
      <c r="H97" s="6">
        <f>IFERROR(VLOOKUP($B97,Platts!$E$5:$M$4994,MATCH(H$3,Platts!$F$5:$M$5,0)+1,FALSE),H96)</f>
        <v>36.880000000000003</v>
      </c>
      <c r="I97" s="6">
        <f>IFERROR(VLOOKUP($B97,Platts!$E$5:$M$4994,MATCH(I$3,Platts!$F$5:$M$5,0)+1,FALSE),I96)</f>
        <v>38.68</v>
      </c>
      <c r="J97" s="6">
        <f t="shared" si="2"/>
        <v>7.9200000000000017</v>
      </c>
    </row>
    <row r="98" spans="2:10" x14ac:dyDescent="0.25">
      <c r="B98" s="5">
        <f t="shared" si="3"/>
        <v>42464</v>
      </c>
      <c r="C98" s="6">
        <f>IFERROR(VLOOKUP($B98,Platts!$E$5:$M$4994,MATCH(C$3,Platts!$F$5:$M$5,0)+1,FALSE),C97)</f>
        <v>27.92</v>
      </c>
      <c r="D98" s="6">
        <f>IFERROR(VLOOKUP($B98,Platts!$E$5:$M$4994,MATCH(D$3,Platts!$F$5:$M$5,0)+1,FALSE),D97)</f>
        <v>33.04</v>
      </c>
      <c r="E98" s="6">
        <f>IFERROR(VLOOKUP($B98,Platts!$E$5:$M$4994,MATCH(E$3,Platts!$F$5:$M$5,0)+1,FALSE),E97)</f>
        <v>28.01</v>
      </c>
      <c r="F98" s="6">
        <f>IFERROR(VLOOKUP($B98,Platts!$E$5:$M$4994,MATCH(F$3,Platts!$F$5:$M$5,0)+1,FALSE),F97)</f>
        <v>35.770000000000003</v>
      </c>
      <c r="G98" s="6">
        <f>IFERROR(VLOOKUP($B98,Platts!$E$5:$M$4994,MATCH(G$3,Platts!$F$5:$M$5,0)+1,FALSE),G97)</f>
        <v>38.15</v>
      </c>
      <c r="H98" s="6">
        <f>IFERROR(VLOOKUP($B98,Platts!$E$5:$M$4994,MATCH(H$3,Platts!$F$5:$M$5,0)+1,FALSE),H97)</f>
        <v>35.83</v>
      </c>
      <c r="I98" s="6">
        <f>IFERROR(VLOOKUP($B98,Platts!$E$5:$M$4994,MATCH(I$3,Platts!$F$5:$M$5,0)+1,FALSE),I97)</f>
        <v>37.630000000000003</v>
      </c>
      <c r="J98" s="6">
        <f t="shared" si="2"/>
        <v>7.9099999999999966</v>
      </c>
    </row>
    <row r="99" spans="2:10" x14ac:dyDescent="0.25">
      <c r="B99" s="5">
        <f t="shared" si="3"/>
        <v>42465</v>
      </c>
      <c r="C99" s="6">
        <f>IFERROR(VLOOKUP($B99,Platts!$E$5:$M$4994,MATCH(C$3,Platts!$F$5:$M$5,0)+1,FALSE),C98)</f>
        <v>27.62</v>
      </c>
      <c r="D99" s="6">
        <f>IFERROR(VLOOKUP($B99,Platts!$E$5:$M$4994,MATCH(D$3,Platts!$F$5:$M$5,0)+1,FALSE),D98)</f>
        <v>33</v>
      </c>
      <c r="E99" s="6">
        <f>IFERROR(VLOOKUP($B99,Platts!$E$5:$M$4994,MATCH(E$3,Platts!$F$5:$M$5,0)+1,FALSE),E98)</f>
        <v>27.28</v>
      </c>
      <c r="F99" s="6">
        <f>IFERROR(VLOOKUP($B99,Platts!$E$5:$M$4994,MATCH(F$3,Platts!$F$5:$M$5,0)+1,FALSE),F98)</f>
        <v>35.78</v>
      </c>
      <c r="G99" s="6">
        <f>IFERROR(VLOOKUP($B99,Platts!$E$5:$M$4994,MATCH(G$3,Platts!$F$5:$M$5,0)+1,FALSE),G98)</f>
        <v>37.880000000000003</v>
      </c>
      <c r="H99" s="6">
        <f>IFERROR(VLOOKUP($B99,Platts!$E$5:$M$4994,MATCH(H$3,Platts!$F$5:$M$5,0)+1,FALSE),H98)</f>
        <v>36.03</v>
      </c>
      <c r="I99" s="6">
        <f>IFERROR(VLOOKUP($B99,Platts!$E$5:$M$4994,MATCH(I$3,Platts!$F$5:$M$5,0)+1,FALSE),I98)</f>
        <v>37.93</v>
      </c>
      <c r="J99" s="6">
        <f t="shared" si="2"/>
        <v>8.41</v>
      </c>
    </row>
    <row r="100" spans="2:10" x14ac:dyDescent="0.25">
      <c r="B100" s="5">
        <f t="shared" si="3"/>
        <v>42466</v>
      </c>
      <c r="C100" s="6">
        <f>IFERROR(VLOOKUP($B100,Platts!$E$5:$M$4994,MATCH(C$3,Platts!$F$5:$M$5,0)+1,FALSE),C99)</f>
        <v>28.99</v>
      </c>
      <c r="D100" s="6">
        <f>IFERROR(VLOOKUP($B100,Platts!$E$5:$M$4994,MATCH(D$3,Platts!$F$5:$M$5,0)+1,FALSE),D99)</f>
        <v>34.880000000000003</v>
      </c>
      <c r="E100" s="6">
        <f>IFERROR(VLOOKUP($B100,Platts!$E$5:$M$4994,MATCH(E$3,Platts!$F$5:$M$5,0)+1,FALSE),E99)</f>
        <v>28.9</v>
      </c>
      <c r="F100" s="6">
        <f>IFERROR(VLOOKUP($B100,Platts!$E$5:$M$4994,MATCH(F$3,Platts!$F$5:$M$5,0)+1,FALSE),F99)</f>
        <v>37.65</v>
      </c>
      <c r="G100" s="6">
        <f>IFERROR(VLOOKUP($B100,Platts!$E$5:$M$4994,MATCH(G$3,Platts!$F$5:$M$5,0)+1,FALSE),G99)</f>
        <v>39.450000000000003</v>
      </c>
      <c r="H100" s="6">
        <f>IFERROR(VLOOKUP($B100,Platts!$E$5:$M$4994,MATCH(H$3,Platts!$F$5:$M$5,0)+1,FALSE),H99)</f>
        <v>37.65</v>
      </c>
      <c r="I100" s="6">
        <f>IFERROR(VLOOKUP($B100,Platts!$E$5:$M$4994,MATCH(I$3,Platts!$F$5:$M$5,0)+1,FALSE),I99)</f>
        <v>39.549999999999997</v>
      </c>
      <c r="J100" s="6">
        <f t="shared" si="2"/>
        <v>8.66</v>
      </c>
    </row>
    <row r="101" spans="2:10" x14ac:dyDescent="0.25">
      <c r="B101" s="5">
        <f t="shared" si="3"/>
        <v>42467</v>
      </c>
      <c r="C101" s="6">
        <f>IFERROR(VLOOKUP($B101,Platts!$E$5:$M$4994,MATCH(C$3,Platts!$F$5:$M$5,0)+1,FALSE),C100)</f>
        <v>29.04</v>
      </c>
      <c r="D101" s="6">
        <f>IFERROR(VLOOKUP($B101,Platts!$E$5:$M$4994,MATCH(D$3,Platts!$F$5:$M$5,0)+1,FALSE),D100)</f>
        <v>34.450000000000003</v>
      </c>
      <c r="E101" s="6">
        <f>IFERROR(VLOOKUP($B101,Platts!$E$5:$M$4994,MATCH(E$3,Platts!$F$5:$M$5,0)+1,FALSE),E100)</f>
        <v>28.46</v>
      </c>
      <c r="F101" s="6">
        <f>IFERROR(VLOOKUP($B101,Platts!$E$5:$M$4994,MATCH(F$3,Platts!$F$5:$M$5,0)+1,FALSE),F100)</f>
        <v>37.25</v>
      </c>
      <c r="G101" s="6">
        <f>IFERROR(VLOOKUP($B101,Platts!$E$5:$M$4994,MATCH(G$3,Platts!$F$5:$M$5,0)+1,FALSE),G100)</f>
        <v>38.880000000000003</v>
      </c>
      <c r="H101" s="6">
        <f>IFERROR(VLOOKUP($B101,Platts!$E$5:$M$4994,MATCH(H$3,Platts!$F$5:$M$5,0)+1,FALSE),H100)</f>
        <v>37.47</v>
      </c>
      <c r="I101" s="6">
        <f>IFERROR(VLOOKUP($B101,Platts!$E$5:$M$4994,MATCH(I$3,Platts!$F$5:$M$5,0)+1,FALSE),I100)</f>
        <v>39.32</v>
      </c>
      <c r="J101" s="6">
        <f t="shared" si="2"/>
        <v>8.43</v>
      </c>
    </row>
    <row r="102" spans="2:10" x14ac:dyDescent="0.25">
      <c r="B102" s="5">
        <f t="shared" si="3"/>
        <v>42468</v>
      </c>
      <c r="C102" s="6">
        <f>IFERROR(VLOOKUP($B102,Platts!$E$5:$M$4994,MATCH(C$3,Platts!$F$5:$M$5,0)+1,FALSE),C101)</f>
        <v>31.13</v>
      </c>
      <c r="D102" s="6">
        <f>IFERROR(VLOOKUP($B102,Platts!$E$5:$M$4994,MATCH(D$3,Platts!$F$5:$M$5,0)+1,FALSE),D101)</f>
        <v>36.76</v>
      </c>
      <c r="E102" s="6">
        <f>IFERROR(VLOOKUP($B102,Platts!$E$5:$M$4994,MATCH(E$3,Platts!$F$5:$M$5,0)+1,FALSE),E101)</f>
        <v>30.76</v>
      </c>
      <c r="F102" s="6">
        <f>IFERROR(VLOOKUP($B102,Platts!$E$5:$M$4994,MATCH(F$3,Platts!$F$5:$M$5,0)+1,FALSE),F101)</f>
        <v>39.56</v>
      </c>
      <c r="G102" s="6">
        <f>IFERROR(VLOOKUP($B102,Platts!$E$5:$M$4994,MATCH(G$3,Platts!$F$5:$M$5,0)+1,FALSE),G101)</f>
        <v>42.08</v>
      </c>
      <c r="H102" s="6">
        <f>IFERROR(VLOOKUP($B102,Platts!$E$5:$M$4994,MATCH(H$3,Platts!$F$5:$M$5,0)+1,FALSE),H101)</f>
        <v>39.57</v>
      </c>
      <c r="I102" s="6">
        <f>IFERROR(VLOOKUP($B102,Platts!$E$5:$M$4994,MATCH(I$3,Platts!$F$5:$M$5,0)+1,FALSE),I101)</f>
        <v>41.27</v>
      </c>
      <c r="J102" s="6">
        <f t="shared" si="2"/>
        <v>8.4400000000000013</v>
      </c>
    </row>
    <row r="103" spans="2:10" x14ac:dyDescent="0.25">
      <c r="B103" s="5">
        <f t="shared" si="3"/>
        <v>42469</v>
      </c>
      <c r="C103" s="6">
        <f>IFERROR(VLOOKUP($B103,Platts!$E$5:$M$4994,MATCH(C$3,Platts!$F$5:$M$5,0)+1,FALSE),C102)</f>
        <v>31.13</v>
      </c>
      <c r="D103" s="6">
        <f>IFERROR(VLOOKUP($B103,Platts!$E$5:$M$4994,MATCH(D$3,Platts!$F$5:$M$5,0)+1,FALSE),D102)</f>
        <v>36.76</v>
      </c>
      <c r="E103" s="6">
        <f>IFERROR(VLOOKUP($B103,Platts!$E$5:$M$4994,MATCH(E$3,Platts!$F$5:$M$5,0)+1,FALSE),E102)</f>
        <v>30.76</v>
      </c>
      <c r="F103" s="6">
        <f>IFERROR(VLOOKUP($B103,Platts!$E$5:$M$4994,MATCH(F$3,Platts!$F$5:$M$5,0)+1,FALSE),F102)</f>
        <v>39.56</v>
      </c>
      <c r="G103" s="6">
        <f>IFERROR(VLOOKUP($B103,Platts!$E$5:$M$4994,MATCH(G$3,Platts!$F$5:$M$5,0)+1,FALSE),G102)</f>
        <v>42.08</v>
      </c>
      <c r="H103" s="6">
        <f>IFERROR(VLOOKUP($B103,Platts!$E$5:$M$4994,MATCH(H$3,Platts!$F$5:$M$5,0)+1,FALSE),H102)</f>
        <v>39.57</v>
      </c>
      <c r="I103" s="6">
        <f>IFERROR(VLOOKUP($B103,Platts!$E$5:$M$4994,MATCH(I$3,Platts!$F$5:$M$5,0)+1,FALSE),I102)</f>
        <v>41.27</v>
      </c>
      <c r="J103" s="6">
        <f t="shared" si="2"/>
        <v>8.4400000000000013</v>
      </c>
    </row>
    <row r="104" spans="2:10" x14ac:dyDescent="0.25">
      <c r="B104" s="5">
        <f t="shared" si="3"/>
        <v>42470</v>
      </c>
      <c r="C104" s="6">
        <f>IFERROR(VLOOKUP($B104,Platts!$E$5:$M$4994,MATCH(C$3,Platts!$F$5:$M$5,0)+1,FALSE),C103)</f>
        <v>31.13</v>
      </c>
      <c r="D104" s="6">
        <f>IFERROR(VLOOKUP($B104,Platts!$E$5:$M$4994,MATCH(D$3,Platts!$F$5:$M$5,0)+1,FALSE),D103)</f>
        <v>36.76</v>
      </c>
      <c r="E104" s="6">
        <f>IFERROR(VLOOKUP($B104,Platts!$E$5:$M$4994,MATCH(E$3,Platts!$F$5:$M$5,0)+1,FALSE),E103)</f>
        <v>30.76</v>
      </c>
      <c r="F104" s="6">
        <f>IFERROR(VLOOKUP($B104,Platts!$E$5:$M$4994,MATCH(F$3,Platts!$F$5:$M$5,0)+1,FALSE),F103)</f>
        <v>39.56</v>
      </c>
      <c r="G104" s="6">
        <f>IFERROR(VLOOKUP($B104,Platts!$E$5:$M$4994,MATCH(G$3,Platts!$F$5:$M$5,0)+1,FALSE),G103)</f>
        <v>42.08</v>
      </c>
      <c r="H104" s="6">
        <f>IFERROR(VLOOKUP($B104,Platts!$E$5:$M$4994,MATCH(H$3,Platts!$F$5:$M$5,0)+1,FALSE),H103)</f>
        <v>39.57</v>
      </c>
      <c r="I104" s="6">
        <f>IFERROR(VLOOKUP($B104,Platts!$E$5:$M$4994,MATCH(I$3,Platts!$F$5:$M$5,0)+1,FALSE),I103)</f>
        <v>41.27</v>
      </c>
      <c r="J104" s="6">
        <f t="shared" si="2"/>
        <v>8.4400000000000013</v>
      </c>
    </row>
    <row r="105" spans="2:10" x14ac:dyDescent="0.25">
      <c r="B105" s="5">
        <f t="shared" si="3"/>
        <v>42471</v>
      </c>
      <c r="C105" s="6">
        <f>IFERROR(VLOOKUP($B105,Platts!$E$5:$M$4994,MATCH(C$3,Platts!$F$5:$M$5,0)+1,FALSE),C104)</f>
        <v>32.090000000000003</v>
      </c>
      <c r="D105" s="6">
        <f>IFERROR(VLOOKUP($B105,Platts!$E$5:$M$4994,MATCH(D$3,Platts!$F$5:$M$5,0)+1,FALSE),D104)</f>
        <v>37.57</v>
      </c>
      <c r="E105" s="6">
        <f>IFERROR(VLOOKUP($B105,Platts!$E$5:$M$4994,MATCH(E$3,Platts!$F$5:$M$5,0)+1,FALSE),E104)</f>
        <v>31.52</v>
      </c>
      <c r="F105" s="6">
        <f>IFERROR(VLOOKUP($B105,Platts!$E$5:$M$4994,MATCH(F$3,Platts!$F$5:$M$5,0)+1,FALSE),F104)</f>
        <v>40.4</v>
      </c>
      <c r="G105" s="6">
        <f>IFERROR(VLOOKUP($B105,Platts!$E$5:$M$4994,MATCH(G$3,Platts!$F$5:$M$5,0)+1,FALSE),G104)</f>
        <v>43.03</v>
      </c>
      <c r="H105" s="6">
        <f>IFERROR(VLOOKUP($B105,Platts!$E$5:$M$4994,MATCH(H$3,Platts!$F$5:$M$5,0)+1,FALSE),H104)</f>
        <v>40.53</v>
      </c>
      <c r="I105" s="6">
        <f>IFERROR(VLOOKUP($B105,Platts!$E$5:$M$4994,MATCH(I$3,Platts!$F$5:$M$5,0)+1,FALSE),I104)</f>
        <v>42.33</v>
      </c>
      <c r="J105" s="6">
        <f t="shared" si="2"/>
        <v>8.4399999999999977</v>
      </c>
    </row>
    <row r="106" spans="2:10" x14ac:dyDescent="0.25">
      <c r="B106" s="5">
        <f t="shared" si="3"/>
        <v>42472</v>
      </c>
      <c r="C106" s="6">
        <f>IFERROR(VLOOKUP($B106,Platts!$E$5:$M$4994,MATCH(C$3,Platts!$F$5:$M$5,0)+1,FALSE),C105)</f>
        <v>33.5</v>
      </c>
      <c r="D106" s="6">
        <f>IFERROR(VLOOKUP($B106,Platts!$E$5:$M$4994,MATCH(D$3,Platts!$F$5:$M$5,0)+1,FALSE),D105)</f>
        <v>39.29</v>
      </c>
      <c r="E106" s="6">
        <f>IFERROR(VLOOKUP($B106,Platts!$E$5:$M$4994,MATCH(E$3,Platts!$F$5:$M$5,0)+1,FALSE),E105)</f>
        <v>33.03</v>
      </c>
      <c r="F106" s="6">
        <f>IFERROR(VLOOKUP($B106,Platts!$E$5:$M$4994,MATCH(F$3,Platts!$F$5:$M$5,0)+1,FALSE),F105)</f>
        <v>42.1</v>
      </c>
      <c r="G106" s="6">
        <f>IFERROR(VLOOKUP($B106,Platts!$E$5:$M$4994,MATCH(G$3,Platts!$F$5:$M$5,0)+1,FALSE),G105)</f>
        <v>44.5</v>
      </c>
      <c r="H106" s="6">
        <f>IFERROR(VLOOKUP($B106,Platts!$E$5:$M$4994,MATCH(H$3,Platts!$F$5:$M$5,0)+1,FALSE),H105)</f>
        <v>42.16</v>
      </c>
      <c r="I106" s="6">
        <f>IFERROR(VLOOKUP($B106,Platts!$E$5:$M$4994,MATCH(I$3,Platts!$F$5:$M$5,0)+1,FALSE),I105)</f>
        <v>44.01</v>
      </c>
      <c r="J106" s="6">
        <f t="shared" si="2"/>
        <v>8.6599999999999966</v>
      </c>
    </row>
    <row r="107" spans="2:10" x14ac:dyDescent="0.25">
      <c r="B107" s="5">
        <f t="shared" si="3"/>
        <v>42473</v>
      </c>
      <c r="C107" s="6">
        <f>IFERROR(VLOOKUP($B107,Platts!$E$5:$M$4994,MATCH(C$3,Platts!$F$5:$M$5,0)+1,FALSE),C106)</f>
        <v>33.380000000000003</v>
      </c>
      <c r="D107" s="6">
        <f>IFERROR(VLOOKUP($B107,Platts!$E$5:$M$4994,MATCH(D$3,Platts!$F$5:$M$5,0)+1,FALSE),D106)</f>
        <v>38.82</v>
      </c>
      <c r="E107" s="6">
        <f>IFERROR(VLOOKUP($B107,Platts!$E$5:$M$4994,MATCH(E$3,Platts!$F$5:$M$5,0)+1,FALSE),E106)</f>
        <v>32.590000000000003</v>
      </c>
      <c r="F107" s="6">
        <f>IFERROR(VLOOKUP($B107,Platts!$E$5:$M$4994,MATCH(F$3,Platts!$F$5:$M$5,0)+1,FALSE),F106)</f>
        <v>41.61</v>
      </c>
      <c r="G107" s="6">
        <f>IFERROR(VLOOKUP($B107,Platts!$E$5:$M$4994,MATCH(G$3,Platts!$F$5:$M$5,0)+1,FALSE),G106)</f>
        <v>44.52</v>
      </c>
      <c r="H107" s="6">
        <f>IFERROR(VLOOKUP($B107,Platts!$E$5:$M$4994,MATCH(H$3,Platts!$F$5:$M$5,0)+1,FALSE),H106)</f>
        <v>41.68</v>
      </c>
      <c r="I107" s="6">
        <f>IFERROR(VLOOKUP($B107,Platts!$E$5:$M$4994,MATCH(I$3,Platts!$F$5:$M$5,0)+1,FALSE),I106)</f>
        <v>43.38</v>
      </c>
      <c r="J107" s="6">
        <f t="shared" si="2"/>
        <v>8.2999999999999972</v>
      </c>
    </row>
    <row r="108" spans="2:10" x14ac:dyDescent="0.25">
      <c r="B108" s="5">
        <f t="shared" si="3"/>
        <v>42474</v>
      </c>
      <c r="C108" s="6">
        <f>IFERROR(VLOOKUP($B108,Platts!$E$5:$M$4994,MATCH(C$3,Platts!$F$5:$M$5,0)+1,FALSE),C107)</f>
        <v>33.14</v>
      </c>
      <c r="D108" s="6">
        <f>IFERROR(VLOOKUP($B108,Platts!$E$5:$M$4994,MATCH(D$3,Platts!$F$5:$M$5,0)+1,FALSE),D107)</f>
        <v>38.630000000000003</v>
      </c>
      <c r="E108" s="6">
        <f>IFERROR(VLOOKUP($B108,Platts!$E$5:$M$4994,MATCH(E$3,Platts!$F$5:$M$5,0)+1,FALSE),E107)</f>
        <v>32.21</v>
      </c>
      <c r="F108" s="6">
        <f>IFERROR(VLOOKUP($B108,Platts!$E$5:$M$4994,MATCH(F$3,Platts!$F$5:$M$5,0)+1,FALSE),F107)</f>
        <v>41.4</v>
      </c>
      <c r="G108" s="6">
        <f>IFERROR(VLOOKUP($B108,Platts!$E$5:$M$4994,MATCH(G$3,Platts!$F$5:$M$5,0)+1,FALSE),G107)</f>
        <v>44.41</v>
      </c>
      <c r="H108" s="6">
        <f>IFERROR(VLOOKUP($B108,Platts!$E$5:$M$4994,MATCH(H$3,Platts!$F$5:$M$5,0)+1,FALSE),H107)</f>
        <v>41.32</v>
      </c>
      <c r="I108" s="6">
        <f>IFERROR(VLOOKUP($B108,Platts!$E$5:$M$4994,MATCH(I$3,Platts!$F$5:$M$5,0)+1,FALSE),I107)</f>
        <v>43.02</v>
      </c>
      <c r="J108" s="6">
        <f t="shared" si="2"/>
        <v>8.18</v>
      </c>
    </row>
    <row r="109" spans="2:10" x14ac:dyDescent="0.25">
      <c r="B109" s="5">
        <f t="shared" si="3"/>
        <v>42475</v>
      </c>
      <c r="C109" s="6">
        <f>IFERROR(VLOOKUP($B109,Platts!$E$5:$M$4994,MATCH(C$3,Platts!$F$5:$M$5,0)+1,FALSE),C108)</f>
        <v>32.24</v>
      </c>
      <c r="D109" s="6">
        <f>IFERROR(VLOOKUP($B109,Platts!$E$5:$M$4994,MATCH(D$3,Platts!$F$5:$M$5,0)+1,FALSE),D108)</f>
        <v>37.409999999999997</v>
      </c>
      <c r="E109" s="6">
        <f>IFERROR(VLOOKUP($B109,Platts!$E$5:$M$4994,MATCH(E$3,Platts!$F$5:$M$5,0)+1,FALSE),E108)</f>
        <v>31.23</v>
      </c>
      <c r="F109" s="6">
        <f>IFERROR(VLOOKUP($B109,Platts!$E$5:$M$4994,MATCH(F$3,Platts!$F$5:$M$5,0)+1,FALSE),F108)</f>
        <v>40.26</v>
      </c>
      <c r="G109" s="6">
        <f>IFERROR(VLOOKUP($B109,Platts!$E$5:$M$4994,MATCH(G$3,Platts!$F$5:$M$5,0)+1,FALSE),G108)</f>
        <v>43.07</v>
      </c>
      <c r="H109" s="6">
        <f>IFERROR(VLOOKUP($B109,Platts!$E$5:$M$4994,MATCH(H$3,Platts!$F$5:$M$5,0)+1,FALSE),H108)</f>
        <v>40.33</v>
      </c>
      <c r="I109" s="6">
        <f>IFERROR(VLOOKUP($B109,Platts!$E$5:$M$4994,MATCH(I$3,Platts!$F$5:$M$5,0)+1,FALSE),I108)</f>
        <v>41.93</v>
      </c>
      <c r="J109" s="6">
        <f t="shared" si="2"/>
        <v>8.0899999999999963</v>
      </c>
    </row>
    <row r="110" spans="2:10" x14ac:dyDescent="0.25">
      <c r="B110" s="5">
        <f t="shared" si="3"/>
        <v>42476</v>
      </c>
      <c r="C110" s="6">
        <f>IFERROR(VLOOKUP($B110,Platts!$E$5:$M$4994,MATCH(C$3,Platts!$F$5:$M$5,0)+1,FALSE),C109)</f>
        <v>32.24</v>
      </c>
      <c r="D110" s="6">
        <f>IFERROR(VLOOKUP($B110,Platts!$E$5:$M$4994,MATCH(D$3,Platts!$F$5:$M$5,0)+1,FALSE),D109)</f>
        <v>37.409999999999997</v>
      </c>
      <c r="E110" s="6">
        <f>IFERROR(VLOOKUP($B110,Platts!$E$5:$M$4994,MATCH(E$3,Platts!$F$5:$M$5,0)+1,FALSE),E109)</f>
        <v>31.23</v>
      </c>
      <c r="F110" s="6">
        <f>IFERROR(VLOOKUP($B110,Platts!$E$5:$M$4994,MATCH(F$3,Platts!$F$5:$M$5,0)+1,FALSE),F109)</f>
        <v>40.26</v>
      </c>
      <c r="G110" s="6">
        <f>IFERROR(VLOOKUP($B110,Platts!$E$5:$M$4994,MATCH(G$3,Platts!$F$5:$M$5,0)+1,FALSE),G109)</f>
        <v>43.07</v>
      </c>
      <c r="H110" s="6">
        <f>IFERROR(VLOOKUP($B110,Platts!$E$5:$M$4994,MATCH(H$3,Platts!$F$5:$M$5,0)+1,FALSE),H109)</f>
        <v>40.33</v>
      </c>
      <c r="I110" s="6">
        <f>IFERROR(VLOOKUP($B110,Platts!$E$5:$M$4994,MATCH(I$3,Platts!$F$5:$M$5,0)+1,FALSE),I109)</f>
        <v>41.93</v>
      </c>
      <c r="J110" s="6">
        <f t="shared" si="2"/>
        <v>8.0899999999999963</v>
      </c>
    </row>
    <row r="111" spans="2:10" x14ac:dyDescent="0.25">
      <c r="B111" s="5">
        <f t="shared" si="3"/>
        <v>42477</v>
      </c>
      <c r="C111" s="6">
        <f>IFERROR(VLOOKUP($B111,Platts!$E$5:$M$4994,MATCH(C$3,Platts!$F$5:$M$5,0)+1,FALSE),C110)</f>
        <v>32.24</v>
      </c>
      <c r="D111" s="6">
        <f>IFERROR(VLOOKUP($B111,Platts!$E$5:$M$4994,MATCH(D$3,Platts!$F$5:$M$5,0)+1,FALSE),D110)</f>
        <v>37.409999999999997</v>
      </c>
      <c r="E111" s="6">
        <f>IFERROR(VLOOKUP($B111,Platts!$E$5:$M$4994,MATCH(E$3,Platts!$F$5:$M$5,0)+1,FALSE),E110)</f>
        <v>31.23</v>
      </c>
      <c r="F111" s="6">
        <f>IFERROR(VLOOKUP($B111,Platts!$E$5:$M$4994,MATCH(F$3,Platts!$F$5:$M$5,0)+1,FALSE),F110)</f>
        <v>40.26</v>
      </c>
      <c r="G111" s="6">
        <f>IFERROR(VLOOKUP($B111,Platts!$E$5:$M$4994,MATCH(G$3,Platts!$F$5:$M$5,0)+1,FALSE),G110)</f>
        <v>43.07</v>
      </c>
      <c r="H111" s="6">
        <f>IFERROR(VLOOKUP($B111,Platts!$E$5:$M$4994,MATCH(H$3,Platts!$F$5:$M$5,0)+1,FALSE),H110)</f>
        <v>40.33</v>
      </c>
      <c r="I111" s="6">
        <f>IFERROR(VLOOKUP($B111,Platts!$E$5:$M$4994,MATCH(I$3,Platts!$F$5:$M$5,0)+1,FALSE),I110)</f>
        <v>41.93</v>
      </c>
      <c r="J111" s="6">
        <f t="shared" si="2"/>
        <v>8.0899999999999963</v>
      </c>
    </row>
    <row r="112" spans="2:10" x14ac:dyDescent="0.25">
      <c r="B112" s="5">
        <f t="shared" si="3"/>
        <v>42478</v>
      </c>
      <c r="C112" s="6">
        <f>IFERROR(VLOOKUP($B112,Platts!$E$5:$M$4994,MATCH(C$3,Platts!$F$5:$M$5,0)+1,FALSE),C111)</f>
        <v>31.63</v>
      </c>
      <c r="D112" s="6">
        <f>IFERROR(VLOOKUP($B112,Platts!$E$5:$M$4994,MATCH(D$3,Platts!$F$5:$M$5,0)+1,FALSE),D111)</f>
        <v>36.92</v>
      </c>
      <c r="E112" s="6">
        <f>IFERROR(VLOOKUP($B112,Platts!$E$5:$M$4994,MATCH(E$3,Platts!$F$5:$M$5,0)+1,FALSE),E111)</f>
        <v>30.74</v>
      </c>
      <c r="F112" s="6">
        <f>IFERROR(VLOOKUP($B112,Platts!$E$5:$M$4994,MATCH(F$3,Platts!$F$5:$M$5,0)+1,FALSE),F111)</f>
        <v>39.85</v>
      </c>
      <c r="G112" s="6">
        <f>IFERROR(VLOOKUP($B112,Platts!$E$5:$M$4994,MATCH(G$3,Platts!$F$5:$M$5,0)+1,FALSE),G111)</f>
        <v>43</v>
      </c>
      <c r="H112" s="6">
        <f>IFERROR(VLOOKUP($B112,Platts!$E$5:$M$4994,MATCH(H$3,Platts!$F$5:$M$5,0)+1,FALSE),H111)</f>
        <v>39.81</v>
      </c>
      <c r="I112" s="6">
        <f>IFERROR(VLOOKUP($B112,Platts!$E$5:$M$4994,MATCH(I$3,Platts!$F$5:$M$5,0)+1,FALSE),I111)</f>
        <v>41.36</v>
      </c>
      <c r="J112" s="6">
        <f t="shared" si="2"/>
        <v>8.1800000000000033</v>
      </c>
    </row>
    <row r="113" spans="2:10" x14ac:dyDescent="0.25">
      <c r="B113" s="5">
        <f t="shared" si="3"/>
        <v>42479</v>
      </c>
      <c r="C113" s="6">
        <f>IFERROR(VLOOKUP($B113,Platts!$E$5:$M$4994,MATCH(C$3,Platts!$F$5:$M$5,0)+1,FALSE),C112)</f>
        <v>32.92</v>
      </c>
      <c r="D113" s="6">
        <f>IFERROR(VLOOKUP($B113,Platts!$E$5:$M$4994,MATCH(D$3,Platts!$F$5:$M$5,0)+1,FALSE),D112)</f>
        <v>38.25</v>
      </c>
      <c r="E113" s="6">
        <f>IFERROR(VLOOKUP($B113,Platts!$E$5:$M$4994,MATCH(E$3,Platts!$F$5:$M$5,0)+1,FALSE),E112)</f>
        <v>32.04</v>
      </c>
      <c r="F113" s="6">
        <f>IFERROR(VLOOKUP($B113,Platts!$E$5:$M$4994,MATCH(F$3,Platts!$F$5:$M$5,0)+1,FALSE),F112)</f>
        <v>41.14</v>
      </c>
      <c r="G113" s="6">
        <f>IFERROR(VLOOKUP($B113,Platts!$E$5:$M$4994,MATCH(G$3,Platts!$F$5:$M$5,0)+1,FALSE),G112)</f>
        <v>44.27</v>
      </c>
      <c r="H113" s="6">
        <f>IFERROR(VLOOKUP($B113,Platts!$E$5:$M$4994,MATCH(H$3,Platts!$F$5:$M$5,0)+1,FALSE),H112)</f>
        <v>41.02</v>
      </c>
      <c r="I113" s="6">
        <f>IFERROR(VLOOKUP($B113,Platts!$E$5:$M$4994,MATCH(I$3,Platts!$F$5:$M$5,0)+1,FALSE),I112)</f>
        <v>42.77</v>
      </c>
      <c r="J113" s="6">
        <f t="shared" si="2"/>
        <v>8.1000000000000014</v>
      </c>
    </row>
    <row r="114" spans="2:10" x14ac:dyDescent="0.25">
      <c r="B114" s="5">
        <f t="shared" si="3"/>
        <v>42480</v>
      </c>
      <c r="C114" s="6">
        <f>IFERROR(VLOOKUP($B114,Platts!$E$5:$M$4994,MATCH(C$3,Platts!$F$5:$M$5,0)+1,FALSE),C113)</f>
        <v>33.909999999999997</v>
      </c>
      <c r="D114" s="6">
        <f>IFERROR(VLOOKUP($B114,Platts!$E$5:$M$4994,MATCH(D$3,Platts!$F$5:$M$5,0)+1,FALSE),D113)</f>
        <v>39.86</v>
      </c>
      <c r="E114" s="6">
        <f>IFERROR(VLOOKUP($B114,Platts!$E$5:$M$4994,MATCH(E$3,Platts!$F$5:$M$5,0)+1,FALSE),E113)</f>
        <v>33.619999999999997</v>
      </c>
      <c r="F114" s="6">
        <f>IFERROR(VLOOKUP($B114,Platts!$E$5:$M$4994,MATCH(F$3,Platts!$F$5:$M$5,0)+1,FALSE),F113)</f>
        <v>42.69</v>
      </c>
      <c r="G114" s="6">
        <f>IFERROR(VLOOKUP($B114,Platts!$E$5:$M$4994,MATCH(G$3,Platts!$F$5:$M$5,0)+1,FALSE),G113)</f>
        <v>44.74</v>
      </c>
      <c r="H114" s="6">
        <f>IFERROR(VLOOKUP($B114,Platts!$E$5:$M$4994,MATCH(H$3,Platts!$F$5:$M$5,0)+1,FALSE),H113)</f>
        <v>42.6</v>
      </c>
      <c r="I114" s="6">
        <f>IFERROR(VLOOKUP($B114,Platts!$E$5:$M$4994,MATCH(I$3,Platts!$F$5:$M$5,0)+1,FALSE),I113)</f>
        <v>44.35</v>
      </c>
      <c r="J114" s="6">
        <f t="shared" si="2"/>
        <v>8.6900000000000048</v>
      </c>
    </row>
    <row r="115" spans="2:10" x14ac:dyDescent="0.25">
      <c r="B115" s="5">
        <f t="shared" si="3"/>
        <v>42481</v>
      </c>
      <c r="C115" s="6">
        <f>IFERROR(VLOOKUP($B115,Platts!$E$5:$M$4994,MATCH(C$3,Platts!$F$5:$M$5,0)+1,FALSE),C114)</f>
        <v>34.26</v>
      </c>
      <c r="D115" s="6">
        <f>IFERROR(VLOOKUP($B115,Platts!$E$5:$M$4994,MATCH(D$3,Platts!$F$5:$M$5,0)+1,FALSE),D114)</f>
        <v>39.43</v>
      </c>
      <c r="E115" s="6">
        <f>IFERROR(VLOOKUP($B115,Platts!$E$5:$M$4994,MATCH(E$3,Platts!$F$5:$M$5,0)+1,FALSE),E114)</f>
        <v>33.03</v>
      </c>
      <c r="F115" s="6">
        <f>IFERROR(VLOOKUP($B115,Platts!$E$5:$M$4994,MATCH(F$3,Platts!$F$5:$M$5,0)+1,FALSE),F114)</f>
        <v>42.22</v>
      </c>
      <c r="G115" s="6">
        <f>IFERROR(VLOOKUP($B115,Platts!$E$5:$M$4994,MATCH(G$3,Platts!$F$5:$M$5,0)+1,FALSE),G114)</f>
        <v>45.37</v>
      </c>
      <c r="H115" s="6">
        <f>IFERROR(VLOOKUP($B115,Platts!$E$5:$M$4994,MATCH(H$3,Platts!$F$5:$M$5,0)+1,FALSE),H114)</f>
        <v>42.44</v>
      </c>
      <c r="I115" s="6">
        <f>IFERROR(VLOOKUP($B115,Platts!$E$5:$M$4994,MATCH(I$3,Platts!$F$5:$M$5,0)+1,FALSE),I114)</f>
        <v>44.04</v>
      </c>
      <c r="J115" s="6">
        <f t="shared" si="2"/>
        <v>8.18</v>
      </c>
    </row>
    <row r="116" spans="2:10" x14ac:dyDescent="0.25">
      <c r="B116" s="5">
        <f t="shared" si="3"/>
        <v>42482</v>
      </c>
      <c r="C116" s="6">
        <f>IFERROR(VLOOKUP($B116,Platts!$E$5:$M$4994,MATCH(C$3,Platts!$F$5:$M$5,0)+1,FALSE),C115)</f>
        <v>34.49</v>
      </c>
      <c r="D116" s="6">
        <f>IFERROR(VLOOKUP($B116,Platts!$E$5:$M$4994,MATCH(D$3,Platts!$F$5:$M$5,0)+1,FALSE),D115)</f>
        <v>40.08</v>
      </c>
      <c r="E116" s="6">
        <f>IFERROR(VLOOKUP($B116,Platts!$E$5:$M$4994,MATCH(E$3,Platts!$F$5:$M$5,0)+1,FALSE),E115)</f>
        <v>33.450000000000003</v>
      </c>
      <c r="F116" s="6">
        <f>IFERROR(VLOOKUP($B116,Platts!$E$5:$M$4994,MATCH(F$3,Platts!$F$5:$M$5,0)+1,FALSE),F115)</f>
        <v>42.83</v>
      </c>
      <c r="G116" s="6">
        <f>IFERROR(VLOOKUP($B116,Platts!$E$5:$M$4994,MATCH(G$3,Platts!$F$5:$M$5,0)+1,FALSE),G115)</f>
        <v>45.66</v>
      </c>
      <c r="H116" s="6">
        <f>IFERROR(VLOOKUP($B116,Platts!$E$5:$M$4994,MATCH(H$3,Platts!$F$5:$M$5,0)+1,FALSE),H115)</f>
        <v>42.66</v>
      </c>
      <c r="I116" s="6">
        <f>IFERROR(VLOOKUP($B116,Platts!$E$5:$M$4994,MATCH(I$3,Platts!$F$5:$M$5,0)+1,FALSE),I115)</f>
        <v>43.66</v>
      </c>
      <c r="J116" s="6">
        <f t="shared" si="2"/>
        <v>8.1699999999999946</v>
      </c>
    </row>
    <row r="117" spans="2:10" x14ac:dyDescent="0.25">
      <c r="B117" s="5">
        <f t="shared" si="3"/>
        <v>42483</v>
      </c>
      <c r="C117" s="6">
        <f>IFERROR(VLOOKUP($B117,Platts!$E$5:$M$4994,MATCH(C$3,Platts!$F$5:$M$5,0)+1,FALSE),C116)</f>
        <v>34.49</v>
      </c>
      <c r="D117" s="6">
        <f>IFERROR(VLOOKUP($B117,Platts!$E$5:$M$4994,MATCH(D$3,Platts!$F$5:$M$5,0)+1,FALSE),D116)</f>
        <v>40.08</v>
      </c>
      <c r="E117" s="6">
        <f>IFERROR(VLOOKUP($B117,Platts!$E$5:$M$4994,MATCH(E$3,Platts!$F$5:$M$5,0)+1,FALSE),E116)</f>
        <v>33.450000000000003</v>
      </c>
      <c r="F117" s="6">
        <f>IFERROR(VLOOKUP($B117,Platts!$E$5:$M$4994,MATCH(F$3,Platts!$F$5:$M$5,0)+1,FALSE),F116)</f>
        <v>42.83</v>
      </c>
      <c r="G117" s="6">
        <f>IFERROR(VLOOKUP($B117,Platts!$E$5:$M$4994,MATCH(G$3,Platts!$F$5:$M$5,0)+1,FALSE),G116)</f>
        <v>45.66</v>
      </c>
      <c r="H117" s="6">
        <f>IFERROR(VLOOKUP($B117,Platts!$E$5:$M$4994,MATCH(H$3,Platts!$F$5:$M$5,0)+1,FALSE),H116)</f>
        <v>42.66</v>
      </c>
      <c r="I117" s="6">
        <f>IFERROR(VLOOKUP($B117,Platts!$E$5:$M$4994,MATCH(I$3,Platts!$F$5:$M$5,0)+1,FALSE),I116)</f>
        <v>43.66</v>
      </c>
      <c r="J117" s="6">
        <f t="shared" si="2"/>
        <v>8.1699999999999946</v>
      </c>
    </row>
    <row r="118" spans="2:10" x14ac:dyDescent="0.25">
      <c r="B118" s="5">
        <f t="shared" si="3"/>
        <v>42484</v>
      </c>
      <c r="C118" s="6">
        <f>IFERROR(VLOOKUP($B118,Platts!$E$5:$M$4994,MATCH(C$3,Platts!$F$5:$M$5,0)+1,FALSE),C117)</f>
        <v>34.49</v>
      </c>
      <c r="D118" s="6">
        <f>IFERROR(VLOOKUP($B118,Platts!$E$5:$M$4994,MATCH(D$3,Platts!$F$5:$M$5,0)+1,FALSE),D117)</f>
        <v>40.08</v>
      </c>
      <c r="E118" s="6">
        <f>IFERROR(VLOOKUP($B118,Platts!$E$5:$M$4994,MATCH(E$3,Platts!$F$5:$M$5,0)+1,FALSE),E117)</f>
        <v>33.450000000000003</v>
      </c>
      <c r="F118" s="6">
        <f>IFERROR(VLOOKUP($B118,Platts!$E$5:$M$4994,MATCH(F$3,Platts!$F$5:$M$5,0)+1,FALSE),F117)</f>
        <v>42.83</v>
      </c>
      <c r="G118" s="6">
        <f>IFERROR(VLOOKUP($B118,Platts!$E$5:$M$4994,MATCH(G$3,Platts!$F$5:$M$5,0)+1,FALSE),G117)</f>
        <v>45.66</v>
      </c>
      <c r="H118" s="6">
        <f>IFERROR(VLOOKUP($B118,Platts!$E$5:$M$4994,MATCH(H$3,Platts!$F$5:$M$5,0)+1,FALSE),H117)</f>
        <v>42.66</v>
      </c>
      <c r="I118" s="6">
        <f>IFERROR(VLOOKUP($B118,Platts!$E$5:$M$4994,MATCH(I$3,Platts!$F$5:$M$5,0)+1,FALSE),I117)</f>
        <v>43.66</v>
      </c>
      <c r="J118" s="6">
        <f t="shared" si="2"/>
        <v>8.1699999999999946</v>
      </c>
    </row>
    <row r="119" spans="2:10" x14ac:dyDescent="0.25">
      <c r="B119" s="5">
        <f t="shared" si="3"/>
        <v>42485</v>
      </c>
      <c r="C119" s="6">
        <f>IFERROR(VLOOKUP($B119,Platts!$E$5:$M$4994,MATCH(C$3,Platts!$F$5:$M$5,0)+1,FALSE),C118)</f>
        <v>33.869999999999997</v>
      </c>
      <c r="D119" s="6">
        <f>IFERROR(VLOOKUP($B119,Platts!$E$5:$M$4994,MATCH(D$3,Platts!$F$5:$M$5,0)+1,FALSE),D118)</f>
        <v>38.729999999999997</v>
      </c>
      <c r="E119" s="6">
        <f>IFERROR(VLOOKUP($B119,Platts!$E$5:$M$4994,MATCH(E$3,Platts!$F$5:$M$5,0)+1,FALSE),E118)</f>
        <v>32.99</v>
      </c>
      <c r="F119" s="6">
        <f>IFERROR(VLOOKUP($B119,Platts!$E$5:$M$4994,MATCH(F$3,Platts!$F$5:$M$5,0)+1,FALSE),F118)</f>
        <v>41.58</v>
      </c>
      <c r="G119" s="6">
        <f>IFERROR(VLOOKUP($B119,Platts!$E$5:$M$4994,MATCH(G$3,Platts!$F$5:$M$5,0)+1,FALSE),G118)</f>
        <v>45.3</v>
      </c>
      <c r="H119" s="6">
        <f>IFERROR(VLOOKUP($B119,Platts!$E$5:$M$4994,MATCH(H$3,Platts!$F$5:$M$5,0)+1,FALSE),H118)</f>
        <v>41.39</v>
      </c>
      <c r="I119" s="6">
        <f>IFERROR(VLOOKUP($B119,Platts!$E$5:$M$4994,MATCH(I$3,Platts!$F$5:$M$5,0)+1,FALSE),I118)</f>
        <v>42.64</v>
      </c>
      <c r="J119" s="6">
        <f t="shared" si="2"/>
        <v>7.5200000000000031</v>
      </c>
    </row>
    <row r="120" spans="2:10" x14ac:dyDescent="0.25">
      <c r="B120" s="5">
        <f t="shared" si="3"/>
        <v>42486</v>
      </c>
      <c r="C120" s="6">
        <f>IFERROR(VLOOKUP($B120,Platts!$E$5:$M$4994,MATCH(C$3,Platts!$F$5:$M$5,0)+1,FALSE),C119)</f>
        <v>35.15</v>
      </c>
      <c r="D120" s="6">
        <f>IFERROR(VLOOKUP($B120,Platts!$E$5:$M$4994,MATCH(D$3,Platts!$F$5:$M$5,0)+1,FALSE),D119)</f>
        <v>41.27</v>
      </c>
      <c r="E120" s="6">
        <f>IFERROR(VLOOKUP($B120,Platts!$E$5:$M$4994,MATCH(E$3,Platts!$F$5:$M$5,0)+1,FALSE),E119)</f>
        <v>34.97</v>
      </c>
      <c r="F120" s="6">
        <f>IFERROR(VLOOKUP($B120,Platts!$E$5:$M$4994,MATCH(F$3,Platts!$F$5:$M$5,0)+1,FALSE),F119)</f>
        <v>43.89</v>
      </c>
      <c r="G120" s="6">
        <f>IFERROR(VLOOKUP($B120,Platts!$E$5:$M$4994,MATCH(G$3,Platts!$F$5:$M$5,0)+1,FALSE),G119)</f>
        <v>45.81</v>
      </c>
      <c r="H120" s="6">
        <f>IFERROR(VLOOKUP($B120,Platts!$E$5:$M$4994,MATCH(H$3,Platts!$F$5:$M$5,0)+1,FALSE),H119)</f>
        <v>44.04</v>
      </c>
      <c r="I120" s="6">
        <f>IFERROR(VLOOKUP($B120,Platts!$E$5:$M$4994,MATCH(I$3,Platts!$F$5:$M$5,0)+1,FALSE),I119)</f>
        <v>45.89</v>
      </c>
      <c r="J120" s="6">
        <f t="shared" si="2"/>
        <v>8.89</v>
      </c>
    </row>
    <row r="121" spans="2:10" x14ac:dyDescent="0.25">
      <c r="B121" s="5">
        <f t="shared" si="3"/>
        <v>42487</v>
      </c>
      <c r="C121" s="6">
        <f>IFERROR(VLOOKUP($B121,Platts!$E$5:$M$4994,MATCH(C$3,Platts!$F$5:$M$5,0)+1,FALSE),C120)</f>
        <v>36.33</v>
      </c>
      <c r="D121" s="6">
        <f>IFERROR(VLOOKUP($B121,Platts!$E$5:$M$4994,MATCH(D$3,Platts!$F$5:$M$5,0)+1,FALSE),D120)</f>
        <v>42.58</v>
      </c>
      <c r="E121" s="6">
        <f>IFERROR(VLOOKUP($B121,Platts!$E$5:$M$4994,MATCH(E$3,Platts!$F$5:$M$5,0)+1,FALSE),E120)</f>
        <v>36.33</v>
      </c>
      <c r="F121" s="6">
        <f>IFERROR(VLOOKUP($B121,Platts!$E$5:$M$4994,MATCH(F$3,Platts!$F$5:$M$5,0)+1,FALSE),F120)</f>
        <v>45.25</v>
      </c>
      <c r="G121" s="6">
        <f>IFERROR(VLOOKUP($B121,Platts!$E$5:$M$4994,MATCH(G$3,Platts!$F$5:$M$5,0)+1,FALSE),G120)</f>
        <v>46.27</v>
      </c>
      <c r="H121" s="6">
        <f>IFERROR(VLOOKUP($B121,Platts!$E$5:$M$4994,MATCH(H$3,Platts!$F$5:$M$5,0)+1,FALSE),H120)</f>
        <v>45.37</v>
      </c>
      <c r="I121" s="6">
        <f>IFERROR(VLOOKUP($B121,Platts!$E$5:$M$4994,MATCH(I$3,Platts!$F$5:$M$5,0)+1,FALSE),I120)</f>
        <v>47.27</v>
      </c>
      <c r="J121" s="6">
        <f t="shared" si="2"/>
        <v>9.0399999999999991</v>
      </c>
    </row>
    <row r="122" spans="2:10" x14ac:dyDescent="0.25">
      <c r="B122" s="5">
        <f t="shared" si="3"/>
        <v>42488</v>
      </c>
      <c r="C122" s="6">
        <f>IFERROR(VLOOKUP($B122,Platts!$E$5:$M$4994,MATCH(C$3,Platts!$F$5:$M$5,0)+1,FALSE),C121)</f>
        <v>37.200000000000003</v>
      </c>
      <c r="D122" s="6">
        <f>IFERROR(VLOOKUP($B122,Platts!$E$5:$M$4994,MATCH(D$3,Platts!$F$5:$M$5,0)+1,FALSE),D121)</f>
        <v>43.34</v>
      </c>
      <c r="E122" s="6">
        <f>IFERROR(VLOOKUP($B122,Platts!$E$5:$M$4994,MATCH(E$3,Platts!$F$5:$M$5,0)+1,FALSE),E121)</f>
        <v>37.06</v>
      </c>
      <c r="F122" s="6">
        <f>IFERROR(VLOOKUP($B122,Platts!$E$5:$M$4994,MATCH(F$3,Platts!$F$5:$M$5,0)+1,FALSE),F121)</f>
        <v>45.98</v>
      </c>
      <c r="G122" s="6">
        <f>IFERROR(VLOOKUP($B122,Platts!$E$5:$M$4994,MATCH(G$3,Platts!$F$5:$M$5,0)+1,FALSE),G121)</f>
        <v>47.69</v>
      </c>
      <c r="H122" s="6">
        <f>IFERROR(VLOOKUP($B122,Platts!$E$5:$M$4994,MATCH(H$3,Platts!$F$5:$M$5,0)+1,FALSE),H121)</f>
        <v>45.92</v>
      </c>
      <c r="I122" s="6">
        <f>IFERROR(VLOOKUP($B122,Platts!$E$5:$M$4994,MATCH(I$3,Platts!$F$5:$M$5,0)+1,FALSE),I121)</f>
        <v>48.02</v>
      </c>
      <c r="J122" s="6">
        <f t="shared" si="2"/>
        <v>8.7199999999999989</v>
      </c>
    </row>
    <row r="123" spans="2:10" x14ac:dyDescent="0.25">
      <c r="B123" s="5">
        <f t="shared" si="3"/>
        <v>42489</v>
      </c>
      <c r="C123" s="6">
        <f>IFERROR(VLOOKUP($B123,Platts!$E$5:$M$4994,MATCH(C$3,Platts!$F$5:$M$5,0)+1,FALSE),C122)</f>
        <v>37.58</v>
      </c>
      <c r="D123" s="6">
        <f>IFERROR(VLOOKUP($B123,Platts!$E$5:$M$4994,MATCH(D$3,Platts!$F$5:$M$5,0)+1,FALSE),D122)</f>
        <v>43.3</v>
      </c>
      <c r="E123" s="6">
        <f>IFERROR(VLOOKUP($B123,Platts!$E$5:$M$4994,MATCH(E$3,Platts!$F$5:$M$5,0)+1,FALSE),E122)</f>
        <v>37.21</v>
      </c>
      <c r="F123" s="6">
        <f>IFERROR(VLOOKUP($B123,Platts!$E$5:$M$4994,MATCH(F$3,Platts!$F$5:$M$5,0)+1,FALSE),F122)</f>
        <v>45.92</v>
      </c>
      <c r="G123" s="6">
        <f>IFERROR(VLOOKUP($B123,Platts!$E$5:$M$4994,MATCH(G$3,Platts!$F$5:$M$5,0)+1,FALSE),G122)</f>
        <v>47.51</v>
      </c>
      <c r="H123" s="6">
        <f>IFERROR(VLOOKUP($B123,Platts!$E$5:$M$4994,MATCH(H$3,Platts!$F$5:$M$5,0)+1,FALSE),H122)</f>
        <v>46.07</v>
      </c>
      <c r="I123" s="6">
        <f>IFERROR(VLOOKUP($B123,Platts!$E$5:$M$4994,MATCH(I$3,Platts!$F$5:$M$5,0)+1,FALSE),I122)</f>
        <v>48.22</v>
      </c>
      <c r="J123" s="6">
        <f t="shared" si="2"/>
        <v>8.490000000000002</v>
      </c>
    </row>
    <row r="124" spans="2:10" x14ac:dyDescent="0.25">
      <c r="B124" s="5">
        <f t="shared" si="3"/>
        <v>42490</v>
      </c>
      <c r="C124" s="6">
        <f>IFERROR(VLOOKUP($B124,Platts!$E$5:$M$4994,MATCH(C$3,Platts!$F$5:$M$5,0)+1,FALSE),C123)</f>
        <v>37.58</v>
      </c>
      <c r="D124" s="6">
        <f>IFERROR(VLOOKUP($B124,Platts!$E$5:$M$4994,MATCH(D$3,Platts!$F$5:$M$5,0)+1,FALSE),D123)</f>
        <v>43.3</v>
      </c>
      <c r="E124" s="6">
        <f>IFERROR(VLOOKUP($B124,Platts!$E$5:$M$4994,MATCH(E$3,Platts!$F$5:$M$5,0)+1,FALSE),E123)</f>
        <v>37.21</v>
      </c>
      <c r="F124" s="6">
        <f>IFERROR(VLOOKUP($B124,Platts!$E$5:$M$4994,MATCH(F$3,Platts!$F$5:$M$5,0)+1,FALSE),F123)</f>
        <v>45.92</v>
      </c>
      <c r="G124" s="6">
        <f>IFERROR(VLOOKUP($B124,Platts!$E$5:$M$4994,MATCH(G$3,Platts!$F$5:$M$5,0)+1,FALSE),G123)</f>
        <v>47.51</v>
      </c>
      <c r="H124" s="6">
        <f>IFERROR(VLOOKUP($B124,Platts!$E$5:$M$4994,MATCH(H$3,Platts!$F$5:$M$5,0)+1,FALSE),H123)</f>
        <v>46.07</v>
      </c>
      <c r="I124" s="6">
        <f>IFERROR(VLOOKUP($B124,Platts!$E$5:$M$4994,MATCH(I$3,Platts!$F$5:$M$5,0)+1,FALSE),I123)</f>
        <v>48.22</v>
      </c>
      <c r="J124" s="6">
        <f t="shared" si="2"/>
        <v>8.490000000000002</v>
      </c>
    </row>
    <row r="125" spans="2:10" x14ac:dyDescent="0.25">
      <c r="B125" s="5">
        <f t="shared" si="3"/>
        <v>42491</v>
      </c>
      <c r="C125" s="6">
        <f>IFERROR(VLOOKUP($B125,Platts!$E$5:$M$4994,MATCH(C$3,Platts!$F$5:$M$5,0)+1,FALSE),C124)</f>
        <v>37.58</v>
      </c>
      <c r="D125" s="6">
        <f>IFERROR(VLOOKUP($B125,Platts!$E$5:$M$4994,MATCH(D$3,Platts!$F$5:$M$5,0)+1,FALSE),D124)</f>
        <v>43.3</v>
      </c>
      <c r="E125" s="6">
        <f>IFERROR(VLOOKUP($B125,Platts!$E$5:$M$4994,MATCH(E$3,Platts!$F$5:$M$5,0)+1,FALSE),E124)</f>
        <v>37.21</v>
      </c>
      <c r="F125" s="6">
        <f>IFERROR(VLOOKUP($B125,Platts!$E$5:$M$4994,MATCH(F$3,Platts!$F$5:$M$5,0)+1,FALSE),F124)</f>
        <v>45.92</v>
      </c>
      <c r="G125" s="6">
        <f>IFERROR(VLOOKUP($B125,Platts!$E$5:$M$4994,MATCH(G$3,Platts!$F$5:$M$5,0)+1,FALSE),G124)</f>
        <v>47.51</v>
      </c>
      <c r="H125" s="6">
        <f>IFERROR(VLOOKUP($B125,Platts!$E$5:$M$4994,MATCH(H$3,Platts!$F$5:$M$5,0)+1,FALSE),H124)</f>
        <v>46.07</v>
      </c>
      <c r="I125" s="6">
        <f>IFERROR(VLOOKUP($B125,Platts!$E$5:$M$4994,MATCH(I$3,Platts!$F$5:$M$5,0)+1,FALSE),I124)</f>
        <v>48.22</v>
      </c>
      <c r="J125" s="6">
        <f t="shared" si="2"/>
        <v>8.490000000000002</v>
      </c>
    </row>
    <row r="126" spans="2:10" x14ac:dyDescent="0.25">
      <c r="B126" s="5">
        <f t="shared" si="3"/>
        <v>42492</v>
      </c>
      <c r="C126" s="6">
        <f>IFERROR(VLOOKUP($B126,Platts!$E$5:$M$4994,MATCH(C$3,Platts!$F$5:$M$5,0)+1,FALSE),C125)</f>
        <v>37.58</v>
      </c>
      <c r="D126" s="6">
        <f>IFERROR(VLOOKUP($B126,Platts!$E$5:$M$4994,MATCH(D$3,Platts!$F$5:$M$5,0)+1,FALSE),D125)</f>
        <v>42.78</v>
      </c>
      <c r="E126" s="6">
        <f>IFERROR(VLOOKUP($B126,Platts!$E$5:$M$4994,MATCH(E$3,Platts!$F$5:$M$5,0)+1,FALSE),E125)</f>
        <v>36.93</v>
      </c>
      <c r="F126" s="6">
        <f>IFERROR(VLOOKUP($B126,Platts!$E$5:$M$4994,MATCH(F$3,Platts!$F$5:$M$5,0)+1,FALSE),F125)</f>
        <v>45.23</v>
      </c>
      <c r="G126" s="6">
        <f>IFERROR(VLOOKUP($B126,Platts!$E$5:$M$4994,MATCH(G$3,Platts!$F$5:$M$5,0)+1,FALSE),G125)</f>
        <v>47.51</v>
      </c>
      <c r="H126" s="6">
        <f>IFERROR(VLOOKUP($B126,Platts!$E$5:$M$4994,MATCH(H$3,Platts!$F$5:$M$5,0)+1,FALSE),H125)</f>
        <v>44.82</v>
      </c>
      <c r="I126" s="6">
        <f>IFERROR(VLOOKUP($B126,Platts!$E$5:$M$4994,MATCH(I$3,Platts!$F$5:$M$5,0)+1,FALSE),I125)</f>
        <v>46.87</v>
      </c>
      <c r="J126" s="6">
        <f t="shared" si="2"/>
        <v>7.240000000000002</v>
      </c>
    </row>
    <row r="127" spans="2:10" x14ac:dyDescent="0.25">
      <c r="B127" s="5">
        <f t="shared" si="3"/>
        <v>42493</v>
      </c>
      <c r="C127" s="6">
        <f>IFERROR(VLOOKUP($B127,Platts!$E$5:$M$4994,MATCH(C$3,Platts!$F$5:$M$5,0)+1,FALSE),C126)</f>
        <v>35.6</v>
      </c>
      <c r="D127" s="6">
        <f>IFERROR(VLOOKUP($B127,Platts!$E$5:$M$4994,MATCH(D$3,Platts!$F$5:$M$5,0)+1,FALSE),D126)</f>
        <v>41.57</v>
      </c>
      <c r="E127" s="6">
        <f>IFERROR(VLOOKUP($B127,Platts!$E$5:$M$4994,MATCH(E$3,Platts!$F$5:$M$5,0)+1,FALSE),E126)</f>
        <v>35.979999999999997</v>
      </c>
      <c r="F127" s="6">
        <f>IFERROR(VLOOKUP($B127,Platts!$E$5:$M$4994,MATCH(F$3,Platts!$F$5:$M$5,0)+1,FALSE),F126)</f>
        <v>44.06</v>
      </c>
      <c r="G127" s="6">
        <f>IFERROR(VLOOKUP($B127,Platts!$E$5:$M$4994,MATCH(G$3,Platts!$F$5:$M$5,0)+1,FALSE),G126)</f>
        <v>45.07</v>
      </c>
      <c r="H127" s="6">
        <f>IFERROR(VLOOKUP($B127,Platts!$E$5:$M$4994,MATCH(H$3,Platts!$F$5:$M$5,0)+1,FALSE),H126)</f>
        <v>43.76</v>
      </c>
      <c r="I127" s="6">
        <f>IFERROR(VLOOKUP($B127,Platts!$E$5:$M$4994,MATCH(I$3,Platts!$F$5:$M$5,0)+1,FALSE),I126)</f>
        <v>45.76</v>
      </c>
      <c r="J127" s="6">
        <f t="shared" si="2"/>
        <v>8.1599999999999966</v>
      </c>
    </row>
    <row r="128" spans="2:10" x14ac:dyDescent="0.25">
      <c r="B128" s="5">
        <f t="shared" si="3"/>
        <v>42494</v>
      </c>
      <c r="C128" s="6">
        <f>IFERROR(VLOOKUP($B128,Platts!$E$5:$M$4994,MATCH(C$3,Platts!$F$5:$M$5,0)+1,FALSE),C127)</f>
        <v>35.22</v>
      </c>
      <c r="D128" s="6">
        <f>IFERROR(VLOOKUP($B128,Platts!$E$5:$M$4994,MATCH(D$3,Platts!$F$5:$M$5,0)+1,FALSE),D127)</f>
        <v>41.55</v>
      </c>
      <c r="E128" s="6">
        <f>IFERROR(VLOOKUP($B128,Platts!$E$5:$M$4994,MATCH(E$3,Platts!$F$5:$M$5,0)+1,FALSE),E127)</f>
        <v>35.85</v>
      </c>
      <c r="F128" s="6">
        <f>IFERROR(VLOOKUP($B128,Platts!$E$5:$M$4994,MATCH(F$3,Platts!$F$5:$M$5,0)+1,FALSE),F127)</f>
        <v>44</v>
      </c>
      <c r="G128" s="6">
        <f>IFERROR(VLOOKUP($B128,Platts!$E$5:$M$4994,MATCH(G$3,Platts!$F$5:$M$5,0)+1,FALSE),G127)</f>
        <v>44.9</v>
      </c>
      <c r="H128" s="6">
        <f>IFERROR(VLOOKUP($B128,Platts!$E$5:$M$4994,MATCH(H$3,Platts!$F$5:$M$5,0)+1,FALSE),H127)</f>
        <v>43.81</v>
      </c>
      <c r="I128" s="6">
        <f>IFERROR(VLOOKUP($B128,Platts!$E$5:$M$4994,MATCH(I$3,Platts!$F$5:$M$5,0)+1,FALSE),I127)</f>
        <v>45.81</v>
      </c>
      <c r="J128" s="6">
        <f t="shared" si="2"/>
        <v>8.5900000000000034</v>
      </c>
    </row>
    <row r="129" spans="2:10" x14ac:dyDescent="0.25">
      <c r="B129" s="5">
        <f t="shared" si="3"/>
        <v>42495</v>
      </c>
      <c r="C129" s="6">
        <f>IFERROR(VLOOKUP($B129,Platts!$E$5:$M$4994,MATCH(C$3,Platts!$F$5:$M$5,0)+1,FALSE),C128)</f>
        <v>35.83</v>
      </c>
      <c r="D129" s="6">
        <f>IFERROR(VLOOKUP($B129,Platts!$E$5:$M$4994,MATCH(D$3,Platts!$F$5:$M$5,0)+1,FALSE),D128)</f>
        <v>42.01</v>
      </c>
      <c r="E129" s="6">
        <f>IFERROR(VLOOKUP($B129,Platts!$E$5:$M$4994,MATCH(E$3,Platts!$F$5:$M$5,0)+1,FALSE),E128)</f>
        <v>36.24</v>
      </c>
      <c r="F129" s="6">
        <f>IFERROR(VLOOKUP($B129,Platts!$E$5:$M$4994,MATCH(F$3,Platts!$F$5:$M$5,0)+1,FALSE),F128)</f>
        <v>44.46</v>
      </c>
      <c r="G129" s="6">
        <f>IFERROR(VLOOKUP($B129,Platts!$E$5:$M$4994,MATCH(G$3,Platts!$F$5:$M$5,0)+1,FALSE),G128)</f>
        <v>45.82</v>
      </c>
      <c r="H129" s="6">
        <f>IFERROR(VLOOKUP($B129,Platts!$E$5:$M$4994,MATCH(H$3,Platts!$F$5:$M$5,0)+1,FALSE),H128)</f>
        <v>44.31</v>
      </c>
      <c r="I129" s="6">
        <f>IFERROR(VLOOKUP($B129,Platts!$E$5:$M$4994,MATCH(I$3,Platts!$F$5:$M$5,0)+1,FALSE),I128)</f>
        <v>46.16</v>
      </c>
      <c r="J129" s="6">
        <f t="shared" si="2"/>
        <v>8.480000000000004</v>
      </c>
    </row>
    <row r="130" spans="2:10" x14ac:dyDescent="0.25">
      <c r="B130" s="5">
        <f t="shared" si="3"/>
        <v>42496</v>
      </c>
      <c r="C130" s="6">
        <f>IFERROR(VLOOKUP($B130,Platts!$E$5:$M$4994,MATCH(C$3,Platts!$F$5:$M$5,0)+1,FALSE),C129)</f>
        <v>36.06</v>
      </c>
      <c r="D130" s="6">
        <f>IFERROR(VLOOKUP($B130,Platts!$E$5:$M$4994,MATCH(D$3,Platts!$F$5:$M$5,0)+1,FALSE),D129)</f>
        <v>42.35</v>
      </c>
      <c r="E130" s="6">
        <f>IFERROR(VLOOKUP($B130,Platts!$E$5:$M$4994,MATCH(E$3,Platts!$F$5:$M$5,0)+1,FALSE),E129)</f>
        <v>36.64</v>
      </c>
      <c r="F130" s="6">
        <f>IFERROR(VLOOKUP($B130,Platts!$E$5:$M$4994,MATCH(F$3,Platts!$F$5:$M$5,0)+1,FALSE),F129)</f>
        <v>44.78</v>
      </c>
      <c r="G130" s="6">
        <f>IFERROR(VLOOKUP($B130,Platts!$E$5:$M$4994,MATCH(G$3,Platts!$F$5:$M$5,0)+1,FALSE),G129)</f>
        <v>45.99</v>
      </c>
      <c r="H130" s="6">
        <f>IFERROR(VLOOKUP($B130,Platts!$E$5:$M$4994,MATCH(H$3,Platts!$F$5:$M$5,0)+1,FALSE),H129)</f>
        <v>44.68</v>
      </c>
      <c r="I130" s="6">
        <f>IFERROR(VLOOKUP($B130,Platts!$E$5:$M$4994,MATCH(I$3,Platts!$F$5:$M$5,0)+1,FALSE),I129)</f>
        <v>46.58</v>
      </c>
      <c r="J130" s="6">
        <f t="shared" si="2"/>
        <v>8.6199999999999974</v>
      </c>
    </row>
    <row r="131" spans="2:10" x14ac:dyDescent="0.25">
      <c r="B131" s="5">
        <f t="shared" si="3"/>
        <v>42497</v>
      </c>
      <c r="C131" s="6">
        <f>IFERROR(VLOOKUP($B131,Platts!$E$5:$M$4994,MATCH(C$3,Platts!$F$5:$M$5,0)+1,FALSE),C130)</f>
        <v>36.06</v>
      </c>
      <c r="D131" s="6">
        <f>IFERROR(VLOOKUP($B131,Platts!$E$5:$M$4994,MATCH(D$3,Platts!$F$5:$M$5,0)+1,FALSE),D130)</f>
        <v>42.35</v>
      </c>
      <c r="E131" s="6">
        <f>IFERROR(VLOOKUP($B131,Platts!$E$5:$M$4994,MATCH(E$3,Platts!$F$5:$M$5,0)+1,FALSE),E130)</f>
        <v>36.64</v>
      </c>
      <c r="F131" s="6">
        <f>IFERROR(VLOOKUP($B131,Platts!$E$5:$M$4994,MATCH(F$3,Platts!$F$5:$M$5,0)+1,FALSE),F130)</f>
        <v>44.78</v>
      </c>
      <c r="G131" s="6">
        <f>IFERROR(VLOOKUP($B131,Platts!$E$5:$M$4994,MATCH(G$3,Platts!$F$5:$M$5,0)+1,FALSE),G130)</f>
        <v>45.99</v>
      </c>
      <c r="H131" s="6">
        <f>IFERROR(VLOOKUP($B131,Platts!$E$5:$M$4994,MATCH(H$3,Platts!$F$5:$M$5,0)+1,FALSE),H130)</f>
        <v>44.68</v>
      </c>
      <c r="I131" s="6">
        <f>IFERROR(VLOOKUP($B131,Platts!$E$5:$M$4994,MATCH(I$3,Platts!$F$5:$M$5,0)+1,FALSE),I130)</f>
        <v>46.58</v>
      </c>
      <c r="J131" s="6">
        <f t="shared" si="2"/>
        <v>8.6199999999999974</v>
      </c>
    </row>
    <row r="132" spans="2:10" x14ac:dyDescent="0.25">
      <c r="B132" s="5">
        <f t="shared" si="3"/>
        <v>42498</v>
      </c>
      <c r="C132" s="6">
        <f>IFERROR(VLOOKUP($B132,Platts!$E$5:$M$4994,MATCH(C$3,Platts!$F$5:$M$5,0)+1,FALSE),C131)</f>
        <v>36.06</v>
      </c>
      <c r="D132" s="6">
        <f>IFERROR(VLOOKUP($B132,Platts!$E$5:$M$4994,MATCH(D$3,Platts!$F$5:$M$5,0)+1,FALSE),D131)</f>
        <v>42.35</v>
      </c>
      <c r="E132" s="6">
        <f>IFERROR(VLOOKUP($B132,Platts!$E$5:$M$4994,MATCH(E$3,Platts!$F$5:$M$5,0)+1,FALSE),E131)</f>
        <v>36.64</v>
      </c>
      <c r="F132" s="6">
        <f>IFERROR(VLOOKUP($B132,Platts!$E$5:$M$4994,MATCH(F$3,Platts!$F$5:$M$5,0)+1,FALSE),F131)</f>
        <v>44.78</v>
      </c>
      <c r="G132" s="6">
        <f>IFERROR(VLOOKUP($B132,Platts!$E$5:$M$4994,MATCH(G$3,Platts!$F$5:$M$5,0)+1,FALSE),G131)</f>
        <v>45.99</v>
      </c>
      <c r="H132" s="6">
        <f>IFERROR(VLOOKUP($B132,Platts!$E$5:$M$4994,MATCH(H$3,Platts!$F$5:$M$5,0)+1,FALSE),H131)</f>
        <v>44.68</v>
      </c>
      <c r="I132" s="6">
        <f>IFERROR(VLOOKUP($B132,Platts!$E$5:$M$4994,MATCH(I$3,Platts!$F$5:$M$5,0)+1,FALSE),I131)</f>
        <v>46.58</v>
      </c>
      <c r="J132" s="6">
        <f t="shared" ref="J132:J195" si="4">H132-C132</f>
        <v>8.6199999999999974</v>
      </c>
    </row>
    <row r="133" spans="2:10" x14ac:dyDescent="0.25">
      <c r="B133" s="5">
        <f t="shared" si="3"/>
        <v>42499</v>
      </c>
      <c r="C133" s="6">
        <f>IFERROR(VLOOKUP($B133,Platts!$E$5:$M$4994,MATCH(C$3,Platts!$F$5:$M$5,0)+1,FALSE),C132)</f>
        <v>34.89</v>
      </c>
      <c r="D133" s="6">
        <f>IFERROR(VLOOKUP($B133,Platts!$E$5:$M$4994,MATCH(D$3,Platts!$F$5:$M$5,0)+1,FALSE),D132)</f>
        <v>41.15</v>
      </c>
      <c r="E133" s="6">
        <f>IFERROR(VLOOKUP($B133,Platts!$E$5:$M$4994,MATCH(E$3,Platts!$F$5:$M$5,0)+1,FALSE),E132)</f>
        <v>35.32</v>
      </c>
      <c r="F133" s="6">
        <f>IFERROR(VLOOKUP($B133,Platts!$E$5:$M$4994,MATCH(F$3,Platts!$F$5:$M$5,0)+1,FALSE),F132)</f>
        <v>43.49</v>
      </c>
      <c r="G133" s="6">
        <f>IFERROR(VLOOKUP($B133,Platts!$E$5:$M$4994,MATCH(G$3,Platts!$F$5:$M$5,0)+1,FALSE),G132)</f>
        <v>43.8</v>
      </c>
      <c r="H133" s="6">
        <f>IFERROR(VLOOKUP($B133,Platts!$E$5:$M$4994,MATCH(H$3,Platts!$F$5:$M$5,0)+1,FALSE),H132)</f>
        <v>43.43</v>
      </c>
      <c r="I133" s="6">
        <f>IFERROR(VLOOKUP($B133,Platts!$E$5:$M$4994,MATCH(I$3,Platts!$F$5:$M$5,0)+1,FALSE),I132)</f>
        <v>45.56</v>
      </c>
      <c r="J133" s="6">
        <f t="shared" si="4"/>
        <v>8.5399999999999991</v>
      </c>
    </row>
    <row r="134" spans="2:10" x14ac:dyDescent="0.25">
      <c r="B134" s="5">
        <f t="shared" ref="B134:B197" si="5">B133+1</f>
        <v>42500</v>
      </c>
      <c r="C134" s="6">
        <f>IFERROR(VLOOKUP($B134,Platts!$E$5:$M$4994,MATCH(C$3,Platts!$F$5:$M$5,0)+1,FALSE),C133)</f>
        <v>35.92</v>
      </c>
      <c r="D134" s="6">
        <f>IFERROR(VLOOKUP($B134,Platts!$E$5:$M$4994,MATCH(D$3,Platts!$F$5:$M$5,0)+1,FALSE),D133)</f>
        <v>42.45</v>
      </c>
      <c r="E134" s="6">
        <f>IFERROR(VLOOKUP($B134,Platts!$E$5:$M$4994,MATCH(E$3,Platts!$F$5:$M$5,0)+1,FALSE),E133)</f>
        <v>36.770000000000003</v>
      </c>
      <c r="F134" s="6">
        <f>IFERROR(VLOOKUP($B134,Platts!$E$5:$M$4994,MATCH(F$3,Platts!$F$5:$M$5,0)+1,FALSE),F133)</f>
        <v>44.94</v>
      </c>
      <c r="G134" s="6">
        <f>IFERROR(VLOOKUP($B134,Platts!$E$5:$M$4994,MATCH(G$3,Platts!$F$5:$M$5,0)+1,FALSE),G133)</f>
        <v>45.32</v>
      </c>
      <c r="H134" s="6">
        <f>IFERROR(VLOOKUP($B134,Platts!$E$5:$M$4994,MATCH(H$3,Platts!$F$5:$M$5,0)+1,FALSE),H133)</f>
        <v>44.67</v>
      </c>
      <c r="I134" s="6">
        <f>IFERROR(VLOOKUP($B134,Platts!$E$5:$M$4994,MATCH(I$3,Platts!$F$5:$M$5,0)+1,FALSE),I133)</f>
        <v>46.67</v>
      </c>
      <c r="J134" s="6">
        <f t="shared" si="4"/>
        <v>8.75</v>
      </c>
    </row>
    <row r="135" spans="2:10" x14ac:dyDescent="0.25">
      <c r="B135" s="5">
        <f t="shared" si="5"/>
        <v>42501</v>
      </c>
      <c r="C135" s="6">
        <f>IFERROR(VLOOKUP($B135,Platts!$E$5:$M$4994,MATCH(C$3,Platts!$F$5:$M$5,0)+1,FALSE),C134)</f>
        <v>37.619999999999997</v>
      </c>
      <c r="D135" s="6">
        <f>IFERROR(VLOOKUP($B135,Platts!$E$5:$M$4994,MATCH(D$3,Platts!$F$5:$M$5,0)+1,FALSE),D134)</f>
        <v>44.16</v>
      </c>
      <c r="E135" s="6">
        <f>IFERROR(VLOOKUP($B135,Platts!$E$5:$M$4994,MATCH(E$3,Platts!$F$5:$M$5,0)+1,FALSE),E134)</f>
        <v>38.68</v>
      </c>
      <c r="F135" s="6">
        <f>IFERROR(VLOOKUP($B135,Platts!$E$5:$M$4994,MATCH(F$3,Platts!$F$5:$M$5,0)+1,FALSE),F134)</f>
        <v>46.6</v>
      </c>
      <c r="G135" s="6">
        <f>IFERROR(VLOOKUP($B135,Platts!$E$5:$M$4994,MATCH(G$3,Platts!$F$5:$M$5,0)+1,FALSE),G134)</f>
        <v>47.26</v>
      </c>
      <c r="H135" s="6">
        <f>IFERROR(VLOOKUP($B135,Platts!$E$5:$M$4994,MATCH(H$3,Platts!$F$5:$M$5,0)+1,FALSE),H134)</f>
        <v>46.1</v>
      </c>
      <c r="I135" s="6">
        <f>IFERROR(VLOOKUP($B135,Platts!$E$5:$M$4994,MATCH(I$3,Platts!$F$5:$M$5,0)+1,FALSE),I134)</f>
        <v>48.05</v>
      </c>
      <c r="J135" s="6">
        <f t="shared" si="4"/>
        <v>8.480000000000004</v>
      </c>
    </row>
    <row r="136" spans="2:10" x14ac:dyDescent="0.25">
      <c r="B136" s="5">
        <f t="shared" si="5"/>
        <v>42502</v>
      </c>
      <c r="C136" s="6">
        <f>IFERROR(VLOOKUP($B136,Platts!$E$5:$M$4994,MATCH(C$3,Platts!$F$5:$M$5,0)+1,FALSE),C135)</f>
        <v>38.520000000000003</v>
      </c>
      <c r="D136" s="6">
        <f>IFERROR(VLOOKUP($B136,Platts!$E$5:$M$4994,MATCH(D$3,Platts!$F$5:$M$5,0)+1,FALSE),D135)</f>
        <v>44.63</v>
      </c>
      <c r="E136" s="6">
        <f>IFERROR(VLOOKUP($B136,Platts!$E$5:$M$4994,MATCH(E$3,Platts!$F$5:$M$5,0)+1,FALSE),E135)</f>
        <v>39.36</v>
      </c>
      <c r="F136" s="6">
        <f>IFERROR(VLOOKUP($B136,Platts!$E$5:$M$4994,MATCH(F$3,Platts!$F$5:$M$5,0)+1,FALSE),F135)</f>
        <v>47.06</v>
      </c>
      <c r="G136" s="6">
        <f>IFERROR(VLOOKUP($B136,Platts!$E$5:$M$4994,MATCH(G$3,Platts!$F$5:$M$5,0)+1,FALSE),G135)</f>
        <v>47.23</v>
      </c>
      <c r="H136" s="6">
        <f>IFERROR(VLOOKUP($B136,Platts!$E$5:$M$4994,MATCH(H$3,Platts!$F$5:$M$5,0)+1,FALSE),H135)</f>
        <v>46.51</v>
      </c>
      <c r="I136" s="6">
        <f>IFERROR(VLOOKUP($B136,Platts!$E$5:$M$4994,MATCH(I$3,Platts!$F$5:$M$5,0)+1,FALSE),I135)</f>
        <v>48.56</v>
      </c>
      <c r="J136" s="6">
        <f t="shared" si="4"/>
        <v>7.9899999999999949</v>
      </c>
    </row>
    <row r="137" spans="2:10" x14ac:dyDescent="0.25">
      <c r="B137" s="5">
        <f t="shared" si="5"/>
        <v>42503</v>
      </c>
      <c r="C137" s="6">
        <f>IFERROR(VLOOKUP($B137,Platts!$E$5:$M$4994,MATCH(C$3,Platts!$F$5:$M$5,0)+1,FALSE),C136)</f>
        <v>38.65</v>
      </c>
      <c r="D137" s="6">
        <f>IFERROR(VLOOKUP($B137,Platts!$E$5:$M$4994,MATCH(D$3,Platts!$F$5:$M$5,0)+1,FALSE),D136)</f>
        <v>44.49</v>
      </c>
      <c r="E137" s="6">
        <f>IFERROR(VLOOKUP($B137,Platts!$E$5:$M$4994,MATCH(E$3,Platts!$F$5:$M$5,0)+1,FALSE),E136)</f>
        <v>39.130000000000003</v>
      </c>
      <c r="F137" s="6">
        <f>IFERROR(VLOOKUP($B137,Platts!$E$5:$M$4994,MATCH(F$3,Platts!$F$5:$M$5,0)+1,FALSE),F136)</f>
        <v>46.95</v>
      </c>
      <c r="G137" s="6">
        <f>IFERROR(VLOOKUP($B137,Platts!$E$5:$M$4994,MATCH(G$3,Platts!$F$5:$M$5,0)+1,FALSE),G136)</f>
        <v>47.99</v>
      </c>
      <c r="H137" s="6">
        <f>IFERROR(VLOOKUP($B137,Platts!$E$5:$M$4994,MATCH(H$3,Platts!$F$5:$M$5,0)+1,FALSE),H136)</f>
        <v>46.21</v>
      </c>
      <c r="I137" s="6">
        <f>IFERROR(VLOOKUP($B137,Platts!$E$5:$M$4994,MATCH(I$3,Platts!$F$5:$M$5,0)+1,FALSE),I136)</f>
        <v>48.31</v>
      </c>
      <c r="J137" s="6">
        <f t="shared" si="4"/>
        <v>7.5600000000000023</v>
      </c>
    </row>
    <row r="138" spans="2:10" x14ac:dyDescent="0.25">
      <c r="B138" s="5">
        <f t="shared" si="5"/>
        <v>42504</v>
      </c>
      <c r="C138" s="6">
        <f>IFERROR(VLOOKUP($B138,Platts!$E$5:$M$4994,MATCH(C$3,Platts!$F$5:$M$5,0)+1,FALSE),C137)</f>
        <v>38.65</v>
      </c>
      <c r="D138" s="6">
        <f>IFERROR(VLOOKUP($B138,Platts!$E$5:$M$4994,MATCH(D$3,Platts!$F$5:$M$5,0)+1,FALSE),D137)</f>
        <v>44.49</v>
      </c>
      <c r="E138" s="6">
        <f>IFERROR(VLOOKUP($B138,Platts!$E$5:$M$4994,MATCH(E$3,Platts!$F$5:$M$5,0)+1,FALSE),E137)</f>
        <v>39.130000000000003</v>
      </c>
      <c r="F138" s="6">
        <f>IFERROR(VLOOKUP($B138,Platts!$E$5:$M$4994,MATCH(F$3,Platts!$F$5:$M$5,0)+1,FALSE),F137)</f>
        <v>46.95</v>
      </c>
      <c r="G138" s="6">
        <f>IFERROR(VLOOKUP($B138,Platts!$E$5:$M$4994,MATCH(G$3,Platts!$F$5:$M$5,0)+1,FALSE),G137)</f>
        <v>47.99</v>
      </c>
      <c r="H138" s="6">
        <f>IFERROR(VLOOKUP($B138,Platts!$E$5:$M$4994,MATCH(H$3,Platts!$F$5:$M$5,0)+1,FALSE),H137)</f>
        <v>46.21</v>
      </c>
      <c r="I138" s="6">
        <f>IFERROR(VLOOKUP($B138,Platts!$E$5:$M$4994,MATCH(I$3,Platts!$F$5:$M$5,0)+1,FALSE),I137)</f>
        <v>48.31</v>
      </c>
      <c r="J138" s="6">
        <f t="shared" si="4"/>
        <v>7.5600000000000023</v>
      </c>
    </row>
    <row r="139" spans="2:10" x14ac:dyDescent="0.25">
      <c r="B139" s="5">
        <f t="shared" si="5"/>
        <v>42505</v>
      </c>
      <c r="C139" s="6">
        <f>IFERROR(VLOOKUP($B139,Platts!$E$5:$M$4994,MATCH(C$3,Platts!$F$5:$M$5,0)+1,FALSE),C138)</f>
        <v>38.65</v>
      </c>
      <c r="D139" s="6">
        <f>IFERROR(VLOOKUP($B139,Platts!$E$5:$M$4994,MATCH(D$3,Platts!$F$5:$M$5,0)+1,FALSE),D138)</f>
        <v>44.49</v>
      </c>
      <c r="E139" s="6">
        <f>IFERROR(VLOOKUP($B139,Platts!$E$5:$M$4994,MATCH(E$3,Platts!$F$5:$M$5,0)+1,FALSE),E138)</f>
        <v>39.130000000000003</v>
      </c>
      <c r="F139" s="6">
        <f>IFERROR(VLOOKUP($B139,Platts!$E$5:$M$4994,MATCH(F$3,Platts!$F$5:$M$5,0)+1,FALSE),F138)</f>
        <v>46.95</v>
      </c>
      <c r="G139" s="6">
        <f>IFERROR(VLOOKUP($B139,Platts!$E$5:$M$4994,MATCH(G$3,Platts!$F$5:$M$5,0)+1,FALSE),G138)</f>
        <v>47.99</v>
      </c>
      <c r="H139" s="6">
        <f>IFERROR(VLOOKUP($B139,Platts!$E$5:$M$4994,MATCH(H$3,Platts!$F$5:$M$5,0)+1,FALSE),H138)</f>
        <v>46.21</v>
      </c>
      <c r="I139" s="6">
        <f>IFERROR(VLOOKUP($B139,Platts!$E$5:$M$4994,MATCH(I$3,Platts!$F$5:$M$5,0)+1,FALSE),I138)</f>
        <v>48.31</v>
      </c>
      <c r="J139" s="6">
        <f t="shared" si="4"/>
        <v>7.5600000000000023</v>
      </c>
    </row>
    <row r="140" spans="2:10" x14ac:dyDescent="0.25">
      <c r="B140" s="5">
        <f t="shared" si="5"/>
        <v>42506</v>
      </c>
      <c r="C140" s="6">
        <f>IFERROR(VLOOKUP($B140,Platts!$E$5:$M$4994,MATCH(C$3,Platts!$F$5:$M$5,0)+1,FALSE),C139)</f>
        <v>39.869999999999997</v>
      </c>
      <c r="D140" s="6">
        <f>IFERROR(VLOOKUP($B140,Platts!$E$5:$M$4994,MATCH(D$3,Platts!$F$5:$M$5,0)+1,FALSE),D139)</f>
        <v>46.13</v>
      </c>
      <c r="E140" s="6">
        <f>IFERROR(VLOOKUP($B140,Platts!$E$5:$M$4994,MATCH(E$3,Platts!$F$5:$M$5,0)+1,FALSE),E139)</f>
        <v>40.57</v>
      </c>
      <c r="F140" s="6">
        <f>IFERROR(VLOOKUP($B140,Platts!$E$5:$M$4994,MATCH(F$3,Platts!$F$5:$M$5,0)+1,FALSE),F139)</f>
        <v>48.53</v>
      </c>
      <c r="G140" s="6">
        <f>IFERROR(VLOOKUP($B140,Platts!$E$5:$M$4994,MATCH(G$3,Platts!$F$5:$M$5,0)+1,FALSE),G139)</f>
        <v>49.21</v>
      </c>
      <c r="H140" s="6">
        <f>IFERROR(VLOOKUP($B140,Platts!$E$5:$M$4994,MATCH(H$3,Platts!$F$5:$M$5,0)+1,FALSE),H139)</f>
        <v>47.8</v>
      </c>
      <c r="I140" s="6">
        <f>IFERROR(VLOOKUP($B140,Platts!$E$5:$M$4994,MATCH(I$3,Platts!$F$5:$M$5,0)+1,FALSE),I139)</f>
        <v>49.95</v>
      </c>
      <c r="J140" s="6">
        <f t="shared" si="4"/>
        <v>7.93</v>
      </c>
    </row>
    <row r="141" spans="2:10" x14ac:dyDescent="0.25">
      <c r="B141" s="5">
        <f t="shared" si="5"/>
        <v>42507</v>
      </c>
      <c r="C141" s="6">
        <f>IFERROR(VLOOKUP($B141,Platts!$E$5:$M$4994,MATCH(C$3,Platts!$F$5:$M$5,0)+1,FALSE),C140)</f>
        <v>40.200000000000003</v>
      </c>
      <c r="D141" s="6">
        <f>IFERROR(VLOOKUP($B141,Platts!$E$5:$M$4994,MATCH(D$3,Platts!$F$5:$M$5,0)+1,FALSE),D140)</f>
        <v>46.55</v>
      </c>
      <c r="E141" s="6">
        <f>IFERROR(VLOOKUP($B141,Platts!$E$5:$M$4994,MATCH(E$3,Platts!$F$5:$M$5,0)+1,FALSE),E140)</f>
        <v>40.799999999999997</v>
      </c>
      <c r="F141" s="6">
        <f>IFERROR(VLOOKUP($B141,Platts!$E$5:$M$4994,MATCH(F$3,Platts!$F$5:$M$5,0)+1,FALSE),F140)</f>
        <v>48.94</v>
      </c>
      <c r="G141" s="6">
        <f>IFERROR(VLOOKUP($B141,Platts!$E$5:$M$4994,MATCH(G$3,Platts!$F$5:$M$5,0)+1,FALSE),G140)</f>
        <v>49.45</v>
      </c>
      <c r="H141" s="6">
        <f>IFERROR(VLOOKUP($B141,Platts!$E$5:$M$4994,MATCH(H$3,Platts!$F$5:$M$5,0)+1,FALSE),H140)</f>
        <v>48.53</v>
      </c>
      <c r="I141" s="6">
        <f>IFERROR(VLOOKUP($B141,Platts!$E$5:$M$4994,MATCH(I$3,Platts!$F$5:$M$5,0)+1,FALSE),I140)</f>
        <v>50.58</v>
      </c>
      <c r="J141" s="6">
        <f t="shared" si="4"/>
        <v>8.3299999999999983</v>
      </c>
    </row>
    <row r="142" spans="2:10" x14ac:dyDescent="0.25">
      <c r="B142" s="5">
        <f t="shared" si="5"/>
        <v>42508</v>
      </c>
      <c r="C142" s="6">
        <f>IFERROR(VLOOKUP($B142,Platts!$E$5:$M$4994,MATCH(C$3,Platts!$F$5:$M$5,0)+1,FALSE),C141)</f>
        <v>40.03</v>
      </c>
      <c r="D142" s="6">
        <f>IFERROR(VLOOKUP($B142,Platts!$E$5:$M$4994,MATCH(D$3,Platts!$F$5:$M$5,0)+1,FALSE),D141)</f>
        <v>46.24</v>
      </c>
      <c r="E142" s="6">
        <f>IFERROR(VLOOKUP($B142,Platts!$E$5:$M$4994,MATCH(E$3,Platts!$F$5:$M$5,0)+1,FALSE),E141)</f>
        <v>40.42</v>
      </c>
      <c r="F142" s="6">
        <f>IFERROR(VLOOKUP($B142,Platts!$E$5:$M$4994,MATCH(F$3,Platts!$F$5:$M$5,0)+1,FALSE),F141)</f>
        <v>48.52</v>
      </c>
      <c r="G142" s="6">
        <f>IFERROR(VLOOKUP($B142,Platts!$E$5:$M$4994,MATCH(G$3,Platts!$F$5:$M$5,0)+1,FALSE),G141)</f>
        <v>49.78</v>
      </c>
      <c r="H142" s="6">
        <f>IFERROR(VLOOKUP($B142,Platts!$E$5:$M$4994,MATCH(H$3,Platts!$F$5:$M$5,0)+1,FALSE),H141)</f>
        <v>48.07</v>
      </c>
      <c r="I142" s="6">
        <f>IFERROR(VLOOKUP($B142,Platts!$E$5:$M$4994,MATCH(I$3,Platts!$F$5:$M$5,0)+1,FALSE),I141)</f>
        <v>50.17</v>
      </c>
      <c r="J142" s="6">
        <f t="shared" si="4"/>
        <v>8.0399999999999991</v>
      </c>
    </row>
    <row r="143" spans="2:10" x14ac:dyDescent="0.25">
      <c r="B143" s="5">
        <f t="shared" si="5"/>
        <v>42509</v>
      </c>
      <c r="C143" s="6">
        <f>IFERROR(VLOOKUP($B143,Platts!$E$5:$M$4994,MATCH(C$3,Platts!$F$5:$M$5,0)+1,FALSE),C142)</f>
        <v>39.11</v>
      </c>
      <c r="D143" s="6">
        <f>IFERROR(VLOOKUP($B143,Platts!$E$5:$M$4994,MATCH(D$3,Platts!$F$5:$M$5,0)+1,FALSE),D142)</f>
        <v>46.29</v>
      </c>
      <c r="E143" s="6">
        <f>IFERROR(VLOOKUP($B143,Platts!$E$5:$M$4994,MATCH(E$3,Platts!$F$5:$M$5,0)+1,FALSE),E142)</f>
        <v>40.25</v>
      </c>
      <c r="F143" s="6">
        <f>IFERROR(VLOOKUP($B143,Platts!$E$5:$M$4994,MATCH(F$3,Platts!$F$5:$M$5,0)+1,FALSE),F142)</f>
        <v>48.65</v>
      </c>
      <c r="G143" s="6">
        <f>IFERROR(VLOOKUP($B143,Platts!$E$5:$M$4994,MATCH(G$3,Platts!$F$5:$M$5,0)+1,FALSE),G142)</f>
        <v>47.89</v>
      </c>
      <c r="H143" s="6">
        <f>IFERROR(VLOOKUP($B143,Platts!$E$5:$M$4994,MATCH(H$3,Platts!$F$5:$M$5,0)+1,FALSE),H142)</f>
        <v>48.15</v>
      </c>
      <c r="I143" s="6">
        <f>IFERROR(VLOOKUP($B143,Platts!$E$5:$M$4994,MATCH(I$3,Platts!$F$5:$M$5,0)+1,FALSE),I142)</f>
        <v>50.2</v>
      </c>
      <c r="J143" s="6">
        <f t="shared" si="4"/>
        <v>9.0399999999999991</v>
      </c>
    </row>
    <row r="144" spans="2:10" x14ac:dyDescent="0.25">
      <c r="B144" s="5">
        <f t="shared" si="5"/>
        <v>42510</v>
      </c>
      <c r="C144" s="6">
        <f>IFERROR(VLOOKUP($B144,Platts!$E$5:$M$4994,MATCH(C$3,Platts!$F$5:$M$5,0)+1,FALSE),C143)</f>
        <v>39.590000000000003</v>
      </c>
      <c r="D144" s="6">
        <f>IFERROR(VLOOKUP($B144,Platts!$E$5:$M$4994,MATCH(D$3,Platts!$F$5:$M$5,0)+1,FALSE),D143)</f>
        <v>46.01</v>
      </c>
      <c r="E144" s="6">
        <f>IFERROR(VLOOKUP($B144,Platts!$E$5:$M$4994,MATCH(E$3,Platts!$F$5:$M$5,0)+1,FALSE),E143)</f>
        <v>39.96</v>
      </c>
      <c r="F144" s="6">
        <f>IFERROR(VLOOKUP($B144,Platts!$E$5:$M$4994,MATCH(F$3,Platts!$F$5:$M$5,0)+1,FALSE),F143)</f>
        <v>48.42</v>
      </c>
      <c r="G144" s="6">
        <f>IFERROR(VLOOKUP($B144,Platts!$E$5:$M$4994,MATCH(G$3,Platts!$F$5:$M$5,0)+1,FALSE),G143)</f>
        <v>49.03</v>
      </c>
      <c r="H144" s="6">
        <f>IFERROR(VLOOKUP($B144,Platts!$E$5:$M$4994,MATCH(H$3,Platts!$F$5:$M$5,0)+1,FALSE),H143)</f>
        <v>47.81</v>
      </c>
      <c r="I144" s="6">
        <f>IFERROR(VLOOKUP($B144,Platts!$E$5:$M$4994,MATCH(I$3,Platts!$F$5:$M$5,0)+1,FALSE),I143)</f>
        <v>49.91</v>
      </c>
      <c r="J144" s="6">
        <f t="shared" si="4"/>
        <v>8.2199999999999989</v>
      </c>
    </row>
    <row r="145" spans="2:10" x14ac:dyDescent="0.25">
      <c r="B145" s="5">
        <f t="shared" si="5"/>
        <v>42511</v>
      </c>
      <c r="C145" s="6">
        <f>IFERROR(VLOOKUP($B145,Platts!$E$5:$M$4994,MATCH(C$3,Platts!$F$5:$M$5,0)+1,FALSE),C144)</f>
        <v>39.590000000000003</v>
      </c>
      <c r="D145" s="6">
        <f>IFERROR(VLOOKUP($B145,Platts!$E$5:$M$4994,MATCH(D$3,Platts!$F$5:$M$5,0)+1,FALSE),D144)</f>
        <v>46.01</v>
      </c>
      <c r="E145" s="6">
        <f>IFERROR(VLOOKUP($B145,Platts!$E$5:$M$4994,MATCH(E$3,Platts!$F$5:$M$5,0)+1,FALSE),E144)</f>
        <v>39.96</v>
      </c>
      <c r="F145" s="6">
        <f>IFERROR(VLOOKUP($B145,Platts!$E$5:$M$4994,MATCH(F$3,Platts!$F$5:$M$5,0)+1,FALSE),F144)</f>
        <v>48.42</v>
      </c>
      <c r="G145" s="6">
        <f>IFERROR(VLOOKUP($B145,Platts!$E$5:$M$4994,MATCH(G$3,Platts!$F$5:$M$5,0)+1,FALSE),G144)</f>
        <v>49.03</v>
      </c>
      <c r="H145" s="6">
        <f>IFERROR(VLOOKUP($B145,Platts!$E$5:$M$4994,MATCH(H$3,Platts!$F$5:$M$5,0)+1,FALSE),H144)</f>
        <v>47.81</v>
      </c>
      <c r="I145" s="6">
        <f>IFERROR(VLOOKUP($B145,Platts!$E$5:$M$4994,MATCH(I$3,Platts!$F$5:$M$5,0)+1,FALSE),I144)</f>
        <v>49.91</v>
      </c>
      <c r="J145" s="6">
        <f t="shared" si="4"/>
        <v>8.2199999999999989</v>
      </c>
    </row>
    <row r="146" spans="2:10" x14ac:dyDescent="0.25">
      <c r="B146" s="5">
        <f t="shared" si="5"/>
        <v>42512</v>
      </c>
      <c r="C146" s="6">
        <f>IFERROR(VLOOKUP($B146,Platts!$E$5:$M$4994,MATCH(C$3,Platts!$F$5:$M$5,0)+1,FALSE),C145)</f>
        <v>39.590000000000003</v>
      </c>
      <c r="D146" s="6">
        <f>IFERROR(VLOOKUP($B146,Platts!$E$5:$M$4994,MATCH(D$3,Platts!$F$5:$M$5,0)+1,FALSE),D145)</f>
        <v>46.01</v>
      </c>
      <c r="E146" s="6">
        <f>IFERROR(VLOOKUP($B146,Platts!$E$5:$M$4994,MATCH(E$3,Platts!$F$5:$M$5,0)+1,FALSE),E145)</f>
        <v>39.96</v>
      </c>
      <c r="F146" s="6">
        <f>IFERROR(VLOOKUP($B146,Platts!$E$5:$M$4994,MATCH(F$3,Platts!$F$5:$M$5,0)+1,FALSE),F145)</f>
        <v>48.42</v>
      </c>
      <c r="G146" s="6">
        <f>IFERROR(VLOOKUP($B146,Platts!$E$5:$M$4994,MATCH(G$3,Platts!$F$5:$M$5,0)+1,FALSE),G145)</f>
        <v>49.03</v>
      </c>
      <c r="H146" s="6">
        <f>IFERROR(VLOOKUP($B146,Platts!$E$5:$M$4994,MATCH(H$3,Platts!$F$5:$M$5,0)+1,FALSE),H145)</f>
        <v>47.81</v>
      </c>
      <c r="I146" s="6">
        <f>IFERROR(VLOOKUP($B146,Platts!$E$5:$M$4994,MATCH(I$3,Platts!$F$5:$M$5,0)+1,FALSE),I145)</f>
        <v>49.91</v>
      </c>
      <c r="J146" s="6">
        <f t="shared" si="4"/>
        <v>8.2199999999999989</v>
      </c>
    </row>
    <row r="147" spans="2:10" x14ac:dyDescent="0.25">
      <c r="B147" s="5">
        <f t="shared" si="5"/>
        <v>42513</v>
      </c>
      <c r="C147" s="6">
        <f>IFERROR(VLOOKUP($B147,Platts!$E$5:$M$4994,MATCH(C$3,Platts!$F$5:$M$5,0)+1,FALSE),C146)</f>
        <v>39.19</v>
      </c>
      <c r="D147" s="6">
        <f>IFERROR(VLOOKUP($B147,Platts!$E$5:$M$4994,MATCH(D$3,Platts!$F$5:$M$5,0)+1,FALSE),D146)</f>
        <v>45.61</v>
      </c>
      <c r="E147" s="6">
        <f>IFERROR(VLOOKUP($B147,Platts!$E$5:$M$4994,MATCH(E$3,Platts!$F$5:$M$5,0)+1,FALSE),E146)</f>
        <v>39.67</v>
      </c>
      <c r="F147" s="6">
        <f>IFERROR(VLOOKUP($B147,Platts!$E$5:$M$4994,MATCH(F$3,Platts!$F$5:$M$5,0)+1,FALSE),F146)</f>
        <v>47.99</v>
      </c>
      <c r="G147" s="6">
        <f>IFERROR(VLOOKUP($B147,Platts!$E$5:$M$4994,MATCH(G$3,Platts!$F$5:$M$5,0)+1,FALSE),G146)</f>
        <v>48.58</v>
      </c>
      <c r="H147" s="6">
        <f>IFERROR(VLOOKUP($B147,Platts!$E$5:$M$4994,MATCH(H$3,Platts!$F$5:$M$5,0)+1,FALSE),H146)</f>
        <v>47.48</v>
      </c>
      <c r="I147" s="6">
        <f>IFERROR(VLOOKUP($B147,Platts!$E$5:$M$4994,MATCH(I$3,Platts!$F$5:$M$5,0)+1,FALSE),I146)</f>
        <v>49.68</v>
      </c>
      <c r="J147" s="6">
        <f t="shared" si="4"/>
        <v>8.2899999999999991</v>
      </c>
    </row>
    <row r="148" spans="2:10" x14ac:dyDescent="0.25">
      <c r="B148" s="5">
        <f t="shared" si="5"/>
        <v>42514</v>
      </c>
      <c r="C148" s="6">
        <f>IFERROR(VLOOKUP($B148,Platts!$E$5:$M$4994,MATCH(C$3,Platts!$F$5:$M$5,0)+1,FALSE),C147)</f>
        <v>39.619999999999997</v>
      </c>
      <c r="D148" s="6">
        <f>IFERROR(VLOOKUP($B148,Platts!$E$5:$M$4994,MATCH(D$3,Platts!$F$5:$M$5,0)+1,FALSE),D147)</f>
        <v>46.23</v>
      </c>
      <c r="E148" s="6">
        <f>IFERROR(VLOOKUP($B148,Platts!$E$5:$M$4994,MATCH(E$3,Platts!$F$5:$M$5,0)+1,FALSE),E147)</f>
        <v>40.479999999999997</v>
      </c>
      <c r="F148" s="6">
        <f>IFERROR(VLOOKUP($B148,Platts!$E$5:$M$4994,MATCH(F$3,Platts!$F$5:$M$5,0)+1,FALSE),F147)</f>
        <v>48.59</v>
      </c>
      <c r="G148" s="6">
        <f>IFERROR(VLOOKUP($B148,Platts!$E$5:$M$4994,MATCH(G$3,Platts!$F$5:$M$5,0)+1,FALSE),G147)</f>
        <v>49</v>
      </c>
      <c r="H148" s="6">
        <f>IFERROR(VLOOKUP($B148,Platts!$E$5:$M$4994,MATCH(H$3,Platts!$F$5:$M$5,0)+1,FALSE),H147)</f>
        <v>48.28</v>
      </c>
      <c r="I148" s="6">
        <f>IFERROR(VLOOKUP($B148,Platts!$E$5:$M$4994,MATCH(I$3,Platts!$F$5:$M$5,0)+1,FALSE),I147)</f>
        <v>50.23</v>
      </c>
      <c r="J148" s="6">
        <f t="shared" si="4"/>
        <v>8.6600000000000037</v>
      </c>
    </row>
    <row r="149" spans="2:10" x14ac:dyDescent="0.25">
      <c r="B149" s="5">
        <f t="shared" si="5"/>
        <v>42515</v>
      </c>
      <c r="C149" s="6">
        <f>IFERROR(VLOOKUP($B149,Platts!$E$5:$M$4994,MATCH(C$3,Platts!$F$5:$M$5,0)+1,FALSE),C148)</f>
        <v>40.42</v>
      </c>
      <c r="D149" s="6">
        <f>IFERROR(VLOOKUP($B149,Platts!$E$5:$M$4994,MATCH(D$3,Platts!$F$5:$M$5,0)+1,FALSE),D148)</f>
        <v>47.32</v>
      </c>
      <c r="E149" s="6">
        <f>IFERROR(VLOOKUP($B149,Platts!$E$5:$M$4994,MATCH(E$3,Platts!$F$5:$M$5,0)+1,FALSE),E148)</f>
        <v>41.51</v>
      </c>
      <c r="F149" s="6">
        <f>IFERROR(VLOOKUP($B149,Platts!$E$5:$M$4994,MATCH(F$3,Platts!$F$5:$M$5,0)+1,FALSE),F148)</f>
        <v>49.67</v>
      </c>
      <c r="G149" s="6">
        <f>IFERROR(VLOOKUP($B149,Platts!$E$5:$M$4994,MATCH(G$3,Platts!$F$5:$M$5,0)+1,FALSE),G148)</f>
        <v>49.25</v>
      </c>
      <c r="H149" s="6">
        <f>IFERROR(VLOOKUP($B149,Platts!$E$5:$M$4994,MATCH(H$3,Platts!$F$5:$M$5,0)+1,FALSE),H148)</f>
        <v>49.23</v>
      </c>
      <c r="I149" s="6">
        <f>IFERROR(VLOOKUP($B149,Platts!$E$5:$M$4994,MATCH(I$3,Platts!$F$5:$M$5,0)+1,FALSE),I148)</f>
        <v>50.93</v>
      </c>
      <c r="J149" s="6">
        <f t="shared" si="4"/>
        <v>8.8099999999999952</v>
      </c>
    </row>
    <row r="150" spans="2:10" x14ac:dyDescent="0.25">
      <c r="B150" s="5">
        <f t="shared" si="5"/>
        <v>42516</v>
      </c>
      <c r="C150" s="6">
        <f>IFERROR(VLOOKUP($B150,Platts!$E$5:$M$4994,MATCH(C$3,Platts!$F$5:$M$5,0)+1,FALSE),C149)</f>
        <v>40.47</v>
      </c>
      <c r="D150" s="6">
        <f>IFERROR(VLOOKUP($B150,Platts!$E$5:$M$4994,MATCH(D$3,Platts!$F$5:$M$5,0)+1,FALSE),D149)</f>
        <v>47.38</v>
      </c>
      <c r="E150" s="6">
        <f>IFERROR(VLOOKUP($B150,Platts!$E$5:$M$4994,MATCH(E$3,Platts!$F$5:$M$5,0)+1,FALSE),E149)</f>
        <v>41.29</v>
      </c>
      <c r="F150" s="6">
        <f>IFERROR(VLOOKUP($B150,Platts!$E$5:$M$4994,MATCH(F$3,Platts!$F$5:$M$5,0)+1,FALSE),F149)</f>
        <v>49.8</v>
      </c>
      <c r="G150" s="6">
        <f>IFERROR(VLOOKUP($B150,Platts!$E$5:$M$4994,MATCH(G$3,Platts!$F$5:$M$5,0)+1,FALSE),G149)</f>
        <v>49.9</v>
      </c>
      <c r="H150" s="6">
        <f>IFERROR(VLOOKUP($B150,Platts!$E$5:$M$4994,MATCH(H$3,Platts!$F$5:$M$5,0)+1,FALSE),H149)</f>
        <v>49.3</v>
      </c>
      <c r="I150" s="6">
        <f>IFERROR(VLOOKUP($B150,Platts!$E$5:$M$4994,MATCH(I$3,Platts!$F$5:$M$5,0)+1,FALSE),I149)</f>
        <v>50.95</v>
      </c>
      <c r="J150" s="6">
        <f t="shared" si="4"/>
        <v>8.8299999999999983</v>
      </c>
    </row>
    <row r="151" spans="2:10" x14ac:dyDescent="0.25">
      <c r="B151" s="5">
        <f t="shared" si="5"/>
        <v>42517</v>
      </c>
      <c r="C151" s="6">
        <f>IFERROR(VLOOKUP($B151,Platts!$E$5:$M$4994,MATCH(C$3,Platts!$F$5:$M$5,0)+1,FALSE),C150)</f>
        <v>40.200000000000003</v>
      </c>
      <c r="D151" s="6">
        <f>IFERROR(VLOOKUP($B151,Platts!$E$5:$M$4994,MATCH(D$3,Platts!$F$5:$M$5,0)+1,FALSE),D150)</f>
        <v>47.03</v>
      </c>
      <c r="E151" s="6">
        <f>IFERROR(VLOOKUP($B151,Platts!$E$5:$M$4994,MATCH(E$3,Platts!$F$5:$M$5,0)+1,FALSE),E150)</f>
        <v>40.99</v>
      </c>
      <c r="F151" s="6">
        <f>IFERROR(VLOOKUP($B151,Platts!$E$5:$M$4994,MATCH(F$3,Platts!$F$5:$M$5,0)+1,FALSE),F150)</f>
        <v>49.35</v>
      </c>
      <c r="G151" s="6">
        <f>IFERROR(VLOOKUP($B151,Platts!$E$5:$M$4994,MATCH(G$3,Platts!$F$5:$M$5,0)+1,FALSE),G150)</f>
        <v>49.44</v>
      </c>
      <c r="H151" s="6">
        <f>IFERROR(VLOOKUP($B151,Platts!$E$5:$M$4994,MATCH(H$3,Platts!$F$5:$M$5,0)+1,FALSE),H150)</f>
        <v>49.4</v>
      </c>
      <c r="I151" s="6">
        <f>IFERROR(VLOOKUP($B151,Platts!$E$5:$M$4994,MATCH(I$3,Platts!$F$5:$M$5,0)+1,FALSE),I150)</f>
        <v>51.1</v>
      </c>
      <c r="J151" s="6">
        <f t="shared" si="4"/>
        <v>9.1999999999999957</v>
      </c>
    </row>
    <row r="152" spans="2:10" x14ac:dyDescent="0.25">
      <c r="B152" s="5">
        <f t="shared" si="5"/>
        <v>42518</v>
      </c>
      <c r="C152" s="6">
        <f>IFERROR(VLOOKUP($B152,Platts!$E$5:$M$4994,MATCH(C$3,Platts!$F$5:$M$5,0)+1,FALSE),C151)</f>
        <v>40.200000000000003</v>
      </c>
      <c r="D152" s="6">
        <f>IFERROR(VLOOKUP($B152,Platts!$E$5:$M$4994,MATCH(D$3,Platts!$F$5:$M$5,0)+1,FALSE),D151)</f>
        <v>47.03</v>
      </c>
      <c r="E152" s="6">
        <f>IFERROR(VLOOKUP($B152,Platts!$E$5:$M$4994,MATCH(E$3,Platts!$F$5:$M$5,0)+1,FALSE),E151)</f>
        <v>40.99</v>
      </c>
      <c r="F152" s="6">
        <f>IFERROR(VLOOKUP($B152,Platts!$E$5:$M$4994,MATCH(F$3,Platts!$F$5:$M$5,0)+1,FALSE),F151)</f>
        <v>49.35</v>
      </c>
      <c r="G152" s="6">
        <f>IFERROR(VLOOKUP($B152,Platts!$E$5:$M$4994,MATCH(G$3,Platts!$F$5:$M$5,0)+1,FALSE),G151)</f>
        <v>49.44</v>
      </c>
      <c r="H152" s="6">
        <f>IFERROR(VLOOKUP($B152,Platts!$E$5:$M$4994,MATCH(H$3,Platts!$F$5:$M$5,0)+1,FALSE),H151)</f>
        <v>49.4</v>
      </c>
      <c r="I152" s="6">
        <f>IFERROR(VLOOKUP($B152,Platts!$E$5:$M$4994,MATCH(I$3,Platts!$F$5:$M$5,0)+1,FALSE),I151)</f>
        <v>51.1</v>
      </c>
      <c r="J152" s="6">
        <f t="shared" si="4"/>
        <v>9.1999999999999957</v>
      </c>
    </row>
    <row r="153" spans="2:10" x14ac:dyDescent="0.25">
      <c r="B153" s="5">
        <f t="shared" si="5"/>
        <v>42519</v>
      </c>
      <c r="C153" s="6">
        <f>IFERROR(VLOOKUP($B153,Platts!$E$5:$M$4994,MATCH(C$3,Platts!$F$5:$M$5,0)+1,FALSE),C152)</f>
        <v>40.200000000000003</v>
      </c>
      <c r="D153" s="6">
        <f>IFERROR(VLOOKUP($B153,Platts!$E$5:$M$4994,MATCH(D$3,Platts!$F$5:$M$5,0)+1,FALSE),D152)</f>
        <v>47.03</v>
      </c>
      <c r="E153" s="6">
        <f>IFERROR(VLOOKUP($B153,Platts!$E$5:$M$4994,MATCH(E$3,Platts!$F$5:$M$5,0)+1,FALSE),E152)</f>
        <v>40.99</v>
      </c>
      <c r="F153" s="6">
        <f>IFERROR(VLOOKUP($B153,Platts!$E$5:$M$4994,MATCH(F$3,Platts!$F$5:$M$5,0)+1,FALSE),F152)</f>
        <v>49.35</v>
      </c>
      <c r="G153" s="6">
        <f>IFERROR(VLOOKUP($B153,Platts!$E$5:$M$4994,MATCH(G$3,Platts!$F$5:$M$5,0)+1,FALSE),G152)</f>
        <v>49.44</v>
      </c>
      <c r="H153" s="6">
        <f>IFERROR(VLOOKUP($B153,Platts!$E$5:$M$4994,MATCH(H$3,Platts!$F$5:$M$5,0)+1,FALSE),H152)</f>
        <v>49.4</v>
      </c>
      <c r="I153" s="6">
        <f>IFERROR(VLOOKUP($B153,Platts!$E$5:$M$4994,MATCH(I$3,Platts!$F$5:$M$5,0)+1,FALSE),I152)</f>
        <v>51.1</v>
      </c>
      <c r="J153" s="6">
        <f t="shared" si="4"/>
        <v>9.1999999999999957</v>
      </c>
    </row>
    <row r="154" spans="2:10" x14ac:dyDescent="0.25">
      <c r="B154" s="5">
        <f t="shared" si="5"/>
        <v>42520</v>
      </c>
      <c r="C154" s="6">
        <f>IFERROR(VLOOKUP($B154,Platts!$E$5:$M$4994,MATCH(C$3,Platts!$F$5:$M$5,0)+1,FALSE),C153)</f>
        <v>40.200000000000003</v>
      </c>
      <c r="D154" s="6">
        <f>IFERROR(VLOOKUP($B154,Platts!$E$5:$M$4994,MATCH(D$3,Platts!$F$5:$M$5,0)+1,FALSE),D153)</f>
        <v>47.03</v>
      </c>
      <c r="E154" s="6">
        <f>IFERROR(VLOOKUP($B154,Platts!$E$5:$M$4994,MATCH(E$3,Platts!$F$5:$M$5,0)+1,FALSE),E153)</f>
        <v>40.99</v>
      </c>
      <c r="F154" s="6">
        <f>IFERROR(VLOOKUP($B154,Platts!$E$5:$M$4994,MATCH(F$3,Platts!$F$5:$M$5,0)+1,FALSE),F153)</f>
        <v>49.35</v>
      </c>
      <c r="G154" s="6">
        <f>IFERROR(VLOOKUP($B154,Platts!$E$5:$M$4994,MATCH(G$3,Platts!$F$5:$M$5,0)+1,FALSE),G153)</f>
        <v>49.44</v>
      </c>
      <c r="H154" s="6">
        <f>IFERROR(VLOOKUP($B154,Platts!$E$5:$M$4994,MATCH(H$3,Platts!$F$5:$M$5,0)+1,FALSE),H153)</f>
        <v>49.4</v>
      </c>
      <c r="I154" s="6">
        <f>IFERROR(VLOOKUP($B154,Platts!$E$5:$M$4994,MATCH(I$3,Platts!$F$5:$M$5,0)+1,FALSE),I153)</f>
        <v>51.1</v>
      </c>
      <c r="J154" s="6">
        <f t="shared" si="4"/>
        <v>9.1999999999999957</v>
      </c>
    </row>
    <row r="155" spans="2:10" x14ac:dyDescent="0.25">
      <c r="B155" s="5">
        <f t="shared" si="5"/>
        <v>42521</v>
      </c>
      <c r="C155" s="6">
        <f>IFERROR(VLOOKUP($B155,Platts!$E$5:$M$4994,MATCH(C$3,Platts!$F$5:$M$5,0)+1,FALSE),C154)</f>
        <v>40.26</v>
      </c>
      <c r="D155" s="6">
        <f>IFERROR(VLOOKUP($B155,Platts!$E$5:$M$4994,MATCH(D$3,Platts!$F$5:$M$5,0)+1,FALSE),D154)</f>
        <v>46.73</v>
      </c>
      <c r="E155" s="6">
        <f>IFERROR(VLOOKUP($B155,Platts!$E$5:$M$4994,MATCH(E$3,Platts!$F$5:$M$5,0)+1,FALSE),E154)</f>
        <v>40.81</v>
      </c>
      <c r="F155" s="6">
        <f>IFERROR(VLOOKUP($B155,Platts!$E$5:$M$4994,MATCH(F$3,Platts!$F$5:$M$5,0)+1,FALSE),F154)</f>
        <v>49.04</v>
      </c>
      <c r="G155" s="6">
        <f>IFERROR(VLOOKUP($B155,Platts!$E$5:$M$4994,MATCH(G$3,Platts!$F$5:$M$5,0)+1,FALSE),G154)</f>
        <v>50.05</v>
      </c>
      <c r="H155" s="6">
        <f>IFERROR(VLOOKUP($B155,Platts!$E$5:$M$4994,MATCH(H$3,Platts!$F$5:$M$5,0)+1,FALSE),H154)</f>
        <v>48.89</v>
      </c>
      <c r="I155" s="6">
        <f>IFERROR(VLOOKUP($B155,Platts!$E$5:$M$4994,MATCH(I$3,Platts!$F$5:$M$5,0)+1,FALSE),I154)</f>
        <v>50.59</v>
      </c>
      <c r="J155" s="6">
        <f t="shared" si="4"/>
        <v>8.6300000000000026</v>
      </c>
    </row>
    <row r="156" spans="2:10" x14ac:dyDescent="0.25">
      <c r="B156" s="5">
        <f t="shared" si="5"/>
        <v>42522</v>
      </c>
      <c r="C156" s="6">
        <f>IFERROR(VLOOKUP($B156,Platts!$E$5:$M$4994,MATCH(C$3,Platts!$F$5:$M$5,0)+1,FALSE),C155)</f>
        <v>40.090000000000003</v>
      </c>
      <c r="D156" s="6">
        <f>IFERROR(VLOOKUP($B156,Platts!$E$5:$M$4994,MATCH(D$3,Platts!$F$5:$M$5,0)+1,FALSE),D155)</f>
        <v>47.86</v>
      </c>
      <c r="E156" s="6">
        <f>IFERROR(VLOOKUP($B156,Platts!$E$5:$M$4994,MATCH(E$3,Platts!$F$5:$M$5,0)+1,FALSE),E155)</f>
        <v>42.12</v>
      </c>
      <c r="F156" s="6">
        <f>IFERROR(VLOOKUP($B156,Platts!$E$5:$M$4994,MATCH(F$3,Platts!$F$5:$M$5,0)+1,FALSE),F155)</f>
        <v>49.75</v>
      </c>
      <c r="G156" s="6">
        <f>IFERROR(VLOOKUP($B156,Platts!$E$5:$M$4994,MATCH(G$3,Platts!$F$5:$M$5,0)+1,FALSE),G155)</f>
        <v>49.66</v>
      </c>
      <c r="H156" s="6">
        <f>IFERROR(VLOOKUP($B156,Platts!$E$5:$M$4994,MATCH(H$3,Platts!$F$5:$M$5,0)+1,FALSE),H155)</f>
        <v>49.24</v>
      </c>
      <c r="I156" s="6">
        <f>IFERROR(VLOOKUP($B156,Platts!$E$5:$M$4994,MATCH(I$3,Platts!$F$5:$M$5,0)+1,FALSE),I155)</f>
        <v>51.01</v>
      </c>
      <c r="J156" s="6">
        <f t="shared" si="4"/>
        <v>9.1499999999999986</v>
      </c>
    </row>
    <row r="157" spans="2:10" x14ac:dyDescent="0.25">
      <c r="B157" s="5">
        <f t="shared" si="5"/>
        <v>42523</v>
      </c>
      <c r="C157" s="6">
        <f>IFERROR(VLOOKUP($B157,Platts!$E$5:$M$4994,MATCH(C$3,Platts!$F$5:$M$5,0)+1,FALSE),C156)</f>
        <v>40.24</v>
      </c>
      <c r="D157" s="6">
        <f>IFERROR(VLOOKUP($B157,Platts!$E$5:$M$4994,MATCH(D$3,Platts!$F$5:$M$5,0)+1,FALSE),D156)</f>
        <v>47.99</v>
      </c>
      <c r="E157" s="6">
        <f>IFERROR(VLOOKUP($B157,Platts!$E$5:$M$4994,MATCH(E$3,Platts!$F$5:$M$5,0)+1,FALSE),E156)</f>
        <v>42.06</v>
      </c>
      <c r="F157" s="6">
        <f>IFERROR(VLOOKUP($B157,Platts!$E$5:$M$4994,MATCH(F$3,Platts!$F$5:$M$5,0)+1,FALSE),F156)</f>
        <v>49.85</v>
      </c>
      <c r="G157" s="6">
        <f>IFERROR(VLOOKUP($B157,Platts!$E$5:$M$4994,MATCH(G$3,Platts!$F$5:$M$5,0)+1,FALSE),G156)</f>
        <v>49.82</v>
      </c>
      <c r="H157" s="6">
        <f>IFERROR(VLOOKUP($B157,Platts!$E$5:$M$4994,MATCH(H$3,Platts!$F$5:$M$5,0)+1,FALSE),H156)</f>
        <v>49.04</v>
      </c>
      <c r="I157" s="6">
        <f>IFERROR(VLOOKUP($B157,Platts!$E$5:$M$4994,MATCH(I$3,Platts!$F$5:$M$5,0)+1,FALSE),I156)</f>
        <v>50.89</v>
      </c>
      <c r="J157" s="6">
        <f t="shared" si="4"/>
        <v>8.7999999999999972</v>
      </c>
    </row>
    <row r="158" spans="2:10" x14ac:dyDescent="0.25">
      <c r="B158" s="5">
        <f t="shared" si="5"/>
        <v>42524</v>
      </c>
      <c r="C158" s="6">
        <f>IFERROR(VLOOKUP($B158,Platts!$E$5:$M$4994,MATCH(C$3,Platts!$F$5:$M$5,0)+1,FALSE),C157)</f>
        <v>40.14</v>
      </c>
      <c r="D158" s="6">
        <f>IFERROR(VLOOKUP($B158,Platts!$E$5:$M$4994,MATCH(D$3,Platts!$F$5:$M$5,0)+1,FALSE),D157)</f>
        <v>47.5</v>
      </c>
      <c r="E158" s="6">
        <f>IFERROR(VLOOKUP($B158,Platts!$E$5:$M$4994,MATCH(E$3,Platts!$F$5:$M$5,0)+1,FALSE),E157)</f>
        <v>41.85</v>
      </c>
      <c r="F158" s="6">
        <f>IFERROR(VLOOKUP($B158,Platts!$E$5:$M$4994,MATCH(F$3,Platts!$F$5:$M$5,0)+1,FALSE),F157)</f>
        <v>49.42</v>
      </c>
      <c r="G158" s="6">
        <f>IFERROR(VLOOKUP($B158,Platts!$E$5:$M$4994,MATCH(G$3,Platts!$F$5:$M$5,0)+1,FALSE),G157)</f>
        <v>49.64</v>
      </c>
      <c r="H158" s="6">
        <f>IFERROR(VLOOKUP($B158,Platts!$E$5:$M$4994,MATCH(H$3,Platts!$F$5:$M$5,0)+1,FALSE),H157)</f>
        <v>48.73</v>
      </c>
      <c r="I158" s="6">
        <f>IFERROR(VLOOKUP($B158,Platts!$E$5:$M$4994,MATCH(I$3,Platts!$F$5:$M$5,0)+1,FALSE),I157)</f>
        <v>50.58</v>
      </c>
      <c r="J158" s="6">
        <f t="shared" si="4"/>
        <v>8.5899999999999963</v>
      </c>
    </row>
    <row r="159" spans="2:10" x14ac:dyDescent="0.25">
      <c r="B159" s="5">
        <f t="shared" si="5"/>
        <v>42525</v>
      </c>
      <c r="C159" s="6">
        <f>IFERROR(VLOOKUP($B159,Platts!$E$5:$M$4994,MATCH(C$3,Platts!$F$5:$M$5,0)+1,FALSE),C158)</f>
        <v>40.14</v>
      </c>
      <c r="D159" s="6">
        <f>IFERROR(VLOOKUP($B159,Platts!$E$5:$M$4994,MATCH(D$3,Platts!$F$5:$M$5,0)+1,FALSE),D158)</f>
        <v>47.5</v>
      </c>
      <c r="E159" s="6">
        <f>IFERROR(VLOOKUP($B159,Platts!$E$5:$M$4994,MATCH(E$3,Platts!$F$5:$M$5,0)+1,FALSE),E158)</f>
        <v>41.85</v>
      </c>
      <c r="F159" s="6">
        <f>IFERROR(VLOOKUP($B159,Platts!$E$5:$M$4994,MATCH(F$3,Platts!$F$5:$M$5,0)+1,FALSE),F158)</f>
        <v>49.42</v>
      </c>
      <c r="G159" s="6">
        <f>IFERROR(VLOOKUP($B159,Platts!$E$5:$M$4994,MATCH(G$3,Platts!$F$5:$M$5,0)+1,FALSE),G158)</f>
        <v>49.64</v>
      </c>
      <c r="H159" s="6">
        <f>IFERROR(VLOOKUP($B159,Platts!$E$5:$M$4994,MATCH(H$3,Platts!$F$5:$M$5,0)+1,FALSE),H158)</f>
        <v>48.73</v>
      </c>
      <c r="I159" s="6">
        <f>IFERROR(VLOOKUP($B159,Platts!$E$5:$M$4994,MATCH(I$3,Platts!$F$5:$M$5,0)+1,FALSE),I158)</f>
        <v>50.58</v>
      </c>
      <c r="J159" s="6">
        <f t="shared" si="4"/>
        <v>8.5899999999999963</v>
      </c>
    </row>
    <row r="160" spans="2:10" x14ac:dyDescent="0.25">
      <c r="B160" s="5">
        <f t="shared" si="5"/>
        <v>42526</v>
      </c>
      <c r="C160" s="6">
        <f>IFERROR(VLOOKUP($B160,Platts!$E$5:$M$4994,MATCH(C$3,Platts!$F$5:$M$5,0)+1,FALSE),C159)</f>
        <v>40.14</v>
      </c>
      <c r="D160" s="6">
        <f>IFERROR(VLOOKUP($B160,Platts!$E$5:$M$4994,MATCH(D$3,Platts!$F$5:$M$5,0)+1,FALSE),D159)</f>
        <v>47.5</v>
      </c>
      <c r="E160" s="6">
        <f>IFERROR(VLOOKUP($B160,Platts!$E$5:$M$4994,MATCH(E$3,Platts!$F$5:$M$5,0)+1,FALSE),E159)</f>
        <v>41.85</v>
      </c>
      <c r="F160" s="6">
        <f>IFERROR(VLOOKUP($B160,Platts!$E$5:$M$4994,MATCH(F$3,Platts!$F$5:$M$5,0)+1,FALSE),F159)</f>
        <v>49.42</v>
      </c>
      <c r="G160" s="6">
        <f>IFERROR(VLOOKUP($B160,Platts!$E$5:$M$4994,MATCH(G$3,Platts!$F$5:$M$5,0)+1,FALSE),G159)</f>
        <v>49.64</v>
      </c>
      <c r="H160" s="6">
        <f>IFERROR(VLOOKUP($B160,Platts!$E$5:$M$4994,MATCH(H$3,Platts!$F$5:$M$5,0)+1,FALSE),H159)</f>
        <v>48.73</v>
      </c>
      <c r="I160" s="6">
        <f>IFERROR(VLOOKUP($B160,Platts!$E$5:$M$4994,MATCH(I$3,Platts!$F$5:$M$5,0)+1,FALSE),I159)</f>
        <v>50.58</v>
      </c>
      <c r="J160" s="6">
        <f t="shared" si="4"/>
        <v>8.5899999999999963</v>
      </c>
    </row>
    <row r="161" spans="2:10" x14ac:dyDescent="0.25">
      <c r="B161" s="5">
        <f t="shared" si="5"/>
        <v>42527</v>
      </c>
      <c r="C161" s="6">
        <f>IFERROR(VLOOKUP($B161,Platts!$E$5:$M$4994,MATCH(C$3,Platts!$F$5:$M$5,0)+1,FALSE),C160)</f>
        <v>40.81</v>
      </c>
      <c r="D161" s="6">
        <f>IFERROR(VLOOKUP($B161,Platts!$E$5:$M$4994,MATCH(D$3,Platts!$F$5:$M$5,0)+1,FALSE),D160)</f>
        <v>48.43</v>
      </c>
      <c r="E161" s="6">
        <f>IFERROR(VLOOKUP($B161,Platts!$E$5:$M$4994,MATCH(E$3,Platts!$F$5:$M$5,0)+1,FALSE),E160)</f>
        <v>42.75</v>
      </c>
      <c r="F161" s="6">
        <f>IFERROR(VLOOKUP($B161,Platts!$E$5:$M$4994,MATCH(F$3,Platts!$F$5:$M$5,0)+1,FALSE),F160)</f>
        <v>50.22</v>
      </c>
      <c r="G161" s="6">
        <f>IFERROR(VLOOKUP($B161,Platts!$E$5:$M$4994,MATCH(G$3,Platts!$F$5:$M$5,0)+1,FALSE),G160)</f>
        <v>50.52</v>
      </c>
      <c r="H161" s="6">
        <f>IFERROR(VLOOKUP($B161,Platts!$E$5:$M$4994,MATCH(H$3,Platts!$F$5:$M$5,0)+1,FALSE),H160)</f>
        <v>49.76</v>
      </c>
      <c r="I161" s="6">
        <f>IFERROR(VLOOKUP($B161,Platts!$E$5:$M$4994,MATCH(I$3,Platts!$F$5:$M$5,0)+1,FALSE),I160)</f>
        <v>51.68</v>
      </c>
      <c r="J161" s="6">
        <f t="shared" si="4"/>
        <v>8.9499999999999957</v>
      </c>
    </row>
    <row r="162" spans="2:10" x14ac:dyDescent="0.25">
      <c r="B162" s="5">
        <f t="shared" si="5"/>
        <v>42528</v>
      </c>
      <c r="C162" s="6">
        <f>IFERROR(VLOOKUP($B162,Platts!$E$5:$M$4994,MATCH(C$3,Platts!$F$5:$M$5,0)+1,FALSE),C161)</f>
        <v>41.52</v>
      </c>
      <c r="D162" s="6">
        <f>IFERROR(VLOOKUP($B162,Platts!$E$5:$M$4994,MATCH(D$3,Platts!$F$5:$M$5,0)+1,FALSE),D161)</f>
        <v>49.11</v>
      </c>
      <c r="E162" s="6">
        <f>IFERROR(VLOOKUP($B162,Platts!$E$5:$M$4994,MATCH(E$3,Platts!$F$5:$M$5,0)+1,FALSE),E161)</f>
        <v>43.53</v>
      </c>
      <c r="F162" s="6">
        <f>IFERROR(VLOOKUP($B162,Platts!$E$5:$M$4994,MATCH(F$3,Platts!$F$5:$M$5,0)+1,FALSE),F161)</f>
        <v>50.94</v>
      </c>
      <c r="G162" s="6">
        <f>IFERROR(VLOOKUP($B162,Platts!$E$5:$M$4994,MATCH(G$3,Platts!$F$5:$M$5,0)+1,FALSE),G161)</f>
        <v>51.32</v>
      </c>
      <c r="H162" s="6">
        <f>IFERROR(VLOOKUP($B162,Platts!$E$5:$M$4994,MATCH(H$3,Platts!$F$5:$M$5,0)+1,FALSE),H161)</f>
        <v>50.44</v>
      </c>
      <c r="I162" s="6">
        <f>IFERROR(VLOOKUP($B162,Platts!$E$5:$M$4994,MATCH(I$3,Platts!$F$5:$M$5,0)+1,FALSE),I161)</f>
        <v>52.36</v>
      </c>
      <c r="J162" s="6">
        <f t="shared" si="4"/>
        <v>8.9199999999999946</v>
      </c>
    </row>
    <row r="163" spans="2:10" x14ac:dyDescent="0.25">
      <c r="B163" s="5">
        <f t="shared" si="5"/>
        <v>42529</v>
      </c>
      <c r="C163" s="6">
        <f>IFERROR(VLOOKUP($B163,Platts!$E$5:$M$4994,MATCH(C$3,Platts!$F$5:$M$5,0)+1,FALSE),C162)</f>
        <v>42.37</v>
      </c>
      <c r="D163" s="6">
        <f>IFERROR(VLOOKUP($B163,Platts!$E$5:$M$4994,MATCH(D$3,Platts!$F$5:$M$5,0)+1,FALSE),D162)</f>
        <v>49.87</v>
      </c>
      <c r="E163" s="6">
        <f>IFERROR(VLOOKUP($B163,Platts!$E$5:$M$4994,MATCH(E$3,Platts!$F$5:$M$5,0)+1,FALSE),E162)</f>
        <v>44.43</v>
      </c>
      <c r="F163" s="6">
        <f>IFERROR(VLOOKUP($B163,Platts!$E$5:$M$4994,MATCH(F$3,Platts!$F$5:$M$5,0)+1,FALSE),F162)</f>
        <v>51.74</v>
      </c>
      <c r="G163" s="6">
        <f>IFERROR(VLOOKUP($B163,Platts!$E$5:$M$4994,MATCH(G$3,Platts!$F$5:$M$5,0)+1,FALSE),G162)</f>
        <v>52.18</v>
      </c>
      <c r="H163" s="6">
        <f>IFERROR(VLOOKUP($B163,Platts!$E$5:$M$4994,MATCH(H$3,Platts!$F$5:$M$5,0)+1,FALSE),H162)</f>
        <v>51.19</v>
      </c>
      <c r="I163" s="6">
        <f>IFERROR(VLOOKUP($B163,Platts!$E$5:$M$4994,MATCH(I$3,Platts!$F$5:$M$5,0)+1,FALSE),I162)</f>
        <v>53.11</v>
      </c>
      <c r="J163" s="6">
        <f t="shared" si="4"/>
        <v>8.82</v>
      </c>
    </row>
    <row r="164" spans="2:10" x14ac:dyDescent="0.25">
      <c r="B164" s="5">
        <f t="shared" si="5"/>
        <v>42530</v>
      </c>
      <c r="C164" s="6">
        <f>IFERROR(VLOOKUP($B164,Platts!$E$5:$M$4994,MATCH(C$3,Platts!$F$5:$M$5,0)+1,FALSE),C163)</f>
        <v>42.22</v>
      </c>
      <c r="D164" s="6">
        <f>IFERROR(VLOOKUP($B164,Platts!$E$5:$M$4994,MATCH(D$3,Platts!$F$5:$M$5,0)+1,FALSE),D163)</f>
        <v>49.26</v>
      </c>
      <c r="E164" s="6">
        <f>IFERROR(VLOOKUP($B164,Platts!$E$5:$M$4994,MATCH(E$3,Platts!$F$5:$M$5,0)+1,FALSE),E163)</f>
        <v>43.85</v>
      </c>
      <c r="F164" s="6">
        <f>IFERROR(VLOOKUP($B164,Platts!$E$5:$M$4994,MATCH(F$3,Platts!$F$5:$M$5,0)+1,FALSE),F163)</f>
        <v>51.16</v>
      </c>
      <c r="G164" s="6">
        <f>IFERROR(VLOOKUP($B164,Platts!$E$5:$M$4994,MATCH(G$3,Platts!$F$5:$M$5,0)+1,FALSE),G163)</f>
        <v>52.08</v>
      </c>
      <c r="H164" s="6">
        <f>IFERROR(VLOOKUP($B164,Platts!$E$5:$M$4994,MATCH(H$3,Platts!$F$5:$M$5,0)+1,FALSE),H163)</f>
        <v>50.52</v>
      </c>
      <c r="I164" s="6">
        <f>IFERROR(VLOOKUP($B164,Platts!$E$5:$M$4994,MATCH(I$3,Platts!$F$5:$M$5,0)+1,FALSE),I163)</f>
        <v>52.47</v>
      </c>
      <c r="J164" s="6">
        <f t="shared" si="4"/>
        <v>8.3000000000000043</v>
      </c>
    </row>
    <row r="165" spans="2:10" x14ac:dyDescent="0.25">
      <c r="B165" s="5">
        <f t="shared" si="5"/>
        <v>42531</v>
      </c>
      <c r="C165" s="6">
        <f>IFERROR(VLOOKUP($B165,Platts!$E$5:$M$4994,MATCH(C$3,Platts!$F$5:$M$5,0)+1,FALSE),C164)</f>
        <v>41.13</v>
      </c>
      <c r="D165" s="6">
        <f>IFERROR(VLOOKUP($B165,Platts!$E$5:$M$4994,MATCH(D$3,Platts!$F$5:$M$5,0)+1,FALSE),D164)</f>
        <v>47.72</v>
      </c>
      <c r="E165" s="6">
        <f>IFERROR(VLOOKUP($B165,Platts!$E$5:$M$4994,MATCH(E$3,Platts!$F$5:$M$5,0)+1,FALSE),E164)</f>
        <v>42.41</v>
      </c>
      <c r="F165" s="6">
        <f>IFERROR(VLOOKUP($B165,Platts!$E$5:$M$4994,MATCH(F$3,Platts!$F$5:$M$5,0)+1,FALSE),F164)</f>
        <v>49.61</v>
      </c>
      <c r="G165" s="6">
        <f>IFERROR(VLOOKUP($B165,Platts!$E$5:$M$4994,MATCH(G$3,Platts!$F$5:$M$5,0)+1,FALSE),G164)</f>
        <v>51.05</v>
      </c>
      <c r="H165" s="6">
        <f>IFERROR(VLOOKUP($B165,Platts!$E$5:$M$4994,MATCH(H$3,Platts!$F$5:$M$5,0)+1,FALSE),H164)</f>
        <v>48.99</v>
      </c>
      <c r="I165" s="6">
        <f>IFERROR(VLOOKUP($B165,Platts!$E$5:$M$4994,MATCH(I$3,Platts!$F$5:$M$5,0)+1,FALSE),I164)</f>
        <v>50.97</v>
      </c>
      <c r="J165" s="6">
        <f t="shared" si="4"/>
        <v>7.8599999999999994</v>
      </c>
    </row>
    <row r="166" spans="2:10" x14ac:dyDescent="0.25">
      <c r="B166" s="5">
        <f t="shared" si="5"/>
        <v>42532</v>
      </c>
      <c r="C166" s="6">
        <f>IFERROR(VLOOKUP($B166,Platts!$E$5:$M$4994,MATCH(C$3,Platts!$F$5:$M$5,0)+1,FALSE),C165)</f>
        <v>41.13</v>
      </c>
      <c r="D166" s="6">
        <f>IFERROR(VLOOKUP($B166,Platts!$E$5:$M$4994,MATCH(D$3,Platts!$F$5:$M$5,0)+1,FALSE),D165)</f>
        <v>47.72</v>
      </c>
      <c r="E166" s="6">
        <f>IFERROR(VLOOKUP($B166,Platts!$E$5:$M$4994,MATCH(E$3,Platts!$F$5:$M$5,0)+1,FALSE),E165)</f>
        <v>42.41</v>
      </c>
      <c r="F166" s="6">
        <f>IFERROR(VLOOKUP($B166,Platts!$E$5:$M$4994,MATCH(F$3,Platts!$F$5:$M$5,0)+1,FALSE),F165)</f>
        <v>49.61</v>
      </c>
      <c r="G166" s="6">
        <f>IFERROR(VLOOKUP($B166,Platts!$E$5:$M$4994,MATCH(G$3,Platts!$F$5:$M$5,0)+1,FALSE),G165)</f>
        <v>51.05</v>
      </c>
      <c r="H166" s="6">
        <f>IFERROR(VLOOKUP($B166,Platts!$E$5:$M$4994,MATCH(H$3,Platts!$F$5:$M$5,0)+1,FALSE),H165)</f>
        <v>48.99</v>
      </c>
      <c r="I166" s="6">
        <f>IFERROR(VLOOKUP($B166,Platts!$E$5:$M$4994,MATCH(I$3,Platts!$F$5:$M$5,0)+1,FALSE),I165)</f>
        <v>50.97</v>
      </c>
      <c r="J166" s="6">
        <f t="shared" si="4"/>
        <v>7.8599999999999994</v>
      </c>
    </row>
    <row r="167" spans="2:10" x14ac:dyDescent="0.25">
      <c r="B167" s="5">
        <f t="shared" si="5"/>
        <v>42533</v>
      </c>
      <c r="C167" s="6">
        <f>IFERROR(VLOOKUP($B167,Platts!$E$5:$M$4994,MATCH(C$3,Platts!$F$5:$M$5,0)+1,FALSE),C166)</f>
        <v>41.13</v>
      </c>
      <c r="D167" s="6">
        <f>IFERROR(VLOOKUP($B167,Platts!$E$5:$M$4994,MATCH(D$3,Platts!$F$5:$M$5,0)+1,FALSE),D166)</f>
        <v>47.72</v>
      </c>
      <c r="E167" s="6">
        <f>IFERROR(VLOOKUP($B167,Platts!$E$5:$M$4994,MATCH(E$3,Platts!$F$5:$M$5,0)+1,FALSE),E166)</f>
        <v>42.41</v>
      </c>
      <c r="F167" s="6">
        <f>IFERROR(VLOOKUP($B167,Platts!$E$5:$M$4994,MATCH(F$3,Platts!$F$5:$M$5,0)+1,FALSE),F166)</f>
        <v>49.61</v>
      </c>
      <c r="G167" s="6">
        <f>IFERROR(VLOOKUP($B167,Platts!$E$5:$M$4994,MATCH(G$3,Platts!$F$5:$M$5,0)+1,FALSE),G166)</f>
        <v>51.05</v>
      </c>
      <c r="H167" s="6">
        <f>IFERROR(VLOOKUP($B167,Platts!$E$5:$M$4994,MATCH(H$3,Platts!$F$5:$M$5,0)+1,FALSE),H166)</f>
        <v>48.99</v>
      </c>
      <c r="I167" s="6">
        <f>IFERROR(VLOOKUP($B167,Platts!$E$5:$M$4994,MATCH(I$3,Platts!$F$5:$M$5,0)+1,FALSE),I166)</f>
        <v>50.97</v>
      </c>
      <c r="J167" s="6">
        <f t="shared" si="4"/>
        <v>7.8599999999999994</v>
      </c>
    </row>
    <row r="168" spans="2:10" x14ac:dyDescent="0.25">
      <c r="B168" s="5">
        <f t="shared" si="5"/>
        <v>42534</v>
      </c>
      <c r="C168" s="6">
        <f>IFERROR(VLOOKUP($B168,Platts!$E$5:$M$4994,MATCH(C$3,Platts!$F$5:$M$5,0)+1,FALSE),C167)</f>
        <v>40.770000000000003</v>
      </c>
      <c r="D168" s="6">
        <f>IFERROR(VLOOKUP($B168,Platts!$E$5:$M$4994,MATCH(D$3,Platts!$F$5:$M$5,0)+1,FALSE),D167)</f>
        <v>47.56</v>
      </c>
      <c r="E168" s="6">
        <f>IFERROR(VLOOKUP($B168,Platts!$E$5:$M$4994,MATCH(E$3,Platts!$F$5:$M$5,0)+1,FALSE),E167)</f>
        <v>42.47</v>
      </c>
      <c r="F168" s="6">
        <f>IFERROR(VLOOKUP($B168,Platts!$E$5:$M$4994,MATCH(F$3,Platts!$F$5:$M$5,0)+1,FALSE),F167)</f>
        <v>49.37</v>
      </c>
      <c r="G168" s="6">
        <f>IFERROR(VLOOKUP($B168,Platts!$E$5:$M$4994,MATCH(G$3,Platts!$F$5:$M$5,0)+1,FALSE),G167)</f>
        <v>50.77</v>
      </c>
      <c r="H168" s="6">
        <f>IFERROR(VLOOKUP($B168,Platts!$E$5:$M$4994,MATCH(H$3,Platts!$F$5:$M$5,0)+1,FALSE),H167)</f>
        <v>48.79</v>
      </c>
      <c r="I168" s="6">
        <f>IFERROR(VLOOKUP($B168,Platts!$E$5:$M$4994,MATCH(I$3,Platts!$F$5:$M$5,0)+1,FALSE),I167)</f>
        <v>50.74</v>
      </c>
      <c r="J168" s="6">
        <f t="shared" si="4"/>
        <v>8.019999999999996</v>
      </c>
    </row>
    <row r="169" spans="2:10" x14ac:dyDescent="0.25">
      <c r="B169" s="5">
        <f t="shared" si="5"/>
        <v>42535</v>
      </c>
      <c r="C169" s="6">
        <f>IFERROR(VLOOKUP($B169,Platts!$E$5:$M$4994,MATCH(C$3,Platts!$F$5:$M$5,0)+1,FALSE),C168)</f>
        <v>40.06</v>
      </c>
      <c r="D169" s="6">
        <f>IFERROR(VLOOKUP($B169,Platts!$E$5:$M$4994,MATCH(D$3,Platts!$F$5:$M$5,0)+1,FALSE),D168)</f>
        <v>47.23</v>
      </c>
      <c r="E169" s="6">
        <f>IFERROR(VLOOKUP($B169,Platts!$E$5:$M$4994,MATCH(E$3,Platts!$F$5:$M$5,0)+1,FALSE),E168)</f>
        <v>41.96</v>
      </c>
      <c r="F169" s="6">
        <f>IFERROR(VLOOKUP($B169,Platts!$E$5:$M$4994,MATCH(F$3,Platts!$F$5:$M$5,0)+1,FALSE),F168)</f>
        <v>49.05</v>
      </c>
      <c r="G169" s="6">
        <f>IFERROR(VLOOKUP($B169,Platts!$E$5:$M$4994,MATCH(G$3,Platts!$F$5:$M$5,0)+1,FALSE),G168)</f>
        <v>49.78</v>
      </c>
      <c r="H169" s="6">
        <f>IFERROR(VLOOKUP($B169,Platts!$E$5:$M$4994,MATCH(H$3,Platts!$F$5:$M$5,0)+1,FALSE),H168)</f>
        <v>48.51</v>
      </c>
      <c r="I169" s="6">
        <f>IFERROR(VLOOKUP($B169,Platts!$E$5:$M$4994,MATCH(I$3,Platts!$F$5:$M$5,0)+1,FALSE),I168)</f>
        <v>50.56</v>
      </c>
      <c r="J169" s="6">
        <f t="shared" si="4"/>
        <v>8.4499999999999957</v>
      </c>
    </row>
    <row r="170" spans="2:10" x14ac:dyDescent="0.25">
      <c r="B170" s="5">
        <f t="shared" si="5"/>
        <v>42536</v>
      </c>
      <c r="C170" s="6">
        <f>IFERROR(VLOOKUP($B170,Platts!$E$5:$M$4994,MATCH(C$3,Platts!$F$5:$M$5,0)+1,FALSE),C169)</f>
        <v>39.659999999999997</v>
      </c>
      <c r="D170" s="6">
        <f>IFERROR(VLOOKUP($B170,Platts!$E$5:$M$4994,MATCH(D$3,Platts!$F$5:$M$5,0)+1,FALSE),D169)</f>
        <v>46.77</v>
      </c>
      <c r="E170" s="6">
        <f>IFERROR(VLOOKUP($B170,Platts!$E$5:$M$4994,MATCH(E$3,Platts!$F$5:$M$5,0)+1,FALSE),E169)</f>
        <v>41.52</v>
      </c>
      <c r="F170" s="6">
        <f>IFERROR(VLOOKUP($B170,Platts!$E$5:$M$4994,MATCH(F$3,Platts!$F$5:$M$5,0)+1,FALSE),F169)</f>
        <v>48.53</v>
      </c>
      <c r="G170" s="6">
        <f>IFERROR(VLOOKUP($B170,Platts!$E$5:$M$4994,MATCH(G$3,Platts!$F$5:$M$5,0)+1,FALSE),G169)</f>
        <v>49.37</v>
      </c>
      <c r="H170" s="6">
        <f>IFERROR(VLOOKUP($B170,Platts!$E$5:$M$4994,MATCH(H$3,Platts!$F$5:$M$5,0)+1,FALSE),H169)</f>
        <v>47.88</v>
      </c>
      <c r="I170" s="6">
        <f>IFERROR(VLOOKUP($B170,Platts!$E$5:$M$4994,MATCH(I$3,Platts!$F$5:$M$5,0)+1,FALSE),I169)</f>
        <v>49.91</v>
      </c>
      <c r="J170" s="6">
        <f t="shared" si="4"/>
        <v>8.220000000000006</v>
      </c>
    </row>
    <row r="171" spans="2:10" x14ac:dyDescent="0.25">
      <c r="B171" s="5">
        <f t="shared" si="5"/>
        <v>42537</v>
      </c>
      <c r="C171" s="6">
        <f>IFERROR(VLOOKUP($B171,Platts!$E$5:$M$4994,MATCH(C$3,Platts!$F$5:$M$5,0)+1,FALSE),C170)</f>
        <v>38.03</v>
      </c>
      <c r="D171" s="6">
        <f>IFERROR(VLOOKUP($B171,Platts!$E$5:$M$4994,MATCH(D$3,Platts!$F$5:$M$5,0)+1,FALSE),D170)</f>
        <v>45</v>
      </c>
      <c r="E171" s="6">
        <f>IFERROR(VLOOKUP($B171,Platts!$E$5:$M$4994,MATCH(E$3,Platts!$F$5:$M$5,0)+1,FALSE),E170)</f>
        <v>39.78</v>
      </c>
      <c r="F171" s="6">
        <f>IFERROR(VLOOKUP($B171,Platts!$E$5:$M$4994,MATCH(F$3,Platts!$F$5:$M$5,0)+1,FALSE),F170)</f>
        <v>46.77</v>
      </c>
      <c r="G171" s="6">
        <f>IFERROR(VLOOKUP($B171,Platts!$E$5:$M$4994,MATCH(G$3,Platts!$F$5:$M$5,0)+1,FALSE),G170)</f>
        <v>47.63</v>
      </c>
      <c r="H171" s="6">
        <f>IFERROR(VLOOKUP($B171,Platts!$E$5:$M$4994,MATCH(H$3,Platts!$F$5:$M$5,0)+1,FALSE),H170)</f>
        <v>45.99</v>
      </c>
      <c r="I171" s="6">
        <f>IFERROR(VLOOKUP($B171,Platts!$E$5:$M$4994,MATCH(I$3,Platts!$F$5:$M$5,0)+1,FALSE),I170)</f>
        <v>47.94</v>
      </c>
      <c r="J171" s="6">
        <f t="shared" si="4"/>
        <v>7.9600000000000009</v>
      </c>
    </row>
    <row r="172" spans="2:10" x14ac:dyDescent="0.25">
      <c r="B172" s="5">
        <f t="shared" si="5"/>
        <v>42538</v>
      </c>
      <c r="C172" s="6">
        <f>IFERROR(VLOOKUP($B172,Platts!$E$5:$M$4994,MATCH(C$3,Platts!$F$5:$M$5,0)+1,FALSE),C171)</f>
        <v>39.28</v>
      </c>
      <c r="D172" s="6">
        <f>IFERROR(VLOOKUP($B172,Platts!$E$5:$M$4994,MATCH(D$3,Platts!$F$5:$M$5,0)+1,FALSE),D171)</f>
        <v>46.9</v>
      </c>
      <c r="E172" s="6">
        <f>IFERROR(VLOOKUP($B172,Platts!$E$5:$M$4994,MATCH(E$3,Platts!$F$5:$M$5,0)+1,FALSE),E171)</f>
        <v>41.73</v>
      </c>
      <c r="F172" s="6">
        <f>IFERROR(VLOOKUP($B172,Platts!$E$5:$M$4994,MATCH(F$3,Platts!$F$5:$M$5,0)+1,FALSE),F171)</f>
        <v>48.73</v>
      </c>
      <c r="G172" s="6">
        <f>IFERROR(VLOOKUP($B172,Platts!$E$5:$M$4994,MATCH(G$3,Platts!$F$5:$M$5,0)+1,FALSE),G171)</f>
        <v>48.37</v>
      </c>
      <c r="H172" s="6">
        <f>IFERROR(VLOOKUP($B172,Platts!$E$5:$M$4994,MATCH(H$3,Platts!$F$5:$M$5,0)+1,FALSE),H171)</f>
        <v>48.09</v>
      </c>
      <c r="I172" s="6">
        <f>IFERROR(VLOOKUP($B172,Platts!$E$5:$M$4994,MATCH(I$3,Platts!$F$5:$M$5,0)+1,FALSE),I171)</f>
        <v>50.04</v>
      </c>
      <c r="J172" s="6">
        <f t="shared" si="4"/>
        <v>8.8100000000000023</v>
      </c>
    </row>
    <row r="173" spans="2:10" x14ac:dyDescent="0.25">
      <c r="B173" s="5">
        <f t="shared" si="5"/>
        <v>42539</v>
      </c>
      <c r="C173" s="6">
        <f>IFERROR(VLOOKUP($B173,Platts!$E$5:$M$4994,MATCH(C$3,Platts!$F$5:$M$5,0)+1,FALSE),C172)</f>
        <v>39.28</v>
      </c>
      <c r="D173" s="6">
        <f>IFERROR(VLOOKUP($B173,Platts!$E$5:$M$4994,MATCH(D$3,Platts!$F$5:$M$5,0)+1,FALSE),D172)</f>
        <v>46.9</v>
      </c>
      <c r="E173" s="6">
        <f>IFERROR(VLOOKUP($B173,Platts!$E$5:$M$4994,MATCH(E$3,Platts!$F$5:$M$5,0)+1,FALSE),E172)</f>
        <v>41.73</v>
      </c>
      <c r="F173" s="6">
        <f>IFERROR(VLOOKUP($B173,Platts!$E$5:$M$4994,MATCH(F$3,Platts!$F$5:$M$5,0)+1,FALSE),F172)</f>
        <v>48.73</v>
      </c>
      <c r="G173" s="6">
        <f>IFERROR(VLOOKUP($B173,Platts!$E$5:$M$4994,MATCH(G$3,Platts!$F$5:$M$5,0)+1,FALSE),G172)</f>
        <v>48.37</v>
      </c>
      <c r="H173" s="6">
        <f>IFERROR(VLOOKUP($B173,Platts!$E$5:$M$4994,MATCH(H$3,Platts!$F$5:$M$5,0)+1,FALSE),H172)</f>
        <v>48.09</v>
      </c>
      <c r="I173" s="6">
        <f>IFERROR(VLOOKUP($B173,Platts!$E$5:$M$4994,MATCH(I$3,Platts!$F$5:$M$5,0)+1,FALSE),I172)</f>
        <v>50.04</v>
      </c>
      <c r="J173" s="6">
        <f t="shared" si="4"/>
        <v>8.8100000000000023</v>
      </c>
    </row>
    <row r="174" spans="2:10" x14ac:dyDescent="0.25">
      <c r="B174" s="5">
        <f t="shared" si="5"/>
        <v>42540</v>
      </c>
      <c r="C174" s="6">
        <f>IFERROR(VLOOKUP($B174,Platts!$E$5:$M$4994,MATCH(C$3,Platts!$F$5:$M$5,0)+1,FALSE),C173)</f>
        <v>39.28</v>
      </c>
      <c r="D174" s="6">
        <f>IFERROR(VLOOKUP($B174,Platts!$E$5:$M$4994,MATCH(D$3,Platts!$F$5:$M$5,0)+1,FALSE),D173)</f>
        <v>46.9</v>
      </c>
      <c r="E174" s="6">
        <f>IFERROR(VLOOKUP($B174,Platts!$E$5:$M$4994,MATCH(E$3,Platts!$F$5:$M$5,0)+1,FALSE),E173)</f>
        <v>41.73</v>
      </c>
      <c r="F174" s="6">
        <f>IFERROR(VLOOKUP($B174,Platts!$E$5:$M$4994,MATCH(F$3,Platts!$F$5:$M$5,0)+1,FALSE),F173)</f>
        <v>48.73</v>
      </c>
      <c r="G174" s="6">
        <f>IFERROR(VLOOKUP($B174,Platts!$E$5:$M$4994,MATCH(G$3,Platts!$F$5:$M$5,0)+1,FALSE),G173)</f>
        <v>48.37</v>
      </c>
      <c r="H174" s="6">
        <f>IFERROR(VLOOKUP($B174,Platts!$E$5:$M$4994,MATCH(H$3,Platts!$F$5:$M$5,0)+1,FALSE),H173)</f>
        <v>48.09</v>
      </c>
      <c r="I174" s="6">
        <f>IFERROR(VLOOKUP($B174,Platts!$E$5:$M$4994,MATCH(I$3,Platts!$F$5:$M$5,0)+1,FALSE),I173)</f>
        <v>50.04</v>
      </c>
      <c r="J174" s="6">
        <f t="shared" si="4"/>
        <v>8.8100000000000023</v>
      </c>
    </row>
    <row r="175" spans="2:10" x14ac:dyDescent="0.25">
      <c r="B175" s="5">
        <f t="shared" si="5"/>
        <v>42541</v>
      </c>
      <c r="C175" s="6">
        <f>IFERROR(VLOOKUP($B175,Platts!$E$5:$M$4994,MATCH(C$3,Platts!$F$5:$M$5,0)+1,FALSE),C174)</f>
        <v>40.9</v>
      </c>
      <c r="D175" s="6">
        <f>IFERROR(VLOOKUP($B175,Platts!$E$5:$M$4994,MATCH(D$3,Platts!$F$5:$M$5,0)+1,FALSE),D174)</f>
        <v>48.22</v>
      </c>
      <c r="E175" s="6">
        <f>IFERROR(VLOOKUP($B175,Platts!$E$5:$M$4994,MATCH(E$3,Platts!$F$5:$M$5,0)+1,FALSE),E174)</f>
        <v>43.05</v>
      </c>
      <c r="F175" s="6">
        <f>IFERROR(VLOOKUP($B175,Platts!$E$5:$M$4994,MATCH(F$3,Platts!$F$5:$M$5,0)+1,FALSE),F174)</f>
        <v>50.03</v>
      </c>
      <c r="G175" s="6">
        <f>IFERROR(VLOOKUP($B175,Platts!$E$5:$M$4994,MATCH(G$3,Platts!$F$5:$M$5,0)+1,FALSE),G174)</f>
        <v>50.5</v>
      </c>
      <c r="H175" s="6">
        <f>IFERROR(VLOOKUP($B175,Platts!$E$5:$M$4994,MATCH(H$3,Platts!$F$5:$M$5,0)+1,FALSE),H174)</f>
        <v>49.25</v>
      </c>
      <c r="I175" s="6">
        <f>IFERROR(VLOOKUP($B175,Platts!$E$5:$M$4994,MATCH(I$3,Platts!$F$5:$M$5,0)+1,FALSE),I174)</f>
        <v>51.1</v>
      </c>
      <c r="J175" s="6">
        <f t="shared" si="4"/>
        <v>8.3500000000000014</v>
      </c>
    </row>
    <row r="176" spans="2:10" x14ac:dyDescent="0.25">
      <c r="B176" s="5">
        <f t="shared" si="5"/>
        <v>42542</v>
      </c>
      <c r="C176" s="6">
        <f>IFERROR(VLOOKUP($B176,Platts!$E$5:$M$4994,MATCH(C$3,Platts!$F$5:$M$5,0)+1,FALSE),C175)</f>
        <v>40.76</v>
      </c>
      <c r="D176" s="6">
        <f>IFERROR(VLOOKUP($B176,Platts!$E$5:$M$4994,MATCH(D$3,Platts!$F$5:$M$5,0)+1,FALSE),D175)</f>
        <v>47.79</v>
      </c>
      <c r="E176" s="6">
        <f>IFERROR(VLOOKUP($B176,Platts!$E$5:$M$4994,MATCH(E$3,Platts!$F$5:$M$5,0)+1,FALSE),E175)</f>
        <v>42.84</v>
      </c>
      <c r="F176" s="6">
        <f>IFERROR(VLOOKUP($B176,Platts!$E$5:$M$4994,MATCH(F$3,Platts!$F$5:$M$5,0)+1,FALSE),F175)</f>
        <v>49.69</v>
      </c>
      <c r="G176" s="6">
        <f>IFERROR(VLOOKUP($B176,Platts!$E$5:$M$4994,MATCH(G$3,Platts!$F$5:$M$5,0)+1,FALSE),G175)</f>
        <v>50.09</v>
      </c>
      <c r="H176" s="6">
        <f>IFERROR(VLOOKUP($B176,Platts!$E$5:$M$4994,MATCH(H$3,Platts!$F$5:$M$5,0)+1,FALSE),H175)</f>
        <v>48.86</v>
      </c>
      <c r="I176" s="6">
        <f>IFERROR(VLOOKUP($B176,Platts!$E$5:$M$4994,MATCH(I$3,Platts!$F$5:$M$5,0)+1,FALSE),I175)</f>
        <v>50.56</v>
      </c>
      <c r="J176" s="6">
        <f t="shared" si="4"/>
        <v>8.1000000000000014</v>
      </c>
    </row>
    <row r="177" spans="2:10" x14ac:dyDescent="0.25">
      <c r="B177" s="5">
        <f t="shared" si="5"/>
        <v>42543</v>
      </c>
      <c r="C177" s="6">
        <f>IFERROR(VLOOKUP($B177,Platts!$E$5:$M$4994,MATCH(C$3,Platts!$F$5:$M$5,0)+1,FALSE),C176)</f>
        <v>40.83</v>
      </c>
      <c r="D177" s="6">
        <f>IFERROR(VLOOKUP($B177,Platts!$E$5:$M$4994,MATCH(D$3,Platts!$F$5:$M$5,0)+1,FALSE),D176)</f>
        <v>47.37</v>
      </c>
      <c r="E177" s="6">
        <f>IFERROR(VLOOKUP($B177,Platts!$E$5:$M$4994,MATCH(E$3,Platts!$F$5:$M$5,0)+1,FALSE),E176)</f>
        <v>42.6</v>
      </c>
      <c r="F177" s="6">
        <f>IFERROR(VLOOKUP($B177,Platts!$E$5:$M$4994,MATCH(F$3,Platts!$F$5:$M$5,0)+1,FALSE),F176)</f>
        <v>49.22</v>
      </c>
      <c r="G177" s="6">
        <f>IFERROR(VLOOKUP($B177,Platts!$E$5:$M$4994,MATCH(G$3,Platts!$F$5:$M$5,0)+1,FALSE),G176)</f>
        <v>50.23</v>
      </c>
      <c r="H177" s="6">
        <f>IFERROR(VLOOKUP($B177,Platts!$E$5:$M$4994,MATCH(H$3,Platts!$F$5:$M$5,0)+1,FALSE),H176)</f>
        <v>48.33</v>
      </c>
      <c r="I177" s="6">
        <f>IFERROR(VLOOKUP($B177,Platts!$E$5:$M$4994,MATCH(I$3,Platts!$F$5:$M$5,0)+1,FALSE),I176)</f>
        <v>50.03</v>
      </c>
      <c r="J177" s="6">
        <f t="shared" si="4"/>
        <v>7.5</v>
      </c>
    </row>
    <row r="178" spans="2:10" x14ac:dyDescent="0.25">
      <c r="B178" s="5">
        <f t="shared" si="5"/>
        <v>42544</v>
      </c>
      <c r="C178" s="6">
        <f>IFERROR(VLOOKUP($B178,Platts!$E$5:$M$4994,MATCH(C$3,Platts!$F$5:$M$5,0)+1,FALSE),C177)</f>
        <v>41.27</v>
      </c>
      <c r="D178" s="6">
        <f>IFERROR(VLOOKUP($B178,Platts!$E$5:$M$4994,MATCH(D$3,Platts!$F$5:$M$5,0)+1,FALSE),D177)</f>
        <v>48.29</v>
      </c>
      <c r="E178" s="6">
        <f>IFERROR(VLOOKUP($B178,Platts!$E$5:$M$4994,MATCH(E$3,Platts!$F$5:$M$5,0)+1,FALSE),E177)</f>
        <v>43.54</v>
      </c>
      <c r="F178" s="6">
        <f>IFERROR(VLOOKUP($B178,Platts!$E$5:$M$4994,MATCH(F$3,Platts!$F$5:$M$5,0)+1,FALSE),F177)</f>
        <v>50.15</v>
      </c>
      <c r="G178" s="6">
        <f>IFERROR(VLOOKUP($B178,Platts!$E$5:$M$4994,MATCH(G$3,Platts!$F$5:$M$5,0)+1,FALSE),G177)</f>
        <v>50.57</v>
      </c>
      <c r="H178" s="6">
        <f>IFERROR(VLOOKUP($B178,Platts!$E$5:$M$4994,MATCH(H$3,Platts!$F$5:$M$5,0)+1,FALSE),H177)</f>
        <v>49.14</v>
      </c>
      <c r="I178" s="6">
        <f>IFERROR(VLOOKUP($B178,Platts!$E$5:$M$4994,MATCH(I$3,Platts!$F$5:$M$5,0)+1,FALSE),I177)</f>
        <v>50.69</v>
      </c>
      <c r="J178" s="6">
        <f t="shared" si="4"/>
        <v>7.8699999999999974</v>
      </c>
    </row>
    <row r="179" spans="2:10" x14ac:dyDescent="0.25">
      <c r="B179" s="5">
        <f t="shared" si="5"/>
        <v>42545</v>
      </c>
      <c r="C179" s="6">
        <f>IFERROR(VLOOKUP($B179,Platts!$E$5:$M$4994,MATCH(C$3,Platts!$F$5:$M$5,0)+1,FALSE),C178)</f>
        <v>39.479999999999997</v>
      </c>
      <c r="D179" s="6">
        <f>IFERROR(VLOOKUP($B179,Platts!$E$5:$M$4994,MATCH(D$3,Platts!$F$5:$M$5,0)+1,FALSE),D178)</f>
        <v>45.73</v>
      </c>
      <c r="E179" s="6">
        <f>IFERROR(VLOOKUP($B179,Platts!$E$5:$M$4994,MATCH(E$3,Platts!$F$5:$M$5,0)+1,FALSE),E178)</f>
        <v>41.11</v>
      </c>
      <c r="F179" s="6">
        <f>IFERROR(VLOOKUP($B179,Platts!$E$5:$M$4994,MATCH(F$3,Platts!$F$5:$M$5,0)+1,FALSE),F178)</f>
        <v>47.61</v>
      </c>
      <c r="G179" s="6">
        <f>IFERROR(VLOOKUP($B179,Platts!$E$5:$M$4994,MATCH(G$3,Platts!$F$5:$M$5,0)+1,FALSE),G178)</f>
        <v>48.81</v>
      </c>
      <c r="H179" s="6">
        <f>IFERROR(VLOOKUP($B179,Platts!$E$5:$M$4994,MATCH(H$3,Platts!$F$5:$M$5,0)+1,FALSE),H178)</f>
        <v>46.92</v>
      </c>
      <c r="I179" s="6">
        <f>IFERROR(VLOOKUP($B179,Platts!$E$5:$M$4994,MATCH(I$3,Platts!$F$5:$M$5,0)+1,FALSE),I178)</f>
        <v>48.42</v>
      </c>
      <c r="J179" s="6">
        <f t="shared" si="4"/>
        <v>7.4400000000000048</v>
      </c>
    </row>
    <row r="180" spans="2:10" x14ac:dyDescent="0.25">
      <c r="B180" s="5">
        <f t="shared" si="5"/>
        <v>42546</v>
      </c>
      <c r="C180" s="6">
        <f>IFERROR(VLOOKUP($B180,Platts!$E$5:$M$4994,MATCH(C$3,Platts!$F$5:$M$5,0)+1,FALSE),C179)</f>
        <v>39.479999999999997</v>
      </c>
      <c r="D180" s="6">
        <f>IFERROR(VLOOKUP($B180,Platts!$E$5:$M$4994,MATCH(D$3,Platts!$F$5:$M$5,0)+1,FALSE),D179)</f>
        <v>45.73</v>
      </c>
      <c r="E180" s="6">
        <f>IFERROR(VLOOKUP($B180,Platts!$E$5:$M$4994,MATCH(E$3,Platts!$F$5:$M$5,0)+1,FALSE),E179)</f>
        <v>41.11</v>
      </c>
      <c r="F180" s="6">
        <f>IFERROR(VLOOKUP($B180,Platts!$E$5:$M$4994,MATCH(F$3,Platts!$F$5:$M$5,0)+1,FALSE),F179)</f>
        <v>47.61</v>
      </c>
      <c r="G180" s="6">
        <f>IFERROR(VLOOKUP($B180,Platts!$E$5:$M$4994,MATCH(G$3,Platts!$F$5:$M$5,0)+1,FALSE),G179)</f>
        <v>48.81</v>
      </c>
      <c r="H180" s="6">
        <f>IFERROR(VLOOKUP($B180,Platts!$E$5:$M$4994,MATCH(H$3,Platts!$F$5:$M$5,0)+1,FALSE),H179)</f>
        <v>46.92</v>
      </c>
      <c r="I180" s="6">
        <f>IFERROR(VLOOKUP($B180,Platts!$E$5:$M$4994,MATCH(I$3,Platts!$F$5:$M$5,0)+1,FALSE),I179)</f>
        <v>48.42</v>
      </c>
      <c r="J180" s="6">
        <f t="shared" si="4"/>
        <v>7.4400000000000048</v>
      </c>
    </row>
    <row r="181" spans="2:10" x14ac:dyDescent="0.25">
      <c r="B181" s="5">
        <f t="shared" si="5"/>
        <v>42547</v>
      </c>
      <c r="C181" s="6">
        <f>IFERROR(VLOOKUP($B181,Platts!$E$5:$M$4994,MATCH(C$3,Platts!$F$5:$M$5,0)+1,FALSE),C180)</f>
        <v>39.479999999999997</v>
      </c>
      <c r="D181" s="6">
        <f>IFERROR(VLOOKUP($B181,Platts!$E$5:$M$4994,MATCH(D$3,Platts!$F$5:$M$5,0)+1,FALSE),D180)</f>
        <v>45.73</v>
      </c>
      <c r="E181" s="6">
        <f>IFERROR(VLOOKUP($B181,Platts!$E$5:$M$4994,MATCH(E$3,Platts!$F$5:$M$5,0)+1,FALSE),E180)</f>
        <v>41.11</v>
      </c>
      <c r="F181" s="6">
        <f>IFERROR(VLOOKUP($B181,Platts!$E$5:$M$4994,MATCH(F$3,Platts!$F$5:$M$5,0)+1,FALSE),F180)</f>
        <v>47.61</v>
      </c>
      <c r="G181" s="6">
        <f>IFERROR(VLOOKUP($B181,Platts!$E$5:$M$4994,MATCH(G$3,Platts!$F$5:$M$5,0)+1,FALSE),G180)</f>
        <v>48.81</v>
      </c>
      <c r="H181" s="6">
        <f>IFERROR(VLOOKUP($B181,Platts!$E$5:$M$4994,MATCH(H$3,Platts!$F$5:$M$5,0)+1,FALSE),H180)</f>
        <v>46.92</v>
      </c>
      <c r="I181" s="6">
        <f>IFERROR(VLOOKUP($B181,Platts!$E$5:$M$4994,MATCH(I$3,Platts!$F$5:$M$5,0)+1,FALSE),I180)</f>
        <v>48.42</v>
      </c>
      <c r="J181" s="6">
        <f t="shared" si="4"/>
        <v>7.4400000000000048</v>
      </c>
    </row>
    <row r="182" spans="2:10" x14ac:dyDescent="0.25">
      <c r="B182" s="5">
        <f t="shared" si="5"/>
        <v>42548</v>
      </c>
      <c r="C182" s="6">
        <f>IFERROR(VLOOKUP($B182,Platts!$E$5:$M$4994,MATCH(C$3,Platts!$F$5:$M$5,0)+1,FALSE),C181)</f>
        <v>38.619999999999997</v>
      </c>
      <c r="D182" s="6">
        <f>IFERROR(VLOOKUP($B182,Platts!$E$5:$M$4994,MATCH(D$3,Platts!$F$5:$M$5,0)+1,FALSE),D181)</f>
        <v>45.08</v>
      </c>
      <c r="E182" s="6">
        <f>IFERROR(VLOOKUP($B182,Platts!$E$5:$M$4994,MATCH(E$3,Platts!$F$5:$M$5,0)+1,FALSE),E181)</f>
        <v>40.340000000000003</v>
      </c>
      <c r="F182" s="6">
        <f>IFERROR(VLOOKUP($B182,Platts!$E$5:$M$4994,MATCH(F$3,Platts!$F$5:$M$5,0)+1,FALSE),F181)</f>
        <v>46.95</v>
      </c>
      <c r="G182" s="6">
        <f>IFERROR(VLOOKUP($B182,Platts!$E$5:$M$4994,MATCH(G$3,Platts!$F$5:$M$5,0)+1,FALSE),G181)</f>
        <v>47.22</v>
      </c>
      <c r="H182" s="6">
        <f>IFERROR(VLOOKUP($B182,Platts!$E$5:$M$4994,MATCH(H$3,Platts!$F$5:$M$5,0)+1,FALSE),H181)</f>
        <v>46.46</v>
      </c>
      <c r="I182" s="6">
        <f>IFERROR(VLOOKUP($B182,Platts!$E$5:$M$4994,MATCH(I$3,Platts!$F$5:$M$5,0)+1,FALSE),I181)</f>
        <v>48.21</v>
      </c>
      <c r="J182" s="6">
        <f t="shared" si="4"/>
        <v>7.8400000000000034</v>
      </c>
    </row>
    <row r="183" spans="2:10" x14ac:dyDescent="0.25">
      <c r="B183" s="5">
        <f t="shared" si="5"/>
        <v>42549</v>
      </c>
      <c r="C183" s="6">
        <f>IFERROR(VLOOKUP($B183,Platts!$E$5:$M$4994,MATCH(C$3,Platts!$F$5:$M$5,0)+1,FALSE),C182)</f>
        <v>39.67</v>
      </c>
      <c r="D183" s="6">
        <f>IFERROR(VLOOKUP($B183,Platts!$E$5:$M$4994,MATCH(D$3,Platts!$F$5:$M$5,0)+1,FALSE),D182)</f>
        <v>46.53</v>
      </c>
      <c r="E183" s="6">
        <f>IFERROR(VLOOKUP($B183,Platts!$E$5:$M$4994,MATCH(E$3,Platts!$F$5:$M$5,0)+1,FALSE),E182)</f>
        <v>42.02</v>
      </c>
      <c r="F183" s="6">
        <f>IFERROR(VLOOKUP($B183,Platts!$E$5:$M$4994,MATCH(F$3,Platts!$F$5:$M$5,0)+1,FALSE),F182)</f>
        <v>48.31</v>
      </c>
      <c r="G183" s="6">
        <f>IFERROR(VLOOKUP($B183,Platts!$E$5:$M$4994,MATCH(G$3,Platts!$F$5:$M$5,0)+1,FALSE),G182)</f>
        <v>47.8</v>
      </c>
      <c r="H183" s="6">
        <f>IFERROR(VLOOKUP($B183,Platts!$E$5:$M$4994,MATCH(H$3,Platts!$F$5:$M$5,0)+1,FALSE),H182)</f>
        <v>47.86</v>
      </c>
      <c r="I183" s="6">
        <f>IFERROR(VLOOKUP($B183,Platts!$E$5:$M$4994,MATCH(I$3,Platts!$F$5:$M$5,0)+1,FALSE),I182)</f>
        <v>49.66</v>
      </c>
      <c r="J183" s="6">
        <f t="shared" si="4"/>
        <v>8.1899999999999977</v>
      </c>
    </row>
    <row r="184" spans="2:10" x14ac:dyDescent="0.25">
      <c r="B184" s="5">
        <f t="shared" si="5"/>
        <v>42550</v>
      </c>
      <c r="C184" s="6">
        <f>IFERROR(VLOOKUP($B184,Platts!$E$5:$M$4994,MATCH(C$3,Platts!$F$5:$M$5,0)+1,FALSE),C183)</f>
        <v>41.51</v>
      </c>
      <c r="D184" s="6">
        <f>IFERROR(VLOOKUP($B184,Platts!$E$5:$M$4994,MATCH(D$3,Platts!$F$5:$M$5,0)+1,FALSE),D183)</f>
        <v>48.41</v>
      </c>
      <c r="E184" s="6">
        <f>IFERROR(VLOOKUP($B184,Platts!$E$5:$M$4994,MATCH(E$3,Platts!$F$5:$M$5,0)+1,FALSE),E183)</f>
        <v>43.57</v>
      </c>
      <c r="F184" s="6">
        <f>IFERROR(VLOOKUP($B184,Platts!$E$5:$M$4994,MATCH(F$3,Platts!$F$5:$M$5,0)+1,FALSE),F183)</f>
        <v>50.12</v>
      </c>
      <c r="G184" s="6">
        <f>IFERROR(VLOOKUP($B184,Platts!$E$5:$M$4994,MATCH(G$3,Platts!$F$5:$M$5,0)+1,FALSE),G183)</f>
        <v>50.01</v>
      </c>
      <c r="H184" s="6">
        <f>IFERROR(VLOOKUP($B184,Platts!$E$5:$M$4994,MATCH(H$3,Platts!$F$5:$M$5,0)+1,FALSE),H183)</f>
        <v>49.51</v>
      </c>
      <c r="I184" s="6">
        <f>IFERROR(VLOOKUP($B184,Platts!$E$5:$M$4994,MATCH(I$3,Platts!$F$5:$M$5,0)+1,FALSE),I183)</f>
        <v>51.36</v>
      </c>
      <c r="J184" s="6">
        <f t="shared" si="4"/>
        <v>8</v>
      </c>
    </row>
    <row r="185" spans="2:10" x14ac:dyDescent="0.25">
      <c r="B185" s="5">
        <f t="shared" si="5"/>
        <v>42551</v>
      </c>
      <c r="C185" s="6">
        <f>IFERROR(VLOOKUP($B185,Platts!$E$5:$M$4994,MATCH(C$3,Platts!$F$5:$M$5,0)+1,FALSE),C184)</f>
        <v>41</v>
      </c>
      <c r="D185" s="6">
        <f>IFERROR(VLOOKUP($B185,Platts!$E$5:$M$4994,MATCH(D$3,Platts!$F$5:$M$5,0)+1,FALSE),D184)</f>
        <v>47.25</v>
      </c>
      <c r="E185" s="6">
        <f>IFERROR(VLOOKUP($B185,Platts!$E$5:$M$4994,MATCH(E$3,Platts!$F$5:$M$5,0)+1,FALSE),E184)</f>
        <v>42.52</v>
      </c>
      <c r="F185" s="6">
        <f>IFERROR(VLOOKUP($B185,Platts!$E$5:$M$4994,MATCH(F$3,Platts!$F$5:$M$5,0)+1,FALSE),F184)</f>
        <v>49.13</v>
      </c>
      <c r="G185" s="6">
        <f>IFERROR(VLOOKUP($B185,Platts!$E$5:$M$4994,MATCH(G$3,Platts!$F$5:$M$5,0)+1,FALSE),G184)</f>
        <v>49.59</v>
      </c>
      <c r="H185" s="6">
        <f>IFERROR(VLOOKUP($B185,Platts!$E$5:$M$4994,MATCH(H$3,Platts!$F$5:$M$5,0)+1,FALSE),H184)</f>
        <v>48.53</v>
      </c>
      <c r="I185" s="6">
        <f>IFERROR(VLOOKUP($B185,Platts!$E$5:$M$4994,MATCH(I$3,Platts!$F$5:$M$5,0)+1,FALSE),I184)</f>
        <v>50.48</v>
      </c>
      <c r="J185" s="6">
        <f t="shared" si="4"/>
        <v>7.5300000000000011</v>
      </c>
    </row>
    <row r="186" spans="2:10" x14ac:dyDescent="0.25">
      <c r="B186" s="5">
        <f t="shared" si="5"/>
        <v>42552</v>
      </c>
      <c r="C186" s="6">
        <f>IFERROR(VLOOKUP($B186,Platts!$E$5:$M$4994,MATCH(C$3,Platts!$F$5:$M$5,0)+1,FALSE),C185)</f>
        <v>42.03</v>
      </c>
      <c r="D186" s="6">
        <f>IFERROR(VLOOKUP($B186,Platts!$E$5:$M$4994,MATCH(D$3,Platts!$F$5:$M$5,0)+1,FALSE),D185)</f>
        <v>49.36</v>
      </c>
      <c r="E186" s="6">
        <f>IFERROR(VLOOKUP($B186,Platts!$E$5:$M$4994,MATCH(E$3,Platts!$F$5:$M$5,0)+1,FALSE),E185)</f>
        <v>43.38</v>
      </c>
      <c r="F186" s="6">
        <f>IFERROR(VLOOKUP($B186,Platts!$E$5:$M$4994,MATCH(F$3,Platts!$F$5:$M$5,0)+1,FALSE),F185)</f>
        <v>49.89</v>
      </c>
      <c r="G186" s="6">
        <f>IFERROR(VLOOKUP($B186,Platts!$E$5:$M$4994,MATCH(G$3,Platts!$F$5:$M$5,0)+1,FALSE),G185)</f>
        <v>49.86</v>
      </c>
      <c r="H186" s="6">
        <f>IFERROR(VLOOKUP($B186,Platts!$E$5:$M$4994,MATCH(H$3,Platts!$F$5:$M$5,0)+1,FALSE),H185)</f>
        <v>48.99</v>
      </c>
      <c r="I186" s="6">
        <f>IFERROR(VLOOKUP($B186,Platts!$E$5:$M$4994,MATCH(I$3,Platts!$F$5:$M$5,0)+1,FALSE),I185)</f>
        <v>51.06</v>
      </c>
      <c r="J186" s="6">
        <f t="shared" si="4"/>
        <v>6.9600000000000009</v>
      </c>
    </row>
    <row r="187" spans="2:10" x14ac:dyDescent="0.25">
      <c r="B187" s="5">
        <f t="shared" si="5"/>
        <v>42553</v>
      </c>
      <c r="C187" s="6">
        <f>IFERROR(VLOOKUP($B187,Platts!$E$5:$M$4994,MATCH(C$3,Platts!$F$5:$M$5,0)+1,FALSE),C186)</f>
        <v>42.03</v>
      </c>
      <c r="D187" s="6">
        <f>IFERROR(VLOOKUP($B187,Platts!$E$5:$M$4994,MATCH(D$3,Platts!$F$5:$M$5,0)+1,FALSE),D186)</f>
        <v>49.36</v>
      </c>
      <c r="E187" s="6">
        <f>IFERROR(VLOOKUP($B187,Platts!$E$5:$M$4994,MATCH(E$3,Platts!$F$5:$M$5,0)+1,FALSE),E186)</f>
        <v>43.38</v>
      </c>
      <c r="F187" s="6">
        <f>IFERROR(VLOOKUP($B187,Platts!$E$5:$M$4994,MATCH(F$3,Platts!$F$5:$M$5,0)+1,FALSE),F186)</f>
        <v>49.89</v>
      </c>
      <c r="G187" s="6">
        <f>IFERROR(VLOOKUP($B187,Platts!$E$5:$M$4994,MATCH(G$3,Platts!$F$5:$M$5,0)+1,FALSE),G186)</f>
        <v>49.86</v>
      </c>
      <c r="H187" s="6">
        <f>IFERROR(VLOOKUP($B187,Platts!$E$5:$M$4994,MATCH(H$3,Platts!$F$5:$M$5,0)+1,FALSE),H186)</f>
        <v>48.99</v>
      </c>
      <c r="I187" s="6">
        <f>IFERROR(VLOOKUP($B187,Platts!$E$5:$M$4994,MATCH(I$3,Platts!$F$5:$M$5,0)+1,FALSE),I186)</f>
        <v>51.06</v>
      </c>
      <c r="J187" s="6">
        <f t="shared" si="4"/>
        <v>6.9600000000000009</v>
      </c>
    </row>
    <row r="188" spans="2:10" x14ac:dyDescent="0.25">
      <c r="B188" s="5">
        <f t="shared" si="5"/>
        <v>42554</v>
      </c>
      <c r="C188" s="6">
        <f>IFERROR(VLOOKUP($B188,Platts!$E$5:$M$4994,MATCH(C$3,Platts!$F$5:$M$5,0)+1,FALSE),C187)</f>
        <v>42.03</v>
      </c>
      <c r="D188" s="6">
        <f>IFERROR(VLOOKUP($B188,Platts!$E$5:$M$4994,MATCH(D$3,Platts!$F$5:$M$5,0)+1,FALSE),D187)</f>
        <v>49.36</v>
      </c>
      <c r="E188" s="6">
        <f>IFERROR(VLOOKUP($B188,Platts!$E$5:$M$4994,MATCH(E$3,Platts!$F$5:$M$5,0)+1,FALSE),E187)</f>
        <v>43.38</v>
      </c>
      <c r="F188" s="6">
        <f>IFERROR(VLOOKUP($B188,Platts!$E$5:$M$4994,MATCH(F$3,Platts!$F$5:$M$5,0)+1,FALSE),F187)</f>
        <v>49.89</v>
      </c>
      <c r="G188" s="6">
        <f>IFERROR(VLOOKUP($B188,Platts!$E$5:$M$4994,MATCH(G$3,Platts!$F$5:$M$5,0)+1,FALSE),G187)</f>
        <v>49.86</v>
      </c>
      <c r="H188" s="6">
        <f>IFERROR(VLOOKUP($B188,Platts!$E$5:$M$4994,MATCH(H$3,Platts!$F$5:$M$5,0)+1,FALSE),H187)</f>
        <v>48.99</v>
      </c>
      <c r="I188" s="6">
        <f>IFERROR(VLOOKUP($B188,Platts!$E$5:$M$4994,MATCH(I$3,Platts!$F$5:$M$5,0)+1,FALSE),I187)</f>
        <v>51.06</v>
      </c>
      <c r="J188" s="6">
        <f t="shared" si="4"/>
        <v>6.9600000000000009</v>
      </c>
    </row>
    <row r="189" spans="2:10" x14ac:dyDescent="0.25">
      <c r="B189" s="5">
        <f t="shared" si="5"/>
        <v>42555</v>
      </c>
      <c r="C189" s="6">
        <f>IFERROR(VLOOKUP($B189,Platts!$E$5:$M$4994,MATCH(C$3,Platts!$F$5:$M$5,0)+1,FALSE),C188)</f>
        <v>42.03</v>
      </c>
      <c r="D189" s="6">
        <f>IFERROR(VLOOKUP($B189,Platts!$E$5:$M$4994,MATCH(D$3,Platts!$F$5:$M$5,0)+1,FALSE),D188)</f>
        <v>49.36</v>
      </c>
      <c r="E189" s="6">
        <f>IFERROR(VLOOKUP($B189,Platts!$E$5:$M$4994,MATCH(E$3,Platts!$F$5:$M$5,0)+1,FALSE),E188)</f>
        <v>43.38</v>
      </c>
      <c r="F189" s="6">
        <f>IFERROR(VLOOKUP($B189,Platts!$E$5:$M$4994,MATCH(F$3,Platts!$F$5:$M$5,0)+1,FALSE),F188)</f>
        <v>49.89</v>
      </c>
      <c r="G189" s="6">
        <f>IFERROR(VLOOKUP($B189,Platts!$E$5:$M$4994,MATCH(G$3,Platts!$F$5:$M$5,0)+1,FALSE),G188)</f>
        <v>50.19</v>
      </c>
      <c r="H189" s="6">
        <f>IFERROR(VLOOKUP($B189,Platts!$E$5:$M$4994,MATCH(H$3,Platts!$F$5:$M$5,0)+1,FALSE),H188)</f>
        <v>48.99</v>
      </c>
      <c r="I189" s="6">
        <f>IFERROR(VLOOKUP($B189,Platts!$E$5:$M$4994,MATCH(I$3,Platts!$F$5:$M$5,0)+1,FALSE),I188)</f>
        <v>51.06</v>
      </c>
      <c r="J189" s="6">
        <f t="shared" si="4"/>
        <v>6.9600000000000009</v>
      </c>
    </row>
    <row r="190" spans="2:10" x14ac:dyDescent="0.25">
      <c r="B190" s="5">
        <f t="shared" si="5"/>
        <v>42556</v>
      </c>
      <c r="C190" s="6">
        <f>IFERROR(VLOOKUP($B190,Platts!$E$5:$M$4994,MATCH(C$3,Platts!$F$5:$M$5,0)+1,FALSE),C189)</f>
        <v>39.97</v>
      </c>
      <c r="D190" s="6">
        <f>IFERROR(VLOOKUP($B190,Platts!$E$5:$M$4994,MATCH(D$3,Platts!$F$5:$M$5,0)+1,FALSE),D189)</f>
        <v>46.85</v>
      </c>
      <c r="E190" s="6">
        <f>IFERROR(VLOOKUP($B190,Platts!$E$5:$M$4994,MATCH(E$3,Platts!$F$5:$M$5,0)+1,FALSE),E189)</f>
        <v>41.21</v>
      </c>
      <c r="F190" s="6">
        <f>IFERROR(VLOOKUP($B190,Platts!$E$5:$M$4994,MATCH(F$3,Platts!$F$5:$M$5,0)+1,FALSE),F189)</f>
        <v>47.33</v>
      </c>
      <c r="G190" s="6">
        <f>IFERROR(VLOOKUP($B190,Platts!$E$5:$M$4994,MATCH(G$3,Platts!$F$5:$M$5,0)+1,FALSE),G189)</f>
        <v>48</v>
      </c>
      <c r="H190" s="6">
        <f>IFERROR(VLOOKUP($B190,Platts!$E$5:$M$4994,MATCH(H$3,Platts!$F$5:$M$5,0)+1,FALSE),H189)</f>
        <v>46.6</v>
      </c>
      <c r="I190" s="6">
        <f>IFERROR(VLOOKUP($B190,Platts!$E$5:$M$4994,MATCH(I$3,Platts!$F$5:$M$5,0)+1,FALSE),I189)</f>
        <v>48.65</v>
      </c>
      <c r="J190" s="6">
        <f t="shared" si="4"/>
        <v>6.6300000000000026</v>
      </c>
    </row>
    <row r="191" spans="2:10" x14ac:dyDescent="0.25">
      <c r="B191" s="5">
        <f t="shared" si="5"/>
        <v>42557</v>
      </c>
      <c r="C191" s="6">
        <f>IFERROR(VLOOKUP($B191,Platts!$E$5:$M$4994,MATCH(C$3,Platts!$F$5:$M$5,0)+1,FALSE),C190)</f>
        <v>39.97</v>
      </c>
      <c r="D191" s="6">
        <f>IFERROR(VLOOKUP($B191,Platts!$E$5:$M$4994,MATCH(D$3,Platts!$F$5:$M$5,0)+1,FALSE),D190)</f>
        <v>47.64</v>
      </c>
      <c r="E191" s="6">
        <f>IFERROR(VLOOKUP($B191,Platts!$E$5:$M$4994,MATCH(E$3,Platts!$F$5:$M$5,0)+1,FALSE),E190)</f>
        <v>42.1</v>
      </c>
      <c r="F191" s="6">
        <f>IFERROR(VLOOKUP($B191,Platts!$E$5:$M$4994,MATCH(F$3,Platts!$F$5:$M$5,0)+1,FALSE),F190)</f>
        <v>48.06</v>
      </c>
      <c r="G191" s="6">
        <f>IFERROR(VLOOKUP($B191,Platts!$E$5:$M$4994,MATCH(G$3,Platts!$F$5:$M$5,0)+1,FALSE),G190)</f>
        <v>47.62</v>
      </c>
      <c r="H191" s="6">
        <f>IFERROR(VLOOKUP($B191,Platts!$E$5:$M$4994,MATCH(H$3,Platts!$F$5:$M$5,0)+1,FALSE),H190)</f>
        <v>47.43</v>
      </c>
      <c r="I191" s="6">
        <f>IFERROR(VLOOKUP($B191,Platts!$E$5:$M$4994,MATCH(I$3,Platts!$F$5:$M$5,0)+1,FALSE),I190)</f>
        <v>49.28</v>
      </c>
      <c r="J191" s="6">
        <f t="shared" si="4"/>
        <v>7.4600000000000009</v>
      </c>
    </row>
    <row r="192" spans="2:10" x14ac:dyDescent="0.25">
      <c r="B192" s="5">
        <f t="shared" si="5"/>
        <v>42558</v>
      </c>
      <c r="C192" s="6">
        <f>IFERROR(VLOOKUP($B192,Platts!$E$5:$M$4994,MATCH(C$3,Platts!$F$5:$M$5,0)+1,FALSE),C191)</f>
        <v>39.57</v>
      </c>
      <c r="D192" s="6">
        <f>IFERROR(VLOOKUP($B192,Platts!$E$5:$M$4994,MATCH(D$3,Platts!$F$5:$M$5,0)+1,FALSE),D191)</f>
        <v>45.34</v>
      </c>
      <c r="E192" s="6">
        <f>IFERROR(VLOOKUP($B192,Platts!$E$5:$M$4994,MATCH(E$3,Platts!$F$5:$M$5,0)+1,FALSE),E191)</f>
        <v>40.130000000000003</v>
      </c>
      <c r="F192" s="6">
        <f>IFERROR(VLOOKUP($B192,Platts!$E$5:$M$4994,MATCH(F$3,Platts!$F$5:$M$5,0)+1,FALSE),F191)</f>
        <v>45.81</v>
      </c>
      <c r="G192" s="6">
        <f>IFERROR(VLOOKUP($B192,Platts!$E$5:$M$4994,MATCH(G$3,Platts!$F$5:$M$5,0)+1,FALSE),G191)</f>
        <v>47.91</v>
      </c>
      <c r="H192" s="6">
        <f>IFERROR(VLOOKUP($B192,Platts!$E$5:$M$4994,MATCH(H$3,Platts!$F$5:$M$5,0)+1,FALSE),H191)</f>
        <v>45.14</v>
      </c>
      <c r="I192" s="6">
        <f>IFERROR(VLOOKUP($B192,Platts!$E$5:$M$4994,MATCH(I$3,Platts!$F$5:$M$5,0)+1,FALSE),I191)</f>
        <v>46.92</v>
      </c>
      <c r="J192" s="6">
        <f t="shared" si="4"/>
        <v>5.57</v>
      </c>
    </row>
    <row r="193" spans="2:10" x14ac:dyDescent="0.25">
      <c r="B193" s="5">
        <f t="shared" si="5"/>
        <v>42559</v>
      </c>
      <c r="C193" s="6">
        <f>IFERROR(VLOOKUP($B193,Platts!$E$5:$M$4994,MATCH(C$3,Platts!$F$5:$M$5,0)+1,FALSE),C192)</f>
        <v>39.049999999999997</v>
      </c>
      <c r="D193" s="6">
        <f>IFERROR(VLOOKUP($B193,Platts!$E$5:$M$4994,MATCH(D$3,Platts!$F$5:$M$5,0)+1,FALSE),D192)</f>
        <v>45.58</v>
      </c>
      <c r="E193" s="6">
        <f>IFERROR(VLOOKUP($B193,Platts!$E$5:$M$4994,MATCH(E$3,Platts!$F$5:$M$5,0)+1,FALSE),E192)</f>
        <v>40.29</v>
      </c>
      <c r="F193" s="6">
        <f>IFERROR(VLOOKUP($B193,Platts!$E$5:$M$4994,MATCH(F$3,Platts!$F$5:$M$5,0)+1,FALSE),F192)</f>
        <v>46.01</v>
      </c>
      <c r="G193" s="6">
        <f>IFERROR(VLOOKUP($B193,Platts!$E$5:$M$4994,MATCH(G$3,Platts!$F$5:$M$5,0)+1,FALSE),G192)</f>
        <v>46.63</v>
      </c>
      <c r="H193" s="6">
        <f>IFERROR(VLOOKUP($B193,Platts!$E$5:$M$4994,MATCH(H$3,Platts!$F$5:$M$5,0)+1,FALSE),H192)</f>
        <v>45.41</v>
      </c>
      <c r="I193" s="6">
        <f>IFERROR(VLOOKUP($B193,Platts!$E$5:$M$4994,MATCH(I$3,Platts!$F$5:$M$5,0)+1,FALSE),I192)</f>
        <v>47.06</v>
      </c>
      <c r="J193" s="6">
        <f t="shared" si="4"/>
        <v>6.3599999999999994</v>
      </c>
    </row>
    <row r="194" spans="2:10" x14ac:dyDescent="0.25">
      <c r="B194" s="5">
        <f t="shared" si="5"/>
        <v>42560</v>
      </c>
      <c r="C194" s="6">
        <f>IFERROR(VLOOKUP($B194,Platts!$E$5:$M$4994,MATCH(C$3,Platts!$F$5:$M$5,0)+1,FALSE),C193)</f>
        <v>39.049999999999997</v>
      </c>
      <c r="D194" s="6">
        <f>IFERROR(VLOOKUP($B194,Platts!$E$5:$M$4994,MATCH(D$3,Platts!$F$5:$M$5,0)+1,FALSE),D193)</f>
        <v>45.58</v>
      </c>
      <c r="E194" s="6">
        <f>IFERROR(VLOOKUP($B194,Platts!$E$5:$M$4994,MATCH(E$3,Platts!$F$5:$M$5,0)+1,FALSE),E193)</f>
        <v>40.29</v>
      </c>
      <c r="F194" s="6">
        <f>IFERROR(VLOOKUP($B194,Platts!$E$5:$M$4994,MATCH(F$3,Platts!$F$5:$M$5,0)+1,FALSE),F193)</f>
        <v>46.01</v>
      </c>
      <c r="G194" s="6">
        <f>IFERROR(VLOOKUP($B194,Platts!$E$5:$M$4994,MATCH(G$3,Platts!$F$5:$M$5,0)+1,FALSE),G193)</f>
        <v>46.63</v>
      </c>
      <c r="H194" s="6">
        <f>IFERROR(VLOOKUP($B194,Platts!$E$5:$M$4994,MATCH(H$3,Platts!$F$5:$M$5,0)+1,FALSE),H193)</f>
        <v>45.41</v>
      </c>
      <c r="I194" s="6">
        <f>IFERROR(VLOOKUP($B194,Platts!$E$5:$M$4994,MATCH(I$3,Platts!$F$5:$M$5,0)+1,FALSE),I193)</f>
        <v>47.06</v>
      </c>
      <c r="J194" s="6">
        <f t="shared" si="4"/>
        <v>6.3599999999999994</v>
      </c>
    </row>
    <row r="195" spans="2:10" x14ac:dyDescent="0.25">
      <c r="B195" s="5">
        <f t="shared" si="5"/>
        <v>42561</v>
      </c>
      <c r="C195" s="6">
        <f>IFERROR(VLOOKUP($B195,Platts!$E$5:$M$4994,MATCH(C$3,Platts!$F$5:$M$5,0)+1,FALSE),C194)</f>
        <v>39.049999999999997</v>
      </c>
      <c r="D195" s="6">
        <f>IFERROR(VLOOKUP($B195,Platts!$E$5:$M$4994,MATCH(D$3,Platts!$F$5:$M$5,0)+1,FALSE),D194)</f>
        <v>45.58</v>
      </c>
      <c r="E195" s="6">
        <f>IFERROR(VLOOKUP($B195,Platts!$E$5:$M$4994,MATCH(E$3,Platts!$F$5:$M$5,0)+1,FALSE),E194)</f>
        <v>40.29</v>
      </c>
      <c r="F195" s="6">
        <f>IFERROR(VLOOKUP($B195,Platts!$E$5:$M$4994,MATCH(F$3,Platts!$F$5:$M$5,0)+1,FALSE),F194)</f>
        <v>46.01</v>
      </c>
      <c r="G195" s="6">
        <f>IFERROR(VLOOKUP($B195,Platts!$E$5:$M$4994,MATCH(G$3,Platts!$F$5:$M$5,0)+1,FALSE),G194)</f>
        <v>46.63</v>
      </c>
      <c r="H195" s="6">
        <f>IFERROR(VLOOKUP($B195,Platts!$E$5:$M$4994,MATCH(H$3,Platts!$F$5:$M$5,0)+1,FALSE),H194)</f>
        <v>45.41</v>
      </c>
      <c r="I195" s="6">
        <f>IFERROR(VLOOKUP($B195,Platts!$E$5:$M$4994,MATCH(I$3,Platts!$F$5:$M$5,0)+1,FALSE),I194)</f>
        <v>47.06</v>
      </c>
      <c r="J195" s="6">
        <f t="shared" si="4"/>
        <v>6.3599999999999994</v>
      </c>
    </row>
    <row r="196" spans="2:10" x14ac:dyDescent="0.25">
      <c r="B196" s="5">
        <f t="shared" si="5"/>
        <v>42562</v>
      </c>
      <c r="C196" s="6">
        <f>IFERROR(VLOOKUP($B196,Platts!$E$5:$M$4994,MATCH(C$3,Platts!$F$5:$M$5,0)+1,FALSE),C195)</f>
        <v>38.729999999999997</v>
      </c>
      <c r="D196" s="6">
        <f>IFERROR(VLOOKUP($B196,Platts!$E$5:$M$4994,MATCH(D$3,Platts!$F$5:$M$5,0)+1,FALSE),D195)</f>
        <v>44.86</v>
      </c>
      <c r="E196" s="6">
        <f>IFERROR(VLOOKUP($B196,Platts!$E$5:$M$4994,MATCH(E$3,Platts!$F$5:$M$5,0)+1,FALSE),E195)</f>
        <v>40.07</v>
      </c>
      <c r="F196" s="6">
        <f>IFERROR(VLOOKUP($B196,Platts!$E$5:$M$4994,MATCH(F$3,Platts!$F$5:$M$5,0)+1,FALSE),F195)</f>
        <v>45.33</v>
      </c>
      <c r="G196" s="6">
        <f>IFERROR(VLOOKUP($B196,Platts!$E$5:$M$4994,MATCH(G$3,Platts!$F$5:$M$5,0)+1,FALSE),G195)</f>
        <v>46.73</v>
      </c>
      <c r="H196" s="6">
        <f>IFERROR(VLOOKUP($B196,Platts!$E$5:$M$4994,MATCH(H$3,Platts!$F$5:$M$5,0)+1,FALSE),H195)</f>
        <v>44.76</v>
      </c>
      <c r="I196" s="6">
        <f>IFERROR(VLOOKUP($B196,Platts!$E$5:$M$4994,MATCH(I$3,Platts!$F$5:$M$5,0)+1,FALSE),I195)</f>
        <v>46.44</v>
      </c>
      <c r="J196" s="6">
        <f t="shared" ref="J196:J259" si="6">H196-C196</f>
        <v>6.0300000000000011</v>
      </c>
    </row>
    <row r="197" spans="2:10" x14ac:dyDescent="0.25">
      <c r="B197" s="5">
        <f t="shared" si="5"/>
        <v>42563</v>
      </c>
      <c r="C197" s="6">
        <f>IFERROR(VLOOKUP($B197,Platts!$E$5:$M$4994,MATCH(C$3,Platts!$F$5:$M$5,0)+1,FALSE),C196)</f>
        <v>40.229999999999997</v>
      </c>
      <c r="D197" s="6">
        <f>IFERROR(VLOOKUP($B197,Platts!$E$5:$M$4994,MATCH(D$3,Platts!$F$5:$M$5,0)+1,FALSE),D196)</f>
        <v>46.88</v>
      </c>
      <c r="E197" s="6">
        <f>IFERROR(VLOOKUP($B197,Platts!$E$5:$M$4994,MATCH(E$3,Platts!$F$5:$M$5,0)+1,FALSE),E196)</f>
        <v>41.02</v>
      </c>
      <c r="F197" s="6">
        <f>IFERROR(VLOOKUP($B197,Platts!$E$5:$M$4994,MATCH(F$3,Platts!$F$5:$M$5,0)+1,FALSE),F196)</f>
        <v>47.4</v>
      </c>
      <c r="G197" s="6">
        <f>IFERROR(VLOOKUP($B197,Platts!$E$5:$M$4994,MATCH(G$3,Platts!$F$5:$M$5,0)+1,FALSE),G196)</f>
        <v>47.83</v>
      </c>
      <c r="H197" s="6">
        <f>IFERROR(VLOOKUP($B197,Platts!$E$5:$M$4994,MATCH(H$3,Platts!$F$5:$M$5,0)+1,FALSE),H196)</f>
        <v>46.8</v>
      </c>
      <c r="I197" s="6">
        <f>IFERROR(VLOOKUP($B197,Platts!$E$5:$M$4994,MATCH(I$3,Platts!$F$5:$M$5,0)+1,FALSE),I196)</f>
        <v>48.45</v>
      </c>
      <c r="J197" s="6">
        <f t="shared" si="6"/>
        <v>6.57</v>
      </c>
    </row>
    <row r="198" spans="2:10" x14ac:dyDescent="0.25">
      <c r="B198" s="5">
        <f t="shared" ref="B198:B261" si="7">B197+1</f>
        <v>42564</v>
      </c>
      <c r="C198" s="6">
        <f>IFERROR(VLOOKUP($B198,Platts!$E$5:$M$4994,MATCH(C$3,Platts!$F$5:$M$5,0)+1,FALSE),C197)</f>
        <v>38.96</v>
      </c>
      <c r="D198" s="6">
        <f>IFERROR(VLOOKUP($B198,Platts!$E$5:$M$4994,MATCH(D$3,Platts!$F$5:$M$5,0)+1,FALSE),D197)</f>
        <v>44.88</v>
      </c>
      <c r="E198" s="6">
        <f>IFERROR(VLOOKUP($B198,Platts!$E$5:$M$4994,MATCH(E$3,Platts!$F$5:$M$5,0)+1,FALSE),E197)</f>
        <v>40.42</v>
      </c>
      <c r="F198" s="6">
        <f>IFERROR(VLOOKUP($B198,Platts!$E$5:$M$4994,MATCH(F$3,Platts!$F$5:$M$5,0)+1,FALSE),F197)</f>
        <v>45.45</v>
      </c>
      <c r="G198" s="6">
        <f>IFERROR(VLOOKUP($B198,Platts!$E$5:$M$4994,MATCH(G$3,Platts!$F$5:$M$5,0)+1,FALSE),G197)</f>
        <v>46.37</v>
      </c>
      <c r="H198" s="6">
        <f>IFERROR(VLOOKUP($B198,Platts!$E$5:$M$4994,MATCH(H$3,Platts!$F$5:$M$5,0)+1,FALSE),H197)</f>
        <v>44.75</v>
      </c>
      <c r="I198" s="6">
        <f>IFERROR(VLOOKUP($B198,Platts!$E$5:$M$4994,MATCH(I$3,Platts!$F$5:$M$5,0)+1,FALSE),I197)</f>
        <v>46.35</v>
      </c>
      <c r="J198" s="6">
        <f t="shared" si="6"/>
        <v>5.7899999999999991</v>
      </c>
    </row>
    <row r="199" spans="2:10" x14ac:dyDescent="0.25">
      <c r="B199" s="5">
        <f t="shared" si="7"/>
        <v>42565</v>
      </c>
      <c r="C199" s="6">
        <f>IFERROR(VLOOKUP($B199,Platts!$E$5:$M$4994,MATCH(C$3,Platts!$F$5:$M$5,0)+1,FALSE),C198)</f>
        <v>39.92</v>
      </c>
      <c r="D199" s="6">
        <f>IFERROR(VLOOKUP($B199,Platts!$E$5:$M$4994,MATCH(D$3,Platts!$F$5:$M$5,0)+1,FALSE),D198)</f>
        <v>45.79</v>
      </c>
      <c r="E199" s="6">
        <f>IFERROR(VLOOKUP($B199,Platts!$E$5:$M$4994,MATCH(E$3,Platts!$F$5:$M$5,0)+1,FALSE),E198)</f>
        <v>40.96</v>
      </c>
      <c r="F199" s="6">
        <f>IFERROR(VLOOKUP($B199,Platts!$E$5:$M$4994,MATCH(F$3,Platts!$F$5:$M$5,0)+1,FALSE),F198)</f>
        <v>46.33</v>
      </c>
      <c r="G199" s="6">
        <f>IFERROR(VLOOKUP($B199,Platts!$E$5:$M$4994,MATCH(G$3,Platts!$F$5:$M$5,0)+1,FALSE),G198)</f>
        <v>47.45</v>
      </c>
      <c r="H199" s="6">
        <f>IFERROR(VLOOKUP($B199,Platts!$E$5:$M$4994,MATCH(H$3,Platts!$F$5:$M$5,0)+1,FALSE),H198)</f>
        <v>45.68</v>
      </c>
      <c r="I199" s="6">
        <f>IFERROR(VLOOKUP($B199,Platts!$E$5:$M$4994,MATCH(I$3,Platts!$F$5:$M$5,0)+1,FALSE),I198)</f>
        <v>47.38</v>
      </c>
      <c r="J199" s="6">
        <f t="shared" si="6"/>
        <v>5.759999999999998</v>
      </c>
    </row>
    <row r="200" spans="2:10" x14ac:dyDescent="0.25">
      <c r="B200" s="5">
        <f t="shared" si="7"/>
        <v>42566</v>
      </c>
      <c r="C200" s="6">
        <f>IFERROR(VLOOKUP($B200,Platts!$E$5:$M$4994,MATCH(C$3,Platts!$F$5:$M$5,0)+1,FALSE),C199)</f>
        <v>40.17</v>
      </c>
      <c r="D200" s="6">
        <f>IFERROR(VLOOKUP($B200,Platts!$E$5:$M$4994,MATCH(D$3,Platts!$F$5:$M$5,0)+1,FALSE),D199)</f>
        <v>46.17</v>
      </c>
      <c r="E200" s="6">
        <f>IFERROR(VLOOKUP($B200,Platts!$E$5:$M$4994,MATCH(E$3,Platts!$F$5:$M$5,0)+1,FALSE),E199)</f>
        <v>41.28</v>
      </c>
      <c r="F200" s="6">
        <f>IFERROR(VLOOKUP($B200,Platts!$E$5:$M$4994,MATCH(F$3,Platts!$F$5:$M$5,0)+1,FALSE),F199)</f>
        <v>46.73</v>
      </c>
      <c r="G200" s="6">
        <f>IFERROR(VLOOKUP($B200,Platts!$E$5:$M$4994,MATCH(G$3,Platts!$F$5:$M$5,0)+1,FALSE),G199)</f>
        <v>47.7</v>
      </c>
      <c r="H200" s="6">
        <f>IFERROR(VLOOKUP($B200,Platts!$E$5:$M$4994,MATCH(H$3,Platts!$F$5:$M$5,0)+1,FALSE),H199)</f>
        <v>45.95</v>
      </c>
      <c r="I200" s="6">
        <f>IFERROR(VLOOKUP($B200,Platts!$E$5:$M$4994,MATCH(I$3,Platts!$F$5:$M$5,0)+1,FALSE),I199)</f>
        <v>47.75</v>
      </c>
      <c r="J200" s="6">
        <f t="shared" si="6"/>
        <v>5.7800000000000011</v>
      </c>
    </row>
    <row r="201" spans="2:10" x14ac:dyDescent="0.25">
      <c r="B201" s="5">
        <f t="shared" si="7"/>
        <v>42567</v>
      </c>
      <c r="C201" s="6">
        <f>IFERROR(VLOOKUP($B201,Platts!$E$5:$M$4994,MATCH(C$3,Platts!$F$5:$M$5,0)+1,FALSE),C200)</f>
        <v>40.17</v>
      </c>
      <c r="D201" s="6">
        <f>IFERROR(VLOOKUP($B201,Platts!$E$5:$M$4994,MATCH(D$3,Platts!$F$5:$M$5,0)+1,FALSE),D200)</f>
        <v>46.17</v>
      </c>
      <c r="E201" s="6">
        <f>IFERROR(VLOOKUP($B201,Platts!$E$5:$M$4994,MATCH(E$3,Platts!$F$5:$M$5,0)+1,FALSE),E200)</f>
        <v>41.28</v>
      </c>
      <c r="F201" s="6">
        <f>IFERROR(VLOOKUP($B201,Platts!$E$5:$M$4994,MATCH(F$3,Platts!$F$5:$M$5,0)+1,FALSE),F200)</f>
        <v>46.73</v>
      </c>
      <c r="G201" s="6">
        <f>IFERROR(VLOOKUP($B201,Platts!$E$5:$M$4994,MATCH(G$3,Platts!$F$5:$M$5,0)+1,FALSE),G200)</f>
        <v>47.7</v>
      </c>
      <c r="H201" s="6">
        <f>IFERROR(VLOOKUP($B201,Platts!$E$5:$M$4994,MATCH(H$3,Platts!$F$5:$M$5,0)+1,FALSE),H200)</f>
        <v>45.95</v>
      </c>
      <c r="I201" s="6">
        <f>IFERROR(VLOOKUP($B201,Platts!$E$5:$M$4994,MATCH(I$3,Platts!$F$5:$M$5,0)+1,FALSE),I200)</f>
        <v>47.75</v>
      </c>
      <c r="J201" s="6">
        <f t="shared" si="6"/>
        <v>5.7800000000000011</v>
      </c>
    </row>
    <row r="202" spans="2:10" x14ac:dyDescent="0.25">
      <c r="B202" s="5">
        <f t="shared" si="7"/>
        <v>42568</v>
      </c>
      <c r="C202" s="6">
        <f>IFERROR(VLOOKUP($B202,Platts!$E$5:$M$4994,MATCH(C$3,Platts!$F$5:$M$5,0)+1,FALSE),C201)</f>
        <v>40.17</v>
      </c>
      <c r="D202" s="6">
        <f>IFERROR(VLOOKUP($B202,Platts!$E$5:$M$4994,MATCH(D$3,Platts!$F$5:$M$5,0)+1,FALSE),D201)</f>
        <v>46.17</v>
      </c>
      <c r="E202" s="6">
        <f>IFERROR(VLOOKUP($B202,Platts!$E$5:$M$4994,MATCH(E$3,Platts!$F$5:$M$5,0)+1,FALSE),E201)</f>
        <v>41.28</v>
      </c>
      <c r="F202" s="6">
        <f>IFERROR(VLOOKUP($B202,Platts!$E$5:$M$4994,MATCH(F$3,Platts!$F$5:$M$5,0)+1,FALSE),F201)</f>
        <v>46.73</v>
      </c>
      <c r="G202" s="6">
        <f>IFERROR(VLOOKUP($B202,Platts!$E$5:$M$4994,MATCH(G$3,Platts!$F$5:$M$5,0)+1,FALSE),G201)</f>
        <v>47.7</v>
      </c>
      <c r="H202" s="6">
        <f>IFERROR(VLOOKUP($B202,Platts!$E$5:$M$4994,MATCH(H$3,Platts!$F$5:$M$5,0)+1,FALSE),H201)</f>
        <v>45.95</v>
      </c>
      <c r="I202" s="6">
        <f>IFERROR(VLOOKUP($B202,Platts!$E$5:$M$4994,MATCH(I$3,Platts!$F$5:$M$5,0)+1,FALSE),I201)</f>
        <v>47.75</v>
      </c>
      <c r="J202" s="6">
        <f t="shared" si="6"/>
        <v>5.7800000000000011</v>
      </c>
    </row>
    <row r="203" spans="2:10" x14ac:dyDescent="0.25">
      <c r="B203" s="5">
        <f t="shared" si="7"/>
        <v>42569</v>
      </c>
      <c r="C203" s="6">
        <f>IFERROR(VLOOKUP($B203,Platts!$E$5:$M$4994,MATCH(C$3,Platts!$F$5:$M$5,0)+1,FALSE),C202)</f>
        <v>39.56</v>
      </c>
      <c r="D203" s="6">
        <f>IFERROR(VLOOKUP($B203,Platts!$E$5:$M$4994,MATCH(D$3,Platts!$F$5:$M$5,0)+1,FALSE),D202)</f>
        <v>45.47</v>
      </c>
      <c r="E203" s="6">
        <f>IFERROR(VLOOKUP($B203,Platts!$E$5:$M$4994,MATCH(E$3,Platts!$F$5:$M$5,0)+1,FALSE),E202)</f>
        <v>40.549999999999997</v>
      </c>
      <c r="F203" s="6">
        <f>IFERROR(VLOOKUP($B203,Platts!$E$5:$M$4994,MATCH(F$3,Platts!$F$5:$M$5,0)+1,FALSE),F202)</f>
        <v>46.07</v>
      </c>
      <c r="G203" s="6">
        <f>IFERROR(VLOOKUP($B203,Platts!$E$5:$M$4994,MATCH(G$3,Platts!$F$5:$M$5,0)+1,FALSE),G202)</f>
        <v>46.82</v>
      </c>
      <c r="H203" s="6">
        <f>IFERROR(VLOOKUP($B203,Platts!$E$5:$M$4994,MATCH(H$3,Platts!$F$5:$M$5,0)+1,FALSE),H202)</f>
        <v>45.24</v>
      </c>
      <c r="I203" s="6">
        <f>IFERROR(VLOOKUP($B203,Platts!$E$5:$M$4994,MATCH(I$3,Platts!$F$5:$M$5,0)+1,FALSE),I202)</f>
        <v>46.99</v>
      </c>
      <c r="J203" s="6">
        <f t="shared" si="6"/>
        <v>5.68</v>
      </c>
    </row>
    <row r="204" spans="2:10" x14ac:dyDescent="0.25">
      <c r="B204" s="5">
        <f t="shared" si="7"/>
        <v>42570</v>
      </c>
      <c r="C204" s="6">
        <f>IFERROR(VLOOKUP($B204,Platts!$E$5:$M$4994,MATCH(C$3,Platts!$F$5:$M$5,0)+1,FALSE),C203)</f>
        <v>39.15</v>
      </c>
      <c r="D204" s="6">
        <f>IFERROR(VLOOKUP($B204,Platts!$E$5:$M$4994,MATCH(D$3,Platts!$F$5:$M$5,0)+1,FALSE),D203)</f>
        <v>44.94</v>
      </c>
      <c r="E204" s="6">
        <f>IFERROR(VLOOKUP($B204,Platts!$E$5:$M$4994,MATCH(E$3,Platts!$F$5:$M$5,0)+1,FALSE),E203)</f>
        <v>40.049999999999997</v>
      </c>
      <c r="F204" s="6">
        <f>IFERROR(VLOOKUP($B204,Platts!$E$5:$M$4994,MATCH(F$3,Platts!$F$5:$M$5,0)+1,FALSE),F203)</f>
        <v>45.55</v>
      </c>
      <c r="G204" s="6">
        <f>IFERROR(VLOOKUP($B204,Platts!$E$5:$M$4994,MATCH(G$3,Platts!$F$5:$M$5,0)+1,FALSE),G203)</f>
        <v>47</v>
      </c>
      <c r="H204" s="6">
        <f>IFERROR(VLOOKUP($B204,Platts!$E$5:$M$4994,MATCH(H$3,Platts!$F$5:$M$5,0)+1,FALSE),H203)</f>
        <v>44.65</v>
      </c>
      <c r="I204" s="6">
        <f>IFERROR(VLOOKUP($B204,Platts!$E$5:$M$4994,MATCH(I$3,Platts!$F$5:$M$5,0)+1,FALSE),I203)</f>
        <v>46.4</v>
      </c>
      <c r="J204" s="6">
        <f t="shared" si="6"/>
        <v>5.5</v>
      </c>
    </row>
    <row r="205" spans="2:10" x14ac:dyDescent="0.25">
      <c r="B205" s="5">
        <f t="shared" si="7"/>
        <v>42571</v>
      </c>
      <c r="C205" s="6">
        <f>IFERROR(VLOOKUP($B205,Platts!$E$5:$M$4994,MATCH(C$3,Platts!$F$5:$M$5,0)+1,FALSE),C204)</f>
        <v>39.43</v>
      </c>
      <c r="D205" s="6">
        <f>IFERROR(VLOOKUP($B205,Platts!$E$5:$M$4994,MATCH(D$3,Platts!$F$5:$M$5,0)+1,FALSE),D204)</f>
        <v>45.36</v>
      </c>
      <c r="E205" s="6">
        <f>IFERROR(VLOOKUP($B205,Platts!$E$5:$M$4994,MATCH(E$3,Platts!$F$5:$M$5,0)+1,FALSE),E204)</f>
        <v>40.54</v>
      </c>
      <c r="F205" s="6">
        <f>IFERROR(VLOOKUP($B205,Platts!$E$5:$M$4994,MATCH(F$3,Platts!$F$5:$M$5,0)+1,FALSE),F204)</f>
        <v>45.97</v>
      </c>
      <c r="G205" s="6">
        <f>IFERROR(VLOOKUP($B205,Platts!$E$5:$M$4994,MATCH(G$3,Platts!$F$5:$M$5,0)+1,FALSE),G204)</f>
        <v>47.17</v>
      </c>
      <c r="H205" s="6">
        <f>IFERROR(VLOOKUP($B205,Platts!$E$5:$M$4994,MATCH(H$3,Platts!$F$5:$M$5,0)+1,FALSE),H204)</f>
        <v>44.94</v>
      </c>
      <c r="I205" s="6">
        <f>IFERROR(VLOOKUP($B205,Platts!$E$5:$M$4994,MATCH(I$3,Platts!$F$5:$M$5,0)+1,FALSE),I204)</f>
        <v>46.71</v>
      </c>
      <c r="J205" s="6">
        <f t="shared" si="6"/>
        <v>5.509999999999998</v>
      </c>
    </row>
    <row r="206" spans="2:10" x14ac:dyDescent="0.25">
      <c r="B206" s="5">
        <f t="shared" si="7"/>
        <v>42572</v>
      </c>
      <c r="C206" s="6">
        <f>IFERROR(VLOOKUP($B206,Platts!$E$5:$M$4994,MATCH(C$3,Platts!$F$5:$M$5,0)+1,FALSE),C205)</f>
        <v>38.86</v>
      </c>
      <c r="D206" s="6">
        <f>IFERROR(VLOOKUP($B206,Platts!$E$5:$M$4994,MATCH(D$3,Platts!$F$5:$M$5,0)+1,FALSE),D205)</f>
        <v>44.4</v>
      </c>
      <c r="E206" s="6">
        <f>IFERROR(VLOOKUP($B206,Platts!$E$5:$M$4994,MATCH(E$3,Platts!$F$5:$M$5,0)+1,FALSE),E205)</f>
        <v>39.56</v>
      </c>
      <c r="F206" s="6">
        <f>IFERROR(VLOOKUP($B206,Platts!$E$5:$M$4994,MATCH(F$3,Platts!$F$5:$M$5,0)+1,FALSE),F205)</f>
        <v>44.99</v>
      </c>
      <c r="G206" s="6">
        <f>IFERROR(VLOOKUP($B206,Platts!$E$5:$M$4994,MATCH(G$3,Platts!$F$5:$M$5,0)+1,FALSE),G205)</f>
        <v>46.77</v>
      </c>
      <c r="H206" s="6">
        <f>IFERROR(VLOOKUP($B206,Platts!$E$5:$M$4994,MATCH(H$3,Platts!$F$5:$M$5,0)+1,FALSE),H205)</f>
        <v>43.95</v>
      </c>
      <c r="I206" s="6">
        <f>IFERROR(VLOOKUP($B206,Platts!$E$5:$M$4994,MATCH(I$3,Platts!$F$5:$M$5,0)+1,FALSE),I205)</f>
        <v>45.7</v>
      </c>
      <c r="J206" s="6">
        <f t="shared" si="6"/>
        <v>5.0900000000000034</v>
      </c>
    </row>
    <row r="207" spans="2:10" x14ac:dyDescent="0.25">
      <c r="B207" s="5">
        <f t="shared" si="7"/>
        <v>42573</v>
      </c>
      <c r="C207" s="6">
        <f>IFERROR(VLOOKUP($B207,Platts!$E$5:$M$4994,MATCH(C$3,Platts!$F$5:$M$5,0)+1,FALSE),C206)</f>
        <v>37.97</v>
      </c>
      <c r="D207" s="6">
        <f>IFERROR(VLOOKUP($B207,Platts!$E$5:$M$4994,MATCH(D$3,Platts!$F$5:$M$5,0)+1,FALSE),D206)</f>
        <v>43.74</v>
      </c>
      <c r="E207" s="6">
        <f>IFERROR(VLOOKUP($B207,Platts!$E$5:$M$4994,MATCH(E$3,Platts!$F$5:$M$5,0)+1,FALSE),E206)</f>
        <v>38.94</v>
      </c>
      <c r="F207" s="6">
        <f>IFERROR(VLOOKUP($B207,Platts!$E$5:$M$4994,MATCH(F$3,Platts!$F$5:$M$5,0)+1,FALSE),F206)</f>
        <v>44.39</v>
      </c>
      <c r="G207" s="6">
        <f>IFERROR(VLOOKUP($B207,Platts!$E$5:$M$4994,MATCH(G$3,Platts!$F$5:$M$5,0)+1,FALSE),G206)</f>
        <v>45.42</v>
      </c>
      <c r="H207" s="6">
        <f>IFERROR(VLOOKUP($B207,Platts!$E$5:$M$4994,MATCH(H$3,Platts!$F$5:$M$5,0)+1,FALSE),H206)</f>
        <v>43.47</v>
      </c>
      <c r="I207" s="6">
        <f>IFERROR(VLOOKUP($B207,Platts!$E$5:$M$4994,MATCH(I$3,Platts!$F$5:$M$5,0)+1,FALSE),I206)</f>
        <v>45.02</v>
      </c>
      <c r="J207" s="6">
        <f t="shared" si="6"/>
        <v>5.5</v>
      </c>
    </row>
    <row r="208" spans="2:10" x14ac:dyDescent="0.25">
      <c r="B208" s="5">
        <f t="shared" si="7"/>
        <v>42574</v>
      </c>
      <c r="C208" s="6">
        <f>IFERROR(VLOOKUP($B208,Platts!$E$5:$M$4994,MATCH(C$3,Platts!$F$5:$M$5,0)+1,FALSE),C207)</f>
        <v>37.97</v>
      </c>
      <c r="D208" s="6">
        <f>IFERROR(VLOOKUP($B208,Platts!$E$5:$M$4994,MATCH(D$3,Platts!$F$5:$M$5,0)+1,FALSE),D207)</f>
        <v>43.74</v>
      </c>
      <c r="E208" s="6">
        <f>IFERROR(VLOOKUP($B208,Platts!$E$5:$M$4994,MATCH(E$3,Platts!$F$5:$M$5,0)+1,FALSE),E207)</f>
        <v>38.94</v>
      </c>
      <c r="F208" s="6">
        <f>IFERROR(VLOOKUP($B208,Platts!$E$5:$M$4994,MATCH(F$3,Platts!$F$5:$M$5,0)+1,FALSE),F207)</f>
        <v>44.39</v>
      </c>
      <c r="G208" s="6">
        <f>IFERROR(VLOOKUP($B208,Platts!$E$5:$M$4994,MATCH(G$3,Platts!$F$5:$M$5,0)+1,FALSE),G207)</f>
        <v>45.42</v>
      </c>
      <c r="H208" s="6">
        <f>IFERROR(VLOOKUP($B208,Platts!$E$5:$M$4994,MATCH(H$3,Platts!$F$5:$M$5,0)+1,FALSE),H207)</f>
        <v>43.47</v>
      </c>
      <c r="I208" s="6">
        <f>IFERROR(VLOOKUP($B208,Platts!$E$5:$M$4994,MATCH(I$3,Platts!$F$5:$M$5,0)+1,FALSE),I207)</f>
        <v>45.02</v>
      </c>
      <c r="J208" s="6">
        <f t="shared" si="6"/>
        <v>5.5</v>
      </c>
    </row>
    <row r="209" spans="2:10" x14ac:dyDescent="0.25">
      <c r="B209" s="5">
        <f t="shared" si="7"/>
        <v>42575</v>
      </c>
      <c r="C209" s="6">
        <f>IFERROR(VLOOKUP($B209,Platts!$E$5:$M$4994,MATCH(C$3,Platts!$F$5:$M$5,0)+1,FALSE),C208)</f>
        <v>37.97</v>
      </c>
      <c r="D209" s="6">
        <f>IFERROR(VLOOKUP($B209,Platts!$E$5:$M$4994,MATCH(D$3,Platts!$F$5:$M$5,0)+1,FALSE),D208)</f>
        <v>43.74</v>
      </c>
      <c r="E209" s="6">
        <f>IFERROR(VLOOKUP($B209,Platts!$E$5:$M$4994,MATCH(E$3,Platts!$F$5:$M$5,0)+1,FALSE),E208)</f>
        <v>38.94</v>
      </c>
      <c r="F209" s="6">
        <f>IFERROR(VLOOKUP($B209,Platts!$E$5:$M$4994,MATCH(F$3,Platts!$F$5:$M$5,0)+1,FALSE),F208)</f>
        <v>44.39</v>
      </c>
      <c r="G209" s="6">
        <f>IFERROR(VLOOKUP($B209,Platts!$E$5:$M$4994,MATCH(G$3,Platts!$F$5:$M$5,0)+1,FALSE),G208)</f>
        <v>45.42</v>
      </c>
      <c r="H209" s="6">
        <f>IFERROR(VLOOKUP($B209,Platts!$E$5:$M$4994,MATCH(H$3,Platts!$F$5:$M$5,0)+1,FALSE),H208)</f>
        <v>43.47</v>
      </c>
      <c r="I209" s="6">
        <f>IFERROR(VLOOKUP($B209,Platts!$E$5:$M$4994,MATCH(I$3,Platts!$F$5:$M$5,0)+1,FALSE),I208)</f>
        <v>45.02</v>
      </c>
      <c r="J209" s="6">
        <f t="shared" si="6"/>
        <v>5.5</v>
      </c>
    </row>
    <row r="210" spans="2:10" x14ac:dyDescent="0.25">
      <c r="B210" s="5">
        <f t="shared" si="7"/>
        <v>42576</v>
      </c>
      <c r="C210" s="6">
        <f>IFERROR(VLOOKUP($B210,Platts!$E$5:$M$4994,MATCH(C$3,Platts!$F$5:$M$5,0)+1,FALSE),C209)</f>
        <v>37.200000000000003</v>
      </c>
      <c r="D210" s="6">
        <f>IFERROR(VLOOKUP($B210,Platts!$E$5:$M$4994,MATCH(D$3,Platts!$F$5:$M$5,0)+1,FALSE),D209)</f>
        <v>42.58</v>
      </c>
      <c r="E210" s="6">
        <f>IFERROR(VLOOKUP($B210,Platts!$E$5:$M$4994,MATCH(E$3,Platts!$F$5:$M$5,0)+1,FALSE),E209)</f>
        <v>37.89</v>
      </c>
      <c r="F210" s="6">
        <f>IFERROR(VLOOKUP($B210,Platts!$E$5:$M$4994,MATCH(F$3,Platts!$F$5:$M$5,0)+1,FALSE),F209)</f>
        <v>43.28</v>
      </c>
      <c r="G210" s="6">
        <f>IFERROR(VLOOKUP($B210,Platts!$E$5:$M$4994,MATCH(G$3,Platts!$F$5:$M$5,0)+1,FALSE),G209)</f>
        <v>44.88</v>
      </c>
      <c r="H210" s="6">
        <f>IFERROR(VLOOKUP($B210,Platts!$E$5:$M$4994,MATCH(H$3,Platts!$F$5:$M$5,0)+1,FALSE),H209)</f>
        <v>42.43</v>
      </c>
      <c r="I210" s="6">
        <f>IFERROR(VLOOKUP($B210,Platts!$E$5:$M$4994,MATCH(I$3,Platts!$F$5:$M$5,0)+1,FALSE),I209)</f>
        <v>43.83</v>
      </c>
      <c r="J210" s="6">
        <f t="shared" si="6"/>
        <v>5.2299999999999969</v>
      </c>
    </row>
    <row r="211" spans="2:10" x14ac:dyDescent="0.25">
      <c r="B211" s="5">
        <f t="shared" si="7"/>
        <v>42577</v>
      </c>
      <c r="C211" s="6">
        <f>IFERROR(VLOOKUP($B211,Platts!$E$5:$M$4994,MATCH(C$3,Platts!$F$5:$M$5,0)+1,FALSE),C210)</f>
        <v>37.17</v>
      </c>
      <c r="D211" s="6">
        <f>IFERROR(VLOOKUP($B211,Platts!$E$5:$M$4994,MATCH(D$3,Platts!$F$5:$M$5,0)+1,FALSE),D210)</f>
        <v>43.12</v>
      </c>
      <c r="E211" s="6">
        <f>IFERROR(VLOOKUP($B211,Platts!$E$5:$M$4994,MATCH(E$3,Platts!$F$5:$M$5,0)+1,FALSE),E210)</f>
        <v>38.130000000000003</v>
      </c>
      <c r="F211" s="6">
        <f>IFERROR(VLOOKUP($B211,Platts!$E$5:$M$4994,MATCH(F$3,Platts!$F$5:$M$5,0)+1,FALSE),F210)</f>
        <v>43.74</v>
      </c>
      <c r="G211" s="6">
        <f>IFERROR(VLOOKUP($B211,Platts!$E$5:$M$4994,MATCH(G$3,Platts!$F$5:$M$5,0)+1,FALSE),G210)</f>
        <v>44.71</v>
      </c>
      <c r="H211" s="6">
        <f>IFERROR(VLOOKUP($B211,Platts!$E$5:$M$4994,MATCH(H$3,Platts!$F$5:$M$5,0)+1,FALSE),H210)</f>
        <v>42.92</v>
      </c>
      <c r="I211" s="6">
        <f>IFERROR(VLOOKUP($B211,Platts!$E$5:$M$4994,MATCH(I$3,Platts!$F$5:$M$5,0)+1,FALSE),I210)</f>
        <v>44.6</v>
      </c>
      <c r="J211" s="6">
        <f t="shared" si="6"/>
        <v>5.75</v>
      </c>
    </row>
    <row r="212" spans="2:10" x14ac:dyDescent="0.25">
      <c r="B212" s="5">
        <f t="shared" si="7"/>
        <v>42578</v>
      </c>
      <c r="C212" s="6">
        <f>IFERROR(VLOOKUP($B212,Platts!$E$5:$M$4994,MATCH(C$3,Platts!$F$5:$M$5,0)+1,FALSE),C211)</f>
        <v>36.51</v>
      </c>
      <c r="D212" s="6">
        <f>IFERROR(VLOOKUP($B212,Platts!$E$5:$M$4994,MATCH(D$3,Platts!$F$5:$M$5,0)+1,FALSE),D211)</f>
        <v>42.02</v>
      </c>
      <c r="E212" s="6">
        <f>IFERROR(VLOOKUP($B212,Platts!$E$5:$M$4994,MATCH(E$3,Platts!$F$5:$M$5,0)+1,FALSE),E211)</f>
        <v>37.06</v>
      </c>
      <c r="F212" s="6">
        <f>IFERROR(VLOOKUP($B212,Platts!$E$5:$M$4994,MATCH(F$3,Platts!$F$5:$M$5,0)+1,FALSE),F211)</f>
        <v>42.62</v>
      </c>
      <c r="G212" s="6">
        <f>IFERROR(VLOOKUP($B212,Platts!$E$5:$M$4994,MATCH(G$3,Platts!$F$5:$M$5,0)+1,FALSE),G211)</f>
        <v>44.02</v>
      </c>
      <c r="H212" s="6">
        <f>IFERROR(VLOOKUP($B212,Platts!$E$5:$M$4994,MATCH(H$3,Platts!$F$5:$M$5,0)+1,FALSE),H211)</f>
        <v>41.92</v>
      </c>
      <c r="I212" s="6">
        <f>IFERROR(VLOOKUP($B212,Platts!$E$5:$M$4994,MATCH(I$3,Platts!$F$5:$M$5,0)+1,FALSE),I211)</f>
        <v>43.67</v>
      </c>
      <c r="J212" s="6">
        <f t="shared" si="6"/>
        <v>5.4100000000000037</v>
      </c>
    </row>
    <row r="213" spans="2:10" x14ac:dyDescent="0.25">
      <c r="B213" s="5">
        <f t="shared" si="7"/>
        <v>42579</v>
      </c>
      <c r="C213" s="6">
        <f>IFERROR(VLOOKUP($B213,Platts!$E$5:$M$4994,MATCH(C$3,Platts!$F$5:$M$5,0)+1,FALSE),C212)</f>
        <v>35.96</v>
      </c>
      <c r="D213" s="6">
        <f>IFERROR(VLOOKUP($B213,Platts!$E$5:$M$4994,MATCH(D$3,Platts!$F$5:$M$5,0)+1,FALSE),D212)</f>
        <v>41.19</v>
      </c>
      <c r="E213" s="6">
        <f>IFERROR(VLOOKUP($B213,Platts!$E$5:$M$4994,MATCH(E$3,Platts!$F$5:$M$5,0)+1,FALSE),E212)</f>
        <v>36.479999999999997</v>
      </c>
      <c r="F213" s="6">
        <f>IFERROR(VLOOKUP($B213,Platts!$E$5:$M$4994,MATCH(F$3,Platts!$F$5:$M$5,0)+1,FALSE),F212)</f>
        <v>41.75</v>
      </c>
      <c r="G213" s="6">
        <f>IFERROR(VLOOKUP($B213,Platts!$E$5:$M$4994,MATCH(G$3,Platts!$F$5:$M$5,0)+1,FALSE),G212)</f>
        <v>42.95</v>
      </c>
      <c r="H213" s="6">
        <f>IFERROR(VLOOKUP($B213,Platts!$E$5:$M$4994,MATCH(H$3,Platts!$F$5:$M$5,0)+1,FALSE),H212)</f>
        <v>41.14</v>
      </c>
      <c r="I213" s="6">
        <f>IFERROR(VLOOKUP($B213,Platts!$E$5:$M$4994,MATCH(I$3,Platts!$F$5:$M$5,0)+1,FALSE),I212)</f>
        <v>42.79</v>
      </c>
      <c r="J213" s="6">
        <f t="shared" si="6"/>
        <v>5.18</v>
      </c>
    </row>
    <row r="214" spans="2:10" x14ac:dyDescent="0.25">
      <c r="B214" s="5">
        <f t="shared" si="7"/>
        <v>42580</v>
      </c>
      <c r="C214" s="6">
        <f>IFERROR(VLOOKUP($B214,Platts!$E$5:$M$4994,MATCH(C$3,Platts!$F$5:$M$5,0)+1,FALSE),C213)</f>
        <v>35.92</v>
      </c>
      <c r="D214" s="6">
        <f>IFERROR(VLOOKUP($B214,Platts!$E$5:$M$4994,MATCH(D$3,Platts!$F$5:$M$5,0)+1,FALSE),D213)</f>
        <v>41.43</v>
      </c>
      <c r="E214" s="6">
        <f>IFERROR(VLOOKUP($B214,Platts!$E$5:$M$4994,MATCH(E$3,Platts!$F$5:$M$5,0)+1,FALSE),E213)</f>
        <v>36.71</v>
      </c>
      <c r="F214" s="6">
        <f>IFERROR(VLOOKUP($B214,Platts!$E$5:$M$4994,MATCH(F$3,Platts!$F$5:$M$5,0)+1,FALSE),F213)</f>
        <v>41.92</v>
      </c>
      <c r="G214" s="6">
        <f>IFERROR(VLOOKUP($B214,Platts!$E$5:$M$4994,MATCH(G$3,Platts!$F$5:$M$5,0)+1,FALSE),G213)</f>
        <v>42.44</v>
      </c>
      <c r="H214" s="6">
        <f>IFERROR(VLOOKUP($B214,Platts!$E$5:$M$4994,MATCH(H$3,Platts!$F$5:$M$5,0)+1,FALSE),H213)</f>
        <v>41.6</v>
      </c>
      <c r="I214" s="6">
        <f>IFERROR(VLOOKUP($B214,Platts!$E$5:$M$4994,MATCH(I$3,Platts!$F$5:$M$5,0)+1,FALSE),I213)</f>
        <v>43.2</v>
      </c>
      <c r="J214" s="6">
        <f t="shared" si="6"/>
        <v>5.68</v>
      </c>
    </row>
    <row r="215" spans="2:10" x14ac:dyDescent="0.25">
      <c r="B215" s="5">
        <f t="shared" si="7"/>
        <v>42581</v>
      </c>
      <c r="C215" s="6">
        <f>IFERROR(VLOOKUP($B215,Platts!$E$5:$M$4994,MATCH(C$3,Platts!$F$5:$M$5,0)+1,FALSE),C214)</f>
        <v>35.92</v>
      </c>
      <c r="D215" s="6">
        <f>IFERROR(VLOOKUP($B215,Platts!$E$5:$M$4994,MATCH(D$3,Platts!$F$5:$M$5,0)+1,FALSE),D214)</f>
        <v>41.43</v>
      </c>
      <c r="E215" s="6">
        <f>IFERROR(VLOOKUP($B215,Platts!$E$5:$M$4994,MATCH(E$3,Platts!$F$5:$M$5,0)+1,FALSE),E214)</f>
        <v>36.71</v>
      </c>
      <c r="F215" s="6">
        <f>IFERROR(VLOOKUP($B215,Platts!$E$5:$M$4994,MATCH(F$3,Platts!$F$5:$M$5,0)+1,FALSE),F214)</f>
        <v>41.92</v>
      </c>
      <c r="G215" s="6">
        <f>IFERROR(VLOOKUP($B215,Platts!$E$5:$M$4994,MATCH(G$3,Platts!$F$5:$M$5,0)+1,FALSE),G214)</f>
        <v>42.44</v>
      </c>
      <c r="H215" s="6">
        <f>IFERROR(VLOOKUP($B215,Platts!$E$5:$M$4994,MATCH(H$3,Platts!$F$5:$M$5,0)+1,FALSE),H214)</f>
        <v>41.6</v>
      </c>
      <c r="I215" s="6">
        <f>IFERROR(VLOOKUP($B215,Platts!$E$5:$M$4994,MATCH(I$3,Platts!$F$5:$M$5,0)+1,FALSE),I214)</f>
        <v>43.2</v>
      </c>
      <c r="J215" s="6">
        <f t="shared" si="6"/>
        <v>5.68</v>
      </c>
    </row>
    <row r="216" spans="2:10" x14ac:dyDescent="0.25">
      <c r="B216" s="5">
        <f t="shared" si="7"/>
        <v>42582</v>
      </c>
      <c r="C216" s="6">
        <f>IFERROR(VLOOKUP($B216,Platts!$E$5:$M$4994,MATCH(C$3,Platts!$F$5:$M$5,0)+1,FALSE),C215)</f>
        <v>35.92</v>
      </c>
      <c r="D216" s="6">
        <f>IFERROR(VLOOKUP($B216,Platts!$E$5:$M$4994,MATCH(D$3,Platts!$F$5:$M$5,0)+1,FALSE),D215)</f>
        <v>41.43</v>
      </c>
      <c r="E216" s="6">
        <f>IFERROR(VLOOKUP($B216,Platts!$E$5:$M$4994,MATCH(E$3,Platts!$F$5:$M$5,0)+1,FALSE),E215)</f>
        <v>36.71</v>
      </c>
      <c r="F216" s="6">
        <f>IFERROR(VLOOKUP($B216,Platts!$E$5:$M$4994,MATCH(F$3,Platts!$F$5:$M$5,0)+1,FALSE),F215)</f>
        <v>41.92</v>
      </c>
      <c r="G216" s="6">
        <f>IFERROR(VLOOKUP($B216,Platts!$E$5:$M$4994,MATCH(G$3,Platts!$F$5:$M$5,0)+1,FALSE),G215)</f>
        <v>42.44</v>
      </c>
      <c r="H216" s="6">
        <f>IFERROR(VLOOKUP($B216,Platts!$E$5:$M$4994,MATCH(H$3,Platts!$F$5:$M$5,0)+1,FALSE),H215)</f>
        <v>41.6</v>
      </c>
      <c r="I216" s="6">
        <f>IFERROR(VLOOKUP($B216,Platts!$E$5:$M$4994,MATCH(I$3,Platts!$F$5:$M$5,0)+1,FALSE),I215)</f>
        <v>43.2</v>
      </c>
      <c r="J216" s="6">
        <f t="shared" si="6"/>
        <v>5.68</v>
      </c>
    </row>
    <row r="217" spans="2:10" x14ac:dyDescent="0.25">
      <c r="B217" s="5">
        <f t="shared" si="7"/>
        <v>42583</v>
      </c>
      <c r="C217" s="6">
        <f>IFERROR(VLOOKUP($B217,Platts!$E$5:$M$4994,MATCH(C$3,Platts!$F$5:$M$5,0)+1,FALSE),C216)</f>
        <v>34.17</v>
      </c>
      <c r="D217" s="6">
        <f>IFERROR(VLOOKUP($B217,Platts!$E$5:$M$4994,MATCH(D$3,Platts!$F$5:$M$5,0)+1,FALSE),D216)</f>
        <v>39.54</v>
      </c>
      <c r="E217" s="6">
        <f>IFERROR(VLOOKUP($B217,Platts!$E$5:$M$4994,MATCH(E$3,Platts!$F$5:$M$5,0)+1,FALSE),E216)</f>
        <v>34.94</v>
      </c>
      <c r="F217" s="6">
        <f>IFERROR(VLOOKUP($B217,Platts!$E$5:$M$4994,MATCH(F$3,Platts!$F$5:$M$5,0)+1,FALSE),F216)</f>
        <v>40.270000000000003</v>
      </c>
      <c r="G217" s="6">
        <f>IFERROR(VLOOKUP($B217,Platts!$E$5:$M$4994,MATCH(G$3,Platts!$F$5:$M$5,0)+1,FALSE),G216)</f>
        <v>42.14</v>
      </c>
      <c r="H217" s="6">
        <f>IFERROR(VLOOKUP($B217,Platts!$E$5:$M$4994,MATCH(H$3,Platts!$F$5:$M$5,0)+1,FALSE),H216)</f>
        <v>40.06</v>
      </c>
      <c r="I217" s="6">
        <f>IFERROR(VLOOKUP($B217,Platts!$E$5:$M$4994,MATCH(I$3,Platts!$F$5:$M$5,0)+1,FALSE),I216)</f>
        <v>41.61</v>
      </c>
      <c r="J217" s="6">
        <f t="shared" si="6"/>
        <v>5.8900000000000006</v>
      </c>
    </row>
    <row r="218" spans="2:10" x14ac:dyDescent="0.25">
      <c r="B218" s="5">
        <f t="shared" si="7"/>
        <v>42584</v>
      </c>
      <c r="C218" s="6">
        <f>IFERROR(VLOOKUP($B218,Platts!$E$5:$M$4994,MATCH(C$3,Platts!$F$5:$M$5,0)+1,FALSE),C217)</f>
        <v>33.619999999999997</v>
      </c>
      <c r="D218" s="6">
        <f>IFERROR(VLOOKUP($B218,Platts!$E$5:$M$4994,MATCH(D$3,Platts!$F$5:$M$5,0)+1,FALSE),D217)</f>
        <v>39.11</v>
      </c>
      <c r="E218" s="6">
        <f>IFERROR(VLOOKUP($B218,Platts!$E$5:$M$4994,MATCH(E$3,Platts!$F$5:$M$5,0)+1,FALSE),E217)</f>
        <v>33.840000000000003</v>
      </c>
      <c r="F218" s="6">
        <f>IFERROR(VLOOKUP($B218,Platts!$E$5:$M$4994,MATCH(F$3,Platts!$F$5:$M$5,0)+1,FALSE),F217)</f>
        <v>39.869999999999997</v>
      </c>
      <c r="G218" s="6">
        <f>IFERROR(VLOOKUP($B218,Platts!$E$5:$M$4994,MATCH(G$3,Platts!$F$5:$M$5,0)+1,FALSE),G217)</f>
        <v>42.1</v>
      </c>
      <c r="H218" s="6">
        <f>IFERROR(VLOOKUP($B218,Platts!$E$5:$M$4994,MATCH(H$3,Platts!$F$5:$M$5,0)+1,FALSE),H217)</f>
        <v>39.51</v>
      </c>
      <c r="I218" s="6">
        <f>IFERROR(VLOOKUP($B218,Platts!$E$5:$M$4994,MATCH(I$3,Platts!$F$5:$M$5,0)+1,FALSE),I217)</f>
        <v>41.21</v>
      </c>
      <c r="J218" s="6">
        <f t="shared" si="6"/>
        <v>5.8900000000000006</v>
      </c>
    </row>
    <row r="219" spans="2:10" x14ac:dyDescent="0.25">
      <c r="B219" s="5">
        <f t="shared" si="7"/>
        <v>42585</v>
      </c>
      <c r="C219" s="6">
        <f>IFERROR(VLOOKUP($B219,Platts!$E$5:$M$4994,MATCH(C$3,Platts!$F$5:$M$5,0)+1,FALSE),C218)</f>
        <v>34.19</v>
      </c>
      <c r="D219" s="6">
        <f>IFERROR(VLOOKUP($B219,Platts!$E$5:$M$4994,MATCH(D$3,Platts!$F$5:$M$5,0)+1,FALSE),D218)</f>
        <v>40.520000000000003</v>
      </c>
      <c r="E219" s="6">
        <f>IFERROR(VLOOKUP($B219,Platts!$E$5:$M$4994,MATCH(E$3,Platts!$F$5:$M$5,0)+1,FALSE),E218)</f>
        <v>35.01</v>
      </c>
      <c r="F219" s="6">
        <f>IFERROR(VLOOKUP($B219,Platts!$E$5:$M$4994,MATCH(F$3,Platts!$F$5:$M$5,0)+1,FALSE),F218)</f>
        <v>41.35</v>
      </c>
      <c r="G219" s="6">
        <f>IFERROR(VLOOKUP($B219,Platts!$E$5:$M$4994,MATCH(G$3,Platts!$F$5:$M$5,0)+1,FALSE),G218)</f>
        <v>42.51</v>
      </c>
      <c r="H219" s="6">
        <f>IFERROR(VLOOKUP($B219,Platts!$E$5:$M$4994,MATCH(H$3,Platts!$F$5:$M$5,0)+1,FALSE),H218)</f>
        <v>40.83</v>
      </c>
      <c r="I219" s="6">
        <f>IFERROR(VLOOKUP($B219,Platts!$E$5:$M$4994,MATCH(I$3,Platts!$F$5:$M$5,0)+1,FALSE),I218)</f>
        <v>42.43</v>
      </c>
      <c r="J219" s="6">
        <f t="shared" si="6"/>
        <v>6.6400000000000006</v>
      </c>
    </row>
    <row r="220" spans="2:10" x14ac:dyDescent="0.25">
      <c r="B220" s="5">
        <f t="shared" si="7"/>
        <v>42586</v>
      </c>
      <c r="C220" s="6">
        <f>IFERROR(VLOOKUP($B220,Platts!$E$5:$M$4994,MATCH(C$3,Platts!$F$5:$M$5,0)+1,FALSE),C219)</f>
        <v>35.31</v>
      </c>
      <c r="D220" s="6">
        <f>IFERROR(VLOOKUP($B220,Platts!$E$5:$M$4994,MATCH(D$3,Platts!$F$5:$M$5,0)+1,FALSE),D219)</f>
        <v>41.59</v>
      </c>
      <c r="E220" s="6">
        <f>IFERROR(VLOOKUP($B220,Platts!$E$5:$M$4994,MATCH(E$3,Platts!$F$5:$M$5,0)+1,FALSE),E219)</f>
        <v>36.090000000000003</v>
      </c>
      <c r="F220" s="6">
        <f>IFERROR(VLOOKUP($B220,Platts!$E$5:$M$4994,MATCH(F$3,Platts!$F$5:$M$5,0)+1,FALSE),F219)</f>
        <v>42.35</v>
      </c>
      <c r="G220" s="6">
        <f>IFERROR(VLOOKUP($B220,Platts!$E$5:$M$4994,MATCH(G$3,Platts!$F$5:$M$5,0)+1,FALSE),G219)</f>
        <v>43.37</v>
      </c>
      <c r="H220" s="6">
        <f>IFERROR(VLOOKUP($B220,Platts!$E$5:$M$4994,MATCH(H$3,Platts!$F$5:$M$5,0)+1,FALSE),H219)</f>
        <v>41.93</v>
      </c>
      <c r="I220" s="6">
        <f>IFERROR(VLOOKUP($B220,Platts!$E$5:$M$4994,MATCH(I$3,Platts!$F$5:$M$5,0)+1,FALSE),I219)</f>
        <v>43.53</v>
      </c>
      <c r="J220" s="6">
        <f t="shared" si="6"/>
        <v>6.6199999999999974</v>
      </c>
    </row>
    <row r="221" spans="2:10" x14ac:dyDescent="0.25">
      <c r="B221" s="5">
        <f t="shared" si="7"/>
        <v>42587</v>
      </c>
      <c r="C221" s="6">
        <f>IFERROR(VLOOKUP($B221,Platts!$E$5:$M$4994,MATCH(C$3,Platts!$F$5:$M$5,0)+1,FALSE),C220)</f>
        <v>35.44</v>
      </c>
      <c r="D221" s="6">
        <f>IFERROR(VLOOKUP($B221,Platts!$E$5:$M$4994,MATCH(D$3,Platts!$F$5:$M$5,0)+1,FALSE),D220)</f>
        <v>41.55</v>
      </c>
      <c r="E221" s="6">
        <f>IFERROR(VLOOKUP($B221,Platts!$E$5:$M$4994,MATCH(E$3,Platts!$F$5:$M$5,0)+1,FALSE),E220)</f>
        <v>35.950000000000003</v>
      </c>
      <c r="F221" s="6">
        <f>IFERROR(VLOOKUP($B221,Platts!$E$5:$M$4994,MATCH(F$3,Platts!$F$5:$M$5,0)+1,FALSE),F220)</f>
        <v>42.36</v>
      </c>
      <c r="G221" s="6">
        <f>IFERROR(VLOOKUP($B221,Platts!$E$5:$M$4994,MATCH(G$3,Platts!$F$5:$M$5,0)+1,FALSE),G220)</f>
        <v>43.65</v>
      </c>
      <c r="H221" s="6">
        <f>IFERROR(VLOOKUP($B221,Platts!$E$5:$M$4994,MATCH(H$3,Platts!$F$5:$M$5,0)+1,FALSE),H220)</f>
        <v>41.8</v>
      </c>
      <c r="I221" s="6">
        <f>IFERROR(VLOOKUP($B221,Platts!$E$5:$M$4994,MATCH(I$3,Platts!$F$5:$M$5,0)+1,FALSE),I220)</f>
        <v>43.45</v>
      </c>
      <c r="J221" s="6">
        <f t="shared" si="6"/>
        <v>6.3599999999999994</v>
      </c>
    </row>
    <row r="222" spans="2:10" x14ac:dyDescent="0.25">
      <c r="B222" s="5">
        <f t="shared" si="7"/>
        <v>42588</v>
      </c>
      <c r="C222" s="6">
        <f>IFERROR(VLOOKUP($B222,Platts!$E$5:$M$4994,MATCH(C$3,Platts!$F$5:$M$5,0)+1,FALSE),C221)</f>
        <v>35.44</v>
      </c>
      <c r="D222" s="6">
        <f>IFERROR(VLOOKUP($B222,Platts!$E$5:$M$4994,MATCH(D$3,Platts!$F$5:$M$5,0)+1,FALSE),D221)</f>
        <v>41.55</v>
      </c>
      <c r="E222" s="6">
        <f>IFERROR(VLOOKUP($B222,Platts!$E$5:$M$4994,MATCH(E$3,Platts!$F$5:$M$5,0)+1,FALSE),E221)</f>
        <v>35.950000000000003</v>
      </c>
      <c r="F222" s="6">
        <f>IFERROR(VLOOKUP($B222,Platts!$E$5:$M$4994,MATCH(F$3,Platts!$F$5:$M$5,0)+1,FALSE),F221)</f>
        <v>42.36</v>
      </c>
      <c r="G222" s="6">
        <f>IFERROR(VLOOKUP($B222,Platts!$E$5:$M$4994,MATCH(G$3,Platts!$F$5:$M$5,0)+1,FALSE),G221)</f>
        <v>43.65</v>
      </c>
      <c r="H222" s="6">
        <f>IFERROR(VLOOKUP($B222,Platts!$E$5:$M$4994,MATCH(H$3,Platts!$F$5:$M$5,0)+1,FALSE),H221)</f>
        <v>41.8</v>
      </c>
      <c r="I222" s="6">
        <f>IFERROR(VLOOKUP($B222,Platts!$E$5:$M$4994,MATCH(I$3,Platts!$F$5:$M$5,0)+1,FALSE),I221)</f>
        <v>43.45</v>
      </c>
      <c r="J222" s="6">
        <f t="shared" si="6"/>
        <v>6.3599999999999994</v>
      </c>
    </row>
    <row r="223" spans="2:10" x14ac:dyDescent="0.25">
      <c r="B223" s="5">
        <f t="shared" si="7"/>
        <v>42589</v>
      </c>
      <c r="C223" s="6">
        <f>IFERROR(VLOOKUP($B223,Platts!$E$5:$M$4994,MATCH(C$3,Platts!$F$5:$M$5,0)+1,FALSE),C222)</f>
        <v>35.44</v>
      </c>
      <c r="D223" s="6">
        <f>IFERROR(VLOOKUP($B223,Platts!$E$5:$M$4994,MATCH(D$3,Platts!$F$5:$M$5,0)+1,FALSE),D222)</f>
        <v>41.55</v>
      </c>
      <c r="E223" s="6">
        <f>IFERROR(VLOOKUP($B223,Platts!$E$5:$M$4994,MATCH(E$3,Platts!$F$5:$M$5,0)+1,FALSE),E222)</f>
        <v>35.950000000000003</v>
      </c>
      <c r="F223" s="6">
        <f>IFERROR(VLOOKUP($B223,Platts!$E$5:$M$4994,MATCH(F$3,Platts!$F$5:$M$5,0)+1,FALSE),F222)</f>
        <v>42.36</v>
      </c>
      <c r="G223" s="6">
        <f>IFERROR(VLOOKUP($B223,Platts!$E$5:$M$4994,MATCH(G$3,Platts!$F$5:$M$5,0)+1,FALSE),G222)</f>
        <v>43.65</v>
      </c>
      <c r="H223" s="6">
        <f>IFERROR(VLOOKUP($B223,Platts!$E$5:$M$4994,MATCH(H$3,Platts!$F$5:$M$5,0)+1,FALSE),H222)</f>
        <v>41.8</v>
      </c>
      <c r="I223" s="6">
        <f>IFERROR(VLOOKUP($B223,Platts!$E$5:$M$4994,MATCH(I$3,Platts!$F$5:$M$5,0)+1,FALSE),I222)</f>
        <v>43.45</v>
      </c>
      <c r="J223" s="6">
        <f t="shared" si="6"/>
        <v>6.3599999999999994</v>
      </c>
    </row>
    <row r="224" spans="2:10" x14ac:dyDescent="0.25">
      <c r="B224" s="5">
        <f t="shared" si="7"/>
        <v>42590</v>
      </c>
      <c r="C224" s="6">
        <f>IFERROR(VLOOKUP($B224,Platts!$E$5:$M$4994,MATCH(C$3,Platts!$F$5:$M$5,0)+1,FALSE),C223)</f>
        <v>36.65</v>
      </c>
      <c r="D224" s="6">
        <f>IFERROR(VLOOKUP($B224,Platts!$E$5:$M$4994,MATCH(D$3,Platts!$F$5:$M$5,0)+1,FALSE),D223)</f>
        <v>42.71</v>
      </c>
      <c r="E224" s="6">
        <f>IFERROR(VLOOKUP($B224,Platts!$E$5:$M$4994,MATCH(E$3,Platts!$F$5:$M$5,0)+1,FALSE),E223)</f>
        <v>37.15</v>
      </c>
      <c r="F224" s="6">
        <f>IFERROR(VLOOKUP($B224,Platts!$E$5:$M$4994,MATCH(F$3,Platts!$F$5:$M$5,0)+1,FALSE),F223)</f>
        <v>43.46</v>
      </c>
      <c r="G224" s="6">
        <f>IFERROR(VLOOKUP($B224,Platts!$E$5:$M$4994,MATCH(G$3,Platts!$F$5:$M$5,0)+1,FALSE),G223)</f>
        <v>45.25</v>
      </c>
      <c r="H224" s="6">
        <f>IFERROR(VLOOKUP($B224,Platts!$E$5:$M$4994,MATCH(H$3,Platts!$F$5:$M$5,0)+1,FALSE),H223)</f>
        <v>43.02</v>
      </c>
      <c r="I224" s="6">
        <f>IFERROR(VLOOKUP($B224,Platts!$E$5:$M$4994,MATCH(I$3,Platts!$F$5:$M$5,0)+1,FALSE),I223)</f>
        <v>44.62</v>
      </c>
      <c r="J224" s="6">
        <f t="shared" si="6"/>
        <v>6.3700000000000045</v>
      </c>
    </row>
    <row r="225" spans="2:10" x14ac:dyDescent="0.25">
      <c r="B225" s="5">
        <f t="shared" si="7"/>
        <v>42591</v>
      </c>
      <c r="C225" s="6">
        <f>IFERROR(VLOOKUP($B225,Platts!$E$5:$M$4994,MATCH(C$3,Platts!$F$5:$M$5,0)+1,FALSE),C224)</f>
        <v>36.65</v>
      </c>
      <c r="D225" s="6">
        <f>IFERROR(VLOOKUP($B225,Platts!$E$5:$M$4994,MATCH(D$3,Platts!$F$5:$M$5,0)+1,FALSE),D224)</f>
        <v>42.41</v>
      </c>
      <c r="E225" s="6">
        <f>IFERROR(VLOOKUP($B225,Platts!$E$5:$M$4994,MATCH(E$3,Platts!$F$5:$M$5,0)+1,FALSE),E224)</f>
        <v>36.76</v>
      </c>
      <c r="F225" s="6">
        <f>IFERROR(VLOOKUP($B225,Platts!$E$5:$M$4994,MATCH(F$3,Platts!$F$5:$M$5,0)+1,FALSE),F224)</f>
        <v>43.15</v>
      </c>
      <c r="G225" s="6">
        <f>IFERROR(VLOOKUP($B225,Platts!$E$5:$M$4994,MATCH(G$3,Platts!$F$5:$M$5,0)+1,FALSE),G224)</f>
        <v>45.31</v>
      </c>
      <c r="H225" s="6">
        <f>IFERROR(VLOOKUP($B225,Platts!$E$5:$M$4994,MATCH(H$3,Platts!$F$5:$M$5,0)+1,FALSE),H224)</f>
        <v>42.77</v>
      </c>
      <c r="I225" s="6">
        <f>IFERROR(VLOOKUP($B225,Platts!$E$5:$M$4994,MATCH(I$3,Platts!$F$5:$M$5,0)+1,FALSE),I224)</f>
        <v>44.42</v>
      </c>
      <c r="J225" s="6">
        <f t="shared" si="6"/>
        <v>6.1200000000000045</v>
      </c>
    </row>
    <row r="226" spans="2:10" x14ac:dyDescent="0.25">
      <c r="B226" s="5">
        <f t="shared" si="7"/>
        <v>42592</v>
      </c>
      <c r="C226" s="6">
        <f>IFERROR(VLOOKUP($B226,Platts!$E$5:$M$4994,MATCH(C$3,Platts!$F$5:$M$5,0)+1,FALSE),C225)</f>
        <v>35.89</v>
      </c>
      <c r="D226" s="6">
        <f>IFERROR(VLOOKUP($B226,Platts!$E$5:$M$4994,MATCH(D$3,Platts!$F$5:$M$5,0)+1,FALSE),D225)</f>
        <v>41.31</v>
      </c>
      <c r="E226" s="6">
        <f>IFERROR(VLOOKUP($B226,Platts!$E$5:$M$4994,MATCH(E$3,Platts!$F$5:$M$5,0)+1,FALSE),E225)</f>
        <v>35.869999999999997</v>
      </c>
      <c r="F226" s="6">
        <f>IFERROR(VLOOKUP($B226,Platts!$E$5:$M$4994,MATCH(F$3,Platts!$F$5:$M$5,0)+1,FALSE),F225)</f>
        <v>42.05</v>
      </c>
      <c r="G226" s="6">
        <f>IFERROR(VLOOKUP($B226,Platts!$E$5:$M$4994,MATCH(G$3,Platts!$F$5:$M$5,0)+1,FALSE),G225)</f>
        <v>44.25</v>
      </c>
      <c r="H226" s="6">
        <f>IFERROR(VLOOKUP($B226,Platts!$E$5:$M$4994,MATCH(H$3,Platts!$F$5:$M$5,0)+1,FALSE),H225)</f>
        <v>41.71</v>
      </c>
      <c r="I226" s="6">
        <f>IFERROR(VLOOKUP($B226,Platts!$E$5:$M$4994,MATCH(I$3,Platts!$F$5:$M$5,0)+1,FALSE),I225)</f>
        <v>43.36</v>
      </c>
      <c r="J226" s="6">
        <f t="shared" si="6"/>
        <v>5.82</v>
      </c>
    </row>
    <row r="227" spans="2:10" x14ac:dyDescent="0.25">
      <c r="B227" s="5">
        <f t="shared" si="7"/>
        <v>42593</v>
      </c>
      <c r="C227" s="6">
        <f>IFERROR(VLOOKUP($B227,Platts!$E$5:$M$4994,MATCH(C$3,Platts!$F$5:$M$5,0)+1,FALSE),C226)</f>
        <v>36.97</v>
      </c>
      <c r="D227" s="6">
        <f>IFERROR(VLOOKUP($B227,Platts!$E$5:$M$4994,MATCH(D$3,Platts!$F$5:$M$5,0)+1,FALSE),D226)</f>
        <v>43.11</v>
      </c>
      <c r="E227" s="6">
        <f>IFERROR(VLOOKUP($B227,Platts!$E$5:$M$4994,MATCH(E$3,Platts!$F$5:$M$5,0)+1,FALSE),E226)</f>
        <v>37.57</v>
      </c>
      <c r="F227" s="6">
        <f>IFERROR(VLOOKUP($B227,Platts!$E$5:$M$4994,MATCH(F$3,Platts!$F$5:$M$5,0)+1,FALSE),F226)</f>
        <v>43.88</v>
      </c>
      <c r="G227" s="6">
        <f>IFERROR(VLOOKUP($B227,Platts!$E$5:$M$4994,MATCH(G$3,Platts!$F$5:$M$5,0)+1,FALSE),G226)</f>
        <v>45.84</v>
      </c>
      <c r="H227" s="6">
        <f>IFERROR(VLOOKUP($B227,Platts!$E$5:$M$4994,MATCH(H$3,Platts!$F$5:$M$5,0)+1,FALSE),H226)</f>
        <v>43.49</v>
      </c>
      <c r="I227" s="6">
        <f>IFERROR(VLOOKUP($B227,Platts!$E$5:$M$4994,MATCH(I$3,Platts!$F$5:$M$5,0)+1,FALSE),I226)</f>
        <v>45.16</v>
      </c>
      <c r="J227" s="6">
        <f t="shared" si="6"/>
        <v>6.5200000000000031</v>
      </c>
    </row>
    <row r="228" spans="2:10" x14ac:dyDescent="0.25">
      <c r="B228" s="5">
        <f t="shared" si="7"/>
        <v>42594</v>
      </c>
      <c r="C228" s="6">
        <f>IFERROR(VLOOKUP($B228,Platts!$E$5:$M$4994,MATCH(C$3,Platts!$F$5:$M$5,0)+1,FALSE),C227)</f>
        <v>38.22</v>
      </c>
      <c r="D228" s="6">
        <f>IFERROR(VLOOKUP($B228,Platts!$E$5:$M$4994,MATCH(D$3,Platts!$F$5:$M$5,0)+1,FALSE),D227)</f>
        <v>44.2</v>
      </c>
      <c r="E228" s="6">
        <f>IFERROR(VLOOKUP($B228,Platts!$E$5:$M$4994,MATCH(E$3,Platts!$F$5:$M$5,0)+1,FALSE),E227)</f>
        <v>38.51</v>
      </c>
      <c r="F228" s="6">
        <f>IFERROR(VLOOKUP($B228,Platts!$E$5:$M$4994,MATCH(F$3,Platts!$F$5:$M$5,0)+1,FALSE),F227)</f>
        <v>45.03</v>
      </c>
      <c r="G228" s="6">
        <f>IFERROR(VLOOKUP($B228,Platts!$E$5:$M$4994,MATCH(G$3,Platts!$F$5:$M$5,0)+1,FALSE),G227)</f>
        <v>46.8</v>
      </c>
      <c r="H228" s="6">
        <f>IFERROR(VLOOKUP($B228,Platts!$E$5:$M$4994,MATCH(H$3,Platts!$F$5:$M$5,0)+1,FALSE),H227)</f>
        <v>44.49</v>
      </c>
      <c r="I228" s="6">
        <f>IFERROR(VLOOKUP($B228,Platts!$E$5:$M$4994,MATCH(I$3,Platts!$F$5:$M$5,0)+1,FALSE),I227)</f>
        <v>46.16</v>
      </c>
      <c r="J228" s="6">
        <f t="shared" si="6"/>
        <v>6.2700000000000031</v>
      </c>
    </row>
    <row r="229" spans="2:10" x14ac:dyDescent="0.25">
      <c r="B229" s="5">
        <f t="shared" si="7"/>
        <v>42595</v>
      </c>
      <c r="C229" s="6">
        <f>IFERROR(VLOOKUP($B229,Platts!$E$5:$M$4994,MATCH(C$3,Platts!$F$5:$M$5,0)+1,FALSE),C228)</f>
        <v>38.22</v>
      </c>
      <c r="D229" s="6">
        <f>IFERROR(VLOOKUP($B229,Platts!$E$5:$M$4994,MATCH(D$3,Platts!$F$5:$M$5,0)+1,FALSE),D228)</f>
        <v>44.2</v>
      </c>
      <c r="E229" s="6">
        <f>IFERROR(VLOOKUP($B229,Platts!$E$5:$M$4994,MATCH(E$3,Platts!$F$5:$M$5,0)+1,FALSE),E228)</f>
        <v>38.51</v>
      </c>
      <c r="F229" s="6">
        <f>IFERROR(VLOOKUP($B229,Platts!$E$5:$M$4994,MATCH(F$3,Platts!$F$5:$M$5,0)+1,FALSE),F228)</f>
        <v>45.03</v>
      </c>
      <c r="G229" s="6">
        <f>IFERROR(VLOOKUP($B229,Platts!$E$5:$M$4994,MATCH(G$3,Platts!$F$5:$M$5,0)+1,FALSE),G228)</f>
        <v>46.8</v>
      </c>
      <c r="H229" s="6">
        <f>IFERROR(VLOOKUP($B229,Platts!$E$5:$M$4994,MATCH(H$3,Platts!$F$5:$M$5,0)+1,FALSE),H228)</f>
        <v>44.49</v>
      </c>
      <c r="I229" s="6">
        <f>IFERROR(VLOOKUP($B229,Platts!$E$5:$M$4994,MATCH(I$3,Platts!$F$5:$M$5,0)+1,FALSE),I228)</f>
        <v>46.16</v>
      </c>
      <c r="J229" s="6">
        <f t="shared" si="6"/>
        <v>6.2700000000000031</v>
      </c>
    </row>
    <row r="230" spans="2:10" x14ac:dyDescent="0.25">
      <c r="B230" s="5">
        <f t="shared" si="7"/>
        <v>42596</v>
      </c>
      <c r="C230" s="6">
        <f>IFERROR(VLOOKUP($B230,Platts!$E$5:$M$4994,MATCH(C$3,Platts!$F$5:$M$5,0)+1,FALSE),C229)</f>
        <v>38.22</v>
      </c>
      <c r="D230" s="6">
        <f>IFERROR(VLOOKUP($B230,Platts!$E$5:$M$4994,MATCH(D$3,Platts!$F$5:$M$5,0)+1,FALSE),D229)</f>
        <v>44.2</v>
      </c>
      <c r="E230" s="6">
        <f>IFERROR(VLOOKUP($B230,Platts!$E$5:$M$4994,MATCH(E$3,Platts!$F$5:$M$5,0)+1,FALSE),E229)</f>
        <v>38.51</v>
      </c>
      <c r="F230" s="6">
        <f>IFERROR(VLOOKUP($B230,Platts!$E$5:$M$4994,MATCH(F$3,Platts!$F$5:$M$5,0)+1,FALSE),F229)</f>
        <v>45.03</v>
      </c>
      <c r="G230" s="6">
        <f>IFERROR(VLOOKUP($B230,Platts!$E$5:$M$4994,MATCH(G$3,Platts!$F$5:$M$5,0)+1,FALSE),G229)</f>
        <v>46.8</v>
      </c>
      <c r="H230" s="6">
        <f>IFERROR(VLOOKUP($B230,Platts!$E$5:$M$4994,MATCH(H$3,Platts!$F$5:$M$5,0)+1,FALSE),H229)</f>
        <v>44.49</v>
      </c>
      <c r="I230" s="6">
        <f>IFERROR(VLOOKUP($B230,Platts!$E$5:$M$4994,MATCH(I$3,Platts!$F$5:$M$5,0)+1,FALSE),I229)</f>
        <v>46.16</v>
      </c>
      <c r="J230" s="6">
        <f t="shared" si="6"/>
        <v>6.2700000000000031</v>
      </c>
    </row>
    <row r="231" spans="2:10" x14ac:dyDescent="0.25">
      <c r="B231" s="5">
        <f t="shared" si="7"/>
        <v>42597</v>
      </c>
      <c r="C231" s="6">
        <f>IFERROR(VLOOKUP($B231,Platts!$E$5:$M$4994,MATCH(C$3,Platts!$F$5:$M$5,0)+1,FALSE),C230)</f>
        <v>39.54</v>
      </c>
      <c r="D231" s="6">
        <f>IFERROR(VLOOKUP($B231,Platts!$E$5:$M$4994,MATCH(D$3,Platts!$F$5:$M$5,0)+1,FALSE),D230)</f>
        <v>45.38</v>
      </c>
      <c r="E231" s="6">
        <f>IFERROR(VLOOKUP($B231,Platts!$E$5:$M$4994,MATCH(E$3,Platts!$F$5:$M$5,0)+1,FALSE),E230)</f>
        <v>39.64</v>
      </c>
      <c r="F231" s="6">
        <f>IFERROR(VLOOKUP($B231,Platts!$E$5:$M$4994,MATCH(F$3,Platts!$F$5:$M$5,0)+1,FALSE),F230)</f>
        <v>46.27</v>
      </c>
      <c r="G231" s="6">
        <f>IFERROR(VLOOKUP($B231,Platts!$E$5:$M$4994,MATCH(G$3,Platts!$F$5:$M$5,0)+1,FALSE),G230)</f>
        <v>48.15</v>
      </c>
      <c r="H231" s="6">
        <f>IFERROR(VLOOKUP($B231,Platts!$E$5:$M$4994,MATCH(H$3,Platts!$F$5:$M$5,0)+1,FALSE),H230)</f>
        <v>45.74</v>
      </c>
      <c r="I231" s="6">
        <f>IFERROR(VLOOKUP($B231,Platts!$E$5:$M$4994,MATCH(I$3,Platts!$F$5:$M$5,0)+1,FALSE),I230)</f>
        <v>47.41</v>
      </c>
      <c r="J231" s="6">
        <f t="shared" si="6"/>
        <v>6.2000000000000028</v>
      </c>
    </row>
    <row r="232" spans="2:10" x14ac:dyDescent="0.25">
      <c r="B232" s="5">
        <f t="shared" si="7"/>
        <v>42598</v>
      </c>
      <c r="C232" s="6">
        <f>IFERROR(VLOOKUP($B232,Platts!$E$5:$M$4994,MATCH(C$3,Platts!$F$5:$M$5,0)+1,FALSE),C231)</f>
        <v>40.44</v>
      </c>
      <c r="D232" s="6">
        <f>IFERROR(VLOOKUP($B232,Platts!$E$5:$M$4994,MATCH(D$3,Platts!$F$5:$M$5,0)+1,FALSE),D231)</f>
        <v>46.14</v>
      </c>
      <c r="E232" s="6">
        <f>IFERROR(VLOOKUP($B232,Platts!$E$5:$M$4994,MATCH(E$3,Platts!$F$5:$M$5,0)+1,FALSE),E231)</f>
        <v>40.56</v>
      </c>
      <c r="F232" s="6">
        <f>IFERROR(VLOOKUP($B232,Platts!$E$5:$M$4994,MATCH(F$3,Platts!$F$5:$M$5,0)+1,FALSE),F231)</f>
        <v>47.04</v>
      </c>
      <c r="G232" s="6">
        <f>IFERROR(VLOOKUP($B232,Platts!$E$5:$M$4994,MATCH(G$3,Platts!$F$5:$M$5,0)+1,FALSE),G231)</f>
        <v>49.02</v>
      </c>
      <c r="H232" s="6">
        <f>IFERROR(VLOOKUP($B232,Platts!$E$5:$M$4994,MATCH(H$3,Platts!$F$5:$M$5,0)+1,FALSE),H231)</f>
        <v>46.58</v>
      </c>
      <c r="I232" s="6">
        <f>IFERROR(VLOOKUP($B232,Platts!$E$5:$M$4994,MATCH(I$3,Platts!$F$5:$M$5,0)+1,FALSE),I231)</f>
        <v>48.28</v>
      </c>
      <c r="J232" s="6">
        <f t="shared" si="6"/>
        <v>6.1400000000000006</v>
      </c>
    </row>
    <row r="233" spans="2:10" x14ac:dyDescent="0.25">
      <c r="B233" s="5">
        <f t="shared" si="7"/>
        <v>42599</v>
      </c>
      <c r="C233" s="6">
        <f>IFERROR(VLOOKUP($B233,Platts!$E$5:$M$4994,MATCH(C$3,Platts!$F$5:$M$5,0)+1,FALSE),C232)</f>
        <v>40.94</v>
      </c>
      <c r="D233" s="6">
        <f>IFERROR(VLOOKUP($B233,Platts!$E$5:$M$4994,MATCH(D$3,Platts!$F$5:$M$5,0)+1,FALSE),D232)</f>
        <v>46.5</v>
      </c>
      <c r="E233" s="6">
        <f>IFERROR(VLOOKUP($B233,Platts!$E$5:$M$4994,MATCH(E$3,Platts!$F$5:$M$5,0)+1,FALSE),E232)</f>
        <v>40.82</v>
      </c>
      <c r="F233" s="6">
        <f>IFERROR(VLOOKUP($B233,Platts!$E$5:$M$4994,MATCH(F$3,Platts!$F$5:$M$5,0)+1,FALSE),F232)</f>
        <v>47.44</v>
      </c>
      <c r="G233" s="6">
        <f>IFERROR(VLOOKUP($B233,Platts!$E$5:$M$4994,MATCH(G$3,Platts!$F$5:$M$5,0)+1,FALSE),G232)</f>
        <v>49.29</v>
      </c>
      <c r="H233" s="6">
        <f>IFERROR(VLOOKUP($B233,Platts!$E$5:$M$4994,MATCH(H$3,Platts!$F$5:$M$5,0)+1,FALSE),H232)</f>
        <v>46.79</v>
      </c>
      <c r="I233" s="6">
        <f>IFERROR(VLOOKUP($B233,Platts!$E$5:$M$4994,MATCH(I$3,Platts!$F$5:$M$5,0)+1,FALSE),I232)</f>
        <v>48.44</v>
      </c>
      <c r="J233" s="6">
        <f t="shared" si="6"/>
        <v>5.8500000000000014</v>
      </c>
    </row>
    <row r="234" spans="2:10" x14ac:dyDescent="0.25">
      <c r="B234" s="5">
        <f t="shared" si="7"/>
        <v>42600</v>
      </c>
      <c r="C234" s="6">
        <f>IFERROR(VLOOKUP($B234,Platts!$E$5:$M$4994,MATCH(C$3,Platts!$F$5:$M$5,0)+1,FALSE),C233)</f>
        <v>42.13</v>
      </c>
      <c r="D234" s="6">
        <f>IFERROR(VLOOKUP($B234,Platts!$E$5:$M$4994,MATCH(D$3,Platts!$F$5:$M$5,0)+1,FALSE),D233)</f>
        <v>47.83</v>
      </c>
      <c r="E234" s="6">
        <f>IFERROR(VLOOKUP($B234,Platts!$E$5:$M$4994,MATCH(E$3,Platts!$F$5:$M$5,0)+1,FALSE),E233)</f>
        <v>42.42</v>
      </c>
      <c r="F234" s="6">
        <f>IFERROR(VLOOKUP($B234,Platts!$E$5:$M$4994,MATCH(F$3,Platts!$F$5:$M$5,0)+1,FALSE),F233)</f>
        <v>48.72</v>
      </c>
      <c r="G234" s="6">
        <f>IFERROR(VLOOKUP($B234,Platts!$E$5:$M$4994,MATCH(G$3,Platts!$F$5:$M$5,0)+1,FALSE),G233)</f>
        <v>50.65</v>
      </c>
      <c r="H234" s="6">
        <f>IFERROR(VLOOKUP($B234,Platts!$E$5:$M$4994,MATCH(H$3,Platts!$F$5:$M$5,0)+1,FALSE),H233)</f>
        <v>48.22</v>
      </c>
      <c r="I234" s="6">
        <f>IFERROR(VLOOKUP($B234,Platts!$E$5:$M$4994,MATCH(I$3,Platts!$F$5:$M$5,0)+1,FALSE),I233)</f>
        <v>49.87</v>
      </c>
      <c r="J234" s="6">
        <f t="shared" si="6"/>
        <v>6.0899999999999963</v>
      </c>
    </row>
    <row r="235" spans="2:10" x14ac:dyDescent="0.25">
      <c r="B235" s="5">
        <f t="shared" si="7"/>
        <v>42601</v>
      </c>
      <c r="C235" s="6">
        <f>IFERROR(VLOOKUP($B235,Platts!$E$5:$M$4994,MATCH(C$3,Platts!$F$5:$M$5,0)+1,FALSE),C234)</f>
        <v>42.32</v>
      </c>
      <c r="D235" s="6">
        <f>IFERROR(VLOOKUP($B235,Platts!$E$5:$M$4994,MATCH(D$3,Platts!$F$5:$M$5,0)+1,FALSE),D234)</f>
        <v>48.12</v>
      </c>
      <c r="E235" s="6">
        <f>IFERROR(VLOOKUP($B235,Platts!$E$5:$M$4994,MATCH(E$3,Platts!$F$5:$M$5,0)+1,FALSE),E234)</f>
        <v>42.65</v>
      </c>
      <c r="F235" s="6">
        <f>IFERROR(VLOOKUP($B235,Platts!$E$5:$M$4994,MATCH(F$3,Platts!$F$5:$M$5,0)+1,FALSE),F234)</f>
        <v>48.94</v>
      </c>
      <c r="G235" s="6">
        <f>IFERROR(VLOOKUP($B235,Platts!$E$5:$M$4994,MATCH(G$3,Platts!$F$5:$M$5,0)+1,FALSE),G234)</f>
        <v>50.65</v>
      </c>
      <c r="H235" s="6">
        <f>IFERROR(VLOOKUP($B235,Platts!$E$5:$M$4994,MATCH(H$3,Platts!$F$5:$M$5,0)+1,FALSE),H234)</f>
        <v>48.52</v>
      </c>
      <c r="I235" s="6">
        <f>IFERROR(VLOOKUP($B235,Platts!$E$5:$M$4994,MATCH(I$3,Platts!$F$5:$M$5,0)+1,FALSE),I234)</f>
        <v>50.07</v>
      </c>
      <c r="J235" s="6">
        <f t="shared" si="6"/>
        <v>6.2000000000000028</v>
      </c>
    </row>
    <row r="236" spans="2:10" x14ac:dyDescent="0.25">
      <c r="B236" s="5">
        <f t="shared" si="7"/>
        <v>42602</v>
      </c>
      <c r="C236" s="6">
        <f>IFERROR(VLOOKUP($B236,Platts!$E$5:$M$4994,MATCH(C$3,Platts!$F$5:$M$5,0)+1,FALSE),C235)</f>
        <v>42.32</v>
      </c>
      <c r="D236" s="6">
        <f>IFERROR(VLOOKUP($B236,Platts!$E$5:$M$4994,MATCH(D$3,Platts!$F$5:$M$5,0)+1,FALSE),D235)</f>
        <v>48.12</v>
      </c>
      <c r="E236" s="6">
        <f>IFERROR(VLOOKUP($B236,Platts!$E$5:$M$4994,MATCH(E$3,Platts!$F$5:$M$5,0)+1,FALSE),E235)</f>
        <v>42.65</v>
      </c>
      <c r="F236" s="6">
        <f>IFERROR(VLOOKUP($B236,Platts!$E$5:$M$4994,MATCH(F$3,Platts!$F$5:$M$5,0)+1,FALSE),F235)</f>
        <v>48.94</v>
      </c>
      <c r="G236" s="6">
        <f>IFERROR(VLOOKUP($B236,Platts!$E$5:$M$4994,MATCH(G$3,Platts!$F$5:$M$5,0)+1,FALSE),G235)</f>
        <v>50.65</v>
      </c>
      <c r="H236" s="6">
        <f>IFERROR(VLOOKUP($B236,Platts!$E$5:$M$4994,MATCH(H$3,Platts!$F$5:$M$5,0)+1,FALSE),H235)</f>
        <v>48.52</v>
      </c>
      <c r="I236" s="6">
        <f>IFERROR(VLOOKUP($B236,Platts!$E$5:$M$4994,MATCH(I$3,Platts!$F$5:$M$5,0)+1,FALSE),I235)</f>
        <v>50.07</v>
      </c>
      <c r="J236" s="6">
        <f t="shared" si="6"/>
        <v>6.2000000000000028</v>
      </c>
    </row>
    <row r="237" spans="2:10" x14ac:dyDescent="0.25">
      <c r="B237" s="5">
        <f t="shared" si="7"/>
        <v>42603</v>
      </c>
      <c r="C237" s="6">
        <f>IFERROR(VLOOKUP($B237,Platts!$E$5:$M$4994,MATCH(C$3,Platts!$F$5:$M$5,0)+1,FALSE),C236)</f>
        <v>42.32</v>
      </c>
      <c r="D237" s="6">
        <f>IFERROR(VLOOKUP($B237,Platts!$E$5:$M$4994,MATCH(D$3,Platts!$F$5:$M$5,0)+1,FALSE),D236)</f>
        <v>48.12</v>
      </c>
      <c r="E237" s="6">
        <f>IFERROR(VLOOKUP($B237,Platts!$E$5:$M$4994,MATCH(E$3,Platts!$F$5:$M$5,0)+1,FALSE),E236)</f>
        <v>42.65</v>
      </c>
      <c r="F237" s="6">
        <f>IFERROR(VLOOKUP($B237,Platts!$E$5:$M$4994,MATCH(F$3,Platts!$F$5:$M$5,0)+1,FALSE),F236)</f>
        <v>48.94</v>
      </c>
      <c r="G237" s="6">
        <f>IFERROR(VLOOKUP($B237,Platts!$E$5:$M$4994,MATCH(G$3,Platts!$F$5:$M$5,0)+1,FALSE),G236)</f>
        <v>50.65</v>
      </c>
      <c r="H237" s="6">
        <f>IFERROR(VLOOKUP($B237,Platts!$E$5:$M$4994,MATCH(H$3,Platts!$F$5:$M$5,0)+1,FALSE),H236)</f>
        <v>48.52</v>
      </c>
      <c r="I237" s="6">
        <f>IFERROR(VLOOKUP($B237,Platts!$E$5:$M$4994,MATCH(I$3,Platts!$F$5:$M$5,0)+1,FALSE),I236)</f>
        <v>50.07</v>
      </c>
      <c r="J237" s="6">
        <f t="shared" si="6"/>
        <v>6.2000000000000028</v>
      </c>
    </row>
    <row r="238" spans="2:10" x14ac:dyDescent="0.25">
      <c r="B238" s="5">
        <f t="shared" si="7"/>
        <v>42604</v>
      </c>
      <c r="C238" s="6">
        <f>IFERROR(VLOOKUP($B238,Platts!$E$5:$M$4994,MATCH(C$3,Platts!$F$5:$M$5,0)+1,FALSE),C237)</f>
        <v>41.22</v>
      </c>
      <c r="D238" s="6">
        <f>IFERROR(VLOOKUP($B238,Platts!$E$5:$M$4994,MATCH(D$3,Platts!$F$5:$M$5,0)+1,FALSE),D237)</f>
        <v>46.6</v>
      </c>
      <c r="E238" s="6">
        <f>IFERROR(VLOOKUP($B238,Platts!$E$5:$M$4994,MATCH(E$3,Platts!$F$5:$M$5,0)+1,FALSE),E237)</f>
        <v>41.35</v>
      </c>
      <c r="F238" s="6">
        <f>IFERROR(VLOOKUP($B238,Platts!$E$5:$M$4994,MATCH(F$3,Platts!$F$5:$M$5,0)+1,FALSE),F237)</f>
        <v>47.39</v>
      </c>
      <c r="G238" s="6">
        <f>IFERROR(VLOOKUP($B238,Platts!$E$5:$M$4994,MATCH(G$3,Platts!$F$5:$M$5,0)+1,FALSE),G237)</f>
        <v>49.49</v>
      </c>
      <c r="H238" s="6">
        <f>IFERROR(VLOOKUP($B238,Platts!$E$5:$M$4994,MATCH(H$3,Platts!$F$5:$M$5,0)+1,FALSE),H237)</f>
        <v>47.05</v>
      </c>
      <c r="I238" s="6">
        <f>IFERROR(VLOOKUP($B238,Platts!$E$5:$M$4994,MATCH(I$3,Platts!$F$5:$M$5,0)+1,FALSE),I237)</f>
        <v>48.6</v>
      </c>
      <c r="J238" s="6">
        <f t="shared" si="6"/>
        <v>5.8299999999999983</v>
      </c>
    </row>
    <row r="239" spans="2:10" x14ac:dyDescent="0.25">
      <c r="B239" s="5">
        <f t="shared" si="7"/>
        <v>42605</v>
      </c>
      <c r="C239" s="6">
        <f>IFERROR(VLOOKUP($B239,Platts!$E$5:$M$4994,MATCH(C$3,Platts!$F$5:$M$5,0)+1,FALSE),C238)</f>
        <v>41.27</v>
      </c>
      <c r="D239" s="6">
        <f>IFERROR(VLOOKUP($B239,Platts!$E$5:$M$4994,MATCH(D$3,Platts!$F$5:$M$5,0)+1,FALSE),D238)</f>
        <v>46.95</v>
      </c>
      <c r="E239" s="6">
        <f>IFERROR(VLOOKUP($B239,Platts!$E$5:$M$4994,MATCH(E$3,Platts!$F$5:$M$5,0)+1,FALSE),E238)</f>
        <v>41.62</v>
      </c>
      <c r="F239" s="6">
        <f>IFERROR(VLOOKUP($B239,Platts!$E$5:$M$4994,MATCH(F$3,Platts!$F$5:$M$5,0)+1,FALSE),F238)</f>
        <v>47.82</v>
      </c>
      <c r="G239" s="6">
        <f>IFERROR(VLOOKUP($B239,Platts!$E$5:$M$4994,MATCH(G$3,Platts!$F$5:$M$5,0)+1,FALSE),G238)</f>
        <v>50</v>
      </c>
      <c r="H239" s="6">
        <f>IFERROR(VLOOKUP($B239,Platts!$E$5:$M$4994,MATCH(H$3,Platts!$F$5:$M$5,0)+1,FALSE),H238)</f>
        <v>47.65</v>
      </c>
      <c r="I239" s="6">
        <f>IFERROR(VLOOKUP($B239,Platts!$E$5:$M$4994,MATCH(I$3,Platts!$F$5:$M$5,0)+1,FALSE),I238)</f>
        <v>48.9</v>
      </c>
      <c r="J239" s="6">
        <f t="shared" si="6"/>
        <v>6.3799999999999955</v>
      </c>
    </row>
    <row r="240" spans="2:10" x14ac:dyDescent="0.25">
      <c r="B240" s="5">
        <f t="shared" si="7"/>
        <v>42606</v>
      </c>
      <c r="C240" s="6">
        <f>IFERROR(VLOOKUP($B240,Platts!$E$5:$M$4994,MATCH(C$3,Platts!$F$5:$M$5,0)+1,FALSE),C239)</f>
        <v>40.46</v>
      </c>
      <c r="D240" s="6">
        <f>IFERROR(VLOOKUP($B240,Platts!$E$5:$M$4994,MATCH(D$3,Platts!$F$5:$M$5,0)+1,FALSE),D239)</f>
        <v>45.69</v>
      </c>
      <c r="E240" s="6">
        <f>IFERROR(VLOOKUP($B240,Platts!$E$5:$M$4994,MATCH(E$3,Platts!$F$5:$M$5,0)+1,FALSE),E239)</f>
        <v>40.58</v>
      </c>
      <c r="F240" s="6">
        <f>IFERROR(VLOOKUP($B240,Platts!$E$5:$M$4994,MATCH(F$3,Platts!$F$5:$M$5,0)+1,FALSE),F239)</f>
        <v>46.63</v>
      </c>
      <c r="G240" s="6">
        <f>IFERROR(VLOOKUP($B240,Platts!$E$5:$M$4994,MATCH(G$3,Platts!$F$5:$M$5,0)+1,FALSE),G239)</f>
        <v>48.89</v>
      </c>
      <c r="H240" s="6">
        <f>IFERROR(VLOOKUP($B240,Platts!$E$5:$M$4994,MATCH(H$3,Platts!$F$5:$M$5,0)+1,FALSE),H239)</f>
        <v>46.42</v>
      </c>
      <c r="I240" s="6">
        <f>IFERROR(VLOOKUP($B240,Platts!$E$5:$M$4994,MATCH(I$3,Platts!$F$5:$M$5,0)+1,FALSE),I239)</f>
        <v>47.42</v>
      </c>
      <c r="J240" s="6">
        <f t="shared" si="6"/>
        <v>5.9600000000000009</v>
      </c>
    </row>
    <row r="241" spans="2:10" x14ac:dyDescent="0.25">
      <c r="B241" s="5">
        <f t="shared" si="7"/>
        <v>42607</v>
      </c>
      <c r="C241" s="6">
        <f>IFERROR(VLOOKUP($B241,Platts!$E$5:$M$4994,MATCH(C$3,Platts!$F$5:$M$5,0)+1,FALSE),C240)</f>
        <v>40.9</v>
      </c>
      <c r="D241" s="6">
        <f>IFERROR(VLOOKUP($B241,Platts!$E$5:$M$4994,MATCH(D$3,Platts!$F$5:$M$5,0)+1,FALSE),D240)</f>
        <v>46.05</v>
      </c>
      <c r="E241" s="6">
        <f>IFERROR(VLOOKUP($B241,Platts!$E$5:$M$4994,MATCH(E$3,Platts!$F$5:$M$5,0)+1,FALSE),E240)</f>
        <v>40.89</v>
      </c>
      <c r="F241" s="6">
        <f>IFERROR(VLOOKUP($B241,Platts!$E$5:$M$4994,MATCH(F$3,Platts!$F$5:$M$5,0)+1,FALSE),F240)</f>
        <v>47.06</v>
      </c>
      <c r="G241" s="6">
        <f>IFERROR(VLOOKUP($B241,Platts!$E$5:$M$4994,MATCH(G$3,Platts!$F$5:$M$5,0)+1,FALSE),G240)</f>
        <v>49.57</v>
      </c>
      <c r="H241" s="6">
        <f>IFERROR(VLOOKUP($B241,Platts!$E$5:$M$4994,MATCH(H$3,Platts!$F$5:$M$5,0)+1,FALSE),H240)</f>
        <v>46.98</v>
      </c>
      <c r="I241" s="6">
        <f>IFERROR(VLOOKUP($B241,Platts!$E$5:$M$4994,MATCH(I$3,Platts!$F$5:$M$5,0)+1,FALSE),I240)</f>
        <v>48.43</v>
      </c>
      <c r="J241" s="6">
        <f t="shared" si="6"/>
        <v>6.0799999999999983</v>
      </c>
    </row>
    <row r="242" spans="2:10" x14ac:dyDescent="0.25">
      <c r="B242" s="5">
        <f t="shared" si="7"/>
        <v>42608</v>
      </c>
      <c r="C242" s="6">
        <f>IFERROR(VLOOKUP($B242,Platts!$E$5:$M$4994,MATCH(C$3,Platts!$F$5:$M$5,0)+1,FALSE),C241)</f>
        <v>41.45</v>
      </c>
      <c r="D242" s="6">
        <f>IFERROR(VLOOKUP($B242,Platts!$E$5:$M$4994,MATCH(D$3,Platts!$F$5:$M$5,0)+1,FALSE),D241)</f>
        <v>47.03</v>
      </c>
      <c r="E242" s="6">
        <f>IFERROR(VLOOKUP($B242,Platts!$E$5:$M$4994,MATCH(E$3,Platts!$F$5:$M$5,0)+1,FALSE),E241)</f>
        <v>41.62</v>
      </c>
      <c r="F242" s="6">
        <f>IFERROR(VLOOKUP($B242,Platts!$E$5:$M$4994,MATCH(F$3,Platts!$F$5:$M$5,0)+1,FALSE),F241)</f>
        <v>47.89</v>
      </c>
      <c r="G242" s="6">
        <f>IFERROR(VLOOKUP($B242,Platts!$E$5:$M$4994,MATCH(G$3,Platts!$F$5:$M$5,0)+1,FALSE),G241)</f>
        <v>50.29</v>
      </c>
      <c r="H242" s="6">
        <f>IFERROR(VLOOKUP($B242,Platts!$E$5:$M$4994,MATCH(H$3,Platts!$F$5:$M$5,0)+1,FALSE),H241)</f>
        <v>47.64</v>
      </c>
      <c r="I242" s="6">
        <f>IFERROR(VLOOKUP($B242,Platts!$E$5:$M$4994,MATCH(I$3,Platts!$F$5:$M$5,0)+1,FALSE),I241)</f>
        <v>49.24</v>
      </c>
      <c r="J242" s="6">
        <f t="shared" si="6"/>
        <v>6.1899999999999977</v>
      </c>
    </row>
    <row r="243" spans="2:10" x14ac:dyDescent="0.25">
      <c r="B243" s="5">
        <f t="shared" si="7"/>
        <v>42609</v>
      </c>
      <c r="C243" s="6">
        <f>IFERROR(VLOOKUP($B243,Platts!$E$5:$M$4994,MATCH(C$3,Platts!$F$5:$M$5,0)+1,FALSE),C242)</f>
        <v>41.45</v>
      </c>
      <c r="D243" s="6">
        <f>IFERROR(VLOOKUP($B243,Platts!$E$5:$M$4994,MATCH(D$3,Platts!$F$5:$M$5,0)+1,FALSE),D242)</f>
        <v>47.03</v>
      </c>
      <c r="E243" s="6">
        <f>IFERROR(VLOOKUP($B243,Platts!$E$5:$M$4994,MATCH(E$3,Platts!$F$5:$M$5,0)+1,FALSE),E242)</f>
        <v>41.62</v>
      </c>
      <c r="F243" s="6">
        <f>IFERROR(VLOOKUP($B243,Platts!$E$5:$M$4994,MATCH(F$3,Platts!$F$5:$M$5,0)+1,FALSE),F242)</f>
        <v>47.89</v>
      </c>
      <c r="G243" s="6">
        <f>IFERROR(VLOOKUP($B243,Platts!$E$5:$M$4994,MATCH(G$3,Platts!$F$5:$M$5,0)+1,FALSE),G242)</f>
        <v>50.29</v>
      </c>
      <c r="H243" s="6">
        <f>IFERROR(VLOOKUP($B243,Platts!$E$5:$M$4994,MATCH(H$3,Platts!$F$5:$M$5,0)+1,FALSE),H242)</f>
        <v>47.64</v>
      </c>
      <c r="I243" s="6">
        <f>IFERROR(VLOOKUP($B243,Platts!$E$5:$M$4994,MATCH(I$3,Platts!$F$5:$M$5,0)+1,FALSE),I242)</f>
        <v>49.24</v>
      </c>
      <c r="J243" s="6">
        <f t="shared" si="6"/>
        <v>6.1899999999999977</v>
      </c>
    </row>
    <row r="244" spans="2:10" x14ac:dyDescent="0.25">
      <c r="B244" s="5">
        <f t="shared" si="7"/>
        <v>42610</v>
      </c>
      <c r="C244" s="6">
        <f>IFERROR(VLOOKUP($B244,Platts!$E$5:$M$4994,MATCH(C$3,Platts!$F$5:$M$5,0)+1,FALSE),C243)</f>
        <v>41.45</v>
      </c>
      <c r="D244" s="6">
        <f>IFERROR(VLOOKUP($B244,Platts!$E$5:$M$4994,MATCH(D$3,Platts!$F$5:$M$5,0)+1,FALSE),D243)</f>
        <v>47.03</v>
      </c>
      <c r="E244" s="6">
        <f>IFERROR(VLOOKUP($B244,Platts!$E$5:$M$4994,MATCH(E$3,Platts!$F$5:$M$5,0)+1,FALSE),E243)</f>
        <v>41.62</v>
      </c>
      <c r="F244" s="6">
        <f>IFERROR(VLOOKUP($B244,Platts!$E$5:$M$4994,MATCH(F$3,Platts!$F$5:$M$5,0)+1,FALSE),F243)</f>
        <v>47.89</v>
      </c>
      <c r="G244" s="6">
        <f>IFERROR(VLOOKUP($B244,Platts!$E$5:$M$4994,MATCH(G$3,Platts!$F$5:$M$5,0)+1,FALSE),G243)</f>
        <v>50.29</v>
      </c>
      <c r="H244" s="6">
        <f>IFERROR(VLOOKUP($B244,Platts!$E$5:$M$4994,MATCH(H$3,Platts!$F$5:$M$5,0)+1,FALSE),H243)</f>
        <v>47.64</v>
      </c>
      <c r="I244" s="6">
        <f>IFERROR(VLOOKUP($B244,Platts!$E$5:$M$4994,MATCH(I$3,Platts!$F$5:$M$5,0)+1,FALSE),I243)</f>
        <v>49.24</v>
      </c>
      <c r="J244" s="6">
        <f t="shared" si="6"/>
        <v>6.1899999999999977</v>
      </c>
    </row>
    <row r="245" spans="2:10" x14ac:dyDescent="0.25">
      <c r="B245" s="5">
        <f t="shared" si="7"/>
        <v>42611</v>
      </c>
      <c r="C245" s="6">
        <f>IFERROR(VLOOKUP($B245,Platts!$E$5:$M$4994,MATCH(C$3,Platts!$F$5:$M$5,0)+1,FALSE),C244)</f>
        <v>41.45</v>
      </c>
      <c r="D245" s="6">
        <f>IFERROR(VLOOKUP($B245,Platts!$E$5:$M$4994,MATCH(D$3,Platts!$F$5:$M$5,0)+1,FALSE),D244)</f>
        <v>46.37</v>
      </c>
      <c r="E245" s="6">
        <f>IFERROR(VLOOKUP($B245,Platts!$E$5:$M$4994,MATCH(E$3,Platts!$F$5:$M$5,0)+1,FALSE),E244)</f>
        <v>40.98</v>
      </c>
      <c r="F245" s="6">
        <f>IFERROR(VLOOKUP($B245,Platts!$E$5:$M$4994,MATCH(F$3,Platts!$F$5:$M$5,0)+1,FALSE),F244)</f>
        <v>47.28</v>
      </c>
      <c r="G245" s="6">
        <f>IFERROR(VLOOKUP($B245,Platts!$E$5:$M$4994,MATCH(G$3,Platts!$F$5:$M$5,0)+1,FALSE),G244)</f>
        <v>50.29</v>
      </c>
      <c r="H245" s="6">
        <f>IFERROR(VLOOKUP($B245,Platts!$E$5:$M$4994,MATCH(H$3,Platts!$F$5:$M$5,0)+1,FALSE),H244)</f>
        <v>46.98</v>
      </c>
      <c r="I245" s="6">
        <f>IFERROR(VLOOKUP($B245,Platts!$E$5:$M$4994,MATCH(I$3,Platts!$F$5:$M$5,0)+1,FALSE),I244)</f>
        <v>48.58</v>
      </c>
      <c r="J245" s="6">
        <f t="shared" si="6"/>
        <v>5.529999999999994</v>
      </c>
    </row>
    <row r="246" spans="2:10" x14ac:dyDescent="0.25">
      <c r="B246" s="5">
        <f t="shared" si="7"/>
        <v>42612</v>
      </c>
      <c r="C246" s="6">
        <f>IFERROR(VLOOKUP($B246,Platts!$E$5:$M$4994,MATCH(C$3,Platts!$F$5:$M$5,0)+1,FALSE),C245)</f>
        <v>40.35</v>
      </c>
      <c r="D246" s="6">
        <f>IFERROR(VLOOKUP($B246,Platts!$E$5:$M$4994,MATCH(D$3,Platts!$F$5:$M$5,0)+1,FALSE),D245)</f>
        <v>45.65</v>
      </c>
      <c r="E246" s="6">
        <f>IFERROR(VLOOKUP($B246,Platts!$E$5:$M$4994,MATCH(E$3,Platts!$F$5:$M$5,0)+1,FALSE),E245)</f>
        <v>40.549999999999997</v>
      </c>
      <c r="F246" s="6">
        <f>IFERROR(VLOOKUP($B246,Platts!$E$5:$M$4994,MATCH(F$3,Platts!$F$5:$M$5,0)+1,FALSE),F245)</f>
        <v>46.49</v>
      </c>
      <c r="G246" s="6">
        <f>IFERROR(VLOOKUP($B246,Platts!$E$5:$M$4994,MATCH(G$3,Platts!$F$5:$M$5,0)+1,FALSE),G245)</f>
        <v>48.47</v>
      </c>
      <c r="H246" s="6">
        <f>IFERROR(VLOOKUP($B246,Platts!$E$5:$M$4994,MATCH(H$3,Platts!$F$5:$M$5,0)+1,FALSE),H245)</f>
        <v>46.35</v>
      </c>
      <c r="I246" s="6">
        <f>IFERROR(VLOOKUP($B246,Platts!$E$5:$M$4994,MATCH(I$3,Platts!$F$5:$M$5,0)+1,FALSE),I245)</f>
        <v>48</v>
      </c>
      <c r="J246" s="6">
        <f t="shared" si="6"/>
        <v>6</v>
      </c>
    </row>
    <row r="247" spans="2:10" x14ac:dyDescent="0.25">
      <c r="B247" s="5">
        <f t="shared" si="7"/>
        <v>42613</v>
      </c>
      <c r="C247" s="6">
        <f>IFERROR(VLOOKUP($B247,Platts!$E$5:$M$4994,MATCH(C$3,Platts!$F$5:$M$5,0)+1,FALSE),C246)</f>
        <v>38.96</v>
      </c>
      <c r="D247" s="6">
        <f>IFERROR(VLOOKUP($B247,Platts!$E$5:$M$4994,MATCH(D$3,Platts!$F$5:$M$5,0)+1,FALSE),D246)</f>
        <v>44.11</v>
      </c>
      <c r="E247" s="6">
        <f>IFERROR(VLOOKUP($B247,Platts!$E$5:$M$4994,MATCH(E$3,Platts!$F$5:$M$5,0)+1,FALSE),E246)</f>
        <v>38.94</v>
      </c>
      <c r="F247" s="6">
        <f>IFERROR(VLOOKUP($B247,Platts!$E$5:$M$4994,MATCH(F$3,Platts!$F$5:$M$5,0)+1,FALSE),F246)</f>
        <v>44.98</v>
      </c>
      <c r="G247" s="6">
        <f>IFERROR(VLOOKUP($B247,Platts!$E$5:$M$4994,MATCH(G$3,Platts!$F$5:$M$5,0)+1,FALSE),G246)</f>
        <v>46.87</v>
      </c>
      <c r="H247" s="6">
        <f>IFERROR(VLOOKUP($B247,Platts!$E$5:$M$4994,MATCH(H$3,Platts!$F$5:$M$5,0)+1,FALSE),H246)</f>
        <v>44.7</v>
      </c>
      <c r="I247" s="6">
        <f>IFERROR(VLOOKUP($B247,Platts!$E$5:$M$4994,MATCH(I$3,Platts!$F$5:$M$5,0)+1,FALSE),I246)</f>
        <v>46.37</v>
      </c>
      <c r="J247" s="6">
        <f t="shared" si="6"/>
        <v>5.740000000000002</v>
      </c>
    </row>
    <row r="248" spans="2:10" x14ac:dyDescent="0.25">
      <c r="B248" s="5">
        <f t="shared" si="7"/>
        <v>42614</v>
      </c>
      <c r="C248" s="6">
        <f>IFERROR(VLOOKUP($B248,Platts!$E$5:$M$4994,MATCH(C$3,Platts!$F$5:$M$5,0)+1,FALSE),C247)</f>
        <v>36.21</v>
      </c>
      <c r="D248" s="6">
        <f>IFERROR(VLOOKUP($B248,Platts!$E$5:$M$4994,MATCH(D$3,Platts!$F$5:$M$5,0)+1,FALSE),D247)</f>
        <v>42.65</v>
      </c>
      <c r="E248" s="6">
        <f>IFERROR(VLOOKUP($B248,Platts!$E$5:$M$4994,MATCH(E$3,Platts!$F$5:$M$5,0)+1,FALSE),E247)</f>
        <v>36.4</v>
      </c>
      <c r="F248" s="6">
        <f>IFERROR(VLOOKUP($B248,Platts!$E$5:$M$4994,MATCH(F$3,Platts!$F$5:$M$5,0)+1,FALSE),F247)</f>
        <v>43.57</v>
      </c>
      <c r="G248" s="6">
        <f>IFERROR(VLOOKUP($B248,Platts!$E$5:$M$4994,MATCH(G$3,Platts!$F$5:$M$5,0)+1,FALSE),G247)</f>
        <v>46.01</v>
      </c>
      <c r="H248" s="6">
        <f>IFERROR(VLOOKUP($B248,Platts!$E$5:$M$4994,MATCH(H$3,Platts!$F$5:$M$5,0)+1,FALSE),H247)</f>
        <v>43.16</v>
      </c>
      <c r="I248" s="6">
        <f>IFERROR(VLOOKUP($B248,Platts!$E$5:$M$4994,MATCH(I$3,Platts!$F$5:$M$5,0)+1,FALSE),I247)</f>
        <v>44.96</v>
      </c>
      <c r="J248" s="6">
        <f t="shared" si="6"/>
        <v>6.9499999999999957</v>
      </c>
    </row>
    <row r="249" spans="2:10" x14ac:dyDescent="0.25">
      <c r="B249" s="5">
        <f t="shared" si="7"/>
        <v>42615</v>
      </c>
      <c r="C249" s="6">
        <f>IFERROR(VLOOKUP($B249,Platts!$E$5:$M$4994,MATCH(C$3,Platts!$F$5:$M$5,0)+1,FALSE),C248)</f>
        <v>36.82</v>
      </c>
      <c r="D249" s="6">
        <f>IFERROR(VLOOKUP($B249,Platts!$E$5:$M$4994,MATCH(D$3,Platts!$F$5:$M$5,0)+1,FALSE),D248)</f>
        <v>43.81</v>
      </c>
      <c r="E249" s="6">
        <f>IFERROR(VLOOKUP($B249,Platts!$E$5:$M$4994,MATCH(E$3,Platts!$F$5:$M$5,0)+1,FALSE),E248)</f>
        <v>37.619999999999997</v>
      </c>
      <c r="F249" s="6">
        <f>IFERROR(VLOOKUP($B249,Platts!$E$5:$M$4994,MATCH(F$3,Platts!$F$5:$M$5,0)+1,FALSE),F248)</f>
        <v>44.68</v>
      </c>
      <c r="G249" s="6">
        <f>IFERROR(VLOOKUP($B249,Platts!$E$5:$M$4994,MATCH(G$3,Platts!$F$5:$M$5,0)+1,FALSE),G248)</f>
        <v>46.82</v>
      </c>
      <c r="H249" s="6">
        <f>IFERROR(VLOOKUP($B249,Platts!$E$5:$M$4994,MATCH(H$3,Platts!$F$5:$M$5,0)+1,FALSE),H248)</f>
        <v>44.44</v>
      </c>
      <c r="I249" s="6">
        <f>IFERROR(VLOOKUP($B249,Platts!$E$5:$M$4994,MATCH(I$3,Platts!$F$5:$M$5,0)+1,FALSE),I248)</f>
        <v>46.04</v>
      </c>
      <c r="J249" s="6">
        <f t="shared" si="6"/>
        <v>7.6199999999999974</v>
      </c>
    </row>
    <row r="250" spans="2:10" x14ac:dyDescent="0.25">
      <c r="B250" s="5">
        <f t="shared" si="7"/>
        <v>42616</v>
      </c>
      <c r="C250" s="6">
        <f>IFERROR(VLOOKUP($B250,Platts!$E$5:$M$4994,MATCH(C$3,Platts!$F$5:$M$5,0)+1,FALSE),C249)</f>
        <v>36.82</v>
      </c>
      <c r="D250" s="6">
        <f>IFERROR(VLOOKUP($B250,Platts!$E$5:$M$4994,MATCH(D$3,Platts!$F$5:$M$5,0)+1,FALSE),D249)</f>
        <v>43.81</v>
      </c>
      <c r="E250" s="6">
        <f>IFERROR(VLOOKUP($B250,Platts!$E$5:$M$4994,MATCH(E$3,Platts!$F$5:$M$5,0)+1,FALSE),E249)</f>
        <v>37.619999999999997</v>
      </c>
      <c r="F250" s="6">
        <f>IFERROR(VLOOKUP($B250,Platts!$E$5:$M$4994,MATCH(F$3,Platts!$F$5:$M$5,0)+1,FALSE),F249)</f>
        <v>44.68</v>
      </c>
      <c r="G250" s="6">
        <f>IFERROR(VLOOKUP($B250,Platts!$E$5:$M$4994,MATCH(G$3,Platts!$F$5:$M$5,0)+1,FALSE),G249)</f>
        <v>46.82</v>
      </c>
      <c r="H250" s="6">
        <f>IFERROR(VLOOKUP($B250,Platts!$E$5:$M$4994,MATCH(H$3,Platts!$F$5:$M$5,0)+1,FALSE),H249)</f>
        <v>44.44</v>
      </c>
      <c r="I250" s="6">
        <f>IFERROR(VLOOKUP($B250,Platts!$E$5:$M$4994,MATCH(I$3,Platts!$F$5:$M$5,0)+1,FALSE),I249)</f>
        <v>46.04</v>
      </c>
      <c r="J250" s="6">
        <f t="shared" si="6"/>
        <v>7.6199999999999974</v>
      </c>
    </row>
    <row r="251" spans="2:10" x14ac:dyDescent="0.25">
      <c r="B251" s="5">
        <f t="shared" si="7"/>
        <v>42617</v>
      </c>
      <c r="C251" s="6">
        <f>IFERROR(VLOOKUP($B251,Platts!$E$5:$M$4994,MATCH(C$3,Platts!$F$5:$M$5,0)+1,FALSE),C250)</f>
        <v>36.82</v>
      </c>
      <c r="D251" s="6">
        <f>IFERROR(VLOOKUP($B251,Platts!$E$5:$M$4994,MATCH(D$3,Platts!$F$5:$M$5,0)+1,FALSE),D250)</f>
        <v>43.81</v>
      </c>
      <c r="E251" s="6">
        <f>IFERROR(VLOOKUP($B251,Platts!$E$5:$M$4994,MATCH(E$3,Platts!$F$5:$M$5,0)+1,FALSE),E250)</f>
        <v>37.619999999999997</v>
      </c>
      <c r="F251" s="6">
        <f>IFERROR(VLOOKUP($B251,Platts!$E$5:$M$4994,MATCH(F$3,Platts!$F$5:$M$5,0)+1,FALSE),F250)</f>
        <v>44.68</v>
      </c>
      <c r="G251" s="6">
        <f>IFERROR(VLOOKUP($B251,Platts!$E$5:$M$4994,MATCH(G$3,Platts!$F$5:$M$5,0)+1,FALSE),G250)</f>
        <v>46.82</v>
      </c>
      <c r="H251" s="6">
        <f>IFERROR(VLOOKUP($B251,Platts!$E$5:$M$4994,MATCH(H$3,Platts!$F$5:$M$5,0)+1,FALSE),H250)</f>
        <v>44.44</v>
      </c>
      <c r="I251" s="6">
        <f>IFERROR(VLOOKUP($B251,Platts!$E$5:$M$4994,MATCH(I$3,Platts!$F$5:$M$5,0)+1,FALSE),I250)</f>
        <v>46.04</v>
      </c>
      <c r="J251" s="6">
        <f t="shared" si="6"/>
        <v>7.6199999999999974</v>
      </c>
    </row>
    <row r="252" spans="2:10" x14ac:dyDescent="0.25">
      <c r="B252" s="5">
        <f t="shared" si="7"/>
        <v>42618</v>
      </c>
      <c r="C252" s="6">
        <f>IFERROR(VLOOKUP($B252,Platts!$E$5:$M$4994,MATCH(C$3,Platts!$F$5:$M$5,0)+1,FALSE),C251)</f>
        <v>36.82</v>
      </c>
      <c r="D252" s="6">
        <f>IFERROR(VLOOKUP($B252,Platts!$E$5:$M$4994,MATCH(D$3,Platts!$F$5:$M$5,0)+1,FALSE),D251)</f>
        <v>43.81</v>
      </c>
      <c r="E252" s="6">
        <f>IFERROR(VLOOKUP($B252,Platts!$E$5:$M$4994,MATCH(E$3,Platts!$F$5:$M$5,0)+1,FALSE),E251)</f>
        <v>37.619999999999997</v>
      </c>
      <c r="F252" s="6">
        <f>IFERROR(VLOOKUP($B252,Platts!$E$5:$M$4994,MATCH(F$3,Platts!$F$5:$M$5,0)+1,FALSE),F251)</f>
        <v>44.68</v>
      </c>
      <c r="G252" s="6">
        <f>IFERROR(VLOOKUP($B252,Platts!$E$5:$M$4994,MATCH(G$3,Platts!$F$5:$M$5,0)+1,FALSE),G251)</f>
        <v>47.54</v>
      </c>
      <c r="H252" s="6">
        <f>IFERROR(VLOOKUP($B252,Platts!$E$5:$M$4994,MATCH(H$3,Platts!$F$5:$M$5,0)+1,FALSE),H251)</f>
        <v>44.44</v>
      </c>
      <c r="I252" s="6">
        <f>IFERROR(VLOOKUP($B252,Platts!$E$5:$M$4994,MATCH(I$3,Platts!$F$5:$M$5,0)+1,FALSE),I251)</f>
        <v>46.04</v>
      </c>
      <c r="J252" s="6">
        <f t="shared" si="6"/>
        <v>7.6199999999999974</v>
      </c>
    </row>
    <row r="253" spans="2:10" x14ac:dyDescent="0.25">
      <c r="B253" s="5">
        <f t="shared" si="7"/>
        <v>42619</v>
      </c>
      <c r="C253" s="6">
        <f>IFERROR(VLOOKUP($B253,Platts!$E$5:$M$4994,MATCH(C$3,Platts!$F$5:$M$5,0)+1,FALSE),C252)</f>
        <v>37.24</v>
      </c>
      <c r="D253" s="6">
        <f>IFERROR(VLOOKUP($B253,Platts!$E$5:$M$4994,MATCH(D$3,Platts!$F$5:$M$5,0)+1,FALSE),D252)</f>
        <v>44.29</v>
      </c>
      <c r="E253" s="6">
        <f>IFERROR(VLOOKUP($B253,Platts!$E$5:$M$4994,MATCH(E$3,Platts!$F$5:$M$5,0)+1,FALSE),E252)</f>
        <v>37.89</v>
      </c>
      <c r="F253" s="6">
        <f>IFERROR(VLOOKUP($B253,Platts!$E$5:$M$4994,MATCH(F$3,Platts!$F$5:$M$5,0)+1,FALSE),F252)</f>
        <v>45.21</v>
      </c>
      <c r="G253" s="6">
        <f>IFERROR(VLOOKUP($B253,Platts!$E$5:$M$4994,MATCH(G$3,Platts!$F$5:$M$5,0)+1,FALSE),G252)</f>
        <v>46.94</v>
      </c>
      <c r="H253" s="6">
        <f>IFERROR(VLOOKUP($B253,Platts!$E$5:$M$4994,MATCH(H$3,Platts!$F$5:$M$5,0)+1,FALSE),H252)</f>
        <v>44.83</v>
      </c>
      <c r="I253" s="6">
        <f>IFERROR(VLOOKUP($B253,Platts!$E$5:$M$4994,MATCH(I$3,Platts!$F$5:$M$5,0)+1,FALSE),I252)</f>
        <v>46.43</v>
      </c>
      <c r="J253" s="6">
        <f t="shared" si="6"/>
        <v>7.5899999999999963</v>
      </c>
    </row>
    <row r="254" spans="2:10" x14ac:dyDescent="0.25">
      <c r="B254" s="5">
        <f t="shared" si="7"/>
        <v>42620</v>
      </c>
      <c r="C254" s="6">
        <f>IFERROR(VLOOKUP($B254,Platts!$E$5:$M$4994,MATCH(C$3,Platts!$F$5:$M$5,0)+1,FALSE),C253)</f>
        <v>37.81</v>
      </c>
      <c r="D254" s="6">
        <f>IFERROR(VLOOKUP($B254,Platts!$E$5:$M$4994,MATCH(D$3,Platts!$F$5:$M$5,0)+1,FALSE),D253)</f>
        <v>44.76</v>
      </c>
      <c r="E254" s="6">
        <f>IFERROR(VLOOKUP($B254,Platts!$E$5:$M$4994,MATCH(E$3,Platts!$F$5:$M$5,0)+1,FALSE),E253)</f>
        <v>38.25</v>
      </c>
      <c r="F254" s="6">
        <f>IFERROR(VLOOKUP($B254,Platts!$E$5:$M$4994,MATCH(F$3,Platts!$F$5:$M$5,0)+1,FALSE),F253)</f>
        <v>45.63</v>
      </c>
      <c r="G254" s="6">
        <f>IFERROR(VLOOKUP($B254,Platts!$E$5:$M$4994,MATCH(G$3,Platts!$F$5:$M$5,0)+1,FALSE),G253)</f>
        <v>47.58</v>
      </c>
      <c r="H254" s="6">
        <f>IFERROR(VLOOKUP($B254,Platts!$E$5:$M$4994,MATCH(H$3,Platts!$F$5:$M$5,0)+1,FALSE),H253)</f>
        <v>45.5</v>
      </c>
      <c r="I254" s="6">
        <f>IFERROR(VLOOKUP($B254,Platts!$E$5:$M$4994,MATCH(I$3,Platts!$F$5:$M$5,0)+1,FALSE),I253)</f>
        <v>47.08</v>
      </c>
      <c r="J254" s="6">
        <f t="shared" si="6"/>
        <v>7.6899999999999977</v>
      </c>
    </row>
    <row r="255" spans="2:10" x14ac:dyDescent="0.25">
      <c r="B255" s="5">
        <f t="shared" si="7"/>
        <v>42621</v>
      </c>
      <c r="C255" s="6">
        <f>IFERROR(VLOOKUP($B255,Platts!$E$5:$M$4994,MATCH(C$3,Platts!$F$5:$M$5,0)+1,FALSE),C254)</f>
        <v>39.79</v>
      </c>
      <c r="D255" s="6">
        <f>IFERROR(VLOOKUP($B255,Platts!$E$5:$M$4994,MATCH(D$3,Platts!$F$5:$M$5,0)+1,FALSE),D254)</f>
        <v>46.81</v>
      </c>
      <c r="E255" s="6">
        <f>IFERROR(VLOOKUP($B255,Platts!$E$5:$M$4994,MATCH(E$3,Platts!$F$5:$M$5,0)+1,FALSE),E254)</f>
        <v>40.61</v>
      </c>
      <c r="F255" s="6">
        <f>IFERROR(VLOOKUP($B255,Platts!$E$5:$M$4994,MATCH(F$3,Platts!$F$5:$M$5,0)+1,FALSE),F254)</f>
        <v>47.7</v>
      </c>
      <c r="G255" s="6">
        <f>IFERROR(VLOOKUP($B255,Platts!$E$5:$M$4994,MATCH(G$3,Platts!$F$5:$M$5,0)+1,FALSE),G254)</f>
        <v>49.89</v>
      </c>
      <c r="H255" s="6">
        <f>IFERROR(VLOOKUP($B255,Platts!$E$5:$M$4994,MATCH(H$3,Platts!$F$5:$M$5,0)+1,FALSE),H254)</f>
        <v>47.62</v>
      </c>
      <c r="I255" s="6">
        <f>IFERROR(VLOOKUP($B255,Platts!$E$5:$M$4994,MATCH(I$3,Platts!$F$5:$M$5,0)+1,FALSE),I254)</f>
        <v>49.3</v>
      </c>
      <c r="J255" s="6">
        <f t="shared" si="6"/>
        <v>7.8299999999999983</v>
      </c>
    </row>
    <row r="256" spans="2:10" x14ac:dyDescent="0.25">
      <c r="B256" s="5">
        <f t="shared" si="7"/>
        <v>42622</v>
      </c>
      <c r="C256" s="6">
        <f>IFERROR(VLOOKUP($B256,Platts!$E$5:$M$4994,MATCH(C$3,Platts!$F$5:$M$5,0)+1,FALSE),C255)</f>
        <v>39.020000000000003</v>
      </c>
      <c r="D256" s="6">
        <f>IFERROR(VLOOKUP($B256,Platts!$E$5:$M$4994,MATCH(D$3,Platts!$F$5:$M$5,0)+1,FALSE),D255)</f>
        <v>45.17</v>
      </c>
      <c r="E256" s="6">
        <f>IFERROR(VLOOKUP($B256,Platts!$E$5:$M$4994,MATCH(E$3,Platts!$F$5:$M$5,0)+1,FALSE),E255)</f>
        <v>39.08</v>
      </c>
      <c r="F256" s="6">
        <f>IFERROR(VLOOKUP($B256,Platts!$E$5:$M$4994,MATCH(F$3,Platts!$F$5:$M$5,0)+1,FALSE),F255)</f>
        <v>46.03</v>
      </c>
      <c r="G256" s="6">
        <f>IFERROR(VLOOKUP($B256,Platts!$E$5:$M$4994,MATCH(G$3,Platts!$F$5:$M$5,0)+1,FALSE),G255)</f>
        <v>48.98</v>
      </c>
      <c r="H256" s="6">
        <f>IFERROR(VLOOKUP($B256,Platts!$E$5:$M$4994,MATCH(H$3,Platts!$F$5:$M$5,0)+1,FALSE),H255)</f>
        <v>45.88</v>
      </c>
      <c r="I256" s="6">
        <f>IFERROR(VLOOKUP($B256,Platts!$E$5:$M$4994,MATCH(I$3,Platts!$F$5:$M$5,0)+1,FALSE),I255)</f>
        <v>47.56</v>
      </c>
      <c r="J256" s="6">
        <f t="shared" si="6"/>
        <v>6.8599999999999994</v>
      </c>
    </row>
    <row r="257" spans="2:10" x14ac:dyDescent="0.25">
      <c r="B257" s="5">
        <f t="shared" si="7"/>
        <v>42623</v>
      </c>
      <c r="C257" s="6">
        <f>IFERROR(VLOOKUP($B257,Platts!$E$5:$M$4994,MATCH(C$3,Platts!$F$5:$M$5,0)+1,FALSE),C256)</f>
        <v>39.020000000000003</v>
      </c>
      <c r="D257" s="6">
        <f>IFERROR(VLOOKUP($B257,Platts!$E$5:$M$4994,MATCH(D$3,Platts!$F$5:$M$5,0)+1,FALSE),D256)</f>
        <v>45.17</v>
      </c>
      <c r="E257" s="6">
        <f>IFERROR(VLOOKUP($B257,Platts!$E$5:$M$4994,MATCH(E$3,Platts!$F$5:$M$5,0)+1,FALSE),E256)</f>
        <v>39.08</v>
      </c>
      <c r="F257" s="6">
        <f>IFERROR(VLOOKUP($B257,Platts!$E$5:$M$4994,MATCH(F$3,Platts!$F$5:$M$5,0)+1,FALSE),F256)</f>
        <v>46.03</v>
      </c>
      <c r="G257" s="6">
        <f>IFERROR(VLOOKUP($B257,Platts!$E$5:$M$4994,MATCH(G$3,Platts!$F$5:$M$5,0)+1,FALSE),G256)</f>
        <v>48.98</v>
      </c>
      <c r="H257" s="6">
        <f>IFERROR(VLOOKUP($B257,Platts!$E$5:$M$4994,MATCH(H$3,Platts!$F$5:$M$5,0)+1,FALSE),H256)</f>
        <v>45.88</v>
      </c>
      <c r="I257" s="6">
        <f>IFERROR(VLOOKUP($B257,Platts!$E$5:$M$4994,MATCH(I$3,Platts!$F$5:$M$5,0)+1,FALSE),I256)</f>
        <v>47.56</v>
      </c>
      <c r="J257" s="6">
        <f t="shared" si="6"/>
        <v>6.8599999999999994</v>
      </c>
    </row>
    <row r="258" spans="2:10" x14ac:dyDescent="0.25">
      <c r="B258" s="5">
        <f t="shared" si="7"/>
        <v>42624</v>
      </c>
      <c r="C258" s="6">
        <f>IFERROR(VLOOKUP($B258,Platts!$E$5:$M$4994,MATCH(C$3,Platts!$F$5:$M$5,0)+1,FALSE),C257)</f>
        <v>39.020000000000003</v>
      </c>
      <c r="D258" s="6">
        <f>IFERROR(VLOOKUP($B258,Platts!$E$5:$M$4994,MATCH(D$3,Platts!$F$5:$M$5,0)+1,FALSE),D257)</f>
        <v>45.17</v>
      </c>
      <c r="E258" s="6">
        <f>IFERROR(VLOOKUP($B258,Platts!$E$5:$M$4994,MATCH(E$3,Platts!$F$5:$M$5,0)+1,FALSE),E257)</f>
        <v>39.08</v>
      </c>
      <c r="F258" s="6">
        <f>IFERROR(VLOOKUP($B258,Platts!$E$5:$M$4994,MATCH(F$3,Platts!$F$5:$M$5,0)+1,FALSE),F257)</f>
        <v>46.03</v>
      </c>
      <c r="G258" s="6">
        <f>IFERROR(VLOOKUP($B258,Platts!$E$5:$M$4994,MATCH(G$3,Platts!$F$5:$M$5,0)+1,FALSE),G257)</f>
        <v>48.98</v>
      </c>
      <c r="H258" s="6">
        <f>IFERROR(VLOOKUP($B258,Platts!$E$5:$M$4994,MATCH(H$3,Platts!$F$5:$M$5,0)+1,FALSE),H257)</f>
        <v>45.88</v>
      </c>
      <c r="I258" s="6">
        <f>IFERROR(VLOOKUP($B258,Platts!$E$5:$M$4994,MATCH(I$3,Platts!$F$5:$M$5,0)+1,FALSE),I257)</f>
        <v>47.56</v>
      </c>
      <c r="J258" s="6">
        <f t="shared" si="6"/>
        <v>6.8599999999999994</v>
      </c>
    </row>
    <row r="259" spans="2:10" x14ac:dyDescent="0.25">
      <c r="B259" s="5">
        <f t="shared" si="7"/>
        <v>42625</v>
      </c>
      <c r="C259" s="6">
        <f>IFERROR(VLOOKUP($B259,Platts!$E$5:$M$4994,MATCH(C$3,Platts!$F$5:$M$5,0)+1,FALSE),C258)</f>
        <v>39.020000000000003</v>
      </c>
      <c r="D259" s="6">
        <f>IFERROR(VLOOKUP($B259,Platts!$E$5:$M$4994,MATCH(D$3,Platts!$F$5:$M$5,0)+1,FALSE),D258)</f>
        <v>45.39</v>
      </c>
      <c r="E259" s="6">
        <f>IFERROR(VLOOKUP($B259,Platts!$E$5:$M$4994,MATCH(E$3,Platts!$F$5:$M$5,0)+1,FALSE),E258)</f>
        <v>39.28</v>
      </c>
      <c r="F259" s="6">
        <f>IFERROR(VLOOKUP($B259,Platts!$E$5:$M$4994,MATCH(F$3,Platts!$F$5:$M$5,0)+1,FALSE),F258)</f>
        <v>46.19</v>
      </c>
      <c r="G259" s="6">
        <f>IFERROR(VLOOKUP($B259,Platts!$E$5:$M$4994,MATCH(G$3,Platts!$F$5:$M$5,0)+1,FALSE),G258)</f>
        <v>48.64</v>
      </c>
      <c r="H259" s="6">
        <f>IFERROR(VLOOKUP($B259,Platts!$E$5:$M$4994,MATCH(H$3,Platts!$F$5:$M$5,0)+1,FALSE),H258)</f>
        <v>46.29</v>
      </c>
      <c r="I259" s="6">
        <f>IFERROR(VLOOKUP($B259,Platts!$E$5:$M$4994,MATCH(I$3,Platts!$F$5:$M$5,0)+1,FALSE),I258)</f>
        <v>48.07</v>
      </c>
      <c r="J259" s="6">
        <f t="shared" si="6"/>
        <v>7.269999999999996</v>
      </c>
    </row>
    <row r="260" spans="2:10" x14ac:dyDescent="0.25">
      <c r="B260" s="5">
        <f t="shared" si="7"/>
        <v>42626</v>
      </c>
      <c r="C260" s="6">
        <f>IFERROR(VLOOKUP($B260,Platts!$E$5:$M$4994,MATCH(C$3,Platts!$F$5:$M$5,0)+1,FALSE),C259)</f>
        <v>37.700000000000003</v>
      </c>
      <c r="D260" s="6">
        <f>IFERROR(VLOOKUP($B260,Platts!$E$5:$M$4994,MATCH(D$3,Platts!$F$5:$M$5,0)+1,FALSE),D259)</f>
        <v>44.08</v>
      </c>
      <c r="E260" s="6">
        <f>IFERROR(VLOOKUP($B260,Platts!$E$5:$M$4994,MATCH(E$3,Platts!$F$5:$M$5,0)+1,FALSE),E259)</f>
        <v>38.200000000000003</v>
      </c>
      <c r="F260" s="6">
        <f>IFERROR(VLOOKUP($B260,Platts!$E$5:$M$4994,MATCH(F$3,Platts!$F$5:$M$5,0)+1,FALSE),F259)</f>
        <v>44.9</v>
      </c>
      <c r="G260" s="6">
        <f>IFERROR(VLOOKUP($B260,Platts!$E$5:$M$4994,MATCH(G$3,Platts!$F$5:$M$5,0)+1,FALSE),G259)</f>
        <v>47.23</v>
      </c>
      <c r="H260" s="6">
        <f>IFERROR(VLOOKUP($B260,Platts!$E$5:$M$4994,MATCH(H$3,Platts!$F$5:$M$5,0)+1,FALSE),H259)</f>
        <v>44.9</v>
      </c>
      <c r="I260" s="6">
        <f>IFERROR(VLOOKUP($B260,Platts!$E$5:$M$4994,MATCH(I$3,Platts!$F$5:$M$5,0)+1,FALSE),I259)</f>
        <v>46.6</v>
      </c>
      <c r="J260" s="6">
        <f t="shared" ref="J260:J323" si="8">H260-C260</f>
        <v>7.1999999999999957</v>
      </c>
    </row>
    <row r="261" spans="2:10" x14ac:dyDescent="0.25">
      <c r="B261" s="5">
        <f t="shared" si="7"/>
        <v>42627</v>
      </c>
      <c r="C261" s="6">
        <f>IFERROR(VLOOKUP($B261,Platts!$E$5:$M$4994,MATCH(C$3,Platts!$F$5:$M$5,0)+1,FALSE),C260)</f>
        <v>37.07</v>
      </c>
      <c r="D261" s="6">
        <f>IFERROR(VLOOKUP($B261,Platts!$E$5:$M$4994,MATCH(D$3,Platts!$F$5:$M$5,0)+1,FALSE),D260)</f>
        <v>42.7</v>
      </c>
      <c r="E261" s="6">
        <f>IFERROR(VLOOKUP($B261,Platts!$E$5:$M$4994,MATCH(E$3,Platts!$F$5:$M$5,0)+1,FALSE),E260)</f>
        <v>37.07</v>
      </c>
      <c r="F261" s="6">
        <f>IFERROR(VLOOKUP($B261,Platts!$E$5:$M$4994,MATCH(F$3,Platts!$F$5:$M$5,0)+1,FALSE),F260)</f>
        <v>43.54</v>
      </c>
      <c r="G261" s="6">
        <f>IFERROR(VLOOKUP($B261,Platts!$E$5:$M$4994,MATCH(G$3,Platts!$F$5:$M$5,0)+1,FALSE),G260)</f>
        <v>46.47</v>
      </c>
      <c r="H261" s="6">
        <f>IFERROR(VLOOKUP($B261,Platts!$E$5:$M$4994,MATCH(H$3,Platts!$F$5:$M$5,0)+1,FALSE),H260)</f>
        <v>43.58</v>
      </c>
      <c r="I261" s="6">
        <f>IFERROR(VLOOKUP($B261,Platts!$E$5:$M$4994,MATCH(I$3,Platts!$F$5:$M$5,0)+1,FALSE),I260)</f>
        <v>45.23</v>
      </c>
      <c r="J261" s="6">
        <f t="shared" si="8"/>
        <v>6.509999999999998</v>
      </c>
    </row>
    <row r="262" spans="2:10" x14ac:dyDescent="0.25">
      <c r="B262" s="5">
        <f t="shared" ref="B262:B325" si="9">B261+1</f>
        <v>42628</v>
      </c>
      <c r="C262" s="6">
        <f>IFERROR(VLOOKUP($B262,Platts!$E$5:$M$4994,MATCH(C$3,Platts!$F$5:$M$5,0)+1,FALSE),C261)</f>
        <v>37.1</v>
      </c>
      <c r="D262" s="6">
        <f>IFERROR(VLOOKUP($B262,Platts!$E$5:$M$4994,MATCH(D$3,Platts!$F$5:$M$5,0)+1,FALSE),D261)</f>
        <v>43.2</v>
      </c>
      <c r="E262" s="6">
        <f>IFERROR(VLOOKUP($B262,Platts!$E$5:$M$4994,MATCH(E$3,Platts!$F$5:$M$5,0)+1,FALSE),E261)</f>
        <v>37.409999999999997</v>
      </c>
      <c r="F262" s="6">
        <f>IFERROR(VLOOKUP($B262,Platts!$E$5:$M$4994,MATCH(F$3,Platts!$F$5:$M$5,0)+1,FALSE),F261)</f>
        <v>44.1</v>
      </c>
      <c r="G262" s="6">
        <f>IFERROR(VLOOKUP($B262,Platts!$E$5:$M$4994,MATCH(G$3,Platts!$F$5:$M$5,0)+1,FALSE),G261)</f>
        <v>46.75</v>
      </c>
      <c r="H262" s="6">
        <f>IFERROR(VLOOKUP($B262,Platts!$E$5:$M$4994,MATCH(H$3,Platts!$F$5:$M$5,0)+1,FALSE),H261)</f>
        <v>43.91</v>
      </c>
      <c r="I262" s="6">
        <f>IFERROR(VLOOKUP($B262,Platts!$E$5:$M$4994,MATCH(I$3,Platts!$F$5:$M$5,0)+1,FALSE),I261)</f>
        <v>45.56</v>
      </c>
      <c r="J262" s="6">
        <f t="shared" si="8"/>
        <v>6.8099999999999952</v>
      </c>
    </row>
    <row r="263" spans="2:10" x14ac:dyDescent="0.25">
      <c r="B263" s="5">
        <f t="shared" si="9"/>
        <v>42629</v>
      </c>
      <c r="C263" s="6">
        <f>IFERROR(VLOOKUP($B263,Platts!$E$5:$M$4994,MATCH(C$3,Platts!$F$5:$M$5,0)+1,FALSE),C262)</f>
        <v>36.659999999999997</v>
      </c>
      <c r="D263" s="6">
        <f>IFERROR(VLOOKUP($B263,Platts!$E$5:$M$4994,MATCH(D$3,Platts!$F$5:$M$5,0)+1,FALSE),D262)</f>
        <v>42.34</v>
      </c>
      <c r="E263" s="6">
        <f>IFERROR(VLOOKUP($B263,Platts!$E$5:$M$4994,MATCH(E$3,Platts!$F$5:$M$5,0)+1,FALSE),E262)</f>
        <v>36.85</v>
      </c>
      <c r="F263" s="6">
        <f>IFERROR(VLOOKUP($B263,Platts!$E$5:$M$4994,MATCH(F$3,Platts!$F$5:$M$5,0)+1,FALSE),F262)</f>
        <v>43.3</v>
      </c>
      <c r="G263" s="6">
        <f>IFERROR(VLOOKUP($B263,Platts!$E$5:$M$4994,MATCH(G$3,Platts!$F$5:$M$5,0)+1,FALSE),G262)</f>
        <v>46.24</v>
      </c>
      <c r="H263" s="6">
        <f>IFERROR(VLOOKUP($B263,Platts!$E$5:$M$4994,MATCH(H$3,Platts!$F$5:$M$5,0)+1,FALSE),H262)</f>
        <v>43.03</v>
      </c>
      <c r="I263" s="6">
        <f>IFERROR(VLOOKUP($B263,Platts!$E$5:$M$4994,MATCH(I$3,Platts!$F$5:$M$5,0)+1,FALSE),I262)</f>
        <v>44.68</v>
      </c>
      <c r="J263" s="6">
        <f t="shared" si="8"/>
        <v>6.3700000000000045</v>
      </c>
    </row>
    <row r="264" spans="2:10" x14ac:dyDescent="0.25">
      <c r="B264" s="5">
        <f t="shared" si="9"/>
        <v>42630</v>
      </c>
      <c r="C264" s="6">
        <f>IFERROR(VLOOKUP($B264,Platts!$E$5:$M$4994,MATCH(C$3,Platts!$F$5:$M$5,0)+1,FALSE),C263)</f>
        <v>36.659999999999997</v>
      </c>
      <c r="D264" s="6">
        <f>IFERROR(VLOOKUP($B264,Platts!$E$5:$M$4994,MATCH(D$3,Platts!$F$5:$M$5,0)+1,FALSE),D263)</f>
        <v>42.34</v>
      </c>
      <c r="E264" s="6">
        <f>IFERROR(VLOOKUP($B264,Platts!$E$5:$M$4994,MATCH(E$3,Platts!$F$5:$M$5,0)+1,FALSE),E263)</f>
        <v>36.85</v>
      </c>
      <c r="F264" s="6">
        <f>IFERROR(VLOOKUP($B264,Platts!$E$5:$M$4994,MATCH(F$3,Platts!$F$5:$M$5,0)+1,FALSE),F263)</f>
        <v>43.3</v>
      </c>
      <c r="G264" s="6">
        <f>IFERROR(VLOOKUP($B264,Platts!$E$5:$M$4994,MATCH(G$3,Platts!$F$5:$M$5,0)+1,FALSE),G263)</f>
        <v>46.24</v>
      </c>
      <c r="H264" s="6">
        <f>IFERROR(VLOOKUP($B264,Platts!$E$5:$M$4994,MATCH(H$3,Platts!$F$5:$M$5,0)+1,FALSE),H263)</f>
        <v>43.03</v>
      </c>
      <c r="I264" s="6">
        <f>IFERROR(VLOOKUP($B264,Platts!$E$5:$M$4994,MATCH(I$3,Platts!$F$5:$M$5,0)+1,FALSE),I263)</f>
        <v>44.68</v>
      </c>
      <c r="J264" s="6">
        <f t="shared" si="8"/>
        <v>6.3700000000000045</v>
      </c>
    </row>
    <row r="265" spans="2:10" x14ac:dyDescent="0.25">
      <c r="B265" s="5">
        <f t="shared" si="9"/>
        <v>42631</v>
      </c>
      <c r="C265" s="6">
        <f>IFERROR(VLOOKUP($B265,Platts!$E$5:$M$4994,MATCH(C$3,Platts!$F$5:$M$5,0)+1,FALSE),C264)</f>
        <v>36.659999999999997</v>
      </c>
      <c r="D265" s="6">
        <f>IFERROR(VLOOKUP($B265,Platts!$E$5:$M$4994,MATCH(D$3,Platts!$F$5:$M$5,0)+1,FALSE),D264)</f>
        <v>42.34</v>
      </c>
      <c r="E265" s="6">
        <f>IFERROR(VLOOKUP($B265,Platts!$E$5:$M$4994,MATCH(E$3,Platts!$F$5:$M$5,0)+1,FALSE),E264)</f>
        <v>36.85</v>
      </c>
      <c r="F265" s="6">
        <f>IFERROR(VLOOKUP($B265,Platts!$E$5:$M$4994,MATCH(F$3,Platts!$F$5:$M$5,0)+1,FALSE),F264)</f>
        <v>43.3</v>
      </c>
      <c r="G265" s="6">
        <f>IFERROR(VLOOKUP($B265,Platts!$E$5:$M$4994,MATCH(G$3,Platts!$F$5:$M$5,0)+1,FALSE),G264)</f>
        <v>46.24</v>
      </c>
      <c r="H265" s="6">
        <f>IFERROR(VLOOKUP($B265,Platts!$E$5:$M$4994,MATCH(H$3,Platts!$F$5:$M$5,0)+1,FALSE),H264)</f>
        <v>43.03</v>
      </c>
      <c r="I265" s="6">
        <f>IFERROR(VLOOKUP($B265,Platts!$E$5:$M$4994,MATCH(I$3,Platts!$F$5:$M$5,0)+1,FALSE),I264)</f>
        <v>44.68</v>
      </c>
      <c r="J265" s="6">
        <f t="shared" si="8"/>
        <v>6.3700000000000045</v>
      </c>
    </row>
    <row r="266" spans="2:10" x14ac:dyDescent="0.25">
      <c r="B266" s="5">
        <f t="shared" si="9"/>
        <v>42632</v>
      </c>
      <c r="C266" s="6">
        <f>IFERROR(VLOOKUP($B266,Platts!$E$5:$M$4994,MATCH(C$3,Platts!$F$5:$M$5,0)+1,FALSE),C265)</f>
        <v>37.07</v>
      </c>
      <c r="D266" s="6">
        <f>IFERROR(VLOOKUP($B266,Platts!$E$5:$M$4994,MATCH(D$3,Platts!$F$5:$M$5,0)+1,FALSE),D265)</f>
        <v>42.44</v>
      </c>
      <c r="E266" s="6">
        <f>IFERROR(VLOOKUP($B266,Platts!$E$5:$M$4994,MATCH(E$3,Platts!$F$5:$M$5,0)+1,FALSE),E265)</f>
        <v>37</v>
      </c>
      <c r="F266" s="6">
        <f>IFERROR(VLOOKUP($B266,Platts!$E$5:$M$4994,MATCH(F$3,Platts!$F$5:$M$5,0)+1,FALSE),F265)</f>
        <v>43.35</v>
      </c>
      <c r="G266" s="6">
        <f>IFERROR(VLOOKUP($B266,Platts!$E$5:$M$4994,MATCH(G$3,Platts!$F$5:$M$5,0)+1,FALSE),G265)</f>
        <v>46.94</v>
      </c>
      <c r="H266" s="6">
        <f>IFERROR(VLOOKUP($B266,Platts!$E$5:$M$4994,MATCH(H$3,Platts!$F$5:$M$5,0)+1,FALSE),H265)</f>
        <v>43.3</v>
      </c>
      <c r="I266" s="6">
        <f>IFERROR(VLOOKUP($B266,Platts!$E$5:$M$4994,MATCH(I$3,Platts!$F$5:$M$5,0)+1,FALSE),I265)</f>
        <v>44.9</v>
      </c>
      <c r="J266" s="6">
        <f t="shared" si="8"/>
        <v>6.2299999999999969</v>
      </c>
    </row>
    <row r="267" spans="2:10" x14ac:dyDescent="0.25">
      <c r="B267" s="5">
        <f t="shared" si="9"/>
        <v>42633</v>
      </c>
      <c r="C267" s="6">
        <f>IFERROR(VLOOKUP($B267,Platts!$E$5:$M$4994,MATCH(C$3,Platts!$F$5:$M$5,0)+1,FALSE),C266)</f>
        <v>36.75</v>
      </c>
      <c r="D267" s="6">
        <f>IFERROR(VLOOKUP($B267,Platts!$E$5:$M$4994,MATCH(D$3,Platts!$F$5:$M$5,0)+1,FALSE),D266)</f>
        <v>42.54</v>
      </c>
      <c r="E267" s="6">
        <f>IFERROR(VLOOKUP($B267,Platts!$E$5:$M$4994,MATCH(E$3,Platts!$F$5:$M$5,0)+1,FALSE),E266)</f>
        <v>37.049999999999997</v>
      </c>
      <c r="F267" s="6">
        <f>IFERROR(VLOOKUP($B267,Platts!$E$5:$M$4994,MATCH(F$3,Platts!$F$5:$M$5,0)+1,FALSE),F266)</f>
        <v>43.44</v>
      </c>
      <c r="G267" s="6">
        <f>IFERROR(VLOOKUP($B267,Platts!$E$5:$M$4994,MATCH(G$3,Platts!$F$5:$M$5,0)+1,FALSE),G266)</f>
        <v>46.15</v>
      </c>
      <c r="H267" s="6">
        <f>IFERROR(VLOOKUP($B267,Platts!$E$5:$M$4994,MATCH(H$3,Platts!$F$5:$M$5,0)+1,FALSE),H266)</f>
        <v>43.44</v>
      </c>
      <c r="I267" s="6">
        <f>IFERROR(VLOOKUP($B267,Platts!$E$5:$M$4994,MATCH(I$3,Platts!$F$5:$M$5,0)+1,FALSE),I266)</f>
        <v>45.14</v>
      </c>
      <c r="J267" s="6">
        <f t="shared" si="8"/>
        <v>6.6899999999999977</v>
      </c>
    </row>
    <row r="268" spans="2:10" x14ac:dyDescent="0.25">
      <c r="B268" s="5">
        <f t="shared" si="9"/>
        <v>42634</v>
      </c>
      <c r="C268" s="6">
        <f>IFERROR(VLOOKUP($B268,Platts!$E$5:$M$4994,MATCH(C$3,Platts!$F$5:$M$5,0)+1,FALSE),C267)</f>
        <v>37.869999999999997</v>
      </c>
      <c r="D268" s="6">
        <f>IFERROR(VLOOKUP($B268,Platts!$E$5:$M$4994,MATCH(D$3,Platts!$F$5:$M$5,0)+1,FALSE),D267)</f>
        <v>44.42</v>
      </c>
      <c r="E268" s="6">
        <f>IFERROR(VLOOKUP($B268,Platts!$E$5:$M$4994,MATCH(E$3,Platts!$F$5:$M$5,0)+1,FALSE),E267)</f>
        <v>38.68</v>
      </c>
      <c r="F268" s="6">
        <f>IFERROR(VLOOKUP($B268,Platts!$E$5:$M$4994,MATCH(F$3,Platts!$F$5:$M$5,0)+1,FALSE),F267)</f>
        <v>45.18</v>
      </c>
      <c r="G268" s="6">
        <f>IFERROR(VLOOKUP($B268,Platts!$E$5:$M$4994,MATCH(G$3,Platts!$F$5:$M$5,0)+1,FALSE),G267)</f>
        <v>46.88</v>
      </c>
      <c r="H268" s="6">
        <f>IFERROR(VLOOKUP($B268,Platts!$E$5:$M$4994,MATCH(H$3,Platts!$F$5:$M$5,0)+1,FALSE),H267)</f>
        <v>45.09</v>
      </c>
      <c r="I268" s="6">
        <f>IFERROR(VLOOKUP($B268,Platts!$E$5:$M$4994,MATCH(I$3,Platts!$F$5:$M$5,0)+1,FALSE),I267)</f>
        <v>46.77</v>
      </c>
      <c r="J268" s="6">
        <f t="shared" si="8"/>
        <v>7.220000000000006</v>
      </c>
    </row>
    <row r="269" spans="2:10" x14ac:dyDescent="0.25">
      <c r="B269" s="5">
        <f t="shared" si="9"/>
        <v>42635</v>
      </c>
      <c r="C269" s="6">
        <f>IFERROR(VLOOKUP($B269,Platts!$E$5:$M$4994,MATCH(C$3,Platts!$F$5:$M$5,0)+1,FALSE),C268)</f>
        <v>38.67</v>
      </c>
      <c r="D269" s="6">
        <f>IFERROR(VLOOKUP($B269,Platts!$E$5:$M$4994,MATCH(D$3,Platts!$F$5:$M$5,0)+1,FALSE),D268)</f>
        <v>45.42</v>
      </c>
      <c r="E269" s="6">
        <f>IFERROR(VLOOKUP($B269,Platts!$E$5:$M$4994,MATCH(E$3,Platts!$F$5:$M$5,0)+1,FALSE),E268)</f>
        <v>39.56</v>
      </c>
      <c r="F269" s="6">
        <f>IFERROR(VLOOKUP($B269,Platts!$E$5:$M$4994,MATCH(F$3,Platts!$F$5:$M$5,0)+1,FALSE),F268)</f>
        <v>46.11</v>
      </c>
      <c r="G269" s="6">
        <f>IFERROR(VLOOKUP($B269,Platts!$E$5:$M$4994,MATCH(G$3,Platts!$F$5:$M$5,0)+1,FALSE),G268)</f>
        <v>47.8</v>
      </c>
      <c r="H269" s="6">
        <f>IFERROR(VLOOKUP($B269,Platts!$E$5:$M$4994,MATCH(H$3,Platts!$F$5:$M$5,0)+1,FALSE),H268)</f>
        <v>46.17</v>
      </c>
      <c r="I269" s="6">
        <f>IFERROR(VLOOKUP($B269,Platts!$E$5:$M$4994,MATCH(I$3,Platts!$F$5:$M$5,0)+1,FALSE),I268)</f>
        <v>47.77</v>
      </c>
      <c r="J269" s="6">
        <f t="shared" si="8"/>
        <v>7.5</v>
      </c>
    </row>
    <row r="270" spans="2:10" x14ac:dyDescent="0.25">
      <c r="B270" s="5">
        <f t="shared" si="9"/>
        <v>42636</v>
      </c>
      <c r="C270" s="6">
        <f>IFERROR(VLOOKUP($B270,Platts!$E$5:$M$4994,MATCH(C$3,Platts!$F$5:$M$5,0)+1,FALSE),C269)</f>
        <v>37.9</v>
      </c>
      <c r="D270" s="6">
        <f>IFERROR(VLOOKUP($B270,Platts!$E$5:$M$4994,MATCH(D$3,Platts!$F$5:$M$5,0)+1,FALSE),D269)</f>
        <v>43.59</v>
      </c>
      <c r="E270" s="6">
        <f>IFERROR(VLOOKUP($B270,Platts!$E$5:$M$4994,MATCH(E$3,Platts!$F$5:$M$5,0)+1,FALSE),E269)</f>
        <v>38.42</v>
      </c>
      <c r="F270" s="6">
        <f>IFERROR(VLOOKUP($B270,Platts!$E$5:$M$4994,MATCH(F$3,Platts!$F$5:$M$5,0)+1,FALSE),F269)</f>
        <v>44.33</v>
      </c>
      <c r="G270" s="6">
        <f>IFERROR(VLOOKUP($B270,Platts!$E$5:$M$4994,MATCH(G$3,Platts!$F$5:$M$5,0)+1,FALSE),G269)</f>
        <v>47.46</v>
      </c>
      <c r="H270" s="6">
        <f>IFERROR(VLOOKUP($B270,Platts!$E$5:$M$4994,MATCH(H$3,Platts!$F$5:$M$5,0)+1,FALSE),H269)</f>
        <v>44.28</v>
      </c>
      <c r="I270" s="6">
        <f>IFERROR(VLOOKUP($B270,Platts!$E$5:$M$4994,MATCH(I$3,Platts!$F$5:$M$5,0)+1,FALSE),I269)</f>
        <v>46.08</v>
      </c>
      <c r="J270" s="6">
        <f t="shared" si="8"/>
        <v>6.3800000000000026</v>
      </c>
    </row>
    <row r="271" spans="2:10" x14ac:dyDescent="0.25">
      <c r="B271" s="5">
        <f t="shared" si="9"/>
        <v>42637</v>
      </c>
      <c r="C271" s="6">
        <f>IFERROR(VLOOKUP($B271,Platts!$E$5:$M$4994,MATCH(C$3,Platts!$F$5:$M$5,0)+1,FALSE),C270)</f>
        <v>37.9</v>
      </c>
      <c r="D271" s="6">
        <f>IFERROR(VLOOKUP($B271,Platts!$E$5:$M$4994,MATCH(D$3,Platts!$F$5:$M$5,0)+1,FALSE),D270)</f>
        <v>43.59</v>
      </c>
      <c r="E271" s="6">
        <f>IFERROR(VLOOKUP($B271,Platts!$E$5:$M$4994,MATCH(E$3,Platts!$F$5:$M$5,0)+1,FALSE),E270)</f>
        <v>38.42</v>
      </c>
      <c r="F271" s="6">
        <f>IFERROR(VLOOKUP($B271,Platts!$E$5:$M$4994,MATCH(F$3,Platts!$F$5:$M$5,0)+1,FALSE),F270)</f>
        <v>44.33</v>
      </c>
      <c r="G271" s="6">
        <f>IFERROR(VLOOKUP($B271,Platts!$E$5:$M$4994,MATCH(G$3,Platts!$F$5:$M$5,0)+1,FALSE),G270)</f>
        <v>47.46</v>
      </c>
      <c r="H271" s="6">
        <f>IFERROR(VLOOKUP($B271,Platts!$E$5:$M$4994,MATCH(H$3,Platts!$F$5:$M$5,0)+1,FALSE),H270)</f>
        <v>44.28</v>
      </c>
      <c r="I271" s="6">
        <f>IFERROR(VLOOKUP($B271,Platts!$E$5:$M$4994,MATCH(I$3,Platts!$F$5:$M$5,0)+1,FALSE),I270)</f>
        <v>46.08</v>
      </c>
      <c r="J271" s="6">
        <f t="shared" si="8"/>
        <v>6.3800000000000026</v>
      </c>
    </row>
    <row r="272" spans="2:10" x14ac:dyDescent="0.25">
      <c r="B272" s="5">
        <f t="shared" si="9"/>
        <v>42638</v>
      </c>
      <c r="C272" s="6">
        <f>IFERROR(VLOOKUP($B272,Platts!$E$5:$M$4994,MATCH(C$3,Platts!$F$5:$M$5,0)+1,FALSE),C271)</f>
        <v>37.9</v>
      </c>
      <c r="D272" s="6">
        <f>IFERROR(VLOOKUP($B272,Platts!$E$5:$M$4994,MATCH(D$3,Platts!$F$5:$M$5,0)+1,FALSE),D271)</f>
        <v>43.59</v>
      </c>
      <c r="E272" s="6">
        <f>IFERROR(VLOOKUP($B272,Platts!$E$5:$M$4994,MATCH(E$3,Platts!$F$5:$M$5,0)+1,FALSE),E271)</f>
        <v>38.42</v>
      </c>
      <c r="F272" s="6">
        <f>IFERROR(VLOOKUP($B272,Platts!$E$5:$M$4994,MATCH(F$3,Platts!$F$5:$M$5,0)+1,FALSE),F271)</f>
        <v>44.33</v>
      </c>
      <c r="G272" s="6">
        <f>IFERROR(VLOOKUP($B272,Platts!$E$5:$M$4994,MATCH(G$3,Platts!$F$5:$M$5,0)+1,FALSE),G271)</f>
        <v>47.46</v>
      </c>
      <c r="H272" s="6">
        <f>IFERROR(VLOOKUP($B272,Platts!$E$5:$M$4994,MATCH(H$3,Platts!$F$5:$M$5,0)+1,FALSE),H271)</f>
        <v>44.28</v>
      </c>
      <c r="I272" s="6">
        <f>IFERROR(VLOOKUP($B272,Platts!$E$5:$M$4994,MATCH(I$3,Platts!$F$5:$M$5,0)+1,FALSE),I271)</f>
        <v>46.08</v>
      </c>
      <c r="J272" s="6">
        <f t="shared" si="8"/>
        <v>6.3800000000000026</v>
      </c>
    </row>
    <row r="273" spans="2:10" x14ac:dyDescent="0.25">
      <c r="B273" s="5">
        <f t="shared" si="9"/>
        <v>42639</v>
      </c>
      <c r="C273" s="6">
        <f>IFERROR(VLOOKUP($B273,Platts!$E$5:$M$4994,MATCH(C$3,Platts!$F$5:$M$5,0)+1,FALSE),C272)</f>
        <v>38.15</v>
      </c>
      <c r="D273" s="6">
        <f>IFERROR(VLOOKUP($B273,Platts!$E$5:$M$4994,MATCH(D$3,Platts!$F$5:$M$5,0)+1,FALSE),D272)</f>
        <v>45.1</v>
      </c>
      <c r="E273" s="6">
        <f>IFERROR(VLOOKUP($B273,Platts!$E$5:$M$4994,MATCH(E$3,Platts!$F$5:$M$5,0)+1,FALSE),E272)</f>
        <v>39.26</v>
      </c>
      <c r="F273" s="6">
        <f>IFERROR(VLOOKUP($B273,Platts!$E$5:$M$4994,MATCH(F$3,Platts!$F$5:$M$5,0)+1,FALSE),F272)</f>
        <v>45.74</v>
      </c>
      <c r="G273" s="6">
        <f>IFERROR(VLOOKUP($B273,Platts!$E$5:$M$4994,MATCH(G$3,Platts!$F$5:$M$5,0)+1,FALSE),G272)</f>
        <v>47.35</v>
      </c>
      <c r="H273" s="6">
        <f>IFERROR(VLOOKUP($B273,Platts!$E$5:$M$4994,MATCH(H$3,Platts!$F$5:$M$5,0)+1,FALSE),H272)</f>
        <v>45.93</v>
      </c>
      <c r="I273" s="6">
        <f>IFERROR(VLOOKUP($B273,Platts!$E$5:$M$4994,MATCH(I$3,Platts!$F$5:$M$5,0)+1,FALSE),I272)</f>
        <v>47.56</v>
      </c>
      <c r="J273" s="6">
        <f t="shared" si="8"/>
        <v>7.7800000000000011</v>
      </c>
    </row>
    <row r="274" spans="2:10" x14ac:dyDescent="0.25">
      <c r="B274" s="5">
        <f t="shared" si="9"/>
        <v>42640</v>
      </c>
      <c r="C274" s="6">
        <f>IFERROR(VLOOKUP($B274,Platts!$E$5:$M$4994,MATCH(C$3,Platts!$F$5:$M$5,0)+1,FALSE),C273)</f>
        <v>37.04</v>
      </c>
      <c r="D274" s="6">
        <f>IFERROR(VLOOKUP($B274,Platts!$E$5:$M$4994,MATCH(D$3,Platts!$F$5:$M$5,0)+1,FALSE),D273)</f>
        <v>43.86</v>
      </c>
      <c r="E274" s="6">
        <f>IFERROR(VLOOKUP($B274,Platts!$E$5:$M$4994,MATCH(E$3,Platts!$F$5:$M$5,0)+1,FALSE),E273)</f>
        <v>37.909999999999997</v>
      </c>
      <c r="F274" s="6">
        <f>IFERROR(VLOOKUP($B274,Platts!$E$5:$M$4994,MATCH(F$3,Platts!$F$5:$M$5,0)+1,FALSE),F273)</f>
        <v>44.51</v>
      </c>
      <c r="G274" s="6">
        <f>IFERROR(VLOOKUP($B274,Platts!$E$5:$M$4994,MATCH(G$3,Platts!$F$5:$M$5,0)+1,FALSE),G273)</f>
        <v>45.75</v>
      </c>
      <c r="H274" s="6">
        <f>IFERROR(VLOOKUP($B274,Platts!$E$5:$M$4994,MATCH(H$3,Platts!$F$5:$M$5,0)+1,FALSE),H273)</f>
        <v>44.67</v>
      </c>
      <c r="I274" s="6">
        <f>IFERROR(VLOOKUP($B274,Platts!$E$5:$M$4994,MATCH(I$3,Platts!$F$5:$M$5,0)+1,FALSE),I273)</f>
        <v>46.27</v>
      </c>
      <c r="J274" s="6">
        <f t="shared" si="8"/>
        <v>7.6300000000000026</v>
      </c>
    </row>
    <row r="275" spans="2:10" x14ac:dyDescent="0.25">
      <c r="B275" s="5">
        <f t="shared" si="9"/>
        <v>42641</v>
      </c>
      <c r="C275" s="6">
        <f>IFERROR(VLOOKUP($B275,Platts!$E$5:$M$4994,MATCH(C$3,Platts!$F$5:$M$5,0)+1,FALSE),C274)</f>
        <v>37.770000000000003</v>
      </c>
      <c r="D275" s="6">
        <f>IFERROR(VLOOKUP($B275,Platts!$E$5:$M$4994,MATCH(D$3,Platts!$F$5:$M$5,0)+1,FALSE),D274)</f>
        <v>46.24</v>
      </c>
      <c r="E275" s="6">
        <f>IFERROR(VLOOKUP($B275,Platts!$E$5:$M$4994,MATCH(E$3,Platts!$F$5:$M$5,0)+1,FALSE),E274)</f>
        <v>39.950000000000003</v>
      </c>
      <c r="F275" s="6">
        <f>IFERROR(VLOOKUP($B275,Platts!$E$5:$M$4994,MATCH(F$3,Platts!$F$5:$M$5,0)+1,FALSE),F274)</f>
        <v>46.94</v>
      </c>
      <c r="G275" s="6">
        <f>IFERROR(VLOOKUP($B275,Platts!$E$5:$M$4994,MATCH(G$3,Platts!$F$5:$M$5,0)+1,FALSE),G274)</f>
        <v>46.16</v>
      </c>
      <c r="H275" s="6">
        <f>IFERROR(VLOOKUP($B275,Platts!$E$5:$M$4994,MATCH(H$3,Platts!$F$5:$M$5,0)+1,FALSE),H274)</f>
        <v>47.05</v>
      </c>
      <c r="I275" s="6">
        <f>IFERROR(VLOOKUP($B275,Platts!$E$5:$M$4994,MATCH(I$3,Platts!$F$5:$M$5,0)+1,FALSE),I274)</f>
        <v>48.55</v>
      </c>
      <c r="J275" s="6">
        <f t="shared" si="8"/>
        <v>9.279999999999994</v>
      </c>
    </row>
    <row r="276" spans="2:10" x14ac:dyDescent="0.25">
      <c r="B276" s="5">
        <f t="shared" si="9"/>
        <v>42642</v>
      </c>
      <c r="C276" s="6">
        <f>IFERROR(VLOOKUP($B276,Platts!$E$5:$M$4994,MATCH(C$3,Platts!$F$5:$M$5,0)+1,FALSE),C275)</f>
        <v>39.69</v>
      </c>
      <c r="D276" s="6">
        <f>IFERROR(VLOOKUP($B276,Platts!$E$5:$M$4994,MATCH(D$3,Platts!$F$5:$M$5,0)+1,FALSE),D275)</f>
        <v>46.99</v>
      </c>
      <c r="E276" s="6">
        <f>IFERROR(VLOOKUP($B276,Platts!$E$5:$M$4994,MATCH(E$3,Platts!$F$5:$M$5,0)+1,FALSE),E275)</f>
        <v>40.71</v>
      </c>
      <c r="F276" s="6">
        <f>IFERROR(VLOOKUP($B276,Platts!$E$5:$M$4994,MATCH(F$3,Platts!$F$5:$M$5,0)+1,FALSE),F275)</f>
        <v>47.64</v>
      </c>
      <c r="G276" s="6">
        <f>IFERROR(VLOOKUP($B276,Platts!$E$5:$M$4994,MATCH(G$3,Platts!$F$5:$M$5,0)+1,FALSE),G275)</f>
        <v>49.24</v>
      </c>
      <c r="H276" s="6">
        <f>IFERROR(VLOOKUP($B276,Platts!$E$5:$M$4994,MATCH(H$3,Platts!$F$5:$M$5,0)+1,FALSE),H275)</f>
        <v>47.83</v>
      </c>
      <c r="I276" s="6">
        <f>IFERROR(VLOOKUP($B276,Platts!$E$5:$M$4994,MATCH(I$3,Platts!$F$5:$M$5,0)+1,FALSE),I275)</f>
        <v>49.33</v>
      </c>
      <c r="J276" s="6">
        <f t="shared" si="8"/>
        <v>8.14</v>
      </c>
    </row>
    <row r="277" spans="2:10" x14ac:dyDescent="0.25">
      <c r="B277" s="5">
        <f t="shared" si="9"/>
        <v>42643</v>
      </c>
      <c r="C277" s="6">
        <f>IFERROR(VLOOKUP($B277,Platts!$E$5:$M$4994,MATCH(C$3,Platts!$F$5:$M$5,0)+1,FALSE),C276)</f>
        <v>39.83</v>
      </c>
      <c r="D277" s="6">
        <f>IFERROR(VLOOKUP($B277,Platts!$E$5:$M$4994,MATCH(D$3,Platts!$F$5:$M$5,0)+1,FALSE),D276)</f>
        <v>47.36</v>
      </c>
      <c r="E277" s="6">
        <f>IFERROR(VLOOKUP($B277,Platts!$E$5:$M$4994,MATCH(E$3,Platts!$F$5:$M$5,0)+1,FALSE),E276)</f>
        <v>41.17</v>
      </c>
      <c r="F277" s="6">
        <f>IFERROR(VLOOKUP($B277,Platts!$E$5:$M$4994,MATCH(F$3,Platts!$F$5:$M$5,0)+1,FALSE),F276)</f>
        <v>47.94</v>
      </c>
      <c r="G277" s="6">
        <f>IFERROR(VLOOKUP($B277,Platts!$E$5:$M$4994,MATCH(G$3,Platts!$F$5:$M$5,0)+1,FALSE),G276)</f>
        <v>48.92</v>
      </c>
      <c r="H277" s="6">
        <f>IFERROR(VLOOKUP($B277,Platts!$E$5:$M$4994,MATCH(H$3,Platts!$F$5:$M$5,0)+1,FALSE),H276)</f>
        <v>48.24</v>
      </c>
      <c r="I277" s="6">
        <f>IFERROR(VLOOKUP($B277,Platts!$E$5:$M$4994,MATCH(I$3,Platts!$F$5:$M$5,0)+1,FALSE),I276)</f>
        <v>49.74</v>
      </c>
      <c r="J277" s="6">
        <f t="shared" si="8"/>
        <v>8.4100000000000037</v>
      </c>
    </row>
    <row r="278" spans="2:10" x14ac:dyDescent="0.25">
      <c r="B278" s="5">
        <f t="shared" si="9"/>
        <v>42644</v>
      </c>
      <c r="C278" s="6">
        <f>IFERROR(VLOOKUP($B278,Platts!$E$5:$M$4994,MATCH(C$3,Platts!$F$5:$M$5,0)+1,FALSE),C277)</f>
        <v>39.83</v>
      </c>
      <c r="D278" s="6">
        <f>IFERROR(VLOOKUP($B278,Platts!$E$5:$M$4994,MATCH(D$3,Platts!$F$5:$M$5,0)+1,FALSE),D277)</f>
        <v>47.36</v>
      </c>
      <c r="E278" s="6">
        <f>IFERROR(VLOOKUP($B278,Platts!$E$5:$M$4994,MATCH(E$3,Platts!$F$5:$M$5,0)+1,FALSE),E277)</f>
        <v>41.17</v>
      </c>
      <c r="F278" s="6">
        <f>IFERROR(VLOOKUP($B278,Platts!$E$5:$M$4994,MATCH(F$3,Platts!$F$5:$M$5,0)+1,FALSE),F277)</f>
        <v>47.94</v>
      </c>
      <c r="G278" s="6">
        <f>IFERROR(VLOOKUP($B278,Platts!$E$5:$M$4994,MATCH(G$3,Platts!$F$5:$M$5,0)+1,FALSE),G277)</f>
        <v>48.92</v>
      </c>
      <c r="H278" s="6">
        <f>IFERROR(VLOOKUP($B278,Platts!$E$5:$M$4994,MATCH(H$3,Platts!$F$5:$M$5,0)+1,FALSE),H277)</f>
        <v>48.24</v>
      </c>
      <c r="I278" s="6">
        <f>IFERROR(VLOOKUP($B278,Platts!$E$5:$M$4994,MATCH(I$3,Platts!$F$5:$M$5,0)+1,FALSE),I277)</f>
        <v>49.74</v>
      </c>
      <c r="J278" s="6">
        <f t="shared" si="8"/>
        <v>8.4100000000000037</v>
      </c>
    </row>
    <row r="279" spans="2:10" x14ac:dyDescent="0.25">
      <c r="B279" s="5">
        <f t="shared" si="9"/>
        <v>42645</v>
      </c>
      <c r="C279" s="6">
        <f>IFERROR(VLOOKUP($B279,Platts!$E$5:$M$4994,MATCH(C$3,Platts!$F$5:$M$5,0)+1,FALSE),C278)</f>
        <v>39.83</v>
      </c>
      <c r="D279" s="6">
        <f>IFERROR(VLOOKUP($B279,Platts!$E$5:$M$4994,MATCH(D$3,Platts!$F$5:$M$5,0)+1,FALSE),D278)</f>
        <v>47.36</v>
      </c>
      <c r="E279" s="6">
        <f>IFERROR(VLOOKUP($B279,Platts!$E$5:$M$4994,MATCH(E$3,Platts!$F$5:$M$5,0)+1,FALSE),E278)</f>
        <v>41.17</v>
      </c>
      <c r="F279" s="6">
        <f>IFERROR(VLOOKUP($B279,Platts!$E$5:$M$4994,MATCH(F$3,Platts!$F$5:$M$5,0)+1,FALSE),F278)</f>
        <v>47.94</v>
      </c>
      <c r="G279" s="6">
        <f>IFERROR(VLOOKUP($B279,Platts!$E$5:$M$4994,MATCH(G$3,Platts!$F$5:$M$5,0)+1,FALSE),G278)</f>
        <v>48.92</v>
      </c>
      <c r="H279" s="6">
        <f>IFERROR(VLOOKUP($B279,Platts!$E$5:$M$4994,MATCH(H$3,Platts!$F$5:$M$5,0)+1,FALSE),H278)</f>
        <v>48.24</v>
      </c>
      <c r="I279" s="6">
        <f>IFERROR(VLOOKUP($B279,Platts!$E$5:$M$4994,MATCH(I$3,Platts!$F$5:$M$5,0)+1,FALSE),I278)</f>
        <v>49.74</v>
      </c>
      <c r="J279" s="6">
        <f t="shared" si="8"/>
        <v>8.4100000000000037</v>
      </c>
    </row>
    <row r="280" spans="2:10" x14ac:dyDescent="0.25">
      <c r="B280" s="5">
        <f t="shared" si="9"/>
        <v>42646</v>
      </c>
      <c r="C280" s="6">
        <f>IFERROR(VLOOKUP($B280,Platts!$E$5:$M$4994,MATCH(C$3,Platts!$F$5:$M$5,0)+1,FALSE),C279)</f>
        <v>39.71</v>
      </c>
      <c r="D280" s="6">
        <f>IFERROR(VLOOKUP($B280,Platts!$E$5:$M$4994,MATCH(D$3,Platts!$F$5:$M$5,0)+1,FALSE),D279)</f>
        <v>48.57</v>
      </c>
      <c r="E280" s="6">
        <f>IFERROR(VLOOKUP($B280,Platts!$E$5:$M$4994,MATCH(E$3,Platts!$F$5:$M$5,0)+1,FALSE),E279)</f>
        <v>41.78</v>
      </c>
      <c r="F280" s="6">
        <f>IFERROR(VLOOKUP($B280,Platts!$E$5:$M$4994,MATCH(F$3,Platts!$F$5:$M$5,0)+1,FALSE),F279)</f>
        <v>48.98</v>
      </c>
      <c r="G280" s="6">
        <f>IFERROR(VLOOKUP($B280,Platts!$E$5:$M$4994,MATCH(G$3,Platts!$F$5:$M$5,0)+1,FALSE),G279)</f>
        <v>50.28</v>
      </c>
      <c r="H280" s="6">
        <f>IFERROR(VLOOKUP($B280,Platts!$E$5:$M$4994,MATCH(H$3,Platts!$F$5:$M$5,0)+1,FALSE),H279)</f>
        <v>48.81</v>
      </c>
      <c r="I280" s="6">
        <f>IFERROR(VLOOKUP($B280,Platts!$E$5:$M$4994,MATCH(I$3,Platts!$F$5:$M$5,0)+1,FALSE),I279)</f>
        <v>50.31</v>
      </c>
      <c r="J280" s="6">
        <f t="shared" si="8"/>
        <v>9.1000000000000014</v>
      </c>
    </row>
    <row r="281" spans="2:10" x14ac:dyDescent="0.25">
      <c r="B281" s="5">
        <f t="shared" si="9"/>
        <v>42647</v>
      </c>
      <c r="C281" s="6">
        <f>IFERROR(VLOOKUP($B281,Platts!$E$5:$M$4994,MATCH(C$3,Platts!$F$5:$M$5,0)+1,FALSE),C280)</f>
        <v>40.15</v>
      </c>
      <c r="D281" s="6">
        <f>IFERROR(VLOOKUP($B281,Platts!$E$5:$M$4994,MATCH(D$3,Platts!$F$5:$M$5,0)+1,FALSE),D280)</f>
        <v>48.6</v>
      </c>
      <c r="E281" s="6">
        <f>IFERROR(VLOOKUP($B281,Platts!$E$5:$M$4994,MATCH(E$3,Platts!$F$5:$M$5,0)+1,FALSE),E280)</f>
        <v>41.91</v>
      </c>
      <c r="F281" s="6">
        <f>IFERROR(VLOOKUP($B281,Platts!$E$5:$M$4994,MATCH(F$3,Platts!$F$5:$M$5,0)+1,FALSE),F280)</f>
        <v>49.04</v>
      </c>
      <c r="G281" s="6">
        <f>IFERROR(VLOOKUP($B281,Platts!$E$5:$M$4994,MATCH(G$3,Platts!$F$5:$M$5,0)+1,FALSE),G280)</f>
        <v>51.19</v>
      </c>
      <c r="H281" s="6">
        <f>IFERROR(VLOOKUP($B281,Platts!$E$5:$M$4994,MATCH(H$3,Platts!$F$5:$M$5,0)+1,FALSE),H280)</f>
        <v>48.69</v>
      </c>
      <c r="I281" s="6">
        <f>IFERROR(VLOOKUP($B281,Platts!$E$5:$M$4994,MATCH(I$3,Platts!$F$5:$M$5,0)+1,FALSE),I280)</f>
        <v>50.19</v>
      </c>
      <c r="J281" s="6">
        <f t="shared" si="8"/>
        <v>8.5399999999999991</v>
      </c>
    </row>
    <row r="282" spans="2:10" x14ac:dyDescent="0.25">
      <c r="B282" s="5">
        <f t="shared" si="9"/>
        <v>42648</v>
      </c>
      <c r="C282" s="6">
        <f>IFERROR(VLOOKUP($B282,Platts!$E$5:$M$4994,MATCH(C$3,Platts!$F$5:$M$5,0)+1,FALSE),C281)</f>
        <v>41.12</v>
      </c>
      <c r="D282" s="6">
        <f>IFERROR(VLOOKUP($B282,Platts!$E$5:$M$4994,MATCH(D$3,Platts!$F$5:$M$5,0)+1,FALSE),D281)</f>
        <v>49.76</v>
      </c>
      <c r="E282" s="6">
        <f>IFERROR(VLOOKUP($B282,Platts!$E$5:$M$4994,MATCH(E$3,Platts!$F$5:$M$5,0)+1,FALSE),E281)</f>
        <v>43.04</v>
      </c>
      <c r="F282" s="6">
        <f>IFERROR(VLOOKUP($B282,Platts!$E$5:$M$4994,MATCH(F$3,Platts!$F$5:$M$5,0)+1,FALSE),F281)</f>
        <v>50.16</v>
      </c>
      <c r="G282" s="6">
        <f>IFERROR(VLOOKUP($B282,Platts!$E$5:$M$4994,MATCH(G$3,Platts!$F$5:$M$5,0)+1,FALSE),G281)</f>
        <v>51.89</v>
      </c>
      <c r="H282" s="6">
        <f>IFERROR(VLOOKUP($B282,Platts!$E$5:$M$4994,MATCH(H$3,Platts!$F$5:$M$5,0)+1,FALSE),H281)</f>
        <v>49.83</v>
      </c>
      <c r="I282" s="6">
        <f>IFERROR(VLOOKUP($B282,Platts!$E$5:$M$4994,MATCH(I$3,Platts!$F$5:$M$5,0)+1,FALSE),I281)</f>
        <v>51.28</v>
      </c>
      <c r="J282" s="6">
        <f t="shared" si="8"/>
        <v>8.7100000000000009</v>
      </c>
    </row>
    <row r="283" spans="2:10" x14ac:dyDescent="0.25">
      <c r="B283" s="5">
        <f t="shared" si="9"/>
        <v>42649</v>
      </c>
      <c r="C283" s="6">
        <f>IFERROR(VLOOKUP($B283,Platts!$E$5:$M$4994,MATCH(C$3,Platts!$F$5:$M$5,0)+1,FALSE),C282)</f>
        <v>41.65</v>
      </c>
      <c r="D283" s="6">
        <f>IFERROR(VLOOKUP($B283,Platts!$E$5:$M$4994,MATCH(D$3,Platts!$F$5:$M$5,0)+1,FALSE),D282)</f>
        <v>50.6</v>
      </c>
      <c r="E283" s="6">
        <f>IFERROR(VLOOKUP($B283,Platts!$E$5:$M$4994,MATCH(E$3,Platts!$F$5:$M$5,0)+1,FALSE),E282)</f>
        <v>43.91</v>
      </c>
      <c r="F283" s="6">
        <f>IFERROR(VLOOKUP($B283,Platts!$E$5:$M$4994,MATCH(F$3,Platts!$F$5:$M$5,0)+1,FALSE),F282)</f>
        <v>50.99</v>
      </c>
      <c r="G283" s="6">
        <f>IFERROR(VLOOKUP($B283,Platts!$E$5:$M$4994,MATCH(G$3,Platts!$F$5:$M$5,0)+1,FALSE),G282)</f>
        <v>52.38</v>
      </c>
      <c r="H283" s="6">
        <f>IFERROR(VLOOKUP($B283,Platts!$E$5:$M$4994,MATCH(H$3,Platts!$F$5:$M$5,0)+1,FALSE),H282)</f>
        <v>50.44</v>
      </c>
      <c r="I283" s="6">
        <f>IFERROR(VLOOKUP($B283,Platts!$E$5:$M$4994,MATCH(I$3,Platts!$F$5:$M$5,0)+1,FALSE),I282)</f>
        <v>51.94</v>
      </c>
      <c r="J283" s="6">
        <f t="shared" si="8"/>
        <v>8.7899999999999991</v>
      </c>
    </row>
    <row r="284" spans="2:10" x14ac:dyDescent="0.25">
      <c r="B284" s="5">
        <f t="shared" si="9"/>
        <v>42650</v>
      </c>
      <c r="C284" s="6">
        <f>IFERROR(VLOOKUP($B284,Platts!$E$5:$M$4994,MATCH(C$3,Platts!$F$5:$M$5,0)+1,FALSE),C283)</f>
        <v>41.86</v>
      </c>
      <c r="D284" s="6">
        <f>IFERROR(VLOOKUP($B284,Platts!$E$5:$M$4994,MATCH(D$3,Platts!$F$5:$M$5,0)+1,FALSE),D283)</f>
        <v>49.97</v>
      </c>
      <c r="E284" s="6">
        <f>IFERROR(VLOOKUP($B284,Platts!$E$5:$M$4994,MATCH(E$3,Platts!$F$5:$M$5,0)+1,FALSE),E283)</f>
        <v>43.42</v>
      </c>
      <c r="F284" s="6">
        <f>IFERROR(VLOOKUP($B284,Platts!$E$5:$M$4994,MATCH(F$3,Platts!$F$5:$M$5,0)+1,FALSE),F283)</f>
        <v>50.37</v>
      </c>
      <c r="G284" s="6">
        <f>IFERROR(VLOOKUP($B284,Platts!$E$5:$M$4994,MATCH(G$3,Platts!$F$5:$M$5,0)+1,FALSE),G283)</f>
        <v>52.29</v>
      </c>
      <c r="H284" s="6">
        <f>IFERROR(VLOOKUP($B284,Platts!$E$5:$M$4994,MATCH(H$3,Platts!$F$5:$M$5,0)+1,FALSE),H283)</f>
        <v>49.81</v>
      </c>
      <c r="I284" s="6">
        <f>IFERROR(VLOOKUP($B284,Platts!$E$5:$M$4994,MATCH(I$3,Platts!$F$5:$M$5,0)+1,FALSE),I283)</f>
        <v>51.31</v>
      </c>
      <c r="J284" s="6">
        <f t="shared" si="8"/>
        <v>7.9500000000000028</v>
      </c>
    </row>
    <row r="285" spans="2:10" x14ac:dyDescent="0.25">
      <c r="B285" s="5">
        <f t="shared" si="9"/>
        <v>42651</v>
      </c>
      <c r="C285" s="6">
        <f>IFERROR(VLOOKUP($B285,Platts!$E$5:$M$4994,MATCH(C$3,Platts!$F$5:$M$5,0)+1,FALSE),C284)</f>
        <v>41.86</v>
      </c>
      <c r="D285" s="6">
        <f>IFERROR(VLOOKUP($B285,Platts!$E$5:$M$4994,MATCH(D$3,Platts!$F$5:$M$5,0)+1,FALSE),D284)</f>
        <v>49.97</v>
      </c>
      <c r="E285" s="6">
        <f>IFERROR(VLOOKUP($B285,Platts!$E$5:$M$4994,MATCH(E$3,Platts!$F$5:$M$5,0)+1,FALSE),E284)</f>
        <v>43.42</v>
      </c>
      <c r="F285" s="6">
        <f>IFERROR(VLOOKUP($B285,Platts!$E$5:$M$4994,MATCH(F$3,Platts!$F$5:$M$5,0)+1,FALSE),F284)</f>
        <v>50.37</v>
      </c>
      <c r="G285" s="6">
        <f>IFERROR(VLOOKUP($B285,Platts!$E$5:$M$4994,MATCH(G$3,Platts!$F$5:$M$5,0)+1,FALSE),G284)</f>
        <v>52.29</v>
      </c>
      <c r="H285" s="6">
        <f>IFERROR(VLOOKUP($B285,Platts!$E$5:$M$4994,MATCH(H$3,Platts!$F$5:$M$5,0)+1,FALSE),H284)</f>
        <v>49.81</v>
      </c>
      <c r="I285" s="6">
        <f>IFERROR(VLOOKUP($B285,Platts!$E$5:$M$4994,MATCH(I$3,Platts!$F$5:$M$5,0)+1,FALSE),I284)</f>
        <v>51.31</v>
      </c>
      <c r="J285" s="6">
        <f t="shared" si="8"/>
        <v>7.9500000000000028</v>
      </c>
    </row>
    <row r="286" spans="2:10" x14ac:dyDescent="0.25">
      <c r="B286" s="5">
        <f t="shared" si="9"/>
        <v>42652</v>
      </c>
      <c r="C286" s="6">
        <f>IFERROR(VLOOKUP($B286,Platts!$E$5:$M$4994,MATCH(C$3,Platts!$F$5:$M$5,0)+1,FALSE),C285)</f>
        <v>41.86</v>
      </c>
      <c r="D286" s="6">
        <f>IFERROR(VLOOKUP($B286,Platts!$E$5:$M$4994,MATCH(D$3,Platts!$F$5:$M$5,0)+1,FALSE),D285)</f>
        <v>49.97</v>
      </c>
      <c r="E286" s="6">
        <f>IFERROR(VLOOKUP($B286,Platts!$E$5:$M$4994,MATCH(E$3,Platts!$F$5:$M$5,0)+1,FALSE),E285)</f>
        <v>43.42</v>
      </c>
      <c r="F286" s="6">
        <f>IFERROR(VLOOKUP($B286,Platts!$E$5:$M$4994,MATCH(F$3,Platts!$F$5:$M$5,0)+1,FALSE),F285)</f>
        <v>50.37</v>
      </c>
      <c r="G286" s="6">
        <f>IFERROR(VLOOKUP($B286,Platts!$E$5:$M$4994,MATCH(G$3,Platts!$F$5:$M$5,0)+1,FALSE),G285)</f>
        <v>52.29</v>
      </c>
      <c r="H286" s="6">
        <f>IFERROR(VLOOKUP($B286,Platts!$E$5:$M$4994,MATCH(H$3,Platts!$F$5:$M$5,0)+1,FALSE),H285)</f>
        <v>49.81</v>
      </c>
      <c r="I286" s="6">
        <f>IFERROR(VLOOKUP($B286,Platts!$E$5:$M$4994,MATCH(I$3,Platts!$F$5:$M$5,0)+1,FALSE),I285)</f>
        <v>51.31</v>
      </c>
      <c r="J286" s="6">
        <f t="shared" si="8"/>
        <v>7.9500000000000028</v>
      </c>
    </row>
    <row r="287" spans="2:10" x14ac:dyDescent="0.25">
      <c r="B287" s="5">
        <f t="shared" si="9"/>
        <v>42653</v>
      </c>
      <c r="C287" s="6">
        <f>IFERROR(VLOOKUP($B287,Platts!$E$5:$M$4994,MATCH(C$3,Platts!$F$5:$M$5,0)+1,FALSE),C286)</f>
        <v>42.5</v>
      </c>
      <c r="D287" s="6">
        <f>IFERROR(VLOOKUP($B287,Platts!$E$5:$M$4994,MATCH(D$3,Platts!$F$5:$M$5,0)+1,FALSE),D286)</f>
        <v>51.47</v>
      </c>
      <c r="E287" s="6">
        <f>IFERROR(VLOOKUP($B287,Platts!$E$5:$M$4994,MATCH(E$3,Platts!$F$5:$M$5,0)+1,FALSE),E286)</f>
        <v>44.74</v>
      </c>
      <c r="F287" s="6">
        <f>IFERROR(VLOOKUP($B287,Platts!$E$5:$M$4994,MATCH(F$3,Platts!$F$5:$M$5,0)+1,FALSE),F286)</f>
        <v>51.8</v>
      </c>
      <c r="G287" s="6">
        <f>IFERROR(VLOOKUP($B287,Platts!$E$5:$M$4994,MATCH(G$3,Platts!$F$5:$M$5,0)+1,FALSE),G286)</f>
        <v>53.39</v>
      </c>
      <c r="H287" s="6">
        <f>IFERROR(VLOOKUP($B287,Platts!$E$5:$M$4994,MATCH(H$3,Platts!$F$5:$M$5,0)+1,FALSE),H286)</f>
        <v>51.35</v>
      </c>
      <c r="I287" s="6">
        <f>IFERROR(VLOOKUP($B287,Platts!$E$5:$M$4994,MATCH(I$3,Platts!$F$5:$M$5,0)+1,FALSE),I286)</f>
        <v>52.9</v>
      </c>
      <c r="J287" s="6">
        <f t="shared" si="8"/>
        <v>8.8500000000000014</v>
      </c>
    </row>
    <row r="288" spans="2:10" x14ac:dyDescent="0.25">
      <c r="B288" s="5">
        <f t="shared" si="9"/>
        <v>42654</v>
      </c>
      <c r="C288" s="6">
        <f>IFERROR(VLOOKUP($B288,Platts!$E$5:$M$4994,MATCH(C$3,Platts!$F$5:$M$5,0)+1,FALSE),C287)</f>
        <v>42.02</v>
      </c>
      <c r="D288" s="6">
        <f>IFERROR(VLOOKUP($B288,Platts!$E$5:$M$4994,MATCH(D$3,Platts!$F$5:$M$5,0)+1,FALSE),D287)</f>
        <v>50.9</v>
      </c>
      <c r="E288" s="6">
        <f>IFERROR(VLOOKUP($B288,Platts!$E$5:$M$4994,MATCH(E$3,Platts!$F$5:$M$5,0)+1,FALSE),E287)</f>
        <v>43.9</v>
      </c>
      <c r="F288" s="6">
        <f>IFERROR(VLOOKUP($B288,Platts!$E$5:$M$4994,MATCH(F$3,Platts!$F$5:$M$5,0)+1,FALSE),F287)</f>
        <v>51.23</v>
      </c>
      <c r="G288" s="6">
        <f>IFERROR(VLOOKUP($B288,Platts!$E$5:$M$4994,MATCH(G$3,Platts!$F$5:$M$5,0)+1,FALSE),G287)</f>
        <v>52.46</v>
      </c>
      <c r="H288" s="6">
        <f>IFERROR(VLOOKUP($B288,Platts!$E$5:$M$4994,MATCH(H$3,Platts!$F$5:$M$5,0)+1,FALSE),H287)</f>
        <v>50.79</v>
      </c>
      <c r="I288" s="6">
        <f>IFERROR(VLOOKUP($B288,Platts!$E$5:$M$4994,MATCH(I$3,Platts!$F$5:$M$5,0)+1,FALSE),I287)</f>
        <v>52.34</v>
      </c>
      <c r="J288" s="6">
        <f t="shared" si="8"/>
        <v>8.769999999999996</v>
      </c>
    </row>
    <row r="289" spans="2:10" x14ac:dyDescent="0.25">
      <c r="B289" s="5">
        <f t="shared" si="9"/>
        <v>42655</v>
      </c>
      <c r="C289" s="6">
        <f>IFERROR(VLOOKUP($B289,Platts!$E$5:$M$4994,MATCH(C$3,Platts!$F$5:$M$5,0)+1,FALSE),C288)</f>
        <v>41.5</v>
      </c>
      <c r="D289" s="6">
        <f>IFERROR(VLOOKUP($B289,Platts!$E$5:$M$4994,MATCH(D$3,Platts!$F$5:$M$5,0)+1,FALSE),D288)</f>
        <v>50.34</v>
      </c>
      <c r="E289" s="6">
        <f>IFERROR(VLOOKUP($B289,Platts!$E$5:$M$4994,MATCH(E$3,Platts!$F$5:$M$5,0)+1,FALSE),E288)</f>
        <v>43.6</v>
      </c>
      <c r="F289" s="6">
        <f>IFERROR(VLOOKUP($B289,Platts!$E$5:$M$4994,MATCH(F$3,Platts!$F$5:$M$5,0)+1,FALSE),F288)</f>
        <v>50.63</v>
      </c>
      <c r="G289" s="6">
        <f>IFERROR(VLOOKUP($B289,Platts!$E$5:$M$4994,MATCH(G$3,Platts!$F$5:$M$5,0)+1,FALSE),G288)</f>
        <v>51.8</v>
      </c>
      <c r="H289" s="6">
        <f>IFERROR(VLOOKUP($B289,Platts!$E$5:$M$4994,MATCH(H$3,Platts!$F$5:$M$5,0)+1,FALSE),H288)</f>
        <v>50.18</v>
      </c>
      <c r="I289" s="6">
        <f>IFERROR(VLOOKUP($B289,Platts!$E$5:$M$4994,MATCH(I$3,Platts!$F$5:$M$5,0)+1,FALSE),I288)</f>
        <v>51.73</v>
      </c>
      <c r="J289" s="6">
        <f t="shared" si="8"/>
        <v>8.68</v>
      </c>
    </row>
    <row r="290" spans="2:10" x14ac:dyDescent="0.25">
      <c r="B290" s="5">
        <f t="shared" si="9"/>
        <v>42656</v>
      </c>
      <c r="C290" s="6">
        <f>IFERROR(VLOOKUP($B290,Platts!$E$5:$M$4994,MATCH(C$3,Platts!$F$5:$M$5,0)+1,FALSE),C289)</f>
        <v>41.47</v>
      </c>
      <c r="D290" s="6">
        <f>IFERROR(VLOOKUP($B290,Platts!$E$5:$M$4994,MATCH(D$3,Platts!$F$5:$M$5,0)+1,FALSE),D289)</f>
        <v>50.63</v>
      </c>
      <c r="E290" s="6">
        <f>IFERROR(VLOOKUP($B290,Platts!$E$5:$M$4994,MATCH(E$3,Platts!$F$5:$M$5,0)+1,FALSE),E289)</f>
        <v>43.79</v>
      </c>
      <c r="F290" s="6">
        <f>IFERROR(VLOOKUP($B290,Platts!$E$5:$M$4994,MATCH(F$3,Platts!$F$5:$M$5,0)+1,FALSE),F289)</f>
        <v>50.91</v>
      </c>
      <c r="G290" s="6">
        <f>IFERROR(VLOOKUP($B290,Platts!$E$5:$M$4994,MATCH(G$3,Platts!$F$5:$M$5,0)+1,FALSE),G289)</f>
        <v>51.73</v>
      </c>
      <c r="H290" s="6">
        <f>IFERROR(VLOOKUP($B290,Platts!$E$5:$M$4994,MATCH(H$3,Platts!$F$5:$M$5,0)+1,FALSE),H289)</f>
        <v>50.44</v>
      </c>
      <c r="I290" s="6">
        <f>IFERROR(VLOOKUP($B290,Platts!$E$5:$M$4994,MATCH(I$3,Platts!$F$5:$M$5,0)+1,FALSE),I289)</f>
        <v>51.94</v>
      </c>
      <c r="J290" s="6">
        <f t="shared" si="8"/>
        <v>8.9699999999999989</v>
      </c>
    </row>
    <row r="291" spans="2:10" x14ac:dyDescent="0.25">
      <c r="B291" s="5">
        <f t="shared" si="9"/>
        <v>42657</v>
      </c>
      <c r="C291" s="6">
        <f>IFERROR(VLOOKUP($B291,Platts!$E$5:$M$4994,MATCH(C$3,Platts!$F$5:$M$5,0)+1,FALSE),C290)</f>
        <v>41.57</v>
      </c>
      <c r="D291" s="6">
        <f>IFERROR(VLOOKUP($B291,Platts!$E$5:$M$4994,MATCH(D$3,Platts!$F$5:$M$5,0)+1,FALSE),D290)</f>
        <v>50.34</v>
      </c>
      <c r="E291" s="6">
        <f>IFERROR(VLOOKUP($B291,Platts!$E$5:$M$4994,MATCH(E$3,Platts!$F$5:$M$5,0)+1,FALSE),E290)</f>
        <v>43.55</v>
      </c>
      <c r="F291" s="6">
        <f>IFERROR(VLOOKUP($B291,Platts!$E$5:$M$4994,MATCH(F$3,Platts!$F$5:$M$5,0)+1,FALSE),F290)</f>
        <v>50.65</v>
      </c>
      <c r="G291" s="6">
        <f>IFERROR(VLOOKUP($B291,Platts!$E$5:$M$4994,MATCH(G$3,Platts!$F$5:$M$5,0)+1,FALSE),G290)</f>
        <v>51.59</v>
      </c>
      <c r="H291" s="6">
        <f>IFERROR(VLOOKUP($B291,Platts!$E$5:$M$4994,MATCH(H$3,Platts!$F$5:$M$5,0)+1,FALSE),H290)</f>
        <v>50.35</v>
      </c>
      <c r="I291" s="6">
        <f>IFERROR(VLOOKUP($B291,Platts!$E$5:$M$4994,MATCH(I$3,Platts!$F$5:$M$5,0)+1,FALSE),I290)</f>
        <v>51.85</v>
      </c>
      <c r="J291" s="6">
        <f t="shared" si="8"/>
        <v>8.7800000000000011</v>
      </c>
    </row>
    <row r="292" spans="2:10" x14ac:dyDescent="0.25">
      <c r="B292" s="5">
        <f t="shared" si="9"/>
        <v>42658</v>
      </c>
      <c r="C292" s="6">
        <f>IFERROR(VLOOKUP($B292,Platts!$E$5:$M$4994,MATCH(C$3,Platts!$F$5:$M$5,0)+1,FALSE),C291)</f>
        <v>41.57</v>
      </c>
      <c r="D292" s="6">
        <f>IFERROR(VLOOKUP($B292,Platts!$E$5:$M$4994,MATCH(D$3,Platts!$F$5:$M$5,0)+1,FALSE),D291)</f>
        <v>50.34</v>
      </c>
      <c r="E292" s="6">
        <f>IFERROR(VLOOKUP($B292,Platts!$E$5:$M$4994,MATCH(E$3,Platts!$F$5:$M$5,0)+1,FALSE),E291)</f>
        <v>43.55</v>
      </c>
      <c r="F292" s="6">
        <f>IFERROR(VLOOKUP($B292,Platts!$E$5:$M$4994,MATCH(F$3,Platts!$F$5:$M$5,0)+1,FALSE),F291)</f>
        <v>50.65</v>
      </c>
      <c r="G292" s="6">
        <f>IFERROR(VLOOKUP($B292,Platts!$E$5:$M$4994,MATCH(G$3,Platts!$F$5:$M$5,0)+1,FALSE),G291)</f>
        <v>51.59</v>
      </c>
      <c r="H292" s="6">
        <f>IFERROR(VLOOKUP($B292,Platts!$E$5:$M$4994,MATCH(H$3,Platts!$F$5:$M$5,0)+1,FALSE),H291)</f>
        <v>50.35</v>
      </c>
      <c r="I292" s="6">
        <f>IFERROR(VLOOKUP($B292,Platts!$E$5:$M$4994,MATCH(I$3,Platts!$F$5:$M$5,0)+1,FALSE),I291)</f>
        <v>51.85</v>
      </c>
      <c r="J292" s="6">
        <f t="shared" si="8"/>
        <v>8.7800000000000011</v>
      </c>
    </row>
    <row r="293" spans="2:10" x14ac:dyDescent="0.25">
      <c r="B293" s="5">
        <f t="shared" si="9"/>
        <v>42659</v>
      </c>
      <c r="C293" s="6">
        <f>IFERROR(VLOOKUP($B293,Platts!$E$5:$M$4994,MATCH(C$3,Platts!$F$5:$M$5,0)+1,FALSE),C292)</f>
        <v>41.57</v>
      </c>
      <c r="D293" s="6">
        <f>IFERROR(VLOOKUP($B293,Platts!$E$5:$M$4994,MATCH(D$3,Platts!$F$5:$M$5,0)+1,FALSE),D292)</f>
        <v>50.34</v>
      </c>
      <c r="E293" s="6">
        <f>IFERROR(VLOOKUP($B293,Platts!$E$5:$M$4994,MATCH(E$3,Platts!$F$5:$M$5,0)+1,FALSE),E292)</f>
        <v>43.55</v>
      </c>
      <c r="F293" s="6">
        <f>IFERROR(VLOOKUP($B293,Platts!$E$5:$M$4994,MATCH(F$3,Platts!$F$5:$M$5,0)+1,FALSE),F292)</f>
        <v>50.65</v>
      </c>
      <c r="G293" s="6">
        <f>IFERROR(VLOOKUP($B293,Platts!$E$5:$M$4994,MATCH(G$3,Platts!$F$5:$M$5,0)+1,FALSE),G292)</f>
        <v>51.59</v>
      </c>
      <c r="H293" s="6">
        <f>IFERROR(VLOOKUP($B293,Platts!$E$5:$M$4994,MATCH(H$3,Platts!$F$5:$M$5,0)+1,FALSE),H292)</f>
        <v>50.35</v>
      </c>
      <c r="I293" s="6">
        <f>IFERROR(VLOOKUP($B293,Platts!$E$5:$M$4994,MATCH(I$3,Platts!$F$5:$M$5,0)+1,FALSE),I292)</f>
        <v>51.85</v>
      </c>
      <c r="J293" s="6">
        <f t="shared" si="8"/>
        <v>8.7800000000000011</v>
      </c>
    </row>
    <row r="294" spans="2:10" x14ac:dyDescent="0.25">
      <c r="B294" s="5">
        <f t="shared" si="9"/>
        <v>42660</v>
      </c>
      <c r="C294" s="6">
        <f>IFERROR(VLOOKUP($B294,Platts!$E$5:$M$4994,MATCH(C$3,Platts!$F$5:$M$5,0)+1,FALSE),C293)</f>
        <v>41.39</v>
      </c>
      <c r="D294" s="6">
        <f>IFERROR(VLOOKUP($B294,Platts!$E$5:$M$4994,MATCH(D$3,Platts!$F$5:$M$5,0)+1,FALSE),D293)</f>
        <v>50.08</v>
      </c>
      <c r="E294" s="6">
        <f>IFERROR(VLOOKUP($B294,Platts!$E$5:$M$4994,MATCH(E$3,Platts!$F$5:$M$5,0)+1,FALSE),E293)</f>
        <v>43.15</v>
      </c>
      <c r="F294" s="6">
        <f>IFERROR(VLOOKUP($B294,Platts!$E$5:$M$4994,MATCH(F$3,Platts!$F$5:$M$5,0)+1,FALSE),F293)</f>
        <v>50.33</v>
      </c>
      <c r="G294" s="6">
        <f>IFERROR(VLOOKUP($B294,Platts!$E$5:$M$4994,MATCH(G$3,Platts!$F$5:$M$5,0)+1,FALSE),G293)</f>
        <v>51.29</v>
      </c>
      <c r="H294" s="6">
        <f>IFERROR(VLOOKUP($B294,Platts!$E$5:$M$4994,MATCH(H$3,Platts!$F$5:$M$5,0)+1,FALSE),H293)</f>
        <v>49.94</v>
      </c>
      <c r="I294" s="6">
        <f>IFERROR(VLOOKUP($B294,Platts!$E$5:$M$4994,MATCH(I$3,Platts!$F$5:$M$5,0)+1,FALSE),I293)</f>
        <v>51.44</v>
      </c>
      <c r="J294" s="6">
        <f t="shared" si="8"/>
        <v>8.5499999999999972</v>
      </c>
    </row>
    <row r="295" spans="2:10" x14ac:dyDescent="0.25">
      <c r="B295" s="5">
        <f t="shared" si="9"/>
        <v>42661</v>
      </c>
      <c r="C295" s="6">
        <f>IFERROR(VLOOKUP($B295,Platts!$E$5:$M$4994,MATCH(C$3,Platts!$F$5:$M$5,0)+1,FALSE),C294)</f>
        <v>41.58</v>
      </c>
      <c r="D295" s="6">
        <f>IFERROR(VLOOKUP($B295,Platts!$E$5:$M$4994,MATCH(D$3,Platts!$F$5:$M$5,0)+1,FALSE),D294)</f>
        <v>50.4</v>
      </c>
      <c r="E295" s="6">
        <f>IFERROR(VLOOKUP($B295,Platts!$E$5:$M$4994,MATCH(E$3,Platts!$F$5:$M$5,0)+1,FALSE),E294)</f>
        <v>43.66</v>
      </c>
      <c r="F295" s="6">
        <f>IFERROR(VLOOKUP($B295,Platts!$E$5:$M$4994,MATCH(F$3,Platts!$F$5:$M$5,0)+1,FALSE),F294)</f>
        <v>50.63</v>
      </c>
      <c r="G295" s="6">
        <f>IFERROR(VLOOKUP($B295,Platts!$E$5:$M$4994,MATCH(G$3,Platts!$F$5:$M$5,0)+1,FALSE),G294)</f>
        <v>51.41</v>
      </c>
      <c r="H295" s="6">
        <f>IFERROR(VLOOKUP($B295,Platts!$E$5:$M$4994,MATCH(H$3,Platts!$F$5:$M$5,0)+1,FALSE),H294)</f>
        <v>50.29</v>
      </c>
      <c r="I295" s="6">
        <f>IFERROR(VLOOKUP($B295,Platts!$E$5:$M$4994,MATCH(I$3,Platts!$F$5:$M$5,0)+1,FALSE),I294)</f>
        <v>51.84</v>
      </c>
      <c r="J295" s="6">
        <f t="shared" si="8"/>
        <v>8.7100000000000009</v>
      </c>
    </row>
    <row r="296" spans="2:10" x14ac:dyDescent="0.25">
      <c r="B296" s="5">
        <f t="shared" si="9"/>
        <v>42662</v>
      </c>
      <c r="C296" s="6">
        <f>IFERROR(VLOOKUP($B296,Platts!$E$5:$M$4994,MATCH(C$3,Platts!$F$5:$M$5,0)+1,FALSE),C295)</f>
        <v>42.86</v>
      </c>
      <c r="D296" s="6">
        <f>IFERROR(VLOOKUP($B296,Platts!$E$5:$M$4994,MATCH(D$3,Platts!$F$5:$M$5,0)+1,FALSE),D295)</f>
        <v>51.6</v>
      </c>
      <c r="E296" s="6">
        <f>IFERROR(VLOOKUP($B296,Platts!$E$5:$M$4994,MATCH(E$3,Platts!$F$5:$M$5,0)+1,FALSE),E295)</f>
        <v>44.78</v>
      </c>
      <c r="F296" s="6">
        <f>IFERROR(VLOOKUP($B296,Platts!$E$5:$M$4994,MATCH(F$3,Platts!$F$5:$M$5,0)+1,FALSE),F295)</f>
        <v>51.77</v>
      </c>
      <c r="G296" s="6">
        <f>IFERROR(VLOOKUP($B296,Platts!$E$5:$M$4994,MATCH(G$3,Platts!$F$5:$M$5,0)+1,FALSE),G295)</f>
        <v>52.91</v>
      </c>
      <c r="H296" s="6">
        <f>IFERROR(VLOOKUP($B296,Platts!$E$5:$M$4994,MATCH(H$3,Platts!$F$5:$M$5,0)+1,FALSE),H295)</f>
        <v>51.6</v>
      </c>
      <c r="I296" s="6">
        <f>IFERROR(VLOOKUP($B296,Platts!$E$5:$M$4994,MATCH(I$3,Platts!$F$5:$M$5,0)+1,FALSE),I295)</f>
        <v>53.15</v>
      </c>
      <c r="J296" s="6">
        <f t="shared" si="8"/>
        <v>8.740000000000002</v>
      </c>
    </row>
    <row r="297" spans="2:10" x14ac:dyDescent="0.25">
      <c r="B297" s="5">
        <f t="shared" si="9"/>
        <v>42663</v>
      </c>
      <c r="C297" s="6">
        <f>IFERROR(VLOOKUP($B297,Platts!$E$5:$M$4994,MATCH(C$3,Platts!$F$5:$M$5,0)+1,FALSE),C296)</f>
        <v>41.81</v>
      </c>
      <c r="D297" s="6">
        <f>IFERROR(VLOOKUP($B297,Platts!$E$5:$M$4994,MATCH(D$3,Platts!$F$5:$M$5,0)+1,FALSE),D296)</f>
        <v>50.34</v>
      </c>
      <c r="E297" s="6">
        <f>IFERROR(VLOOKUP($B297,Platts!$E$5:$M$4994,MATCH(E$3,Platts!$F$5:$M$5,0)+1,FALSE),E296)</f>
        <v>44.04</v>
      </c>
      <c r="F297" s="6">
        <f>IFERROR(VLOOKUP($B297,Platts!$E$5:$M$4994,MATCH(F$3,Platts!$F$5:$M$5,0)+1,FALSE),F296)</f>
        <v>50.52</v>
      </c>
      <c r="G297" s="6">
        <f>IFERROR(VLOOKUP($B297,Platts!$E$5:$M$4994,MATCH(G$3,Platts!$F$5:$M$5,0)+1,FALSE),G296)</f>
        <v>51.37</v>
      </c>
      <c r="H297" s="6">
        <f>IFERROR(VLOOKUP($B297,Platts!$E$5:$M$4994,MATCH(H$3,Platts!$F$5:$M$5,0)+1,FALSE),H296)</f>
        <v>50.43</v>
      </c>
      <c r="I297" s="6">
        <f>IFERROR(VLOOKUP($B297,Platts!$E$5:$M$4994,MATCH(I$3,Platts!$F$5:$M$5,0)+1,FALSE),I296)</f>
        <v>51.88</v>
      </c>
      <c r="J297" s="6">
        <f t="shared" si="8"/>
        <v>8.6199999999999974</v>
      </c>
    </row>
    <row r="298" spans="2:10" x14ac:dyDescent="0.25">
      <c r="B298" s="5">
        <f t="shared" si="9"/>
        <v>42664</v>
      </c>
      <c r="C298" s="6">
        <f>IFERROR(VLOOKUP($B298,Platts!$E$5:$M$4994,MATCH(C$3,Platts!$F$5:$M$5,0)+1,FALSE),C297)</f>
        <v>41.89</v>
      </c>
      <c r="D298" s="6">
        <f>IFERROR(VLOOKUP($B298,Platts!$E$5:$M$4994,MATCH(D$3,Platts!$F$5:$M$5,0)+1,FALSE),D297)</f>
        <v>50.48</v>
      </c>
      <c r="E298" s="6">
        <f>IFERROR(VLOOKUP($B298,Platts!$E$5:$M$4994,MATCH(E$3,Platts!$F$5:$M$5,0)+1,FALSE),E297)</f>
        <v>43.6</v>
      </c>
      <c r="F298" s="6">
        <f>IFERROR(VLOOKUP($B298,Platts!$E$5:$M$4994,MATCH(F$3,Platts!$F$5:$M$5,0)+1,FALSE),F297)</f>
        <v>50.69</v>
      </c>
      <c r="G298" s="6">
        <f>IFERROR(VLOOKUP($B298,Platts!$E$5:$M$4994,MATCH(G$3,Platts!$F$5:$M$5,0)+1,FALSE),G297)</f>
        <v>51.65</v>
      </c>
      <c r="H298" s="6">
        <f>IFERROR(VLOOKUP($B298,Platts!$E$5:$M$4994,MATCH(H$3,Platts!$F$5:$M$5,0)+1,FALSE),H297)</f>
        <v>50.55</v>
      </c>
      <c r="I298" s="6">
        <f>IFERROR(VLOOKUP($B298,Platts!$E$5:$M$4994,MATCH(I$3,Platts!$F$5:$M$5,0)+1,FALSE),I297)</f>
        <v>52</v>
      </c>
      <c r="J298" s="6">
        <f t="shared" si="8"/>
        <v>8.6599999999999966</v>
      </c>
    </row>
    <row r="299" spans="2:10" x14ac:dyDescent="0.25">
      <c r="B299" s="5">
        <f t="shared" si="9"/>
        <v>42665</v>
      </c>
      <c r="C299" s="6">
        <f>IFERROR(VLOOKUP($B299,Platts!$E$5:$M$4994,MATCH(C$3,Platts!$F$5:$M$5,0)+1,FALSE),C298)</f>
        <v>41.89</v>
      </c>
      <c r="D299" s="6">
        <f>IFERROR(VLOOKUP($B299,Platts!$E$5:$M$4994,MATCH(D$3,Platts!$F$5:$M$5,0)+1,FALSE),D298)</f>
        <v>50.48</v>
      </c>
      <c r="E299" s="6">
        <f>IFERROR(VLOOKUP($B299,Platts!$E$5:$M$4994,MATCH(E$3,Platts!$F$5:$M$5,0)+1,FALSE),E298)</f>
        <v>43.6</v>
      </c>
      <c r="F299" s="6">
        <f>IFERROR(VLOOKUP($B299,Platts!$E$5:$M$4994,MATCH(F$3,Platts!$F$5:$M$5,0)+1,FALSE),F298)</f>
        <v>50.69</v>
      </c>
      <c r="G299" s="6">
        <f>IFERROR(VLOOKUP($B299,Platts!$E$5:$M$4994,MATCH(G$3,Platts!$F$5:$M$5,0)+1,FALSE),G298)</f>
        <v>51.65</v>
      </c>
      <c r="H299" s="6">
        <f>IFERROR(VLOOKUP($B299,Platts!$E$5:$M$4994,MATCH(H$3,Platts!$F$5:$M$5,0)+1,FALSE),H298)</f>
        <v>50.55</v>
      </c>
      <c r="I299" s="6">
        <f>IFERROR(VLOOKUP($B299,Platts!$E$5:$M$4994,MATCH(I$3,Platts!$F$5:$M$5,0)+1,FALSE),I298)</f>
        <v>52</v>
      </c>
      <c r="J299" s="6">
        <f t="shared" si="8"/>
        <v>8.6599999999999966</v>
      </c>
    </row>
    <row r="300" spans="2:10" x14ac:dyDescent="0.25">
      <c r="B300" s="5">
        <f t="shared" si="9"/>
        <v>42666</v>
      </c>
      <c r="C300" s="6">
        <f>IFERROR(VLOOKUP($B300,Platts!$E$5:$M$4994,MATCH(C$3,Platts!$F$5:$M$5,0)+1,FALSE),C299)</f>
        <v>41.89</v>
      </c>
      <c r="D300" s="6">
        <f>IFERROR(VLOOKUP($B300,Platts!$E$5:$M$4994,MATCH(D$3,Platts!$F$5:$M$5,0)+1,FALSE),D299)</f>
        <v>50.48</v>
      </c>
      <c r="E300" s="6">
        <f>IFERROR(VLOOKUP($B300,Platts!$E$5:$M$4994,MATCH(E$3,Platts!$F$5:$M$5,0)+1,FALSE),E299)</f>
        <v>43.6</v>
      </c>
      <c r="F300" s="6">
        <f>IFERROR(VLOOKUP($B300,Platts!$E$5:$M$4994,MATCH(F$3,Platts!$F$5:$M$5,0)+1,FALSE),F299)</f>
        <v>50.69</v>
      </c>
      <c r="G300" s="6">
        <f>IFERROR(VLOOKUP($B300,Platts!$E$5:$M$4994,MATCH(G$3,Platts!$F$5:$M$5,0)+1,FALSE),G299)</f>
        <v>51.65</v>
      </c>
      <c r="H300" s="6">
        <f>IFERROR(VLOOKUP($B300,Platts!$E$5:$M$4994,MATCH(H$3,Platts!$F$5:$M$5,0)+1,FALSE),H299)</f>
        <v>50.55</v>
      </c>
      <c r="I300" s="6">
        <f>IFERROR(VLOOKUP($B300,Platts!$E$5:$M$4994,MATCH(I$3,Platts!$F$5:$M$5,0)+1,FALSE),I299)</f>
        <v>52</v>
      </c>
      <c r="J300" s="6">
        <f t="shared" si="8"/>
        <v>8.6599999999999966</v>
      </c>
    </row>
    <row r="301" spans="2:10" x14ac:dyDescent="0.25">
      <c r="B301" s="5">
        <f t="shared" si="9"/>
        <v>42667</v>
      </c>
      <c r="C301" s="6">
        <f>IFERROR(VLOOKUP($B301,Platts!$E$5:$M$4994,MATCH(C$3,Platts!$F$5:$M$5,0)+1,FALSE),C300)</f>
        <v>41.62</v>
      </c>
      <c r="D301" s="6">
        <f>IFERROR(VLOOKUP($B301,Platts!$E$5:$M$4994,MATCH(D$3,Platts!$F$5:$M$5,0)+1,FALSE),D300)</f>
        <v>50.04</v>
      </c>
      <c r="E301" s="6">
        <f>IFERROR(VLOOKUP($B301,Platts!$E$5:$M$4994,MATCH(E$3,Platts!$F$5:$M$5,0)+1,FALSE),E300)</f>
        <v>43.56</v>
      </c>
      <c r="F301" s="6">
        <f>IFERROR(VLOOKUP($B301,Platts!$E$5:$M$4994,MATCH(F$3,Platts!$F$5:$M$5,0)+1,FALSE),F300)</f>
        <v>50.28</v>
      </c>
      <c r="G301" s="6">
        <f>IFERROR(VLOOKUP($B301,Platts!$E$5:$M$4994,MATCH(G$3,Platts!$F$5:$M$5,0)+1,FALSE),G300)</f>
        <v>51.16</v>
      </c>
      <c r="H301" s="6">
        <f>IFERROR(VLOOKUP($B301,Platts!$E$5:$M$4994,MATCH(H$3,Platts!$F$5:$M$5,0)+1,FALSE),H300)</f>
        <v>50.12</v>
      </c>
      <c r="I301" s="6">
        <f>IFERROR(VLOOKUP($B301,Platts!$E$5:$M$4994,MATCH(I$3,Platts!$F$5:$M$5,0)+1,FALSE),I300)</f>
        <v>51.37</v>
      </c>
      <c r="J301" s="6">
        <f t="shared" si="8"/>
        <v>8.5</v>
      </c>
    </row>
    <row r="302" spans="2:10" x14ac:dyDescent="0.25">
      <c r="B302" s="5">
        <f t="shared" si="9"/>
        <v>42668</v>
      </c>
      <c r="C302" s="6">
        <f>IFERROR(VLOOKUP($B302,Platts!$E$5:$M$4994,MATCH(C$3,Platts!$F$5:$M$5,0)+1,FALSE),C301)</f>
        <v>41.22</v>
      </c>
      <c r="D302" s="6">
        <f>IFERROR(VLOOKUP($B302,Platts!$E$5:$M$4994,MATCH(D$3,Platts!$F$5:$M$5,0)+1,FALSE),D301)</f>
        <v>49.51</v>
      </c>
      <c r="E302" s="6">
        <f>IFERROR(VLOOKUP($B302,Platts!$E$5:$M$4994,MATCH(E$3,Platts!$F$5:$M$5,0)+1,FALSE),E301)</f>
        <v>43.1</v>
      </c>
      <c r="F302" s="6">
        <f>IFERROR(VLOOKUP($B302,Platts!$E$5:$M$4994,MATCH(F$3,Platts!$F$5:$M$5,0)+1,FALSE),F301)</f>
        <v>49.67</v>
      </c>
      <c r="G302" s="6">
        <f>IFERROR(VLOOKUP($B302,Platts!$E$5:$M$4994,MATCH(G$3,Platts!$F$5:$M$5,0)+1,FALSE),G301)</f>
        <v>50.92</v>
      </c>
      <c r="H302" s="6">
        <f>IFERROR(VLOOKUP($B302,Platts!$E$5:$M$4994,MATCH(H$3,Platts!$F$5:$M$5,0)+1,FALSE),H301)</f>
        <v>49.51</v>
      </c>
      <c r="I302" s="6">
        <f>IFERROR(VLOOKUP($B302,Platts!$E$5:$M$4994,MATCH(I$3,Platts!$F$5:$M$5,0)+1,FALSE),I301)</f>
        <v>51.16</v>
      </c>
      <c r="J302" s="6">
        <f t="shared" si="8"/>
        <v>8.2899999999999991</v>
      </c>
    </row>
    <row r="303" spans="2:10" x14ac:dyDescent="0.25">
      <c r="B303" s="5">
        <f t="shared" si="9"/>
        <v>42669</v>
      </c>
      <c r="C303" s="6">
        <f>IFERROR(VLOOKUP($B303,Platts!$E$5:$M$4994,MATCH(C$3,Platts!$F$5:$M$5,0)+1,FALSE),C302)</f>
        <v>40.58</v>
      </c>
      <c r="D303" s="6">
        <f>IFERROR(VLOOKUP($B303,Platts!$E$5:$M$4994,MATCH(D$3,Platts!$F$5:$M$5,0)+1,FALSE),D302)</f>
        <v>48.99</v>
      </c>
      <c r="E303" s="6">
        <f>IFERROR(VLOOKUP($B303,Platts!$E$5:$M$4994,MATCH(E$3,Platts!$F$5:$M$5,0)+1,FALSE),E302)</f>
        <v>42.4</v>
      </c>
      <c r="F303" s="6">
        <f>IFERROR(VLOOKUP($B303,Platts!$E$5:$M$4994,MATCH(F$3,Platts!$F$5:$M$5,0)+1,FALSE),F302)</f>
        <v>49.16</v>
      </c>
      <c r="G303" s="6">
        <f>IFERROR(VLOOKUP($B303,Platts!$E$5:$M$4994,MATCH(G$3,Platts!$F$5:$M$5,0)+1,FALSE),G302)</f>
        <v>50.46</v>
      </c>
      <c r="H303" s="6">
        <f>IFERROR(VLOOKUP($B303,Platts!$E$5:$M$4994,MATCH(H$3,Platts!$F$5:$M$5,0)+1,FALSE),H302)</f>
        <v>49.18</v>
      </c>
      <c r="I303" s="6">
        <f>IFERROR(VLOOKUP($B303,Platts!$E$5:$M$4994,MATCH(I$3,Platts!$F$5:$M$5,0)+1,FALSE),I302)</f>
        <v>50.58</v>
      </c>
      <c r="J303" s="6">
        <f t="shared" si="8"/>
        <v>8.6000000000000014</v>
      </c>
    </row>
    <row r="304" spans="2:10" x14ac:dyDescent="0.25">
      <c r="B304" s="5">
        <f t="shared" si="9"/>
        <v>42670</v>
      </c>
      <c r="C304" s="6">
        <f>IFERROR(VLOOKUP($B304,Platts!$E$5:$M$4994,MATCH(C$3,Platts!$F$5:$M$5,0)+1,FALSE),C303)</f>
        <v>40.9</v>
      </c>
      <c r="D304" s="6">
        <f>IFERROR(VLOOKUP($B304,Platts!$E$5:$M$4994,MATCH(D$3,Platts!$F$5:$M$5,0)+1,FALSE),D303)</f>
        <v>49.56</v>
      </c>
      <c r="E304" s="6">
        <f>IFERROR(VLOOKUP($B304,Platts!$E$5:$M$4994,MATCH(E$3,Platts!$F$5:$M$5,0)+1,FALSE),E303)</f>
        <v>42.97</v>
      </c>
      <c r="F304" s="6">
        <f>IFERROR(VLOOKUP($B304,Platts!$E$5:$M$4994,MATCH(F$3,Platts!$F$5:$M$5,0)+1,FALSE),F303)</f>
        <v>49.7</v>
      </c>
      <c r="G304" s="6">
        <f>IFERROR(VLOOKUP($B304,Platts!$E$5:$M$4994,MATCH(G$3,Platts!$F$5:$M$5,0)+1,FALSE),G303)</f>
        <v>50.59</v>
      </c>
      <c r="H304" s="6">
        <f>IFERROR(VLOOKUP($B304,Platts!$E$5:$M$4994,MATCH(H$3,Platts!$F$5:$M$5,0)+1,FALSE),H303)</f>
        <v>49.72</v>
      </c>
      <c r="I304" s="6">
        <f>IFERROR(VLOOKUP($B304,Platts!$E$5:$M$4994,MATCH(I$3,Platts!$F$5:$M$5,0)+1,FALSE),I303)</f>
        <v>51.12</v>
      </c>
      <c r="J304" s="6">
        <f t="shared" si="8"/>
        <v>8.82</v>
      </c>
    </row>
    <row r="305" spans="2:10" x14ac:dyDescent="0.25">
      <c r="B305" s="5">
        <f t="shared" si="9"/>
        <v>42671</v>
      </c>
      <c r="C305" s="6">
        <f>IFERROR(VLOOKUP($B305,Platts!$E$5:$M$4994,MATCH(C$3,Platts!$F$5:$M$5,0)+1,FALSE),C304)</f>
        <v>40.51</v>
      </c>
      <c r="D305" s="6">
        <f>IFERROR(VLOOKUP($B305,Platts!$E$5:$M$4994,MATCH(D$3,Platts!$F$5:$M$5,0)+1,FALSE),D304)</f>
        <v>48.62</v>
      </c>
      <c r="E305" s="6">
        <f>IFERROR(VLOOKUP($B305,Platts!$E$5:$M$4994,MATCH(E$3,Platts!$F$5:$M$5,0)+1,FALSE),E304)</f>
        <v>42.2</v>
      </c>
      <c r="F305" s="6">
        <f>IFERROR(VLOOKUP($B305,Platts!$E$5:$M$4994,MATCH(F$3,Platts!$F$5:$M$5,0)+1,FALSE),F304)</f>
        <v>48.83</v>
      </c>
      <c r="G305" s="6">
        <f>IFERROR(VLOOKUP($B305,Platts!$E$5:$M$4994,MATCH(G$3,Platts!$F$5:$M$5,0)+1,FALSE),G304)</f>
        <v>50.16</v>
      </c>
      <c r="H305" s="6">
        <f>IFERROR(VLOOKUP($B305,Platts!$E$5:$M$4994,MATCH(H$3,Platts!$F$5:$M$5,0)+1,FALSE),H304)</f>
        <v>48.7</v>
      </c>
      <c r="I305" s="6">
        <f>IFERROR(VLOOKUP($B305,Platts!$E$5:$M$4994,MATCH(I$3,Platts!$F$5:$M$5,0)+1,FALSE),I304)</f>
        <v>50.05</v>
      </c>
      <c r="J305" s="6">
        <f t="shared" si="8"/>
        <v>8.1900000000000048</v>
      </c>
    </row>
    <row r="306" spans="2:10" x14ac:dyDescent="0.25">
      <c r="B306" s="5">
        <f t="shared" si="9"/>
        <v>42672</v>
      </c>
      <c r="C306" s="6">
        <f>IFERROR(VLOOKUP($B306,Platts!$E$5:$M$4994,MATCH(C$3,Platts!$F$5:$M$5,0)+1,FALSE),C305)</f>
        <v>40.51</v>
      </c>
      <c r="D306" s="6">
        <f>IFERROR(VLOOKUP($B306,Platts!$E$5:$M$4994,MATCH(D$3,Platts!$F$5:$M$5,0)+1,FALSE),D305)</f>
        <v>48.62</v>
      </c>
      <c r="E306" s="6">
        <f>IFERROR(VLOOKUP($B306,Platts!$E$5:$M$4994,MATCH(E$3,Platts!$F$5:$M$5,0)+1,FALSE),E305)</f>
        <v>42.2</v>
      </c>
      <c r="F306" s="6">
        <f>IFERROR(VLOOKUP($B306,Platts!$E$5:$M$4994,MATCH(F$3,Platts!$F$5:$M$5,0)+1,FALSE),F305)</f>
        <v>48.83</v>
      </c>
      <c r="G306" s="6">
        <f>IFERROR(VLOOKUP($B306,Platts!$E$5:$M$4994,MATCH(G$3,Platts!$F$5:$M$5,0)+1,FALSE),G305)</f>
        <v>50.16</v>
      </c>
      <c r="H306" s="6">
        <f>IFERROR(VLOOKUP($B306,Platts!$E$5:$M$4994,MATCH(H$3,Platts!$F$5:$M$5,0)+1,FALSE),H305)</f>
        <v>48.7</v>
      </c>
      <c r="I306" s="6">
        <f>IFERROR(VLOOKUP($B306,Platts!$E$5:$M$4994,MATCH(I$3,Platts!$F$5:$M$5,0)+1,FALSE),I305)</f>
        <v>50.05</v>
      </c>
      <c r="J306" s="6">
        <f t="shared" si="8"/>
        <v>8.1900000000000048</v>
      </c>
    </row>
    <row r="307" spans="2:10" x14ac:dyDescent="0.25">
      <c r="B307" s="5">
        <f t="shared" si="9"/>
        <v>42673</v>
      </c>
      <c r="C307" s="6">
        <f>IFERROR(VLOOKUP($B307,Platts!$E$5:$M$4994,MATCH(C$3,Platts!$F$5:$M$5,0)+1,FALSE),C306)</f>
        <v>40.51</v>
      </c>
      <c r="D307" s="6">
        <f>IFERROR(VLOOKUP($B307,Platts!$E$5:$M$4994,MATCH(D$3,Platts!$F$5:$M$5,0)+1,FALSE),D306)</f>
        <v>48.62</v>
      </c>
      <c r="E307" s="6">
        <f>IFERROR(VLOOKUP($B307,Platts!$E$5:$M$4994,MATCH(E$3,Platts!$F$5:$M$5,0)+1,FALSE),E306)</f>
        <v>42.2</v>
      </c>
      <c r="F307" s="6">
        <f>IFERROR(VLOOKUP($B307,Platts!$E$5:$M$4994,MATCH(F$3,Platts!$F$5:$M$5,0)+1,FALSE),F306)</f>
        <v>48.83</v>
      </c>
      <c r="G307" s="6">
        <f>IFERROR(VLOOKUP($B307,Platts!$E$5:$M$4994,MATCH(G$3,Platts!$F$5:$M$5,0)+1,FALSE),G306)</f>
        <v>50.16</v>
      </c>
      <c r="H307" s="6">
        <f>IFERROR(VLOOKUP($B307,Platts!$E$5:$M$4994,MATCH(H$3,Platts!$F$5:$M$5,0)+1,FALSE),H306)</f>
        <v>48.7</v>
      </c>
      <c r="I307" s="6">
        <f>IFERROR(VLOOKUP($B307,Platts!$E$5:$M$4994,MATCH(I$3,Platts!$F$5:$M$5,0)+1,FALSE),I306)</f>
        <v>50.05</v>
      </c>
      <c r="J307" s="6">
        <f t="shared" si="8"/>
        <v>8.1900000000000048</v>
      </c>
    </row>
    <row r="308" spans="2:10" x14ac:dyDescent="0.25">
      <c r="B308" s="5">
        <f t="shared" si="9"/>
        <v>42674</v>
      </c>
      <c r="C308" s="6">
        <f>IFERROR(VLOOKUP($B308,Platts!$E$5:$M$4994,MATCH(C$3,Platts!$F$5:$M$5,0)+1,FALSE),C307)</f>
        <v>38.81</v>
      </c>
      <c r="D308" s="6">
        <f>IFERROR(VLOOKUP($B308,Platts!$E$5:$M$4994,MATCH(D$3,Platts!$F$5:$M$5,0)+1,FALSE),D307)</f>
        <v>46.98</v>
      </c>
      <c r="E308" s="6">
        <f>IFERROR(VLOOKUP($B308,Platts!$E$5:$M$4994,MATCH(E$3,Platts!$F$5:$M$5,0)+1,FALSE),E307)</f>
        <v>40.83</v>
      </c>
      <c r="F308" s="6">
        <f>IFERROR(VLOOKUP($B308,Platts!$E$5:$M$4994,MATCH(F$3,Platts!$F$5:$M$5,0)+1,FALSE),F307)</f>
        <v>47.24</v>
      </c>
      <c r="G308" s="6">
        <f>IFERROR(VLOOKUP($B308,Platts!$E$5:$M$4994,MATCH(G$3,Platts!$F$5:$M$5,0)+1,FALSE),G307)</f>
        <v>47.59</v>
      </c>
      <c r="H308" s="6">
        <f>IFERROR(VLOOKUP($B308,Platts!$E$5:$M$4994,MATCH(H$3,Platts!$F$5:$M$5,0)+1,FALSE),H307)</f>
        <v>46.86</v>
      </c>
      <c r="I308" s="6">
        <f>IFERROR(VLOOKUP($B308,Platts!$E$5:$M$4994,MATCH(I$3,Platts!$F$5:$M$5,0)+1,FALSE),I307)</f>
        <v>48.21</v>
      </c>
      <c r="J308" s="6">
        <f t="shared" si="8"/>
        <v>8.0499999999999972</v>
      </c>
    </row>
    <row r="309" spans="2:10" x14ac:dyDescent="0.25">
      <c r="B309" s="5">
        <f t="shared" si="9"/>
        <v>42675</v>
      </c>
      <c r="C309" s="6">
        <f>IFERROR(VLOOKUP($B309,Platts!$E$5:$M$4994,MATCH(C$3,Platts!$F$5:$M$5,0)+1,FALSE),C308)</f>
        <v>38.549999999999997</v>
      </c>
      <c r="D309" s="6">
        <f>IFERROR(VLOOKUP($B309,Platts!$E$5:$M$4994,MATCH(D$3,Platts!$F$5:$M$5,0)+1,FALSE),D308)</f>
        <v>47.2</v>
      </c>
      <c r="E309" s="6">
        <f>IFERROR(VLOOKUP($B309,Platts!$E$5:$M$4994,MATCH(E$3,Platts!$F$5:$M$5,0)+1,FALSE),E308)</f>
        <v>40.130000000000003</v>
      </c>
      <c r="F309" s="6">
        <f>IFERROR(VLOOKUP($B309,Platts!$E$5:$M$4994,MATCH(F$3,Platts!$F$5:$M$5,0)+1,FALSE),F308)</f>
        <v>47.73</v>
      </c>
      <c r="G309" s="6">
        <f>IFERROR(VLOOKUP($B309,Platts!$E$5:$M$4994,MATCH(G$3,Platts!$F$5:$M$5,0)+1,FALSE),G308)</f>
        <v>48.24</v>
      </c>
      <c r="H309" s="6">
        <f>IFERROR(VLOOKUP($B309,Platts!$E$5:$M$4994,MATCH(H$3,Platts!$F$5:$M$5,0)+1,FALSE),H308)</f>
        <v>46.67</v>
      </c>
      <c r="I309" s="6">
        <f>IFERROR(VLOOKUP($B309,Platts!$E$5:$M$4994,MATCH(I$3,Platts!$F$5:$M$5,0)+1,FALSE),I308)</f>
        <v>47.87</v>
      </c>
      <c r="J309" s="6">
        <f t="shared" si="8"/>
        <v>8.1200000000000045</v>
      </c>
    </row>
    <row r="310" spans="2:10" x14ac:dyDescent="0.25">
      <c r="B310" s="5">
        <f t="shared" si="9"/>
        <v>42676</v>
      </c>
      <c r="C310" s="6">
        <f>IFERROR(VLOOKUP($B310,Platts!$E$5:$M$4994,MATCH(C$3,Platts!$F$5:$M$5,0)+1,FALSE),C309)</f>
        <v>37.32</v>
      </c>
      <c r="D310" s="6">
        <f>IFERROR(VLOOKUP($B310,Platts!$E$5:$M$4994,MATCH(D$3,Platts!$F$5:$M$5,0)+1,FALSE),D309)</f>
        <v>45.93</v>
      </c>
      <c r="E310" s="6">
        <f>IFERROR(VLOOKUP($B310,Platts!$E$5:$M$4994,MATCH(E$3,Platts!$F$5:$M$5,0)+1,FALSE),E309)</f>
        <v>39.19</v>
      </c>
      <c r="F310" s="6">
        <f>IFERROR(VLOOKUP($B310,Platts!$E$5:$M$4994,MATCH(F$3,Platts!$F$5:$M$5,0)+1,FALSE),F309)</f>
        <v>46.45</v>
      </c>
      <c r="G310" s="6">
        <f>IFERROR(VLOOKUP($B310,Platts!$E$5:$M$4994,MATCH(G$3,Platts!$F$5:$M$5,0)+1,FALSE),G309)</f>
        <v>46.6</v>
      </c>
      <c r="H310" s="6">
        <f>IFERROR(VLOOKUP($B310,Platts!$E$5:$M$4994,MATCH(H$3,Platts!$F$5:$M$5,0)+1,FALSE),H309)</f>
        <v>45.34</v>
      </c>
      <c r="I310" s="6">
        <f>IFERROR(VLOOKUP($B310,Platts!$E$5:$M$4994,MATCH(I$3,Platts!$F$5:$M$5,0)+1,FALSE),I309)</f>
        <v>46.54</v>
      </c>
      <c r="J310" s="6">
        <f t="shared" si="8"/>
        <v>8.0200000000000031</v>
      </c>
    </row>
    <row r="311" spans="2:10" x14ac:dyDescent="0.25">
      <c r="B311" s="5">
        <f t="shared" si="9"/>
        <v>42677</v>
      </c>
      <c r="C311" s="6">
        <f>IFERROR(VLOOKUP($B311,Platts!$E$5:$M$4994,MATCH(C$3,Platts!$F$5:$M$5,0)+1,FALSE),C310)</f>
        <v>37</v>
      </c>
      <c r="D311" s="6">
        <f>IFERROR(VLOOKUP($B311,Platts!$E$5:$M$4994,MATCH(D$3,Platts!$F$5:$M$5,0)+1,FALSE),D310)</f>
        <v>45.28</v>
      </c>
      <c r="E311" s="6">
        <f>IFERROR(VLOOKUP($B311,Platts!$E$5:$M$4994,MATCH(E$3,Platts!$F$5:$M$5,0)+1,FALSE),E310)</f>
        <v>38.78</v>
      </c>
      <c r="F311" s="6">
        <f>IFERROR(VLOOKUP($B311,Platts!$E$5:$M$4994,MATCH(F$3,Platts!$F$5:$M$5,0)+1,FALSE),F310)</f>
        <v>45.82</v>
      </c>
      <c r="G311" s="6">
        <f>IFERROR(VLOOKUP($B311,Platts!$E$5:$M$4994,MATCH(G$3,Platts!$F$5:$M$5,0)+1,FALSE),G310)</f>
        <v>46.4</v>
      </c>
      <c r="H311" s="6">
        <f>IFERROR(VLOOKUP($B311,Platts!$E$5:$M$4994,MATCH(H$3,Platts!$F$5:$M$5,0)+1,FALSE),H310)</f>
        <v>44.66</v>
      </c>
      <c r="I311" s="6">
        <f>IFERROR(VLOOKUP($B311,Platts!$E$5:$M$4994,MATCH(I$3,Platts!$F$5:$M$5,0)+1,FALSE),I310)</f>
        <v>45.81</v>
      </c>
      <c r="J311" s="6">
        <f t="shared" si="8"/>
        <v>7.6599999999999966</v>
      </c>
    </row>
    <row r="312" spans="2:10" x14ac:dyDescent="0.25">
      <c r="B312" s="5">
        <f t="shared" si="9"/>
        <v>42678</v>
      </c>
      <c r="C312" s="6">
        <f>IFERROR(VLOOKUP($B312,Platts!$E$5:$M$4994,MATCH(C$3,Platts!$F$5:$M$5,0)+1,FALSE),C311)</f>
        <v>36.57</v>
      </c>
      <c r="D312" s="6">
        <f>IFERROR(VLOOKUP($B312,Platts!$E$5:$M$4994,MATCH(D$3,Platts!$F$5:$M$5,0)+1,FALSE),D311)</f>
        <v>44.65</v>
      </c>
      <c r="E312" s="6">
        <f>IFERROR(VLOOKUP($B312,Platts!$E$5:$M$4994,MATCH(E$3,Platts!$F$5:$M$5,0)+1,FALSE),E311)</f>
        <v>38.53</v>
      </c>
      <c r="F312" s="6">
        <f>IFERROR(VLOOKUP($B312,Platts!$E$5:$M$4994,MATCH(F$3,Platts!$F$5:$M$5,0)+1,FALSE),F311)</f>
        <v>45.15</v>
      </c>
      <c r="G312" s="6">
        <f>IFERROR(VLOOKUP($B312,Platts!$E$5:$M$4994,MATCH(G$3,Platts!$F$5:$M$5,0)+1,FALSE),G311)</f>
        <v>45.58</v>
      </c>
      <c r="H312" s="6">
        <f>IFERROR(VLOOKUP($B312,Platts!$E$5:$M$4994,MATCH(H$3,Platts!$F$5:$M$5,0)+1,FALSE),H311)</f>
        <v>44.07</v>
      </c>
      <c r="I312" s="6">
        <f>IFERROR(VLOOKUP($B312,Platts!$E$5:$M$4994,MATCH(I$3,Platts!$F$5:$M$5,0)+1,FALSE),I311)</f>
        <v>45.22</v>
      </c>
      <c r="J312" s="6">
        <f t="shared" si="8"/>
        <v>7.5</v>
      </c>
    </row>
    <row r="313" spans="2:10" x14ac:dyDescent="0.25">
      <c r="B313" s="5">
        <f t="shared" si="9"/>
        <v>42679</v>
      </c>
      <c r="C313" s="6">
        <f>IFERROR(VLOOKUP($B313,Platts!$E$5:$M$4994,MATCH(C$3,Platts!$F$5:$M$5,0)+1,FALSE),C312)</f>
        <v>36.57</v>
      </c>
      <c r="D313" s="6">
        <f>IFERROR(VLOOKUP($B313,Platts!$E$5:$M$4994,MATCH(D$3,Platts!$F$5:$M$5,0)+1,FALSE),D312)</f>
        <v>44.65</v>
      </c>
      <c r="E313" s="6">
        <f>IFERROR(VLOOKUP($B313,Platts!$E$5:$M$4994,MATCH(E$3,Platts!$F$5:$M$5,0)+1,FALSE),E312)</f>
        <v>38.53</v>
      </c>
      <c r="F313" s="6">
        <f>IFERROR(VLOOKUP($B313,Platts!$E$5:$M$4994,MATCH(F$3,Platts!$F$5:$M$5,0)+1,FALSE),F312)</f>
        <v>45.15</v>
      </c>
      <c r="G313" s="6">
        <f>IFERROR(VLOOKUP($B313,Platts!$E$5:$M$4994,MATCH(G$3,Platts!$F$5:$M$5,0)+1,FALSE),G312)</f>
        <v>45.58</v>
      </c>
      <c r="H313" s="6">
        <f>IFERROR(VLOOKUP($B313,Platts!$E$5:$M$4994,MATCH(H$3,Platts!$F$5:$M$5,0)+1,FALSE),H312)</f>
        <v>44.07</v>
      </c>
      <c r="I313" s="6">
        <f>IFERROR(VLOOKUP($B313,Platts!$E$5:$M$4994,MATCH(I$3,Platts!$F$5:$M$5,0)+1,FALSE),I312)</f>
        <v>45.22</v>
      </c>
      <c r="J313" s="6">
        <f t="shared" si="8"/>
        <v>7.5</v>
      </c>
    </row>
    <row r="314" spans="2:10" x14ac:dyDescent="0.25">
      <c r="B314" s="5">
        <f t="shared" si="9"/>
        <v>42680</v>
      </c>
      <c r="C314" s="6">
        <f>IFERROR(VLOOKUP($B314,Platts!$E$5:$M$4994,MATCH(C$3,Platts!$F$5:$M$5,0)+1,FALSE),C313)</f>
        <v>36.57</v>
      </c>
      <c r="D314" s="6">
        <f>IFERROR(VLOOKUP($B314,Platts!$E$5:$M$4994,MATCH(D$3,Platts!$F$5:$M$5,0)+1,FALSE),D313)</f>
        <v>44.65</v>
      </c>
      <c r="E314" s="6">
        <f>IFERROR(VLOOKUP($B314,Platts!$E$5:$M$4994,MATCH(E$3,Platts!$F$5:$M$5,0)+1,FALSE),E313)</f>
        <v>38.53</v>
      </c>
      <c r="F314" s="6">
        <f>IFERROR(VLOOKUP($B314,Platts!$E$5:$M$4994,MATCH(F$3,Platts!$F$5:$M$5,0)+1,FALSE),F313)</f>
        <v>45.15</v>
      </c>
      <c r="G314" s="6">
        <f>IFERROR(VLOOKUP($B314,Platts!$E$5:$M$4994,MATCH(G$3,Platts!$F$5:$M$5,0)+1,FALSE),G313)</f>
        <v>45.58</v>
      </c>
      <c r="H314" s="6">
        <f>IFERROR(VLOOKUP($B314,Platts!$E$5:$M$4994,MATCH(H$3,Platts!$F$5:$M$5,0)+1,FALSE),H313)</f>
        <v>44.07</v>
      </c>
      <c r="I314" s="6">
        <f>IFERROR(VLOOKUP($B314,Platts!$E$5:$M$4994,MATCH(I$3,Platts!$F$5:$M$5,0)+1,FALSE),I313)</f>
        <v>45.22</v>
      </c>
      <c r="J314" s="6">
        <f t="shared" si="8"/>
        <v>7.5</v>
      </c>
    </row>
    <row r="315" spans="2:10" x14ac:dyDescent="0.25">
      <c r="B315" s="5">
        <f t="shared" si="9"/>
        <v>42681</v>
      </c>
      <c r="C315" s="6">
        <f>IFERROR(VLOOKUP($B315,Platts!$E$5:$M$4994,MATCH(C$3,Platts!$F$5:$M$5,0)+1,FALSE),C314)</f>
        <v>37.06</v>
      </c>
      <c r="D315" s="6">
        <f>IFERROR(VLOOKUP($B315,Platts!$E$5:$M$4994,MATCH(D$3,Platts!$F$5:$M$5,0)+1,FALSE),D314)</f>
        <v>45.34</v>
      </c>
      <c r="E315" s="6">
        <f>IFERROR(VLOOKUP($B315,Platts!$E$5:$M$4994,MATCH(E$3,Platts!$F$5:$M$5,0)+1,FALSE),E314)</f>
        <v>39.35</v>
      </c>
      <c r="F315" s="6">
        <f>IFERROR(VLOOKUP($B315,Platts!$E$5:$M$4994,MATCH(F$3,Platts!$F$5:$M$5,0)+1,FALSE),F314)</f>
        <v>45.81</v>
      </c>
      <c r="G315" s="6">
        <f>IFERROR(VLOOKUP($B315,Platts!$E$5:$M$4994,MATCH(G$3,Platts!$F$5:$M$5,0)+1,FALSE),G314)</f>
        <v>45.57</v>
      </c>
      <c r="H315" s="6">
        <f>IFERROR(VLOOKUP($B315,Platts!$E$5:$M$4994,MATCH(H$3,Platts!$F$5:$M$5,0)+1,FALSE),H314)</f>
        <v>44.89</v>
      </c>
      <c r="I315" s="6">
        <f>IFERROR(VLOOKUP($B315,Platts!$E$5:$M$4994,MATCH(I$3,Platts!$F$5:$M$5,0)+1,FALSE),I314)</f>
        <v>45.94</v>
      </c>
      <c r="J315" s="6">
        <f t="shared" si="8"/>
        <v>7.8299999999999983</v>
      </c>
    </row>
    <row r="316" spans="2:10" x14ac:dyDescent="0.25">
      <c r="B316" s="5">
        <f t="shared" si="9"/>
        <v>42682</v>
      </c>
      <c r="C316" s="6">
        <f>IFERROR(VLOOKUP($B316,Platts!$E$5:$M$4994,MATCH(C$3,Platts!$F$5:$M$5,0)+1,FALSE),C315)</f>
        <v>37.24</v>
      </c>
      <c r="D316" s="6">
        <f>IFERROR(VLOOKUP($B316,Platts!$E$5:$M$4994,MATCH(D$3,Platts!$F$5:$M$5,0)+1,FALSE),D315)</f>
        <v>45.21</v>
      </c>
      <c r="E316" s="6">
        <f>IFERROR(VLOOKUP($B316,Platts!$E$5:$M$4994,MATCH(E$3,Platts!$F$5:$M$5,0)+1,FALSE),E315)</f>
        <v>39.22</v>
      </c>
      <c r="F316" s="6">
        <f>IFERROR(VLOOKUP($B316,Platts!$E$5:$M$4994,MATCH(F$3,Platts!$F$5:$M$5,0)+1,FALSE),F315)</f>
        <v>45.53</v>
      </c>
      <c r="G316" s="6">
        <f>IFERROR(VLOOKUP($B316,Platts!$E$5:$M$4994,MATCH(G$3,Platts!$F$5:$M$5,0)+1,FALSE),G315)</f>
        <v>46.12</v>
      </c>
      <c r="H316" s="6">
        <f>IFERROR(VLOOKUP($B316,Platts!$E$5:$M$4994,MATCH(H$3,Platts!$F$5:$M$5,0)+1,FALSE),H315)</f>
        <v>44.98</v>
      </c>
      <c r="I316" s="6">
        <f>IFERROR(VLOOKUP($B316,Platts!$E$5:$M$4994,MATCH(I$3,Platts!$F$5:$M$5,0)+1,FALSE),I315)</f>
        <v>45.98</v>
      </c>
      <c r="J316" s="6">
        <f t="shared" si="8"/>
        <v>7.7399999999999949</v>
      </c>
    </row>
    <row r="317" spans="2:10" x14ac:dyDescent="0.25">
      <c r="B317" s="5">
        <f t="shared" si="9"/>
        <v>42683</v>
      </c>
      <c r="C317" s="6">
        <f>IFERROR(VLOOKUP($B317,Platts!$E$5:$M$4994,MATCH(C$3,Platts!$F$5:$M$5,0)+1,FALSE),C316)</f>
        <v>37.25</v>
      </c>
      <c r="D317" s="6">
        <f>IFERROR(VLOOKUP($B317,Platts!$E$5:$M$4994,MATCH(D$3,Platts!$F$5:$M$5,0)+1,FALSE),D316)</f>
        <v>45.33</v>
      </c>
      <c r="E317" s="6">
        <f>IFERROR(VLOOKUP($B317,Platts!$E$5:$M$4994,MATCH(E$3,Platts!$F$5:$M$5,0)+1,FALSE),E316)</f>
        <v>39.36</v>
      </c>
      <c r="F317" s="6">
        <f>IFERROR(VLOOKUP($B317,Platts!$E$5:$M$4994,MATCH(F$3,Platts!$F$5:$M$5,0)+1,FALSE),F316)</f>
        <v>45.66</v>
      </c>
      <c r="G317" s="6">
        <f>IFERROR(VLOOKUP($B317,Platts!$E$5:$M$4994,MATCH(G$3,Platts!$F$5:$M$5,0)+1,FALSE),G316)</f>
        <v>45.97</v>
      </c>
      <c r="H317" s="6">
        <f>IFERROR(VLOOKUP($B317,Platts!$E$5:$M$4994,MATCH(H$3,Platts!$F$5:$M$5,0)+1,FALSE),H316)</f>
        <v>45.27</v>
      </c>
      <c r="I317" s="6">
        <f>IFERROR(VLOOKUP($B317,Platts!$E$5:$M$4994,MATCH(I$3,Platts!$F$5:$M$5,0)+1,FALSE),I316)</f>
        <v>46.17</v>
      </c>
      <c r="J317" s="6">
        <f t="shared" si="8"/>
        <v>8.0200000000000031</v>
      </c>
    </row>
    <row r="318" spans="2:10" x14ac:dyDescent="0.25">
      <c r="B318" s="5">
        <f t="shared" si="9"/>
        <v>42684</v>
      </c>
      <c r="C318" s="6">
        <f>IFERROR(VLOOKUP($B318,Platts!$E$5:$M$4994,MATCH(C$3,Platts!$F$5:$M$5,0)+1,FALSE),C317)</f>
        <v>37.19</v>
      </c>
      <c r="D318" s="6">
        <f>IFERROR(VLOOKUP($B318,Platts!$E$5:$M$4994,MATCH(D$3,Platts!$F$5:$M$5,0)+1,FALSE),D317)</f>
        <v>44.81</v>
      </c>
      <c r="E318" s="6">
        <f>IFERROR(VLOOKUP($B318,Platts!$E$5:$M$4994,MATCH(E$3,Platts!$F$5:$M$5,0)+1,FALSE),E317)</f>
        <v>38.72</v>
      </c>
      <c r="F318" s="6">
        <f>IFERROR(VLOOKUP($B318,Platts!$E$5:$M$4994,MATCH(F$3,Platts!$F$5:$M$5,0)+1,FALSE),F317)</f>
        <v>45.21</v>
      </c>
      <c r="G318" s="6">
        <f>IFERROR(VLOOKUP($B318,Platts!$E$5:$M$4994,MATCH(G$3,Platts!$F$5:$M$5,0)+1,FALSE),G317)</f>
        <v>45.89</v>
      </c>
      <c r="H318" s="6">
        <f>IFERROR(VLOOKUP($B318,Platts!$E$5:$M$4994,MATCH(H$3,Platts!$F$5:$M$5,0)+1,FALSE),H317)</f>
        <v>44.66</v>
      </c>
      <c r="I318" s="6">
        <f>IFERROR(VLOOKUP($B318,Platts!$E$5:$M$4994,MATCH(I$3,Platts!$F$5:$M$5,0)+1,FALSE),I317)</f>
        <v>45.61</v>
      </c>
      <c r="J318" s="6">
        <f t="shared" si="8"/>
        <v>7.4699999999999989</v>
      </c>
    </row>
    <row r="319" spans="2:10" x14ac:dyDescent="0.25">
      <c r="B319" s="5">
        <f t="shared" si="9"/>
        <v>42685</v>
      </c>
      <c r="C319" s="6">
        <f>IFERROR(VLOOKUP($B319,Platts!$E$5:$M$4994,MATCH(C$3,Platts!$F$5:$M$5,0)+1,FALSE),C318)</f>
        <v>35.92</v>
      </c>
      <c r="D319" s="6">
        <f>IFERROR(VLOOKUP($B319,Platts!$E$5:$M$4994,MATCH(D$3,Platts!$F$5:$M$5,0)+1,FALSE),D318)</f>
        <v>43.57</v>
      </c>
      <c r="E319" s="6">
        <f>IFERROR(VLOOKUP($B319,Platts!$E$5:$M$4994,MATCH(E$3,Platts!$F$5:$M$5,0)+1,FALSE),E318)</f>
        <v>37.549999999999997</v>
      </c>
      <c r="F319" s="6">
        <f>IFERROR(VLOOKUP($B319,Platts!$E$5:$M$4994,MATCH(F$3,Platts!$F$5:$M$5,0)+1,FALSE),F318)</f>
        <v>43.98</v>
      </c>
      <c r="G319" s="6">
        <f>IFERROR(VLOOKUP($B319,Platts!$E$5:$M$4994,MATCH(G$3,Platts!$F$5:$M$5,0)+1,FALSE),G318)</f>
        <v>44.4</v>
      </c>
      <c r="H319" s="6">
        <f>IFERROR(VLOOKUP($B319,Platts!$E$5:$M$4994,MATCH(H$3,Platts!$F$5:$M$5,0)+1,FALSE),H318)</f>
        <v>43.41</v>
      </c>
      <c r="I319" s="6">
        <f>IFERROR(VLOOKUP($B319,Platts!$E$5:$M$4994,MATCH(I$3,Platts!$F$5:$M$5,0)+1,FALSE),I318)</f>
        <v>44.51</v>
      </c>
      <c r="J319" s="6">
        <f t="shared" si="8"/>
        <v>7.4899999999999949</v>
      </c>
    </row>
    <row r="320" spans="2:10" x14ac:dyDescent="0.25">
      <c r="B320" s="5">
        <f t="shared" si="9"/>
        <v>42686</v>
      </c>
      <c r="C320" s="6">
        <f>IFERROR(VLOOKUP($B320,Platts!$E$5:$M$4994,MATCH(C$3,Platts!$F$5:$M$5,0)+1,FALSE),C319)</f>
        <v>35.92</v>
      </c>
      <c r="D320" s="6">
        <f>IFERROR(VLOOKUP($B320,Platts!$E$5:$M$4994,MATCH(D$3,Platts!$F$5:$M$5,0)+1,FALSE),D319)</f>
        <v>43.57</v>
      </c>
      <c r="E320" s="6">
        <f>IFERROR(VLOOKUP($B320,Platts!$E$5:$M$4994,MATCH(E$3,Platts!$F$5:$M$5,0)+1,FALSE),E319)</f>
        <v>37.549999999999997</v>
      </c>
      <c r="F320" s="6">
        <f>IFERROR(VLOOKUP($B320,Platts!$E$5:$M$4994,MATCH(F$3,Platts!$F$5:$M$5,0)+1,FALSE),F319)</f>
        <v>43.98</v>
      </c>
      <c r="G320" s="6">
        <f>IFERROR(VLOOKUP($B320,Platts!$E$5:$M$4994,MATCH(G$3,Platts!$F$5:$M$5,0)+1,FALSE),G319)</f>
        <v>44.4</v>
      </c>
      <c r="H320" s="6">
        <f>IFERROR(VLOOKUP($B320,Platts!$E$5:$M$4994,MATCH(H$3,Platts!$F$5:$M$5,0)+1,FALSE),H319)</f>
        <v>43.41</v>
      </c>
      <c r="I320" s="6">
        <f>IFERROR(VLOOKUP($B320,Platts!$E$5:$M$4994,MATCH(I$3,Platts!$F$5:$M$5,0)+1,FALSE),I319)</f>
        <v>44.51</v>
      </c>
      <c r="J320" s="6">
        <f t="shared" si="8"/>
        <v>7.4899999999999949</v>
      </c>
    </row>
    <row r="321" spans="2:10" x14ac:dyDescent="0.25">
      <c r="B321" s="5">
        <f t="shared" si="9"/>
        <v>42687</v>
      </c>
      <c r="C321" s="6">
        <f>IFERROR(VLOOKUP($B321,Platts!$E$5:$M$4994,MATCH(C$3,Platts!$F$5:$M$5,0)+1,FALSE),C320)</f>
        <v>35.92</v>
      </c>
      <c r="D321" s="6">
        <f>IFERROR(VLOOKUP($B321,Platts!$E$5:$M$4994,MATCH(D$3,Platts!$F$5:$M$5,0)+1,FALSE),D320)</f>
        <v>43.57</v>
      </c>
      <c r="E321" s="6">
        <f>IFERROR(VLOOKUP($B321,Platts!$E$5:$M$4994,MATCH(E$3,Platts!$F$5:$M$5,0)+1,FALSE),E320)</f>
        <v>37.549999999999997</v>
      </c>
      <c r="F321" s="6">
        <f>IFERROR(VLOOKUP($B321,Platts!$E$5:$M$4994,MATCH(F$3,Platts!$F$5:$M$5,0)+1,FALSE),F320)</f>
        <v>43.98</v>
      </c>
      <c r="G321" s="6">
        <f>IFERROR(VLOOKUP($B321,Platts!$E$5:$M$4994,MATCH(G$3,Platts!$F$5:$M$5,0)+1,FALSE),G320)</f>
        <v>44.4</v>
      </c>
      <c r="H321" s="6">
        <f>IFERROR(VLOOKUP($B321,Platts!$E$5:$M$4994,MATCH(H$3,Platts!$F$5:$M$5,0)+1,FALSE),H320)</f>
        <v>43.41</v>
      </c>
      <c r="I321" s="6">
        <f>IFERROR(VLOOKUP($B321,Platts!$E$5:$M$4994,MATCH(I$3,Platts!$F$5:$M$5,0)+1,FALSE),I320)</f>
        <v>44.51</v>
      </c>
      <c r="J321" s="6">
        <f t="shared" si="8"/>
        <v>7.4899999999999949</v>
      </c>
    </row>
    <row r="322" spans="2:10" x14ac:dyDescent="0.25">
      <c r="B322" s="5">
        <f t="shared" si="9"/>
        <v>42688</v>
      </c>
      <c r="C322" s="6">
        <f>IFERROR(VLOOKUP($B322,Platts!$E$5:$M$4994,MATCH(C$3,Platts!$F$5:$M$5,0)+1,FALSE),C321)</f>
        <v>35.49</v>
      </c>
      <c r="D322" s="6">
        <f>IFERROR(VLOOKUP($B322,Platts!$E$5:$M$4994,MATCH(D$3,Platts!$F$5:$M$5,0)+1,FALSE),D321)</f>
        <v>43.54</v>
      </c>
      <c r="E322" s="6">
        <f>IFERROR(VLOOKUP($B322,Platts!$E$5:$M$4994,MATCH(E$3,Platts!$F$5:$M$5,0)+1,FALSE),E321)</f>
        <v>37.43</v>
      </c>
      <c r="F322" s="6">
        <f>IFERROR(VLOOKUP($B322,Platts!$E$5:$M$4994,MATCH(F$3,Platts!$F$5:$M$5,0)+1,FALSE),F321)</f>
        <v>43.9</v>
      </c>
      <c r="G322" s="6">
        <f>IFERROR(VLOOKUP($B322,Platts!$E$5:$M$4994,MATCH(G$3,Platts!$F$5:$M$5,0)+1,FALSE),G321)</f>
        <v>43.76</v>
      </c>
      <c r="H322" s="6">
        <f>IFERROR(VLOOKUP($B322,Platts!$E$5:$M$4994,MATCH(H$3,Platts!$F$5:$M$5,0)+1,FALSE),H321)</f>
        <v>43.32</v>
      </c>
      <c r="I322" s="6">
        <f>IFERROR(VLOOKUP($B322,Platts!$E$5:$M$4994,MATCH(I$3,Platts!$F$5:$M$5,0)+1,FALSE),I321)</f>
        <v>44.52</v>
      </c>
      <c r="J322" s="6">
        <f t="shared" si="8"/>
        <v>7.8299999999999983</v>
      </c>
    </row>
    <row r="323" spans="2:10" x14ac:dyDescent="0.25">
      <c r="B323" s="5">
        <f t="shared" si="9"/>
        <v>42689</v>
      </c>
      <c r="C323" s="6">
        <f>IFERROR(VLOOKUP($B323,Platts!$E$5:$M$4994,MATCH(C$3,Platts!$F$5:$M$5,0)+1,FALSE),C322)</f>
        <v>37.22</v>
      </c>
      <c r="D323" s="6">
        <f>IFERROR(VLOOKUP($B323,Platts!$E$5:$M$4994,MATCH(D$3,Platts!$F$5:$M$5,0)+1,FALSE),D322)</f>
        <v>45.98</v>
      </c>
      <c r="E323" s="6">
        <f>IFERROR(VLOOKUP($B323,Platts!$E$5:$M$4994,MATCH(E$3,Platts!$F$5:$M$5,0)+1,FALSE),E322)</f>
        <v>39.58</v>
      </c>
      <c r="F323" s="6">
        <f>IFERROR(VLOOKUP($B323,Platts!$E$5:$M$4994,MATCH(F$3,Platts!$F$5:$M$5,0)+1,FALSE),F322)</f>
        <v>46.36</v>
      </c>
      <c r="G323" s="6">
        <f>IFERROR(VLOOKUP($B323,Platts!$E$5:$M$4994,MATCH(G$3,Platts!$F$5:$M$5,0)+1,FALSE),G322)</f>
        <v>46.19</v>
      </c>
      <c r="H323" s="6">
        <f>IFERROR(VLOOKUP($B323,Platts!$E$5:$M$4994,MATCH(H$3,Platts!$F$5:$M$5,0)+1,FALSE),H322)</f>
        <v>45.81</v>
      </c>
      <c r="I323" s="6">
        <f>IFERROR(VLOOKUP($B323,Platts!$E$5:$M$4994,MATCH(I$3,Platts!$F$5:$M$5,0)+1,FALSE),I322)</f>
        <v>46.96</v>
      </c>
      <c r="J323" s="6">
        <f t="shared" si="8"/>
        <v>8.5900000000000034</v>
      </c>
    </row>
    <row r="324" spans="2:10" x14ac:dyDescent="0.25">
      <c r="B324" s="5">
        <f t="shared" si="9"/>
        <v>42690</v>
      </c>
      <c r="C324" s="6">
        <f>IFERROR(VLOOKUP($B324,Platts!$E$5:$M$4994,MATCH(C$3,Platts!$F$5:$M$5,0)+1,FALSE),C323)</f>
        <v>37.659999999999997</v>
      </c>
      <c r="D324" s="6">
        <f>IFERROR(VLOOKUP($B324,Platts!$E$5:$M$4994,MATCH(D$3,Platts!$F$5:$M$5,0)+1,FALSE),D323)</f>
        <v>45.74</v>
      </c>
      <c r="E324" s="6">
        <f>IFERROR(VLOOKUP($B324,Platts!$E$5:$M$4994,MATCH(E$3,Platts!$F$5:$M$5,0)+1,FALSE),E323)</f>
        <v>39.380000000000003</v>
      </c>
      <c r="F324" s="6">
        <f>IFERROR(VLOOKUP($B324,Platts!$E$5:$M$4994,MATCH(F$3,Platts!$F$5:$M$5,0)+1,FALSE),F323)</f>
        <v>46.11</v>
      </c>
      <c r="G324" s="6">
        <f>IFERROR(VLOOKUP($B324,Platts!$E$5:$M$4994,MATCH(G$3,Platts!$F$5:$M$5,0)+1,FALSE),G323)</f>
        <v>46.94</v>
      </c>
      <c r="H324" s="6">
        <f>IFERROR(VLOOKUP($B324,Platts!$E$5:$M$4994,MATCH(H$3,Platts!$F$5:$M$5,0)+1,FALSE),H323)</f>
        <v>45.57</v>
      </c>
      <c r="I324" s="6">
        <f>IFERROR(VLOOKUP($B324,Platts!$E$5:$M$4994,MATCH(I$3,Platts!$F$5:$M$5,0)+1,FALSE),I323)</f>
        <v>46.62</v>
      </c>
      <c r="J324" s="6">
        <f t="shared" ref="J324:J387" si="10">H324-C324</f>
        <v>7.9100000000000037</v>
      </c>
    </row>
    <row r="325" spans="2:10" x14ac:dyDescent="0.25">
      <c r="B325" s="5">
        <f t="shared" si="9"/>
        <v>42691</v>
      </c>
      <c r="C325" s="6">
        <f>IFERROR(VLOOKUP($B325,Platts!$E$5:$M$4994,MATCH(C$3,Platts!$F$5:$M$5,0)+1,FALSE),C324)</f>
        <v>37.520000000000003</v>
      </c>
      <c r="D325" s="6">
        <f>IFERROR(VLOOKUP($B325,Platts!$E$5:$M$4994,MATCH(D$3,Platts!$F$5:$M$5,0)+1,FALSE),D324)</f>
        <v>45.52</v>
      </c>
      <c r="E325" s="6">
        <f>IFERROR(VLOOKUP($B325,Platts!$E$5:$M$4994,MATCH(E$3,Platts!$F$5:$M$5,0)+1,FALSE),E324)</f>
        <v>39.28</v>
      </c>
      <c r="F325" s="6">
        <f>IFERROR(VLOOKUP($B325,Platts!$E$5:$M$4994,MATCH(F$3,Platts!$F$5:$M$5,0)+1,FALSE),F324)</f>
        <v>45.84</v>
      </c>
      <c r="G325" s="6">
        <f>IFERROR(VLOOKUP($B325,Platts!$E$5:$M$4994,MATCH(G$3,Platts!$F$5:$M$5,0)+1,FALSE),G324)</f>
        <v>46.55</v>
      </c>
      <c r="H325" s="6">
        <f>IFERROR(VLOOKUP($B325,Platts!$E$5:$M$4994,MATCH(H$3,Platts!$F$5:$M$5,0)+1,FALSE),H324)</f>
        <v>45.42</v>
      </c>
      <c r="I325" s="6">
        <f>IFERROR(VLOOKUP($B325,Platts!$E$5:$M$4994,MATCH(I$3,Platts!$F$5:$M$5,0)+1,FALSE),I324)</f>
        <v>46.32</v>
      </c>
      <c r="J325" s="6">
        <f t="shared" si="10"/>
        <v>7.8999999999999986</v>
      </c>
    </row>
    <row r="326" spans="2:10" x14ac:dyDescent="0.25">
      <c r="B326" s="5">
        <f t="shared" ref="B326:B389" si="11">B325+1</f>
        <v>42692</v>
      </c>
      <c r="C326" s="6">
        <f>IFERROR(VLOOKUP($B326,Platts!$E$5:$M$4994,MATCH(C$3,Platts!$F$5:$M$5,0)+1,FALSE),C325)</f>
        <v>37.4</v>
      </c>
      <c r="D326" s="6">
        <f>IFERROR(VLOOKUP($B326,Platts!$E$5:$M$4994,MATCH(D$3,Platts!$F$5:$M$5,0)+1,FALSE),D325)</f>
        <v>45.77</v>
      </c>
      <c r="E326" s="6">
        <f>IFERROR(VLOOKUP($B326,Platts!$E$5:$M$4994,MATCH(E$3,Platts!$F$5:$M$5,0)+1,FALSE),E325)</f>
        <v>39.450000000000003</v>
      </c>
      <c r="F326" s="6">
        <f>IFERROR(VLOOKUP($B326,Platts!$E$5:$M$4994,MATCH(F$3,Platts!$F$5:$M$5,0)+1,FALSE),F325)</f>
        <v>46.13</v>
      </c>
      <c r="G326" s="6">
        <f>IFERROR(VLOOKUP($B326,Platts!$E$5:$M$4994,MATCH(G$3,Platts!$F$5:$M$5,0)+1,FALSE),G325)</f>
        <v>46.42</v>
      </c>
      <c r="H326" s="6">
        <f>IFERROR(VLOOKUP($B326,Platts!$E$5:$M$4994,MATCH(H$3,Platts!$F$5:$M$5,0)+1,FALSE),H325)</f>
        <v>45.69</v>
      </c>
      <c r="I326" s="6">
        <f>IFERROR(VLOOKUP($B326,Platts!$E$5:$M$4994,MATCH(I$3,Platts!$F$5:$M$5,0)+1,FALSE),I325)</f>
        <v>46.54</v>
      </c>
      <c r="J326" s="6">
        <f t="shared" si="10"/>
        <v>8.2899999999999991</v>
      </c>
    </row>
    <row r="327" spans="2:10" x14ac:dyDescent="0.25">
      <c r="B327" s="5">
        <f t="shared" si="11"/>
        <v>42693</v>
      </c>
      <c r="C327" s="6">
        <f>IFERROR(VLOOKUP($B327,Platts!$E$5:$M$4994,MATCH(C$3,Platts!$F$5:$M$5,0)+1,FALSE),C326)</f>
        <v>37.4</v>
      </c>
      <c r="D327" s="6">
        <f>IFERROR(VLOOKUP($B327,Platts!$E$5:$M$4994,MATCH(D$3,Platts!$F$5:$M$5,0)+1,FALSE),D326)</f>
        <v>45.77</v>
      </c>
      <c r="E327" s="6">
        <f>IFERROR(VLOOKUP($B327,Platts!$E$5:$M$4994,MATCH(E$3,Platts!$F$5:$M$5,0)+1,FALSE),E326)</f>
        <v>39.450000000000003</v>
      </c>
      <c r="F327" s="6">
        <f>IFERROR(VLOOKUP($B327,Platts!$E$5:$M$4994,MATCH(F$3,Platts!$F$5:$M$5,0)+1,FALSE),F326)</f>
        <v>46.13</v>
      </c>
      <c r="G327" s="6">
        <f>IFERROR(VLOOKUP($B327,Platts!$E$5:$M$4994,MATCH(G$3,Platts!$F$5:$M$5,0)+1,FALSE),G326)</f>
        <v>46.42</v>
      </c>
      <c r="H327" s="6">
        <f>IFERROR(VLOOKUP($B327,Platts!$E$5:$M$4994,MATCH(H$3,Platts!$F$5:$M$5,0)+1,FALSE),H326)</f>
        <v>45.69</v>
      </c>
      <c r="I327" s="6">
        <f>IFERROR(VLOOKUP($B327,Platts!$E$5:$M$4994,MATCH(I$3,Platts!$F$5:$M$5,0)+1,FALSE),I326)</f>
        <v>46.54</v>
      </c>
      <c r="J327" s="6">
        <f t="shared" si="10"/>
        <v>8.2899999999999991</v>
      </c>
    </row>
    <row r="328" spans="2:10" x14ac:dyDescent="0.25">
      <c r="B328" s="5">
        <f t="shared" si="11"/>
        <v>42694</v>
      </c>
      <c r="C328" s="6">
        <f>IFERROR(VLOOKUP($B328,Platts!$E$5:$M$4994,MATCH(C$3,Platts!$F$5:$M$5,0)+1,FALSE),C327)</f>
        <v>37.4</v>
      </c>
      <c r="D328" s="6">
        <f>IFERROR(VLOOKUP($B328,Platts!$E$5:$M$4994,MATCH(D$3,Platts!$F$5:$M$5,0)+1,FALSE),D327)</f>
        <v>45.77</v>
      </c>
      <c r="E328" s="6">
        <f>IFERROR(VLOOKUP($B328,Platts!$E$5:$M$4994,MATCH(E$3,Platts!$F$5:$M$5,0)+1,FALSE),E327)</f>
        <v>39.450000000000003</v>
      </c>
      <c r="F328" s="6">
        <f>IFERROR(VLOOKUP($B328,Platts!$E$5:$M$4994,MATCH(F$3,Platts!$F$5:$M$5,0)+1,FALSE),F327)</f>
        <v>46.13</v>
      </c>
      <c r="G328" s="6">
        <f>IFERROR(VLOOKUP($B328,Platts!$E$5:$M$4994,MATCH(G$3,Platts!$F$5:$M$5,0)+1,FALSE),G327)</f>
        <v>46.42</v>
      </c>
      <c r="H328" s="6">
        <f>IFERROR(VLOOKUP($B328,Platts!$E$5:$M$4994,MATCH(H$3,Platts!$F$5:$M$5,0)+1,FALSE),H327)</f>
        <v>45.69</v>
      </c>
      <c r="I328" s="6">
        <f>IFERROR(VLOOKUP($B328,Platts!$E$5:$M$4994,MATCH(I$3,Platts!$F$5:$M$5,0)+1,FALSE),I327)</f>
        <v>46.54</v>
      </c>
      <c r="J328" s="6">
        <f t="shared" si="10"/>
        <v>8.2899999999999991</v>
      </c>
    </row>
    <row r="329" spans="2:10" x14ac:dyDescent="0.25">
      <c r="B329" s="5">
        <f t="shared" si="11"/>
        <v>42695</v>
      </c>
      <c r="C329" s="6">
        <f>IFERROR(VLOOKUP($B329,Platts!$E$5:$M$4994,MATCH(C$3,Platts!$F$5:$M$5,0)+1,FALSE),C328)</f>
        <v>39.44</v>
      </c>
      <c r="D329" s="6">
        <f>IFERROR(VLOOKUP($B329,Platts!$E$5:$M$4994,MATCH(D$3,Platts!$F$5:$M$5,0)+1,FALSE),D328)</f>
        <v>47.46</v>
      </c>
      <c r="E329" s="6">
        <f>IFERROR(VLOOKUP($B329,Platts!$E$5:$M$4994,MATCH(E$3,Platts!$F$5:$M$5,0)+1,FALSE),E328)</f>
        <v>41.3</v>
      </c>
      <c r="F329" s="6">
        <f>IFERROR(VLOOKUP($B329,Platts!$E$5:$M$4994,MATCH(F$3,Platts!$F$5:$M$5,0)+1,FALSE),F328)</f>
        <v>47.94</v>
      </c>
      <c r="G329" s="6">
        <f>IFERROR(VLOOKUP($B329,Platts!$E$5:$M$4994,MATCH(G$3,Platts!$F$5:$M$5,0)+1,FALSE),G328)</f>
        <v>48.72</v>
      </c>
      <c r="H329" s="6">
        <f>IFERROR(VLOOKUP($B329,Platts!$E$5:$M$4994,MATCH(H$3,Platts!$F$5:$M$5,0)+1,FALSE),H328)</f>
        <v>47.49</v>
      </c>
      <c r="I329" s="6">
        <f>IFERROR(VLOOKUP($B329,Platts!$E$5:$M$4994,MATCH(I$3,Platts!$F$5:$M$5,0)+1,FALSE),I328)</f>
        <v>48.14</v>
      </c>
      <c r="J329" s="6">
        <f t="shared" si="10"/>
        <v>8.0500000000000043</v>
      </c>
    </row>
    <row r="330" spans="2:10" x14ac:dyDescent="0.25">
      <c r="B330" s="5">
        <f t="shared" si="11"/>
        <v>42696</v>
      </c>
      <c r="C330" s="6">
        <f>IFERROR(VLOOKUP($B330,Platts!$E$5:$M$4994,MATCH(C$3,Platts!$F$5:$M$5,0)+1,FALSE),C329)</f>
        <v>39.57</v>
      </c>
      <c r="D330" s="6">
        <f>IFERROR(VLOOKUP($B330,Platts!$E$5:$M$4994,MATCH(D$3,Platts!$F$5:$M$5,0)+1,FALSE),D329)</f>
        <v>46.83</v>
      </c>
      <c r="E330" s="6">
        <f>IFERROR(VLOOKUP($B330,Platts!$E$5:$M$4994,MATCH(E$3,Platts!$F$5:$M$5,0)+1,FALSE),E329)</f>
        <v>40.67</v>
      </c>
      <c r="F330" s="6">
        <f>IFERROR(VLOOKUP($B330,Platts!$E$5:$M$4994,MATCH(F$3,Platts!$F$5:$M$5,0)+1,FALSE),F329)</f>
        <v>47.47</v>
      </c>
      <c r="G330" s="6">
        <f>IFERROR(VLOOKUP($B330,Platts!$E$5:$M$4994,MATCH(G$3,Platts!$F$5:$M$5,0)+1,FALSE),G329)</f>
        <v>48.59</v>
      </c>
      <c r="H330" s="6">
        <f>IFERROR(VLOOKUP($B330,Platts!$E$5:$M$4994,MATCH(H$3,Platts!$F$5:$M$5,0)+1,FALSE),H329)</f>
        <v>46.58</v>
      </c>
      <c r="I330" s="6">
        <f>IFERROR(VLOOKUP($B330,Platts!$E$5:$M$4994,MATCH(I$3,Platts!$F$5:$M$5,0)+1,FALSE),I329)</f>
        <v>47.78</v>
      </c>
      <c r="J330" s="6">
        <f t="shared" si="10"/>
        <v>7.009999999999998</v>
      </c>
    </row>
    <row r="331" spans="2:10" x14ac:dyDescent="0.25">
      <c r="B331" s="5">
        <f t="shared" si="11"/>
        <v>42697</v>
      </c>
      <c r="C331" s="6">
        <f>IFERROR(VLOOKUP($B331,Platts!$E$5:$M$4994,MATCH(C$3,Platts!$F$5:$M$5,0)+1,FALSE),C330)</f>
        <v>39.869999999999997</v>
      </c>
      <c r="D331" s="6">
        <f>IFERROR(VLOOKUP($B331,Platts!$E$5:$M$4994,MATCH(D$3,Platts!$F$5:$M$5,0)+1,FALSE),D330)</f>
        <v>47.06</v>
      </c>
      <c r="E331" s="6">
        <f>IFERROR(VLOOKUP($B331,Platts!$E$5:$M$4994,MATCH(E$3,Platts!$F$5:$M$5,0)+1,FALSE),E330)</f>
        <v>41.08</v>
      </c>
      <c r="F331" s="6">
        <f>IFERROR(VLOOKUP($B331,Platts!$E$5:$M$4994,MATCH(F$3,Platts!$F$5:$M$5,0)+1,FALSE),F330)</f>
        <v>47.68</v>
      </c>
      <c r="G331" s="6">
        <f>IFERROR(VLOOKUP($B331,Platts!$E$5:$M$4994,MATCH(G$3,Platts!$F$5:$M$5,0)+1,FALSE),G330)</f>
        <v>48.91</v>
      </c>
      <c r="H331" s="6">
        <f>IFERROR(VLOOKUP($B331,Platts!$E$5:$M$4994,MATCH(H$3,Platts!$F$5:$M$5,0)+1,FALSE),H330)</f>
        <v>46.66</v>
      </c>
      <c r="I331" s="6">
        <f>IFERROR(VLOOKUP($B331,Platts!$E$5:$M$4994,MATCH(I$3,Platts!$F$5:$M$5,0)+1,FALSE),I330)</f>
        <v>48.11</v>
      </c>
      <c r="J331" s="6">
        <f t="shared" si="10"/>
        <v>6.7899999999999991</v>
      </c>
    </row>
    <row r="332" spans="2:10" x14ac:dyDescent="0.25">
      <c r="B332" s="5">
        <f t="shared" si="11"/>
        <v>42698</v>
      </c>
      <c r="C332" s="6">
        <f>IFERROR(VLOOKUP($B332,Platts!$E$5:$M$4994,MATCH(C$3,Platts!$F$5:$M$5,0)+1,FALSE),C331)</f>
        <v>39.869999999999997</v>
      </c>
      <c r="D332" s="6">
        <f>IFERROR(VLOOKUP($B332,Platts!$E$5:$M$4994,MATCH(D$3,Platts!$F$5:$M$5,0)+1,FALSE),D331)</f>
        <v>47.06</v>
      </c>
      <c r="E332" s="6">
        <f>IFERROR(VLOOKUP($B332,Platts!$E$5:$M$4994,MATCH(E$3,Platts!$F$5:$M$5,0)+1,FALSE),E331)</f>
        <v>41.08</v>
      </c>
      <c r="F332" s="6">
        <f>IFERROR(VLOOKUP($B332,Platts!$E$5:$M$4994,MATCH(F$3,Platts!$F$5:$M$5,0)+1,FALSE),F331)</f>
        <v>47.68</v>
      </c>
      <c r="G332" s="6">
        <f>IFERROR(VLOOKUP($B332,Platts!$E$5:$M$4994,MATCH(G$3,Platts!$F$5:$M$5,0)+1,FALSE),G331)</f>
        <v>49.02</v>
      </c>
      <c r="H332" s="6">
        <f>IFERROR(VLOOKUP($B332,Platts!$E$5:$M$4994,MATCH(H$3,Platts!$F$5:$M$5,0)+1,FALSE),H331)</f>
        <v>46.66</v>
      </c>
      <c r="I332" s="6">
        <f>IFERROR(VLOOKUP($B332,Platts!$E$5:$M$4994,MATCH(I$3,Platts!$F$5:$M$5,0)+1,FALSE),I331)</f>
        <v>48.11</v>
      </c>
      <c r="J332" s="6">
        <f t="shared" si="10"/>
        <v>6.7899999999999991</v>
      </c>
    </row>
    <row r="333" spans="2:10" x14ac:dyDescent="0.25">
      <c r="B333" s="5">
        <f t="shared" si="11"/>
        <v>42699</v>
      </c>
      <c r="C333" s="6">
        <f>IFERROR(VLOOKUP($B333,Platts!$E$5:$M$4994,MATCH(C$3,Platts!$F$5:$M$5,0)+1,FALSE),C332)</f>
        <v>39.869999999999997</v>
      </c>
      <c r="D333" s="6">
        <f>IFERROR(VLOOKUP($B333,Platts!$E$5:$M$4994,MATCH(D$3,Platts!$F$5:$M$5,0)+1,FALSE),D332)</f>
        <v>45</v>
      </c>
      <c r="E333" s="6">
        <f>IFERROR(VLOOKUP($B333,Platts!$E$5:$M$4994,MATCH(E$3,Platts!$F$5:$M$5,0)+1,FALSE),E332)</f>
        <v>39.82</v>
      </c>
      <c r="F333" s="6">
        <f>IFERROR(VLOOKUP($B333,Platts!$E$5:$M$4994,MATCH(F$3,Platts!$F$5:$M$5,0)+1,FALSE),F332)</f>
        <v>45.61</v>
      </c>
      <c r="G333" s="6">
        <f>IFERROR(VLOOKUP($B333,Platts!$E$5:$M$4994,MATCH(G$3,Platts!$F$5:$M$5,0)+1,FALSE),G332)</f>
        <v>47.5</v>
      </c>
      <c r="H333" s="6">
        <f>IFERROR(VLOOKUP($B333,Platts!$E$5:$M$4994,MATCH(H$3,Platts!$F$5:$M$5,0)+1,FALSE),H332)</f>
        <v>46.66</v>
      </c>
      <c r="I333" s="6">
        <f>IFERROR(VLOOKUP($B333,Platts!$E$5:$M$4994,MATCH(I$3,Platts!$F$5:$M$5,0)+1,FALSE),I332)</f>
        <v>48.11</v>
      </c>
      <c r="J333" s="6">
        <f t="shared" si="10"/>
        <v>6.7899999999999991</v>
      </c>
    </row>
    <row r="334" spans="2:10" x14ac:dyDescent="0.25">
      <c r="B334" s="5">
        <f t="shared" si="11"/>
        <v>42700</v>
      </c>
      <c r="C334" s="6">
        <f>IFERROR(VLOOKUP($B334,Platts!$E$5:$M$4994,MATCH(C$3,Platts!$F$5:$M$5,0)+1,FALSE),C333)</f>
        <v>39.869999999999997</v>
      </c>
      <c r="D334" s="6">
        <f>IFERROR(VLOOKUP($B334,Platts!$E$5:$M$4994,MATCH(D$3,Platts!$F$5:$M$5,0)+1,FALSE),D333)</f>
        <v>45</v>
      </c>
      <c r="E334" s="6">
        <f>IFERROR(VLOOKUP($B334,Platts!$E$5:$M$4994,MATCH(E$3,Platts!$F$5:$M$5,0)+1,FALSE),E333)</f>
        <v>39.82</v>
      </c>
      <c r="F334" s="6">
        <f>IFERROR(VLOOKUP($B334,Platts!$E$5:$M$4994,MATCH(F$3,Platts!$F$5:$M$5,0)+1,FALSE),F333)</f>
        <v>45.61</v>
      </c>
      <c r="G334" s="6">
        <f>IFERROR(VLOOKUP($B334,Platts!$E$5:$M$4994,MATCH(G$3,Platts!$F$5:$M$5,0)+1,FALSE),G333)</f>
        <v>47.5</v>
      </c>
      <c r="H334" s="6">
        <f>IFERROR(VLOOKUP($B334,Platts!$E$5:$M$4994,MATCH(H$3,Platts!$F$5:$M$5,0)+1,FALSE),H333)</f>
        <v>46.66</v>
      </c>
      <c r="I334" s="6">
        <f>IFERROR(VLOOKUP($B334,Platts!$E$5:$M$4994,MATCH(I$3,Platts!$F$5:$M$5,0)+1,FALSE),I333)</f>
        <v>48.11</v>
      </c>
      <c r="J334" s="6">
        <f t="shared" si="10"/>
        <v>6.7899999999999991</v>
      </c>
    </row>
    <row r="335" spans="2:10" x14ac:dyDescent="0.25">
      <c r="B335" s="5">
        <f t="shared" si="11"/>
        <v>42701</v>
      </c>
      <c r="C335" s="6">
        <f>IFERROR(VLOOKUP($B335,Platts!$E$5:$M$4994,MATCH(C$3,Platts!$F$5:$M$5,0)+1,FALSE),C334)</f>
        <v>39.869999999999997</v>
      </c>
      <c r="D335" s="6">
        <f>IFERROR(VLOOKUP($B335,Platts!$E$5:$M$4994,MATCH(D$3,Platts!$F$5:$M$5,0)+1,FALSE),D334)</f>
        <v>45</v>
      </c>
      <c r="E335" s="6">
        <f>IFERROR(VLOOKUP($B335,Platts!$E$5:$M$4994,MATCH(E$3,Platts!$F$5:$M$5,0)+1,FALSE),E334)</f>
        <v>39.82</v>
      </c>
      <c r="F335" s="6">
        <f>IFERROR(VLOOKUP($B335,Platts!$E$5:$M$4994,MATCH(F$3,Platts!$F$5:$M$5,0)+1,FALSE),F334)</f>
        <v>45.61</v>
      </c>
      <c r="G335" s="6">
        <f>IFERROR(VLOOKUP($B335,Platts!$E$5:$M$4994,MATCH(G$3,Platts!$F$5:$M$5,0)+1,FALSE),G334)</f>
        <v>47.5</v>
      </c>
      <c r="H335" s="6">
        <f>IFERROR(VLOOKUP($B335,Platts!$E$5:$M$4994,MATCH(H$3,Platts!$F$5:$M$5,0)+1,FALSE),H334)</f>
        <v>46.66</v>
      </c>
      <c r="I335" s="6">
        <f>IFERROR(VLOOKUP($B335,Platts!$E$5:$M$4994,MATCH(I$3,Platts!$F$5:$M$5,0)+1,FALSE),I334)</f>
        <v>48.11</v>
      </c>
      <c r="J335" s="6">
        <f t="shared" si="10"/>
        <v>6.7899999999999991</v>
      </c>
    </row>
    <row r="336" spans="2:10" x14ac:dyDescent="0.25">
      <c r="B336" s="5">
        <f t="shared" si="11"/>
        <v>42702</v>
      </c>
      <c r="C336" s="6">
        <f>IFERROR(VLOOKUP($B336,Platts!$E$5:$M$4994,MATCH(C$3,Platts!$F$5:$M$5,0)+1,FALSE),C335)</f>
        <v>39.51</v>
      </c>
      <c r="D336" s="6">
        <f>IFERROR(VLOOKUP($B336,Platts!$E$5:$M$4994,MATCH(D$3,Platts!$F$5:$M$5,0)+1,FALSE),D335)</f>
        <v>47.14</v>
      </c>
      <c r="E336" s="6">
        <f>IFERROR(VLOOKUP($B336,Platts!$E$5:$M$4994,MATCH(E$3,Platts!$F$5:$M$5,0)+1,FALSE),E335)</f>
        <v>41.08</v>
      </c>
      <c r="F336" s="6">
        <f>IFERROR(VLOOKUP($B336,Platts!$E$5:$M$4994,MATCH(F$3,Platts!$F$5:$M$5,0)+1,FALSE),F335)</f>
        <v>47.58</v>
      </c>
      <c r="G336" s="6">
        <f>IFERROR(VLOOKUP($B336,Platts!$E$5:$M$4994,MATCH(G$3,Platts!$F$5:$M$5,0)+1,FALSE),G335)</f>
        <v>48.44</v>
      </c>
      <c r="H336" s="6">
        <f>IFERROR(VLOOKUP($B336,Platts!$E$5:$M$4994,MATCH(H$3,Platts!$F$5:$M$5,0)+1,FALSE),H335)</f>
        <v>47.08</v>
      </c>
      <c r="I336" s="6">
        <f>IFERROR(VLOOKUP($B336,Platts!$E$5:$M$4994,MATCH(I$3,Platts!$F$5:$M$5,0)+1,FALSE),I335)</f>
        <v>48.28</v>
      </c>
      <c r="J336" s="6">
        <f t="shared" si="10"/>
        <v>7.57</v>
      </c>
    </row>
    <row r="337" spans="2:10" x14ac:dyDescent="0.25">
      <c r="B337" s="5">
        <f t="shared" si="11"/>
        <v>42703</v>
      </c>
      <c r="C337" s="6">
        <f>IFERROR(VLOOKUP($B337,Platts!$E$5:$M$4994,MATCH(C$3,Platts!$F$5:$M$5,0)+1,FALSE),C336)</f>
        <v>38.17</v>
      </c>
      <c r="D337" s="6">
        <f>IFERROR(VLOOKUP($B337,Platts!$E$5:$M$4994,MATCH(D$3,Platts!$F$5:$M$5,0)+1,FALSE),D336)</f>
        <v>45.32</v>
      </c>
      <c r="E337" s="6">
        <f>IFERROR(VLOOKUP($B337,Platts!$E$5:$M$4994,MATCH(E$3,Platts!$F$5:$M$5,0)+1,FALSE),E336)</f>
        <v>39.14</v>
      </c>
      <c r="F337" s="6">
        <f>IFERROR(VLOOKUP($B337,Platts!$E$5:$M$4994,MATCH(F$3,Platts!$F$5:$M$5,0)+1,FALSE),F336)</f>
        <v>45.79</v>
      </c>
      <c r="G337" s="6">
        <f>IFERROR(VLOOKUP($B337,Platts!$E$5:$M$4994,MATCH(G$3,Platts!$F$5:$M$5,0)+1,FALSE),G336)</f>
        <v>46.7</v>
      </c>
      <c r="H337" s="6">
        <f>IFERROR(VLOOKUP($B337,Platts!$E$5:$M$4994,MATCH(H$3,Platts!$F$5:$M$5,0)+1,FALSE),H336)</f>
        <v>45.23</v>
      </c>
      <c r="I337" s="6">
        <f>IFERROR(VLOOKUP($B337,Platts!$E$5:$M$4994,MATCH(I$3,Platts!$F$5:$M$5,0)+1,FALSE),I336)</f>
        <v>46.58</v>
      </c>
      <c r="J337" s="6">
        <f t="shared" si="10"/>
        <v>7.0599999999999952</v>
      </c>
    </row>
    <row r="338" spans="2:10" x14ac:dyDescent="0.25">
      <c r="B338" s="5">
        <f t="shared" si="11"/>
        <v>42704</v>
      </c>
      <c r="C338" s="6">
        <f>IFERROR(VLOOKUP($B338,Platts!$E$5:$M$4994,MATCH(C$3,Platts!$F$5:$M$5,0)+1,FALSE),C337)</f>
        <v>40.94</v>
      </c>
      <c r="D338" s="6">
        <f>IFERROR(VLOOKUP($B338,Platts!$E$5:$M$4994,MATCH(D$3,Platts!$F$5:$M$5,0)+1,FALSE),D337)</f>
        <v>49.48</v>
      </c>
      <c r="E338" s="6">
        <f>IFERROR(VLOOKUP($B338,Platts!$E$5:$M$4994,MATCH(E$3,Platts!$F$5:$M$5,0)+1,FALSE),E337)</f>
        <v>43.14</v>
      </c>
      <c r="F338" s="6">
        <f>IFERROR(VLOOKUP($B338,Platts!$E$5:$M$4994,MATCH(F$3,Platts!$F$5:$M$5,0)+1,FALSE),F337)</f>
        <v>49.9</v>
      </c>
      <c r="G338" s="6">
        <f>IFERROR(VLOOKUP($B338,Platts!$E$5:$M$4994,MATCH(G$3,Platts!$F$5:$M$5,0)+1,FALSE),G337)</f>
        <v>50.04</v>
      </c>
      <c r="H338" s="6">
        <f>IFERROR(VLOOKUP($B338,Platts!$E$5:$M$4994,MATCH(H$3,Platts!$F$5:$M$5,0)+1,FALSE),H337)</f>
        <v>49.44</v>
      </c>
      <c r="I338" s="6">
        <f>IFERROR(VLOOKUP($B338,Platts!$E$5:$M$4994,MATCH(I$3,Platts!$F$5:$M$5,0)+1,FALSE),I337)</f>
        <v>50.84</v>
      </c>
      <c r="J338" s="6">
        <f t="shared" si="10"/>
        <v>8.5</v>
      </c>
    </row>
    <row r="339" spans="2:10" x14ac:dyDescent="0.25">
      <c r="B339" s="5">
        <f t="shared" si="11"/>
        <v>42705</v>
      </c>
      <c r="C339" s="6">
        <f>IFERROR(VLOOKUP($B339,Platts!$E$5:$M$4994,MATCH(C$3,Platts!$F$5:$M$5,0)+1,FALSE),C338)</f>
        <v>43.12</v>
      </c>
      <c r="D339" s="6">
        <f>IFERROR(VLOOKUP($B339,Platts!$E$5:$M$4994,MATCH(D$3,Platts!$F$5:$M$5,0)+1,FALSE),D338)</f>
        <v>52.94</v>
      </c>
      <c r="E339" s="6">
        <f>IFERROR(VLOOKUP($B339,Platts!$E$5:$M$4994,MATCH(E$3,Platts!$F$5:$M$5,0)+1,FALSE),E338)</f>
        <v>44.28</v>
      </c>
      <c r="F339" s="6">
        <f>IFERROR(VLOOKUP($B339,Platts!$E$5:$M$4994,MATCH(F$3,Platts!$F$5:$M$5,0)+1,FALSE),F338)</f>
        <v>53.53</v>
      </c>
      <c r="G339" s="6">
        <f>IFERROR(VLOOKUP($B339,Platts!$E$5:$M$4994,MATCH(G$3,Platts!$F$5:$M$5,0)+1,FALSE),G338)</f>
        <v>54.24</v>
      </c>
      <c r="H339" s="6">
        <f>IFERROR(VLOOKUP($B339,Platts!$E$5:$M$4994,MATCH(H$3,Platts!$F$5:$M$5,0)+1,FALSE),H338)</f>
        <v>51.06</v>
      </c>
      <c r="I339" s="6">
        <f>IFERROR(VLOOKUP($B339,Platts!$E$5:$M$4994,MATCH(I$3,Platts!$F$5:$M$5,0)+1,FALSE),I338)</f>
        <v>52.51</v>
      </c>
      <c r="J339" s="6">
        <f t="shared" si="10"/>
        <v>7.9400000000000048</v>
      </c>
    </row>
    <row r="340" spans="2:10" x14ac:dyDescent="0.25">
      <c r="B340" s="5">
        <f t="shared" si="11"/>
        <v>42706</v>
      </c>
      <c r="C340" s="6">
        <f>IFERROR(VLOOKUP($B340,Platts!$E$5:$M$4994,MATCH(C$3,Platts!$F$5:$M$5,0)+1,FALSE),C339)</f>
        <v>43.68</v>
      </c>
      <c r="D340" s="6">
        <f>IFERROR(VLOOKUP($B340,Platts!$E$5:$M$4994,MATCH(D$3,Platts!$F$5:$M$5,0)+1,FALSE),D339)</f>
        <v>53.55</v>
      </c>
      <c r="E340" s="6">
        <f>IFERROR(VLOOKUP($B340,Platts!$E$5:$M$4994,MATCH(E$3,Platts!$F$5:$M$5,0)+1,FALSE),E339)</f>
        <v>44.94</v>
      </c>
      <c r="F340" s="6">
        <f>IFERROR(VLOOKUP($B340,Platts!$E$5:$M$4994,MATCH(F$3,Platts!$F$5:$M$5,0)+1,FALSE),F339)</f>
        <v>54.15</v>
      </c>
      <c r="G340" s="6">
        <f>IFERROR(VLOOKUP($B340,Platts!$E$5:$M$4994,MATCH(G$3,Platts!$F$5:$M$5,0)+1,FALSE),G339)</f>
        <v>54.26</v>
      </c>
      <c r="H340" s="6">
        <f>IFERROR(VLOOKUP($B340,Platts!$E$5:$M$4994,MATCH(H$3,Platts!$F$5:$M$5,0)+1,FALSE),H339)</f>
        <v>51.68</v>
      </c>
      <c r="I340" s="6">
        <f>IFERROR(VLOOKUP($B340,Platts!$E$5:$M$4994,MATCH(I$3,Platts!$F$5:$M$5,0)+1,FALSE),I339)</f>
        <v>53.13</v>
      </c>
      <c r="J340" s="6">
        <f t="shared" si="10"/>
        <v>8</v>
      </c>
    </row>
    <row r="341" spans="2:10" x14ac:dyDescent="0.25">
      <c r="B341" s="5">
        <f t="shared" si="11"/>
        <v>42707</v>
      </c>
      <c r="C341" s="6">
        <f>IFERROR(VLOOKUP($B341,Platts!$E$5:$M$4994,MATCH(C$3,Platts!$F$5:$M$5,0)+1,FALSE),C340)</f>
        <v>43.68</v>
      </c>
      <c r="D341" s="6">
        <f>IFERROR(VLOOKUP($B341,Platts!$E$5:$M$4994,MATCH(D$3,Platts!$F$5:$M$5,0)+1,FALSE),D340)</f>
        <v>53.55</v>
      </c>
      <c r="E341" s="6">
        <f>IFERROR(VLOOKUP($B341,Platts!$E$5:$M$4994,MATCH(E$3,Platts!$F$5:$M$5,0)+1,FALSE),E340)</f>
        <v>44.94</v>
      </c>
      <c r="F341" s="6">
        <f>IFERROR(VLOOKUP($B341,Platts!$E$5:$M$4994,MATCH(F$3,Platts!$F$5:$M$5,0)+1,FALSE),F340)</f>
        <v>54.15</v>
      </c>
      <c r="G341" s="6">
        <f>IFERROR(VLOOKUP($B341,Platts!$E$5:$M$4994,MATCH(G$3,Platts!$F$5:$M$5,0)+1,FALSE),G340)</f>
        <v>54.26</v>
      </c>
      <c r="H341" s="6">
        <f>IFERROR(VLOOKUP($B341,Platts!$E$5:$M$4994,MATCH(H$3,Platts!$F$5:$M$5,0)+1,FALSE),H340)</f>
        <v>51.68</v>
      </c>
      <c r="I341" s="6">
        <f>IFERROR(VLOOKUP($B341,Platts!$E$5:$M$4994,MATCH(I$3,Platts!$F$5:$M$5,0)+1,FALSE),I340)</f>
        <v>53.13</v>
      </c>
      <c r="J341" s="6">
        <f t="shared" si="10"/>
        <v>8</v>
      </c>
    </row>
    <row r="342" spans="2:10" x14ac:dyDescent="0.25">
      <c r="B342" s="5">
        <f t="shared" si="11"/>
        <v>42708</v>
      </c>
      <c r="C342" s="6">
        <f>IFERROR(VLOOKUP($B342,Platts!$E$5:$M$4994,MATCH(C$3,Platts!$F$5:$M$5,0)+1,FALSE),C341)</f>
        <v>43.68</v>
      </c>
      <c r="D342" s="6">
        <f>IFERROR(VLOOKUP($B342,Platts!$E$5:$M$4994,MATCH(D$3,Platts!$F$5:$M$5,0)+1,FALSE),D341)</f>
        <v>53.55</v>
      </c>
      <c r="E342" s="6">
        <f>IFERROR(VLOOKUP($B342,Platts!$E$5:$M$4994,MATCH(E$3,Platts!$F$5:$M$5,0)+1,FALSE),E341)</f>
        <v>44.94</v>
      </c>
      <c r="F342" s="6">
        <f>IFERROR(VLOOKUP($B342,Platts!$E$5:$M$4994,MATCH(F$3,Platts!$F$5:$M$5,0)+1,FALSE),F341)</f>
        <v>54.15</v>
      </c>
      <c r="G342" s="6">
        <f>IFERROR(VLOOKUP($B342,Platts!$E$5:$M$4994,MATCH(G$3,Platts!$F$5:$M$5,0)+1,FALSE),G341)</f>
        <v>54.26</v>
      </c>
      <c r="H342" s="6">
        <f>IFERROR(VLOOKUP($B342,Platts!$E$5:$M$4994,MATCH(H$3,Platts!$F$5:$M$5,0)+1,FALSE),H341)</f>
        <v>51.68</v>
      </c>
      <c r="I342" s="6">
        <f>IFERROR(VLOOKUP($B342,Platts!$E$5:$M$4994,MATCH(I$3,Platts!$F$5:$M$5,0)+1,FALSE),I341)</f>
        <v>53.13</v>
      </c>
      <c r="J342" s="6">
        <f t="shared" si="10"/>
        <v>8</v>
      </c>
    </row>
    <row r="343" spans="2:10" x14ac:dyDescent="0.25">
      <c r="B343" s="5">
        <f t="shared" si="11"/>
        <v>42709</v>
      </c>
      <c r="C343" s="6">
        <f>IFERROR(VLOOKUP($B343,Platts!$E$5:$M$4994,MATCH(C$3,Platts!$F$5:$M$5,0)+1,FALSE),C342)</f>
        <v>44.57</v>
      </c>
      <c r="D343" s="6">
        <f>IFERROR(VLOOKUP($B343,Platts!$E$5:$M$4994,MATCH(D$3,Platts!$F$5:$M$5,0)+1,FALSE),D342)</f>
        <v>53.59</v>
      </c>
      <c r="E343" s="6">
        <f>IFERROR(VLOOKUP($B343,Platts!$E$5:$M$4994,MATCH(E$3,Platts!$F$5:$M$5,0)+1,FALSE),E342)</f>
        <v>45.48</v>
      </c>
      <c r="F343" s="6">
        <f>IFERROR(VLOOKUP($B343,Platts!$E$5:$M$4994,MATCH(F$3,Platts!$F$5:$M$5,0)+1,FALSE),F342)</f>
        <v>54.13</v>
      </c>
      <c r="G343" s="6">
        <f>IFERROR(VLOOKUP($B343,Platts!$E$5:$M$4994,MATCH(G$3,Platts!$F$5:$M$5,0)+1,FALSE),G342)</f>
        <v>55.06</v>
      </c>
      <c r="H343" s="6">
        <f>IFERROR(VLOOKUP($B343,Platts!$E$5:$M$4994,MATCH(H$3,Platts!$F$5:$M$5,0)+1,FALSE),H342)</f>
        <v>51.79</v>
      </c>
      <c r="I343" s="6">
        <f>IFERROR(VLOOKUP($B343,Platts!$E$5:$M$4994,MATCH(I$3,Platts!$F$5:$M$5,0)+1,FALSE),I342)</f>
        <v>53.29</v>
      </c>
      <c r="J343" s="6">
        <f t="shared" si="10"/>
        <v>7.2199999999999989</v>
      </c>
    </row>
    <row r="344" spans="2:10" x14ac:dyDescent="0.25">
      <c r="B344" s="5">
        <f t="shared" si="11"/>
        <v>42710</v>
      </c>
      <c r="C344" s="6">
        <f>IFERROR(VLOOKUP($B344,Platts!$E$5:$M$4994,MATCH(C$3,Platts!$F$5:$M$5,0)+1,FALSE),C343)</f>
        <v>44.08</v>
      </c>
      <c r="D344" s="6">
        <f>IFERROR(VLOOKUP($B344,Platts!$E$5:$M$4994,MATCH(D$3,Platts!$F$5:$M$5,0)+1,FALSE),D343)</f>
        <v>52.92</v>
      </c>
      <c r="E344" s="6">
        <f>IFERROR(VLOOKUP($B344,Platts!$E$5:$M$4994,MATCH(E$3,Platts!$F$5:$M$5,0)+1,FALSE),E343)</f>
        <v>45.11</v>
      </c>
      <c r="F344" s="6">
        <f>IFERROR(VLOOKUP($B344,Platts!$E$5:$M$4994,MATCH(F$3,Platts!$F$5:$M$5,0)+1,FALSE),F343)</f>
        <v>53.44</v>
      </c>
      <c r="G344" s="6">
        <f>IFERROR(VLOOKUP($B344,Platts!$E$5:$M$4994,MATCH(G$3,Platts!$F$5:$M$5,0)+1,FALSE),G343)</f>
        <v>54.11</v>
      </c>
      <c r="H344" s="6">
        <f>IFERROR(VLOOKUP($B344,Platts!$E$5:$M$4994,MATCH(H$3,Platts!$F$5:$M$5,0)+1,FALSE),H343)</f>
        <v>50.93</v>
      </c>
      <c r="I344" s="6">
        <f>IFERROR(VLOOKUP($B344,Platts!$E$5:$M$4994,MATCH(I$3,Platts!$F$5:$M$5,0)+1,FALSE),I343)</f>
        <v>52.53</v>
      </c>
      <c r="J344" s="6">
        <f t="shared" si="10"/>
        <v>6.8500000000000014</v>
      </c>
    </row>
    <row r="345" spans="2:10" x14ac:dyDescent="0.25">
      <c r="B345" s="5">
        <f t="shared" si="11"/>
        <v>42711</v>
      </c>
      <c r="C345" s="6">
        <f>IFERROR(VLOOKUP($B345,Platts!$E$5:$M$4994,MATCH(C$3,Platts!$F$5:$M$5,0)+1,FALSE),C344)</f>
        <v>43.32</v>
      </c>
      <c r="D345" s="6">
        <f>IFERROR(VLOOKUP($B345,Platts!$E$5:$M$4994,MATCH(D$3,Platts!$F$5:$M$5,0)+1,FALSE),D344)</f>
        <v>51.91</v>
      </c>
      <c r="E345" s="6">
        <f>IFERROR(VLOOKUP($B345,Platts!$E$5:$M$4994,MATCH(E$3,Platts!$F$5:$M$5,0)+1,FALSE),E344)</f>
        <v>44.09</v>
      </c>
      <c r="F345" s="6">
        <f>IFERROR(VLOOKUP($B345,Platts!$E$5:$M$4994,MATCH(F$3,Platts!$F$5:$M$5,0)+1,FALSE),F344)</f>
        <v>52.49</v>
      </c>
      <c r="G345" s="6">
        <f>IFERROR(VLOOKUP($B345,Platts!$E$5:$M$4994,MATCH(G$3,Platts!$F$5:$M$5,0)+1,FALSE),G344)</f>
        <v>53.69</v>
      </c>
      <c r="H345" s="6">
        <f>IFERROR(VLOOKUP($B345,Platts!$E$5:$M$4994,MATCH(H$3,Platts!$F$5:$M$5,0)+1,FALSE),H344)</f>
        <v>49.77</v>
      </c>
      <c r="I345" s="6">
        <f>IFERROR(VLOOKUP($B345,Platts!$E$5:$M$4994,MATCH(I$3,Platts!$F$5:$M$5,0)+1,FALSE),I344)</f>
        <v>51.42</v>
      </c>
      <c r="J345" s="6">
        <f t="shared" si="10"/>
        <v>6.4500000000000028</v>
      </c>
    </row>
    <row r="346" spans="2:10" x14ac:dyDescent="0.25">
      <c r="B346" s="5">
        <f t="shared" si="11"/>
        <v>42712</v>
      </c>
      <c r="C346" s="6">
        <f>IFERROR(VLOOKUP($B346,Platts!$E$5:$M$4994,MATCH(C$3,Platts!$F$5:$M$5,0)+1,FALSE),C345)</f>
        <v>43.81</v>
      </c>
      <c r="D346" s="6">
        <f>IFERROR(VLOOKUP($B346,Platts!$E$5:$M$4994,MATCH(D$3,Platts!$F$5:$M$5,0)+1,FALSE),D345)</f>
        <v>53.06</v>
      </c>
      <c r="E346" s="6">
        <f>IFERROR(VLOOKUP($B346,Platts!$E$5:$M$4994,MATCH(E$3,Platts!$F$5:$M$5,0)+1,FALSE),E345)</f>
        <v>45.06</v>
      </c>
      <c r="F346" s="6">
        <f>IFERROR(VLOOKUP($B346,Platts!$E$5:$M$4994,MATCH(F$3,Platts!$F$5:$M$5,0)+1,FALSE),F345)</f>
        <v>53.61</v>
      </c>
      <c r="G346" s="6">
        <f>IFERROR(VLOOKUP($B346,Platts!$E$5:$M$4994,MATCH(G$3,Platts!$F$5:$M$5,0)+1,FALSE),G345)</f>
        <v>53.66</v>
      </c>
      <c r="H346" s="6">
        <f>IFERROR(VLOOKUP($B346,Platts!$E$5:$M$4994,MATCH(H$3,Platts!$F$5:$M$5,0)+1,FALSE),H345)</f>
        <v>50.84</v>
      </c>
      <c r="I346" s="6">
        <f>IFERROR(VLOOKUP($B346,Platts!$E$5:$M$4994,MATCH(I$3,Platts!$F$5:$M$5,0)+1,FALSE),I345)</f>
        <v>52.59</v>
      </c>
      <c r="J346" s="6">
        <f t="shared" si="10"/>
        <v>7.0300000000000011</v>
      </c>
    </row>
    <row r="347" spans="2:10" x14ac:dyDescent="0.25">
      <c r="B347" s="5">
        <f t="shared" si="11"/>
        <v>42713</v>
      </c>
      <c r="C347" s="6">
        <f>IFERROR(VLOOKUP($B347,Platts!$E$5:$M$4994,MATCH(C$3,Platts!$F$5:$M$5,0)+1,FALSE),C346)</f>
        <v>44.28</v>
      </c>
      <c r="D347" s="6">
        <f>IFERROR(VLOOKUP($B347,Platts!$E$5:$M$4994,MATCH(D$3,Platts!$F$5:$M$5,0)+1,FALSE),D346)</f>
        <v>53.56</v>
      </c>
      <c r="E347" s="6">
        <f>IFERROR(VLOOKUP($B347,Platts!$E$5:$M$4994,MATCH(E$3,Platts!$F$5:$M$5,0)+1,FALSE),E346)</f>
        <v>45.48</v>
      </c>
      <c r="F347" s="6">
        <f>IFERROR(VLOOKUP($B347,Platts!$E$5:$M$4994,MATCH(F$3,Platts!$F$5:$M$5,0)+1,FALSE),F346)</f>
        <v>54.11</v>
      </c>
      <c r="G347" s="6">
        <f>IFERROR(VLOOKUP($B347,Platts!$E$5:$M$4994,MATCH(G$3,Platts!$F$5:$M$5,0)+1,FALSE),G346)</f>
        <v>54.15</v>
      </c>
      <c r="H347" s="6">
        <f>IFERROR(VLOOKUP($B347,Platts!$E$5:$M$4994,MATCH(H$3,Platts!$F$5:$M$5,0)+1,FALSE),H346)</f>
        <v>51.5</v>
      </c>
      <c r="I347" s="6">
        <f>IFERROR(VLOOKUP($B347,Platts!$E$5:$M$4994,MATCH(I$3,Platts!$F$5:$M$5,0)+1,FALSE),I346)</f>
        <v>53.1</v>
      </c>
      <c r="J347" s="6">
        <f t="shared" si="10"/>
        <v>7.2199999999999989</v>
      </c>
    </row>
    <row r="348" spans="2:10" x14ac:dyDescent="0.25">
      <c r="B348" s="5">
        <f t="shared" si="11"/>
        <v>42714</v>
      </c>
      <c r="C348" s="6">
        <f>IFERROR(VLOOKUP($B348,Platts!$E$5:$M$4994,MATCH(C$3,Platts!$F$5:$M$5,0)+1,FALSE),C347)</f>
        <v>44.28</v>
      </c>
      <c r="D348" s="6">
        <f>IFERROR(VLOOKUP($B348,Platts!$E$5:$M$4994,MATCH(D$3,Platts!$F$5:$M$5,0)+1,FALSE),D347)</f>
        <v>53.56</v>
      </c>
      <c r="E348" s="6">
        <f>IFERROR(VLOOKUP($B348,Platts!$E$5:$M$4994,MATCH(E$3,Platts!$F$5:$M$5,0)+1,FALSE),E347)</f>
        <v>45.48</v>
      </c>
      <c r="F348" s="6">
        <f>IFERROR(VLOOKUP($B348,Platts!$E$5:$M$4994,MATCH(F$3,Platts!$F$5:$M$5,0)+1,FALSE),F347)</f>
        <v>54.11</v>
      </c>
      <c r="G348" s="6">
        <f>IFERROR(VLOOKUP($B348,Platts!$E$5:$M$4994,MATCH(G$3,Platts!$F$5:$M$5,0)+1,FALSE),G347)</f>
        <v>54.15</v>
      </c>
      <c r="H348" s="6">
        <f>IFERROR(VLOOKUP($B348,Platts!$E$5:$M$4994,MATCH(H$3,Platts!$F$5:$M$5,0)+1,FALSE),H347)</f>
        <v>51.5</v>
      </c>
      <c r="I348" s="6">
        <f>IFERROR(VLOOKUP($B348,Platts!$E$5:$M$4994,MATCH(I$3,Platts!$F$5:$M$5,0)+1,FALSE),I347)</f>
        <v>53.1</v>
      </c>
      <c r="J348" s="6">
        <f t="shared" si="10"/>
        <v>7.2199999999999989</v>
      </c>
    </row>
    <row r="349" spans="2:10" x14ac:dyDescent="0.25">
      <c r="B349" s="5">
        <f t="shared" si="11"/>
        <v>42715</v>
      </c>
      <c r="C349" s="6">
        <f>IFERROR(VLOOKUP($B349,Platts!$E$5:$M$4994,MATCH(C$3,Platts!$F$5:$M$5,0)+1,FALSE),C348)</f>
        <v>44.28</v>
      </c>
      <c r="D349" s="6">
        <f>IFERROR(VLOOKUP($B349,Platts!$E$5:$M$4994,MATCH(D$3,Platts!$F$5:$M$5,0)+1,FALSE),D348)</f>
        <v>53.56</v>
      </c>
      <c r="E349" s="6">
        <f>IFERROR(VLOOKUP($B349,Platts!$E$5:$M$4994,MATCH(E$3,Platts!$F$5:$M$5,0)+1,FALSE),E348)</f>
        <v>45.48</v>
      </c>
      <c r="F349" s="6">
        <f>IFERROR(VLOOKUP($B349,Platts!$E$5:$M$4994,MATCH(F$3,Platts!$F$5:$M$5,0)+1,FALSE),F348)</f>
        <v>54.11</v>
      </c>
      <c r="G349" s="6">
        <f>IFERROR(VLOOKUP($B349,Platts!$E$5:$M$4994,MATCH(G$3,Platts!$F$5:$M$5,0)+1,FALSE),G348)</f>
        <v>54.15</v>
      </c>
      <c r="H349" s="6">
        <f>IFERROR(VLOOKUP($B349,Platts!$E$5:$M$4994,MATCH(H$3,Platts!$F$5:$M$5,0)+1,FALSE),H348)</f>
        <v>51.5</v>
      </c>
      <c r="I349" s="6">
        <f>IFERROR(VLOOKUP($B349,Platts!$E$5:$M$4994,MATCH(I$3,Platts!$F$5:$M$5,0)+1,FALSE),I348)</f>
        <v>53.1</v>
      </c>
      <c r="J349" s="6">
        <f t="shared" si="10"/>
        <v>7.2199999999999989</v>
      </c>
    </row>
    <row r="350" spans="2:10" x14ac:dyDescent="0.25">
      <c r="B350" s="5">
        <f t="shared" si="11"/>
        <v>42716</v>
      </c>
      <c r="C350" s="6">
        <f>IFERROR(VLOOKUP($B350,Platts!$E$5:$M$4994,MATCH(C$3,Platts!$F$5:$M$5,0)+1,FALSE),C349)</f>
        <v>45.82</v>
      </c>
      <c r="D350" s="6">
        <f>IFERROR(VLOOKUP($B350,Platts!$E$5:$M$4994,MATCH(D$3,Platts!$F$5:$M$5,0)+1,FALSE),D349)</f>
        <v>54.85</v>
      </c>
      <c r="E350" s="6">
        <f>IFERROR(VLOOKUP($B350,Platts!$E$5:$M$4994,MATCH(E$3,Platts!$F$5:$M$5,0)+1,FALSE),E349)</f>
        <v>46.78</v>
      </c>
      <c r="F350" s="6">
        <f>IFERROR(VLOOKUP($B350,Platts!$E$5:$M$4994,MATCH(F$3,Platts!$F$5:$M$5,0)+1,FALSE),F349)</f>
        <v>55.33</v>
      </c>
      <c r="G350" s="6">
        <f>IFERROR(VLOOKUP($B350,Platts!$E$5:$M$4994,MATCH(G$3,Platts!$F$5:$M$5,0)+1,FALSE),G349)</f>
        <v>55.89</v>
      </c>
      <c r="H350" s="6">
        <f>IFERROR(VLOOKUP($B350,Platts!$E$5:$M$4994,MATCH(H$3,Platts!$F$5:$M$5,0)+1,FALSE),H349)</f>
        <v>52.83</v>
      </c>
      <c r="I350" s="6">
        <f>IFERROR(VLOOKUP($B350,Platts!$E$5:$M$4994,MATCH(I$3,Platts!$F$5:$M$5,0)+1,FALSE),I349)</f>
        <v>54.48</v>
      </c>
      <c r="J350" s="6">
        <f t="shared" si="10"/>
        <v>7.009999999999998</v>
      </c>
    </row>
    <row r="351" spans="2:10" x14ac:dyDescent="0.25">
      <c r="B351" s="5">
        <f t="shared" si="11"/>
        <v>42717</v>
      </c>
      <c r="C351" s="6">
        <f>IFERROR(VLOOKUP($B351,Platts!$E$5:$M$4994,MATCH(C$3,Platts!$F$5:$M$5,0)+1,FALSE),C350)</f>
        <v>45.7</v>
      </c>
      <c r="D351" s="6">
        <f>IFERROR(VLOOKUP($B351,Platts!$E$5:$M$4994,MATCH(D$3,Platts!$F$5:$M$5,0)+1,FALSE),D350)</f>
        <v>55.02</v>
      </c>
      <c r="E351" s="6">
        <f>IFERROR(VLOOKUP($B351,Platts!$E$5:$M$4994,MATCH(E$3,Platts!$F$5:$M$5,0)+1,FALSE),E350)</f>
        <v>46.88</v>
      </c>
      <c r="F351" s="6">
        <f>IFERROR(VLOOKUP($B351,Platts!$E$5:$M$4994,MATCH(F$3,Platts!$F$5:$M$5,0)+1,FALSE),F350)</f>
        <v>55.53</v>
      </c>
      <c r="G351" s="6">
        <f>IFERROR(VLOOKUP($B351,Platts!$E$5:$M$4994,MATCH(G$3,Platts!$F$5:$M$5,0)+1,FALSE),G350)</f>
        <v>55.54</v>
      </c>
      <c r="H351" s="6">
        <f>IFERROR(VLOOKUP($B351,Platts!$E$5:$M$4994,MATCH(H$3,Platts!$F$5:$M$5,0)+1,FALSE),H350)</f>
        <v>52.98</v>
      </c>
      <c r="I351" s="6">
        <f>IFERROR(VLOOKUP($B351,Platts!$E$5:$M$4994,MATCH(I$3,Platts!$F$5:$M$5,0)+1,FALSE),I350)</f>
        <v>54.63</v>
      </c>
      <c r="J351" s="6">
        <f t="shared" si="10"/>
        <v>7.279999999999994</v>
      </c>
    </row>
    <row r="352" spans="2:10" x14ac:dyDescent="0.25">
      <c r="B352" s="5">
        <f t="shared" si="11"/>
        <v>42718</v>
      </c>
      <c r="C352" s="6">
        <f>IFERROR(VLOOKUP($B352,Platts!$E$5:$M$4994,MATCH(C$3,Platts!$F$5:$M$5,0)+1,FALSE),C351)</f>
        <v>44.8</v>
      </c>
      <c r="D352" s="6">
        <f>IFERROR(VLOOKUP($B352,Platts!$E$5:$M$4994,MATCH(D$3,Platts!$F$5:$M$5,0)+1,FALSE),D351)</f>
        <v>53.09</v>
      </c>
      <c r="E352" s="6">
        <f>IFERROR(VLOOKUP($B352,Platts!$E$5:$M$4994,MATCH(E$3,Platts!$F$5:$M$5,0)+1,FALSE),E351)</f>
        <v>45.22</v>
      </c>
      <c r="F352" s="6">
        <f>IFERROR(VLOOKUP($B352,Platts!$E$5:$M$4994,MATCH(F$3,Platts!$F$5:$M$5,0)+1,FALSE),F351)</f>
        <v>53.66</v>
      </c>
      <c r="G352" s="6">
        <f>IFERROR(VLOOKUP($B352,Platts!$E$5:$M$4994,MATCH(G$3,Platts!$F$5:$M$5,0)+1,FALSE),G351)</f>
        <v>55.08</v>
      </c>
      <c r="H352" s="6">
        <f>IFERROR(VLOOKUP($B352,Platts!$E$5:$M$4994,MATCH(H$3,Platts!$F$5:$M$5,0)+1,FALSE),H351)</f>
        <v>51.04</v>
      </c>
      <c r="I352" s="6">
        <f>IFERROR(VLOOKUP($B352,Platts!$E$5:$M$4994,MATCH(I$3,Platts!$F$5:$M$5,0)+1,FALSE),I351)</f>
        <v>52.54</v>
      </c>
      <c r="J352" s="6">
        <f t="shared" si="10"/>
        <v>6.240000000000002</v>
      </c>
    </row>
    <row r="353" spans="2:10" x14ac:dyDescent="0.25">
      <c r="B353" s="5">
        <f t="shared" si="11"/>
        <v>42719</v>
      </c>
      <c r="C353" s="6">
        <f>IFERROR(VLOOKUP($B353,Platts!$E$5:$M$4994,MATCH(C$3,Platts!$F$5:$M$5,0)+1,FALSE),C352)</f>
        <v>44</v>
      </c>
      <c r="D353" s="6">
        <f>IFERROR(VLOOKUP($B353,Platts!$E$5:$M$4994,MATCH(D$3,Platts!$F$5:$M$5,0)+1,FALSE),D352)</f>
        <v>52.88</v>
      </c>
      <c r="E353" s="6">
        <f>IFERROR(VLOOKUP($B353,Platts!$E$5:$M$4994,MATCH(E$3,Platts!$F$5:$M$5,0)+1,FALSE),E352)</f>
        <v>45.03</v>
      </c>
      <c r="F353" s="6">
        <f>IFERROR(VLOOKUP($B353,Platts!$E$5:$M$4994,MATCH(F$3,Platts!$F$5:$M$5,0)+1,FALSE),F352)</f>
        <v>53.52</v>
      </c>
      <c r="G353" s="6">
        <f>IFERROR(VLOOKUP($B353,Platts!$E$5:$M$4994,MATCH(G$3,Platts!$F$5:$M$5,0)+1,FALSE),G352)</f>
        <v>53.45</v>
      </c>
      <c r="H353" s="6">
        <f>IFERROR(VLOOKUP($B353,Platts!$E$5:$M$4994,MATCH(H$3,Platts!$F$5:$M$5,0)+1,FALSE),H352)</f>
        <v>50.9</v>
      </c>
      <c r="I353" s="6">
        <f>IFERROR(VLOOKUP($B353,Platts!$E$5:$M$4994,MATCH(I$3,Platts!$F$5:$M$5,0)+1,FALSE),I352)</f>
        <v>52.45</v>
      </c>
      <c r="J353" s="6">
        <f t="shared" si="10"/>
        <v>6.8999999999999986</v>
      </c>
    </row>
    <row r="354" spans="2:10" x14ac:dyDescent="0.25">
      <c r="B354" s="5">
        <f t="shared" si="11"/>
        <v>42720</v>
      </c>
      <c r="C354" s="6">
        <f>IFERROR(VLOOKUP($B354,Platts!$E$5:$M$4994,MATCH(C$3,Platts!$F$5:$M$5,0)+1,FALSE),C353)</f>
        <v>45.08</v>
      </c>
      <c r="D354" s="6">
        <f>IFERROR(VLOOKUP($B354,Platts!$E$5:$M$4994,MATCH(D$3,Platts!$F$5:$M$5,0)+1,FALSE),D353)</f>
        <v>53.92</v>
      </c>
      <c r="E354" s="6">
        <f>IFERROR(VLOOKUP($B354,Platts!$E$5:$M$4994,MATCH(E$3,Platts!$F$5:$M$5,0)+1,FALSE),E353)</f>
        <v>45.88</v>
      </c>
      <c r="F354" s="6">
        <f>IFERROR(VLOOKUP($B354,Platts!$E$5:$M$4994,MATCH(F$3,Platts!$F$5:$M$5,0)+1,FALSE),F353)</f>
        <v>54.58</v>
      </c>
      <c r="G354" s="6">
        <f>IFERROR(VLOOKUP($B354,Platts!$E$5:$M$4994,MATCH(G$3,Platts!$F$5:$M$5,0)+1,FALSE),G353)</f>
        <v>55.08</v>
      </c>
      <c r="H354" s="6">
        <f>IFERROR(VLOOKUP($B354,Platts!$E$5:$M$4994,MATCH(H$3,Platts!$F$5:$M$5,0)+1,FALSE),H353)</f>
        <v>51.9</v>
      </c>
      <c r="I354" s="6">
        <f>IFERROR(VLOOKUP($B354,Platts!$E$5:$M$4994,MATCH(I$3,Platts!$F$5:$M$5,0)+1,FALSE),I353)</f>
        <v>53.3</v>
      </c>
      <c r="J354" s="6">
        <f t="shared" si="10"/>
        <v>6.82</v>
      </c>
    </row>
    <row r="355" spans="2:10" x14ac:dyDescent="0.25">
      <c r="B355" s="5">
        <f t="shared" si="11"/>
        <v>42721</v>
      </c>
      <c r="C355" s="6">
        <f>IFERROR(VLOOKUP($B355,Platts!$E$5:$M$4994,MATCH(C$3,Platts!$F$5:$M$5,0)+1,FALSE),C354)</f>
        <v>45.08</v>
      </c>
      <c r="D355" s="6">
        <f>IFERROR(VLOOKUP($B355,Platts!$E$5:$M$4994,MATCH(D$3,Platts!$F$5:$M$5,0)+1,FALSE),D354)</f>
        <v>53.92</v>
      </c>
      <c r="E355" s="6">
        <f>IFERROR(VLOOKUP($B355,Platts!$E$5:$M$4994,MATCH(E$3,Platts!$F$5:$M$5,0)+1,FALSE),E354)</f>
        <v>45.88</v>
      </c>
      <c r="F355" s="6">
        <f>IFERROR(VLOOKUP($B355,Platts!$E$5:$M$4994,MATCH(F$3,Platts!$F$5:$M$5,0)+1,FALSE),F354)</f>
        <v>54.58</v>
      </c>
      <c r="G355" s="6">
        <f>IFERROR(VLOOKUP($B355,Platts!$E$5:$M$4994,MATCH(G$3,Platts!$F$5:$M$5,0)+1,FALSE),G354)</f>
        <v>55.08</v>
      </c>
      <c r="H355" s="6">
        <f>IFERROR(VLOOKUP($B355,Platts!$E$5:$M$4994,MATCH(H$3,Platts!$F$5:$M$5,0)+1,FALSE),H354)</f>
        <v>51.9</v>
      </c>
      <c r="I355" s="6">
        <f>IFERROR(VLOOKUP($B355,Platts!$E$5:$M$4994,MATCH(I$3,Platts!$F$5:$M$5,0)+1,FALSE),I354)</f>
        <v>53.3</v>
      </c>
      <c r="J355" s="6">
        <f t="shared" si="10"/>
        <v>6.82</v>
      </c>
    </row>
    <row r="356" spans="2:10" x14ac:dyDescent="0.25">
      <c r="B356" s="5">
        <f t="shared" si="11"/>
        <v>42722</v>
      </c>
      <c r="C356" s="6">
        <f>IFERROR(VLOOKUP($B356,Platts!$E$5:$M$4994,MATCH(C$3,Platts!$F$5:$M$5,0)+1,FALSE),C355)</f>
        <v>45.08</v>
      </c>
      <c r="D356" s="6">
        <f>IFERROR(VLOOKUP($B356,Platts!$E$5:$M$4994,MATCH(D$3,Platts!$F$5:$M$5,0)+1,FALSE),D355)</f>
        <v>53.92</v>
      </c>
      <c r="E356" s="6">
        <f>IFERROR(VLOOKUP($B356,Platts!$E$5:$M$4994,MATCH(E$3,Platts!$F$5:$M$5,0)+1,FALSE),E355)</f>
        <v>45.88</v>
      </c>
      <c r="F356" s="6">
        <f>IFERROR(VLOOKUP($B356,Platts!$E$5:$M$4994,MATCH(F$3,Platts!$F$5:$M$5,0)+1,FALSE),F355)</f>
        <v>54.58</v>
      </c>
      <c r="G356" s="6">
        <f>IFERROR(VLOOKUP($B356,Platts!$E$5:$M$4994,MATCH(G$3,Platts!$F$5:$M$5,0)+1,FALSE),G355)</f>
        <v>55.08</v>
      </c>
      <c r="H356" s="6">
        <f>IFERROR(VLOOKUP($B356,Platts!$E$5:$M$4994,MATCH(H$3,Platts!$F$5:$M$5,0)+1,FALSE),H355)</f>
        <v>51.9</v>
      </c>
      <c r="I356" s="6">
        <f>IFERROR(VLOOKUP($B356,Platts!$E$5:$M$4994,MATCH(I$3,Platts!$F$5:$M$5,0)+1,FALSE),I355)</f>
        <v>53.3</v>
      </c>
      <c r="J356" s="6">
        <f t="shared" si="10"/>
        <v>6.82</v>
      </c>
    </row>
    <row r="357" spans="2:10" x14ac:dyDescent="0.25">
      <c r="B357" s="5">
        <f t="shared" si="11"/>
        <v>42723</v>
      </c>
      <c r="C357" s="6">
        <f>IFERROR(VLOOKUP($B357,Platts!$E$5:$M$4994,MATCH(C$3,Platts!$F$5:$M$5,0)+1,FALSE),C356)</f>
        <v>44.94</v>
      </c>
      <c r="D357" s="6">
        <f>IFERROR(VLOOKUP($B357,Platts!$E$5:$M$4994,MATCH(D$3,Platts!$F$5:$M$5,0)+1,FALSE),D356)</f>
        <v>54.1</v>
      </c>
      <c r="E357" s="6">
        <f>IFERROR(VLOOKUP($B357,Platts!$E$5:$M$4994,MATCH(E$3,Platts!$F$5:$M$5,0)+1,FALSE),E356)</f>
        <v>45.6</v>
      </c>
      <c r="F357" s="6">
        <f>IFERROR(VLOOKUP($B357,Platts!$E$5:$M$4994,MATCH(F$3,Platts!$F$5:$M$5,0)+1,FALSE),F356)</f>
        <v>54.69</v>
      </c>
      <c r="G357" s="6">
        <f>IFERROR(VLOOKUP($B357,Platts!$E$5:$M$4994,MATCH(G$3,Platts!$F$5:$M$5,0)+1,FALSE),G356)</f>
        <v>54.93</v>
      </c>
      <c r="H357" s="6">
        <f>IFERROR(VLOOKUP($B357,Platts!$E$5:$M$4994,MATCH(H$3,Platts!$F$5:$M$5,0)+1,FALSE),H356)</f>
        <v>52.12</v>
      </c>
      <c r="I357" s="6">
        <f>IFERROR(VLOOKUP($B357,Platts!$E$5:$M$4994,MATCH(I$3,Platts!$F$5:$M$5,0)+1,FALSE),I356)</f>
        <v>53.67</v>
      </c>
      <c r="J357" s="6">
        <f t="shared" si="10"/>
        <v>7.18</v>
      </c>
    </row>
    <row r="358" spans="2:10" x14ac:dyDescent="0.25">
      <c r="B358" s="5">
        <f t="shared" si="11"/>
        <v>42724</v>
      </c>
      <c r="C358" s="6">
        <f>IFERROR(VLOOKUP($B358,Platts!$E$5:$M$4994,MATCH(C$3,Platts!$F$5:$M$5,0)+1,FALSE),C357)</f>
        <v>45.1</v>
      </c>
      <c r="D358" s="6">
        <f>IFERROR(VLOOKUP($B358,Platts!$E$5:$M$4994,MATCH(D$3,Platts!$F$5:$M$5,0)+1,FALSE),D357)</f>
        <v>54.21</v>
      </c>
      <c r="E358" s="6">
        <f>IFERROR(VLOOKUP($B358,Platts!$E$5:$M$4994,MATCH(E$3,Platts!$F$5:$M$5,0)+1,FALSE),E357)</f>
        <v>45.72</v>
      </c>
      <c r="F358" s="6">
        <f>IFERROR(VLOOKUP($B358,Platts!$E$5:$M$4994,MATCH(F$3,Platts!$F$5:$M$5,0)+1,FALSE),F357)</f>
        <v>54.87</v>
      </c>
      <c r="G358" s="6">
        <f>IFERROR(VLOOKUP($B358,Platts!$E$5:$M$4994,MATCH(G$3,Platts!$F$5:$M$5,0)+1,FALSE),G357)</f>
        <v>55.93</v>
      </c>
      <c r="H358" s="6">
        <f>IFERROR(VLOOKUP($B358,Platts!$E$5:$M$4994,MATCH(H$3,Platts!$F$5:$M$5,0)+1,FALSE),H357)</f>
        <v>52.23</v>
      </c>
      <c r="I358" s="6">
        <f>IFERROR(VLOOKUP($B358,Platts!$E$5:$M$4994,MATCH(I$3,Platts!$F$5:$M$5,0)+1,FALSE),I357)</f>
        <v>53.73</v>
      </c>
      <c r="J358" s="6">
        <f t="shared" si="10"/>
        <v>7.1299999999999955</v>
      </c>
    </row>
    <row r="359" spans="2:10" x14ac:dyDescent="0.25">
      <c r="B359" s="5">
        <f t="shared" si="11"/>
        <v>42725</v>
      </c>
      <c r="C359" s="6">
        <f>IFERROR(VLOOKUP($B359,Platts!$E$5:$M$4994,MATCH(C$3,Platts!$F$5:$M$5,0)+1,FALSE),C358)</f>
        <v>44.7</v>
      </c>
      <c r="D359" s="6">
        <f>IFERROR(VLOOKUP($B359,Platts!$E$5:$M$4994,MATCH(D$3,Platts!$F$5:$M$5,0)+1,FALSE),D358)</f>
        <v>53.22</v>
      </c>
      <c r="E359" s="6">
        <f>IFERROR(VLOOKUP($B359,Platts!$E$5:$M$4994,MATCH(E$3,Platts!$F$5:$M$5,0)+1,FALSE),E358)</f>
        <v>45.31</v>
      </c>
      <c r="F359" s="6">
        <f>IFERROR(VLOOKUP($B359,Platts!$E$5:$M$4994,MATCH(F$3,Platts!$F$5:$M$5,0)+1,FALSE),F358)</f>
        <v>53.91</v>
      </c>
      <c r="G359" s="6">
        <f>IFERROR(VLOOKUP($B359,Platts!$E$5:$M$4994,MATCH(G$3,Platts!$F$5:$M$5,0)+1,FALSE),G358)</f>
        <v>55.05</v>
      </c>
      <c r="H359" s="6">
        <f>IFERROR(VLOOKUP($B359,Platts!$E$5:$M$4994,MATCH(H$3,Platts!$F$5:$M$5,0)+1,FALSE),H358)</f>
        <v>51.59</v>
      </c>
      <c r="I359" s="6">
        <f>IFERROR(VLOOKUP($B359,Platts!$E$5:$M$4994,MATCH(I$3,Platts!$F$5:$M$5,0)+1,FALSE),I358)</f>
        <v>52.99</v>
      </c>
      <c r="J359" s="6">
        <f t="shared" si="10"/>
        <v>6.8900000000000006</v>
      </c>
    </row>
    <row r="360" spans="2:10" x14ac:dyDescent="0.25">
      <c r="B360" s="5">
        <f t="shared" si="11"/>
        <v>42726</v>
      </c>
      <c r="C360" s="6">
        <f>IFERROR(VLOOKUP($B360,Platts!$E$5:$M$4994,MATCH(C$3,Platts!$F$5:$M$5,0)+1,FALSE),C359)</f>
        <v>44.92</v>
      </c>
      <c r="D360" s="6">
        <f>IFERROR(VLOOKUP($B360,Platts!$E$5:$M$4994,MATCH(D$3,Platts!$F$5:$M$5,0)+1,FALSE),D359)</f>
        <v>53.53</v>
      </c>
      <c r="E360" s="6">
        <f>IFERROR(VLOOKUP($B360,Platts!$E$5:$M$4994,MATCH(E$3,Platts!$F$5:$M$5,0)+1,FALSE),E359)</f>
        <v>45.71</v>
      </c>
      <c r="F360" s="6">
        <f>IFERROR(VLOOKUP($B360,Platts!$E$5:$M$4994,MATCH(F$3,Platts!$F$5:$M$5,0)+1,FALSE),F359)</f>
        <v>54.2</v>
      </c>
      <c r="G360" s="6">
        <f>IFERROR(VLOOKUP($B360,Platts!$E$5:$M$4994,MATCH(G$3,Platts!$F$5:$M$5,0)+1,FALSE),G359)</f>
        <v>55.15</v>
      </c>
      <c r="H360" s="6">
        <f>IFERROR(VLOOKUP($B360,Platts!$E$5:$M$4994,MATCH(H$3,Platts!$F$5:$M$5,0)+1,FALSE),H359)</f>
        <v>52.05</v>
      </c>
      <c r="I360" s="6">
        <f>IFERROR(VLOOKUP($B360,Platts!$E$5:$M$4994,MATCH(I$3,Platts!$F$5:$M$5,0)+1,FALSE),I359)</f>
        <v>53.45</v>
      </c>
      <c r="J360" s="6">
        <f t="shared" si="10"/>
        <v>7.1299999999999955</v>
      </c>
    </row>
    <row r="361" spans="2:10" x14ac:dyDescent="0.25">
      <c r="B361" s="5">
        <f t="shared" si="11"/>
        <v>42727</v>
      </c>
      <c r="C361" s="6">
        <f>IFERROR(VLOOKUP($B361,Platts!$E$5:$M$4994,MATCH(C$3,Platts!$F$5:$M$5,0)+1,FALSE),C360)</f>
        <v>44.69</v>
      </c>
      <c r="D361" s="6">
        <f>IFERROR(VLOOKUP($B361,Platts!$E$5:$M$4994,MATCH(D$3,Platts!$F$5:$M$5,0)+1,FALSE),D360)</f>
        <v>53.73</v>
      </c>
      <c r="E361" s="6">
        <f>IFERROR(VLOOKUP($B361,Platts!$E$5:$M$4994,MATCH(E$3,Platts!$F$5:$M$5,0)+1,FALSE),E360)</f>
        <v>45.93</v>
      </c>
      <c r="F361" s="6">
        <f>IFERROR(VLOOKUP($B361,Platts!$E$5:$M$4994,MATCH(F$3,Platts!$F$5:$M$5,0)+1,FALSE),F360)</f>
        <v>54.43</v>
      </c>
      <c r="G361" s="6">
        <f>IFERROR(VLOOKUP($B361,Platts!$E$5:$M$4994,MATCH(G$3,Platts!$F$5:$M$5,0)+1,FALSE),G360)</f>
        <v>54.51</v>
      </c>
      <c r="H361" s="6">
        <f>IFERROR(VLOOKUP($B361,Platts!$E$5:$M$4994,MATCH(H$3,Platts!$F$5:$M$5,0)+1,FALSE),H360)</f>
        <v>51.97</v>
      </c>
      <c r="I361" s="6">
        <f>IFERROR(VLOOKUP($B361,Platts!$E$5:$M$4994,MATCH(I$3,Platts!$F$5:$M$5,0)+1,FALSE),I360)</f>
        <v>53.47</v>
      </c>
      <c r="J361" s="6">
        <f t="shared" si="10"/>
        <v>7.2800000000000011</v>
      </c>
    </row>
    <row r="362" spans="2:10" x14ac:dyDescent="0.25">
      <c r="B362" s="5">
        <f t="shared" si="11"/>
        <v>42728</v>
      </c>
      <c r="C362" s="6">
        <f>IFERROR(VLOOKUP($B362,Platts!$E$5:$M$4994,MATCH(C$3,Platts!$F$5:$M$5,0)+1,FALSE),C361)</f>
        <v>44.69</v>
      </c>
      <c r="D362" s="6">
        <f>IFERROR(VLOOKUP($B362,Platts!$E$5:$M$4994,MATCH(D$3,Platts!$F$5:$M$5,0)+1,FALSE),D361)</f>
        <v>53.73</v>
      </c>
      <c r="E362" s="6">
        <f>IFERROR(VLOOKUP($B362,Platts!$E$5:$M$4994,MATCH(E$3,Platts!$F$5:$M$5,0)+1,FALSE),E361)</f>
        <v>45.93</v>
      </c>
      <c r="F362" s="6">
        <f>IFERROR(VLOOKUP($B362,Platts!$E$5:$M$4994,MATCH(F$3,Platts!$F$5:$M$5,0)+1,FALSE),F361)</f>
        <v>54.43</v>
      </c>
      <c r="G362" s="6">
        <f>IFERROR(VLOOKUP($B362,Platts!$E$5:$M$4994,MATCH(G$3,Platts!$F$5:$M$5,0)+1,FALSE),G361)</f>
        <v>54.51</v>
      </c>
      <c r="H362" s="6">
        <f>IFERROR(VLOOKUP($B362,Platts!$E$5:$M$4994,MATCH(H$3,Platts!$F$5:$M$5,0)+1,FALSE),H361)</f>
        <v>51.97</v>
      </c>
      <c r="I362" s="6">
        <f>IFERROR(VLOOKUP($B362,Platts!$E$5:$M$4994,MATCH(I$3,Platts!$F$5:$M$5,0)+1,FALSE),I361)</f>
        <v>53.47</v>
      </c>
      <c r="J362" s="6">
        <f t="shared" si="10"/>
        <v>7.2800000000000011</v>
      </c>
    </row>
    <row r="363" spans="2:10" x14ac:dyDescent="0.25">
      <c r="B363" s="5">
        <f t="shared" si="11"/>
        <v>42729</v>
      </c>
      <c r="C363" s="6">
        <f>IFERROR(VLOOKUP($B363,Platts!$E$5:$M$4994,MATCH(C$3,Platts!$F$5:$M$5,0)+1,FALSE),C362)</f>
        <v>44.69</v>
      </c>
      <c r="D363" s="6">
        <f>IFERROR(VLOOKUP($B363,Platts!$E$5:$M$4994,MATCH(D$3,Platts!$F$5:$M$5,0)+1,FALSE),D362)</f>
        <v>53.73</v>
      </c>
      <c r="E363" s="6">
        <f>IFERROR(VLOOKUP($B363,Platts!$E$5:$M$4994,MATCH(E$3,Platts!$F$5:$M$5,0)+1,FALSE),E362)</f>
        <v>45.93</v>
      </c>
      <c r="F363" s="6">
        <f>IFERROR(VLOOKUP($B363,Platts!$E$5:$M$4994,MATCH(F$3,Platts!$F$5:$M$5,0)+1,FALSE),F362)</f>
        <v>54.43</v>
      </c>
      <c r="G363" s="6">
        <f>IFERROR(VLOOKUP($B363,Platts!$E$5:$M$4994,MATCH(G$3,Platts!$F$5:$M$5,0)+1,FALSE),G362)</f>
        <v>54.51</v>
      </c>
      <c r="H363" s="6">
        <f>IFERROR(VLOOKUP($B363,Platts!$E$5:$M$4994,MATCH(H$3,Platts!$F$5:$M$5,0)+1,FALSE),H362)</f>
        <v>51.97</v>
      </c>
      <c r="I363" s="6">
        <f>IFERROR(VLOOKUP($B363,Platts!$E$5:$M$4994,MATCH(I$3,Platts!$F$5:$M$5,0)+1,FALSE),I362)</f>
        <v>53.47</v>
      </c>
      <c r="J363" s="6">
        <f t="shared" si="10"/>
        <v>7.2800000000000011</v>
      </c>
    </row>
    <row r="364" spans="2:10" x14ac:dyDescent="0.25">
      <c r="B364" s="5">
        <f t="shared" si="11"/>
        <v>42730</v>
      </c>
      <c r="C364" s="6">
        <f>IFERROR(VLOOKUP($B364,Platts!$E$5:$M$4994,MATCH(C$3,Platts!$F$5:$M$5,0)+1,FALSE),C363)</f>
        <v>44.69</v>
      </c>
      <c r="D364" s="6">
        <f>IFERROR(VLOOKUP($B364,Platts!$E$5:$M$4994,MATCH(D$3,Platts!$F$5:$M$5,0)+1,FALSE),D363)</f>
        <v>53.73</v>
      </c>
      <c r="E364" s="6">
        <f>IFERROR(VLOOKUP($B364,Platts!$E$5:$M$4994,MATCH(E$3,Platts!$F$5:$M$5,0)+1,FALSE),E363)</f>
        <v>45.93</v>
      </c>
      <c r="F364" s="6">
        <f>IFERROR(VLOOKUP($B364,Platts!$E$5:$M$4994,MATCH(F$3,Platts!$F$5:$M$5,0)+1,FALSE),F363)</f>
        <v>54.43</v>
      </c>
      <c r="G364" s="6">
        <f>IFERROR(VLOOKUP($B364,Platts!$E$5:$M$4994,MATCH(G$3,Platts!$F$5:$M$5,0)+1,FALSE),G363)</f>
        <v>54.51</v>
      </c>
      <c r="H364" s="6">
        <f>IFERROR(VLOOKUP($B364,Platts!$E$5:$M$4994,MATCH(H$3,Platts!$F$5:$M$5,0)+1,FALSE),H363)</f>
        <v>51.97</v>
      </c>
      <c r="I364" s="6">
        <f>IFERROR(VLOOKUP($B364,Platts!$E$5:$M$4994,MATCH(I$3,Platts!$F$5:$M$5,0)+1,FALSE),I363)</f>
        <v>53.47</v>
      </c>
      <c r="J364" s="6">
        <f t="shared" si="10"/>
        <v>7.2800000000000011</v>
      </c>
    </row>
    <row r="365" spans="2:10" x14ac:dyDescent="0.25">
      <c r="B365" s="5">
        <f t="shared" si="11"/>
        <v>42731</v>
      </c>
      <c r="C365" s="6">
        <f>IFERROR(VLOOKUP($B365,Platts!$E$5:$M$4994,MATCH(C$3,Platts!$F$5:$M$5,0)+1,FALSE),C364)</f>
        <v>44.69</v>
      </c>
      <c r="D365" s="6">
        <f>IFERROR(VLOOKUP($B365,Platts!$E$5:$M$4994,MATCH(D$3,Platts!$F$5:$M$5,0)+1,FALSE),D364)</f>
        <v>55.54</v>
      </c>
      <c r="E365" s="6">
        <f>IFERROR(VLOOKUP($B365,Platts!$E$5:$M$4994,MATCH(E$3,Platts!$F$5:$M$5,0)+1,FALSE),E364)</f>
        <v>47.08</v>
      </c>
      <c r="F365" s="6">
        <f>IFERROR(VLOOKUP($B365,Platts!$E$5:$M$4994,MATCH(F$3,Platts!$F$5:$M$5,0)+1,FALSE),F364)</f>
        <v>56.09</v>
      </c>
      <c r="G365" s="6">
        <f>IFERROR(VLOOKUP($B365,Platts!$E$5:$M$4994,MATCH(G$3,Platts!$F$5:$M$5,0)+1,FALSE),G364)</f>
        <v>54.51</v>
      </c>
      <c r="H365" s="6">
        <f>IFERROR(VLOOKUP($B365,Platts!$E$5:$M$4994,MATCH(H$3,Platts!$F$5:$M$5,0)+1,FALSE),H364)</f>
        <v>53.9</v>
      </c>
      <c r="I365" s="6">
        <f>IFERROR(VLOOKUP($B365,Platts!$E$5:$M$4994,MATCH(I$3,Platts!$F$5:$M$5,0)+1,FALSE),I364)</f>
        <v>55.3</v>
      </c>
      <c r="J365" s="6">
        <f t="shared" si="10"/>
        <v>9.2100000000000009</v>
      </c>
    </row>
    <row r="366" spans="2:10" x14ac:dyDescent="0.25">
      <c r="B366" s="5">
        <f t="shared" si="11"/>
        <v>42732</v>
      </c>
      <c r="C366" s="6">
        <f>IFERROR(VLOOKUP($B366,Platts!$E$5:$M$4994,MATCH(C$3,Platts!$F$5:$M$5,0)+1,FALSE),C365)</f>
        <v>46.53</v>
      </c>
      <c r="D366" s="6">
        <f>IFERROR(VLOOKUP($B366,Platts!$E$5:$M$4994,MATCH(D$3,Platts!$F$5:$M$5,0)+1,FALSE),D365)</f>
        <v>55.68</v>
      </c>
      <c r="E366" s="6">
        <f>IFERROR(VLOOKUP($B366,Platts!$E$5:$M$4994,MATCH(E$3,Platts!$F$5:$M$5,0)+1,FALSE),E365)</f>
        <v>47.5</v>
      </c>
      <c r="F366" s="6">
        <f>IFERROR(VLOOKUP($B366,Platts!$E$5:$M$4994,MATCH(F$3,Platts!$F$5:$M$5,0)+1,FALSE),F365)</f>
        <v>56.21</v>
      </c>
      <c r="G366" s="6">
        <f>IFERROR(VLOOKUP($B366,Platts!$E$5:$M$4994,MATCH(G$3,Platts!$F$5:$M$5,0)+1,FALSE),G365)</f>
        <v>56.4</v>
      </c>
      <c r="H366" s="6">
        <f>IFERROR(VLOOKUP($B366,Platts!$E$5:$M$4994,MATCH(H$3,Platts!$F$5:$M$5,0)+1,FALSE),H365)</f>
        <v>54.06</v>
      </c>
      <c r="I366" s="6">
        <f>IFERROR(VLOOKUP($B366,Platts!$E$5:$M$4994,MATCH(I$3,Platts!$F$5:$M$5,0)+1,FALSE),I365)</f>
        <v>55.41</v>
      </c>
      <c r="J366" s="6">
        <f t="shared" si="10"/>
        <v>7.5300000000000011</v>
      </c>
    </row>
    <row r="367" spans="2:10" x14ac:dyDescent="0.25">
      <c r="B367" s="5">
        <f t="shared" si="11"/>
        <v>42733</v>
      </c>
      <c r="C367" s="6">
        <f>IFERROR(VLOOKUP($B367,Platts!$E$5:$M$4994,MATCH(C$3,Platts!$F$5:$M$5,0)+1,FALSE),C366)</f>
        <v>46.38</v>
      </c>
      <c r="D367" s="6">
        <f>IFERROR(VLOOKUP($B367,Platts!$E$5:$M$4994,MATCH(D$3,Platts!$F$5:$M$5,0)+1,FALSE),D366)</f>
        <v>55.58</v>
      </c>
      <c r="E367" s="6">
        <f>IFERROR(VLOOKUP($B367,Platts!$E$5:$M$4994,MATCH(E$3,Platts!$F$5:$M$5,0)+1,FALSE),E366)</f>
        <v>47.68</v>
      </c>
      <c r="F367" s="6">
        <f>IFERROR(VLOOKUP($B367,Platts!$E$5:$M$4994,MATCH(F$3,Platts!$F$5:$M$5,0)+1,FALSE),F366)</f>
        <v>56.12</v>
      </c>
      <c r="G367" s="6">
        <f>IFERROR(VLOOKUP($B367,Platts!$E$5:$M$4994,MATCH(G$3,Platts!$F$5:$M$5,0)+1,FALSE),G366)</f>
        <v>56.09</v>
      </c>
      <c r="H367" s="6">
        <f>IFERROR(VLOOKUP($B367,Platts!$E$5:$M$4994,MATCH(H$3,Platts!$F$5:$M$5,0)+1,FALSE),H366)</f>
        <v>53.77</v>
      </c>
      <c r="I367" s="6">
        <f>IFERROR(VLOOKUP($B367,Platts!$E$5:$M$4994,MATCH(I$3,Platts!$F$5:$M$5,0)+1,FALSE),I366)</f>
        <v>55.12</v>
      </c>
      <c r="J367" s="6">
        <f t="shared" si="10"/>
        <v>7.3900000000000006</v>
      </c>
    </row>
    <row r="368" spans="2:10" x14ac:dyDescent="0.25">
      <c r="B368" s="5">
        <f t="shared" si="11"/>
        <v>42734</v>
      </c>
      <c r="C368" s="6">
        <f>IFERROR(VLOOKUP($B368,Platts!$E$5:$M$4994,MATCH(C$3,Platts!$F$5:$M$5,0)+1,FALSE),C367)</f>
        <v>46.3</v>
      </c>
      <c r="D368" s="6">
        <f>IFERROR(VLOOKUP($B368,Platts!$E$5:$M$4994,MATCH(D$3,Platts!$F$5:$M$5,0)+1,FALSE),D367)</f>
        <v>55.64</v>
      </c>
      <c r="E368" s="6">
        <f>IFERROR(VLOOKUP($B368,Platts!$E$5:$M$4994,MATCH(E$3,Platts!$F$5:$M$5,0)+1,FALSE),E367)</f>
        <v>47.75</v>
      </c>
      <c r="F368" s="6">
        <f>IFERROR(VLOOKUP($B368,Platts!$E$5:$M$4994,MATCH(F$3,Platts!$F$5:$M$5,0)+1,FALSE),F367)</f>
        <v>56.17</v>
      </c>
      <c r="G368" s="6">
        <f>IFERROR(VLOOKUP($B368,Platts!$E$5:$M$4994,MATCH(G$3,Platts!$F$5:$M$5,0)+1,FALSE),G367)</f>
        <v>55.7</v>
      </c>
      <c r="H368" s="6">
        <f>IFERROR(VLOOKUP($B368,Platts!$E$5:$M$4994,MATCH(H$3,Platts!$F$5:$M$5,0)+1,FALSE),H367)</f>
        <v>53.72</v>
      </c>
      <c r="I368" s="6">
        <f>IFERROR(VLOOKUP($B368,Platts!$E$5:$M$4994,MATCH(I$3,Platts!$F$5:$M$5,0)+1,FALSE),I367)</f>
        <v>55.07</v>
      </c>
      <c r="J368" s="6">
        <f t="shared" si="10"/>
        <v>7.4200000000000017</v>
      </c>
    </row>
    <row r="369" spans="2:10" x14ac:dyDescent="0.25">
      <c r="B369" s="5">
        <f t="shared" si="11"/>
        <v>42735</v>
      </c>
      <c r="C369" s="6">
        <f>IFERROR(VLOOKUP($B369,Platts!$E$5:$M$4994,MATCH(C$3,Platts!$F$5:$M$5,0)+1,FALSE),C368)</f>
        <v>46.3</v>
      </c>
      <c r="D369" s="6">
        <f>IFERROR(VLOOKUP($B369,Platts!$E$5:$M$4994,MATCH(D$3,Platts!$F$5:$M$5,0)+1,FALSE),D368)</f>
        <v>55.64</v>
      </c>
      <c r="E369" s="6">
        <f>IFERROR(VLOOKUP($B369,Platts!$E$5:$M$4994,MATCH(E$3,Platts!$F$5:$M$5,0)+1,FALSE),E368)</f>
        <v>47.75</v>
      </c>
      <c r="F369" s="6">
        <f>IFERROR(VLOOKUP($B369,Platts!$E$5:$M$4994,MATCH(F$3,Platts!$F$5:$M$5,0)+1,FALSE),F368)</f>
        <v>56.17</v>
      </c>
      <c r="G369" s="6">
        <f>IFERROR(VLOOKUP($B369,Platts!$E$5:$M$4994,MATCH(G$3,Platts!$F$5:$M$5,0)+1,FALSE),G368)</f>
        <v>55.7</v>
      </c>
      <c r="H369" s="6">
        <f>IFERROR(VLOOKUP($B369,Platts!$E$5:$M$4994,MATCH(H$3,Platts!$F$5:$M$5,0)+1,FALSE),H368)</f>
        <v>53.72</v>
      </c>
      <c r="I369" s="6">
        <f>IFERROR(VLOOKUP($B369,Platts!$E$5:$M$4994,MATCH(I$3,Platts!$F$5:$M$5,0)+1,FALSE),I368)</f>
        <v>55.07</v>
      </c>
      <c r="J369" s="6">
        <f t="shared" si="10"/>
        <v>7.4200000000000017</v>
      </c>
    </row>
    <row r="370" spans="2:10" x14ac:dyDescent="0.25">
      <c r="B370" s="5">
        <f t="shared" si="11"/>
        <v>42736</v>
      </c>
      <c r="C370" s="6">
        <f>IFERROR(VLOOKUP($B370,Platts!$E$5:$M$4994,MATCH(C$3,Platts!$F$5:$M$5,0)+1,FALSE),C369)</f>
        <v>46.3</v>
      </c>
      <c r="D370" s="6">
        <f>IFERROR(VLOOKUP($B370,Platts!$E$5:$M$4994,MATCH(D$3,Platts!$F$5:$M$5,0)+1,FALSE),D369)</f>
        <v>55.64</v>
      </c>
      <c r="E370" s="6">
        <f>IFERROR(VLOOKUP($B370,Platts!$E$5:$M$4994,MATCH(E$3,Platts!$F$5:$M$5,0)+1,FALSE),E369)</f>
        <v>47.75</v>
      </c>
      <c r="F370" s="6">
        <f>IFERROR(VLOOKUP($B370,Platts!$E$5:$M$4994,MATCH(F$3,Platts!$F$5:$M$5,0)+1,FALSE),F369)</f>
        <v>56.17</v>
      </c>
      <c r="G370" s="6">
        <f>IFERROR(VLOOKUP($B370,Platts!$E$5:$M$4994,MATCH(G$3,Platts!$F$5:$M$5,0)+1,FALSE),G369)</f>
        <v>55.7</v>
      </c>
      <c r="H370" s="6">
        <f>IFERROR(VLOOKUP($B370,Platts!$E$5:$M$4994,MATCH(H$3,Platts!$F$5:$M$5,0)+1,FALSE),H369)</f>
        <v>53.72</v>
      </c>
      <c r="I370" s="6">
        <f>IFERROR(VLOOKUP($B370,Platts!$E$5:$M$4994,MATCH(I$3,Platts!$F$5:$M$5,0)+1,FALSE),I369)</f>
        <v>55.07</v>
      </c>
      <c r="J370" s="6">
        <f t="shared" si="10"/>
        <v>7.4200000000000017</v>
      </c>
    </row>
    <row r="371" spans="2:10" x14ac:dyDescent="0.25">
      <c r="B371" s="5">
        <f t="shared" si="11"/>
        <v>42737</v>
      </c>
      <c r="C371" s="6">
        <f>IFERROR(VLOOKUP($B371,Platts!$E$5:$M$4994,MATCH(C$3,Platts!$F$5:$M$5,0)+1,FALSE),C370)</f>
        <v>46.3</v>
      </c>
      <c r="D371" s="6">
        <f>IFERROR(VLOOKUP($B371,Platts!$E$5:$M$4994,MATCH(D$3,Platts!$F$5:$M$5,0)+1,FALSE),D370)</f>
        <v>55.64</v>
      </c>
      <c r="E371" s="6">
        <f>IFERROR(VLOOKUP($B371,Platts!$E$5:$M$4994,MATCH(E$3,Platts!$F$5:$M$5,0)+1,FALSE),E370)</f>
        <v>47.75</v>
      </c>
      <c r="F371" s="6">
        <f>IFERROR(VLOOKUP($B371,Platts!$E$5:$M$4994,MATCH(F$3,Platts!$F$5:$M$5,0)+1,FALSE),F370)</f>
        <v>56.17</v>
      </c>
      <c r="G371" s="6">
        <f>IFERROR(VLOOKUP($B371,Platts!$E$5:$M$4994,MATCH(G$3,Platts!$F$5:$M$5,0)+1,FALSE),G370)</f>
        <v>55.7</v>
      </c>
      <c r="H371" s="6">
        <f>IFERROR(VLOOKUP($B371,Platts!$E$5:$M$4994,MATCH(H$3,Platts!$F$5:$M$5,0)+1,FALSE),H370)</f>
        <v>53.72</v>
      </c>
      <c r="I371" s="6">
        <f>IFERROR(VLOOKUP($B371,Platts!$E$5:$M$4994,MATCH(I$3,Platts!$F$5:$M$5,0)+1,FALSE),I370)</f>
        <v>55.07</v>
      </c>
      <c r="J371" s="6">
        <f t="shared" si="10"/>
        <v>7.4200000000000017</v>
      </c>
    </row>
    <row r="372" spans="2:10" x14ac:dyDescent="0.25">
      <c r="B372" s="5">
        <f t="shared" si="11"/>
        <v>42738</v>
      </c>
      <c r="C372" s="6">
        <f>IFERROR(VLOOKUP($B372,Platts!$E$5:$M$4994,MATCH(C$3,Platts!$F$5:$M$5,0)+1,FALSE),C371)</f>
        <v>45.75</v>
      </c>
      <c r="D372" s="6">
        <f>IFERROR(VLOOKUP($B372,Platts!$E$5:$M$4994,MATCH(D$3,Platts!$F$5:$M$5,0)+1,FALSE),D371)</f>
        <v>55.17</v>
      </c>
      <c r="E372" s="6">
        <f>IFERROR(VLOOKUP($B372,Platts!$E$5:$M$4994,MATCH(E$3,Platts!$F$5:$M$5,0)+1,FALSE),E371)</f>
        <v>45.86</v>
      </c>
      <c r="F372" s="6">
        <f>IFERROR(VLOOKUP($B372,Platts!$E$5:$M$4994,MATCH(F$3,Platts!$F$5:$M$5,0)+1,FALSE),F371)</f>
        <v>56.01</v>
      </c>
      <c r="G372" s="6">
        <f>IFERROR(VLOOKUP($B372,Platts!$E$5:$M$4994,MATCH(G$3,Platts!$F$5:$M$5,0)+1,FALSE),G371)</f>
        <v>56.39</v>
      </c>
      <c r="H372" s="6">
        <f>IFERROR(VLOOKUP($B372,Platts!$E$5:$M$4994,MATCH(H$3,Platts!$F$5:$M$5,0)+1,FALSE),H371)</f>
        <v>52.33</v>
      </c>
      <c r="I372" s="6">
        <f>IFERROR(VLOOKUP($B372,Platts!$E$5:$M$4994,MATCH(I$3,Platts!$F$5:$M$5,0)+1,FALSE),I371)</f>
        <v>53.68</v>
      </c>
      <c r="J372" s="6">
        <f t="shared" si="10"/>
        <v>6.5799999999999983</v>
      </c>
    </row>
    <row r="373" spans="2:10" x14ac:dyDescent="0.25">
      <c r="B373" s="5">
        <f t="shared" si="11"/>
        <v>42739</v>
      </c>
      <c r="C373" s="6">
        <f>IFERROR(VLOOKUP($B373,Platts!$E$5:$M$4994,MATCH(C$3,Platts!$F$5:$M$5,0)+1,FALSE),C372)</f>
        <v>46.16</v>
      </c>
      <c r="D373" s="6">
        <f>IFERROR(VLOOKUP($B373,Platts!$E$5:$M$4994,MATCH(D$3,Platts!$F$5:$M$5,0)+1,FALSE),D372)</f>
        <v>56.05</v>
      </c>
      <c r="E373" s="6">
        <f>IFERROR(VLOOKUP($B373,Platts!$E$5:$M$4994,MATCH(E$3,Platts!$F$5:$M$5,0)+1,FALSE),E372)</f>
        <v>46.86</v>
      </c>
      <c r="F373" s="6">
        <f>IFERROR(VLOOKUP($B373,Platts!$E$5:$M$4994,MATCH(F$3,Platts!$F$5:$M$5,0)+1,FALSE),F372)</f>
        <v>56.84</v>
      </c>
      <c r="G373" s="6">
        <f>IFERROR(VLOOKUP($B373,Platts!$E$5:$M$4994,MATCH(G$3,Platts!$F$5:$M$5,0)+1,FALSE),G372)</f>
        <v>55.86</v>
      </c>
      <c r="H373" s="6">
        <f>IFERROR(VLOOKUP($B373,Platts!$E$5:$M$4994,MATCH(H$3,Platts!$F$5:$M$5,0)+1,FALSE),H372)</f>
        <v>53.26</v>
      </c>
      <c r="I373" s="6">
        <f>IFERROR(VLOOKUP($B373,Platts!$E$5:$M$4994,MATCH(I$3,Platts!$F$5:$M$5,0)+1,FALSE),I372)</f>
        <v>54.71</v>
      </c>
      <c r="J373" s="6">
        <f t="shared" si="10"/>
        <v>7.1000000000000014</v>
      </c>
    </row>
    <row r="374" spans="2:10" x14ac:dyDescent="0.25">
      <c r="B374" s="5">
        <f t="shared" si="11"/>
        <v>42740</v>
      </c>
      <c r="C374" s="6">
        <f>IFERROR(VLOOKUP($B374,Platts!$E$5:$M$4994,MATCH(C$3,Platts!$F$5:$M$5,0)+1,FALSE),C373)</f>
        <v>46.69</v>
      </c>
      <c r="D374" s="6">
        <f>IFERROR(VLOOKUP($B374,Platts!$E$5:$M$4994,MATCH(D$3,Platts!$F$5:$M$5,0)+1,FALSE),D373)</f>
        <v>56.52</v>
      </c>
      <c r="E374" s="6">
        <f>IFERROR(VLOOKUP($B374,Platts!$E$5:$M$4994,MATCH(E$3,Platts!$F$5:$M$5,0)+1,FALSE),E373)</f>
        <v>47.43</v>
      </c>
      <c r="F374" s="6">
        <f>IFERROR(VLOOKUP($B374,Platts!$E$5:$M$4994,MATCH(F$3,Platts!$F$5:$M$5,0)+1,FALSE),F373)</f>
        <v>57.35</v>
      </c>
      <c r="G374" s="6">
        <f>IFERROR(VLOOKUP($B374,Platts!$E$5:$M$4994,MATCH(G$3,Platts!$F$5:$M$5,0)+1,FALSE),G373)</f>
        <v>56.19</v>
      </c>
      <c r="H374" s="6">
        <f>IFERROR(VLOOKUP($B374,Platts!$E$5:$M$4994,MATCH(H$3,Platts!$F$5:$M$5,0)+1,FALSE),H373)</f>
        <v>53.76</v>
      </c>
      <c r="I374" s="6">
        <f>IFERROR(VLOOKUP($B374,Platts!$E$5:$M$4994,MATCH(I$3,Platts!$F$5:$M$5,0)+1,FALSE),I373)</f>
        <v>55.26</v>
      </c>
      <c r="J374" s="6">
        <f t="shared" si="10"/>
        <v>7.07</v>
      </c>
    </row>
    <row r="375" spans="2:10" x14ac:dyDescent="0.25">
      <c r="B375" s="5">
        <f t="shared" si="11"/>
        <v>42741</v>
      </c>
      <c r="C375" s="6">
        <f>IFERROR(VLOOKUP($B375,Platts!$E$5:$M$4994,MATCH(C$3,Platts!$F$5:$M$5,0)+1,FALSE),C374)</f>
        <v>46.96</v>
      </c>
      <c r="D375" s="6">
        <f>IFERROR(VLOOKUP($B375,Platts!$E$5:$M$4994,MATCH(D$3,Platts!$F$5:$M$5,0)+1,FALSE),D374)</f>
        <v>56.72</v>
      </c>
      <c r="E375" s="6">
        <f>IFERROR(VLOOKUP($B375,Platts!$E$5:$M$4994,MATCH(E$3,Platts!$F$5:$M$5,0)+1,FALSE),E374)</f>
        <v>47.43</v>
      </c>
      <c r="F375" s="6">
        <f>IFERROR(VLOOKUP($B375,Platts!$E$5:$M$4994,MATCH(F$3,Platts!$F$5:$M$5,0)+1,FALSE),F374)</f>
        <v>57.5</v>
      </c>
      <c r="G375" s="6">
        <f>IFERROR(VLOOKUP($B375,Platts!$E$5:$M$4994,MATCH(G$3,Platts!$F$5:$M$5,0)+1,FALSE),G374)</f>
        <v>57.03</v>
      </c>
      <c r="H375" s="6">
        <f>IFERROR(VLOOKUP($B375,Platts!$E$5:$M$4994,MATCH(H$3,Platts!$F$5:$M$5,0)+1,FALSE),H374)</f>
        <v>53.99</v>
      </c>
      <c r="I375" s="6">
        <f>IFERROR(VLOOKUP($B375,Platts!$E$5:$M$4994,MATCH(I$3,Platts!$F$5:$M$5,0)+1,FALSE),I374)</f>
        <v>55.54</v>
      </c>
      <c r="J375" s="6">
        <f t="shared" si="10"/>
        <v>7.0300000000000011</v>
      </c>
    </row>
    <row r="376" spans="2:10" x14ac:dyDescent="0.25">
      <c r="B376" s="5">
        <f t="shared" si="11"/>
        <v>42742</v>
      </c>
      <c r="C376" s="6">
        <f>IFERROR(VLOOKUP($B376,Platts!$E$5:$M$4994,MATCH(C$3,Platts!$F$5:$M$5,0)+1,FALSE),C375)</f>
        <v>46.96</v>
      </c>
      <c r="D376" s="6">
        <f>IFERROR(VLOOKUP($B376,Platts!$E$5:$M$4994,MATCH(D$3,Platts!$F$5:$M$5,0)+1,FALSE),D375)</f>
        <v>56.72</v>
      </c>
      <c r="E376" s="6">
        <f>IFERROR(VLOOKUP($B376,Platts!$E$5:$M$4994,MATCH(E$3,Platts!$F$5:$M$5,0)+1,FALSE),E375)</f>
        <v>47.43</v>
      </c>
      <c r="F376" s="6">
        <f>IFERROR(VLOOKUP($B376,Platts!$E$5:$M$4994,MATCH(F$3,Platts!$F$5:$M$5,0)+1,FALSE),F375)</f>
        <v>57.5</v>
      </c>
      <c r="G376" s="6">
        <f>IFERROR(VLOOKUP($B376,Platts!$E$5:$M$4994,MATCH(G$3,Platts!$F$5:$M$5,0)+1,FALSE),G375)</f>
        <v>57.03</v>
      </c>
      <c r="H376" s="6">
        <f>IFERROR(VLOOKUP($B376,Platts!$E$5:$M$4994,MATCH(H$3,Platts!$F$5:$M$5,0)+1,FALSE),H375)</f>
        <v>53.99</v>
      </c>
      <c r="I376" s="6">
        <f>IFERROR(VLOOKUP($B376,Platts!$E$5:$M$4994,MATCH(I$3,Platts!$F$5:$M$5,0)+1,FALSE),I375)</f>
        <v>55.54</v>
      </c>
      <c r="J376" s="6">
        <f t="shared" si="10"/>
        <v>7.0300000000000011</v>
      </c>
    </row>
    <row r="377" spans="2:10" x14ac:dyDescent="0.25">
      <c r="B377" s="5">
        <f t="shared" si="11"/>
        <v>42743</v>
      </c>
      <c r="C377" s="6">
        <f>IFERROR(VLOOKUP($B377,Platts!$E$5:$M$4994,MATCH(C$3,Platts!$F$5:$M$5,0)+1,FALSE),C376)</f>
        <v>46.96</v>
      </c>
      <c r="D377" s="6">
        <f>IFERROR(VLOOKUP($B377,Platts!$E$5:$M$4994,MATCH(D$3,Platts!$F$5:$M$5,0)+1,FALSE),D376)</f>
        <v>56.72</v>
      </c>
      <c r="E377" s="6">
        <f>IFERROR(VLOOKUP($B377,Platts!$E$5:$M$4994,MATCH(E$3,Platts!$F$5:$M$5,0)+1,FALSE),E376)</f>
        <v>47.43</v>
      </c>
      <c r="F377" s="6">
        <f>IFERROR(VLOOKUP($B377,Platts!$E$5:$M$4994,MATCH(F$3,Platts!$F$5:$M$5,0)+1,FALSE),F376)</f>
        <v>57.5</v>
      </c>
      <c r="G377" s="6">
        <f>IFERROR(VLOOKUP($B377,Platts!$E$5:$M$4994,MATCH(G$3,Platts!$F$5:$M$5,0)+1,FALSE),G376)</f>
        <v>57.03</v>
      </c>
      <c r="H377" s="6">
        <f>IFERROR(VLOOKUP($B377,Platts!$E$5:$M$4994,MATCH(H$3,Platts!$F$5:$M$5,0)+1,FALSE),H376)</f>
        <v>53.99</v>
      </c>
      <c r="I377" s="6">
        <f>IFERROR(VLOOKUP($B377,Platts!$E$5:$M$4994,MATCH(I$3,Platts!$F$5:$M$5,0)+1,FALSE),I376)</f>
        <v>55.54</v>
      </c>
      <c r="J377" s="6">
        <f t="shared" si="10"/>
        <v>7.0300000000000011</v>
      </c>
    </row>
    <row r="378" spans="2:10" x14ac:dyDescent="0.25">
      <c r="B378" s="5">
        <f t="shared" si="11"/>
        <v>42744</v>
      </c>
      <c r="C378" s="6">
        <f>IFERROR(VLOOKUP($B378,Platts!$E$5:$M$4994,MATCH(C$3,Platts!$F$5:$M$5,0)+1,FALSE),C377)</f>
        <v>45.2</v>
      </c>
      <c r="D378" s="6">
        <f>IFERROR(VLOOKUP($B378,Platts!$E$5:$M$4994,MATCH(D$3,Platts!$F$5:$M$5,0)+1,FALSE),D377)</f>
        <v>54.54</v>
      </c>
      <c r="E378" s="6">
        <f>IFERROR(VLOOKUP($B378,Platts!$E$5:$M$4994,MATCH(E$3,Platts!$F$5:$M$5,0)+1,FALSE),E377)</f>
        <v>45.45</v>
      </c>
      <c r="F378" s="6">
        <f>IFERROR(VLOOKUP($B378,Platts!$E$5:$M$4994,MATCH(F$3,Platts!$F$5:$M$5,0)+1,FALSE),F377)</f>
        <v>55.33</v>
      </c>
      <c r="G378" s="6">
        <f>IFERROR(VLOOKUP($B378,Platts!$E$5:$M$4994,MATCH(G$3,Platts!$F$5:$M$5,0)+1,FALSE),G377)</f>
        <v>55.64</v>
      </c>
      <c r="H378" s="6">
        <f>IFERROR(VLOOKUP($B378,Platts!$E$5:$M$4994,MATCH(H$3,Platts!$F$5:$M$5,0)+1,FALSE),H377)</f>
        <v>51.96</v>
      </c>
      <c r="I378" s="6">
        <f>IFERROR(VLOOKUP($B378,Platts!$E$5:$M$4994,MATCH(I$3,Platts!$F$5:$M$5,0)+1,FALSE),I377)</f>
        <v>53.56</v>
      </c>
      <c r="J378" s="6">
        <f t="shared" si="10"/>
        <v>6.759999999999998</v>
      </c>
    </row>
    <row r="379" spans="2:10" x14ac:dyDescent="0.25">
      <c r="B379" s="5">
        <f t="shared" si="11"/>
        <v>42745</v>
      </c>
      <c r="C379" s="6">
        <f>IFERROR(VLOOKUP($B379,Platts!$E$5:$M$4994,MATCH(C$3,Platts!$F$5:$M$5,0)+1,FALSE),C378)</f>
        <v>44.05</v>
      </c>
      <c r="D379" s="6">
        <f>IFERROR(VLOOKUP($B379,Platts!$E$5:$M$4994,MATCH(D$3,Platts!$F$5:$M$5,0)+1,FALSE),D378)</f>
        <v>53.33</v>
      </c>
      <c r="E379" s="6">
        <f>IFERROR(VLOOKUP($B379,Platts!$E$5:$M$4994,MATCH(E$3,Platts!$F$5:$M$5,0)+1,FALSE),E378)</f>
        <v>44.02</v>
      </c>
      <c r="F379" s="6">
        <f>IFERROR(VLOOKUP($B379,Platts!$E$5:$M$4994,MATCH(F$3,Platts!$F$5:$M$5,0)+1,FALSE),F378)</f>
        <v>54.12</v>
      </c>
      <c r="G379" s="6">
        <f>IFERROR(VLOOKUP($B379,Platts!$E$5:$M$4994,MATCH(G$3,Platts!$F$5:$M$5,0)+1,FALSE),G378)</f>
        <v>54.39</v>
      </c>
      <c r="H379" s="6">
        <f>IFERROR(VLOOKUP($B379,Platts!$E$5:$M$4994,MATCH(H$3,Platts!$F$5:$M$5,0)+1,FALSE),H378)</f>
        <v>50.82</v>
      </c>
      <c r="I379" s="6">
        <f>IFERROR(VLOOKUP($B379,Platts!$E$5:$M$4994,MATCH(I$3,Platts!$F$5:$M$5,0)+1,FALSE),I378)</f>
        <v>52.42</v>
      </c>
      <c r="J379" s="6">
        <f t="shared" si="10"/>
        <v>6.7700000000000031</v>
      </c>
    </row>
    <row r="380" spans="2:10" x14ac:dyDescent="0.25">
      <c r="B380" s="5">
        <f t="shared" si="11"/>
        <v>42746</v>
      </c>
      <c r="C380" s="6">
        <f>IFERROR(VLOOKUP($B380,Platts!$E$5:$M$4994,MATCH(C$3,Platts!$F$5:$M$5,0)+1,FALSE),C379)</f>
        <v>44.94</v>
      </c>
      <c r="D380" s="6">
        <f>IFERROR(VLOOKUP($B380,Platts!$E$5:$M$4994,MATCH(D$3,Platts!$F$5:$M$5,0)+1,FALSE),D379)</f>
        <v>54.79</v>
      </c>
      <c r="E380" s="6">
        <f>IFERROR(VLOOKUP($B380,Platts!$E$5:$M$4994,MATCH(E$3,Platts!$F$5:$M$5,0)+1,FALSE),E379)</f>
        <v>45.51</v>
      </c>
      <c r="F380" s="6">
        <f>IFERROR(VLOOKUP($B380,Platts!$E$5:$M$4994,MATCH(F$3,Platts!$F$5:$M$5,0)+1,FALSE),F379)</f>
        <v>55.57</v>
      </c>
      <c r="G380" s="6">
        <f>IFERROR(VLOOKUP($B380,Platts!$E$5:$M$4994,MATCH(G$3,Platts!$F$5:$M$5,0)+1,FALSE),G379)</f>
        <v>55.09</v>
      </c>
      <c r="H380" s="6">
        <f>IFERROR(VLOOKUP($B380,Platts!$E$5:$M$4994,MATCH(H$3,Platts!$F$5:$M$5,0)+1,FALSE),H379)</f>
        <v>52.25</v>
      </c>
      <c r="I380" s="6">
        <f>IFERROR(VLOOKUP($B380,Platts!$E$5:$M$4994,MATCH(I$3,Platts!$F$5:$M$5,0)+1,FALSE),I379)</f>
        <v>53.85</v>
      </c>
      <c r="J380" s="6">
        <f t="shared" si="10"/>
        <v>7.3100000000000023</v>
      </c>
    </row>
    <row r="381" spans="2:10" x14ac:dyDescent="0.25">
      <c r="B381" s="5">
        <f t="shared" si="11"/>
        <v>42747</v>
      </c>
      <c r="C381" s="6">
        <f>IFERROR(VLOOKUP($B381,Platts!$E$5:$M$4994,MATCH(C$3,Platts!$F$5:$M$5,0)+1,FALSE),C380)</f>
        <v>45.99</v>
      </c>
      <c r="D381" s="6">
        <f>IFERROR(VLOOKUP($B381,Platts!$E$5:$M$4994,MATCH(D$3,Platts!$F$5:$M$5,0)+1,FALSE),D380)</f>
        <v>55.6</v>
      </c>
      <c r="E381" s="6">
        <f>IFERROR(VLOOKUP($B381,Platts!$E$5:$M$4994,MATCH(E$3,Platts!$F$5:$M$5,0)+1,FALSE),E380)</f>
        <v>46.29</v>
      </c>
      <c r="F381" s="6">
        <f>IFERROR(VLOOKUP($B381,Platts!$E$5:$M$4994,MATCH(F$3,Platts!$F$5:$M$5,0)+1,FALSE),F380)</f>
        <v>56.46</v>
      </c>
      <c r="G381" s="6">
        <f>IFERROR(VLOOKUP($B381,Platts!$E$5:$M$4994,MATCH(G$3,Platts!$F$5:$M$5,0)+1,FALSE),G380)</f>
        <v>55.98</v>
      </c>
      <c r="H381" s="6">
        <f>IFERROR(VLOOKUP($B381,Platts!$E$5:$M$4994,MATCH(H$3,Platts!$F$5:$M$5,0)+1,FALSE),H380)</f>
        <v>53.01</v>
      </c>
      <c r="I381" s="6">
        <f>IFERROR(VLOOKUP($B381,Platts!$E$5:$M$4994,MATCH(I$3,Platts!$F$5:$M$5,0)+1,FALSE),I380)</f>
        <v>54.51</v>
      </c>
      <c r="J381" s="6">
        <f t="shared" si="10"/>
        <v>7.019999999999996</v>
      </c>
    </row>
    <row r="382" spans="2:10" x14ac:dyDescent="0.25">
      <c r="B382" s="5">
        <f t="shared" si="11"/>
        <v>42748</v>
      </c>
      <c r="C382" s="6">
        <f>IFERROR(VLOOKUP($B382,Platts!$E$5:$M$4994,MATCH(C$3,Platts!$F$5:$M$5,0)+1,FALSE),C381)</f>
        <v>45.7</v>
      </c>
      <c r="D382" s="6">
        <f>IFERROR(VLOOKUP($B382,Platts!$E$5:$M$4994,MATCH(D$3,Platts!$F$5:$M$5,0)+1,FALSE),D381)</f>
        <v>54.95</v>
      </c>
      <c r="E382" s="6">
        <f>IFERROR(VLOOKUP($B382,Platts!$E$5:$M$4994,MATCH(E$3,Platts!$F$5:$M$5,0)+1,FALSE),E381)</f>
        <v>45.81</v>
      </c>
      <c r="F382" s="6">
        <f>IFERROR(VLOOKUP($B382,Platts!$E$5:$M$4994,MATCH(F$3,Platts!$F$5:$M$5,0)+1,FALSE),F381)</f>
        <v>55.84</v>
      </c>
      <c r="G382" s="6">
        <f>IFERROR(VLOOKUP($B382,Platts!$E$5:$M$4994,MATCH(G$3,Platts!$F$5:$M$5,0)+1,FALSE),G381)</f>
        <v>55.61</v>
      </c>
      <c r="H382" s="6">
        <f>IFERROR(VLOOKUP($B382,Platts!$E$5:$M$4994,MATCH(H$3,Platts!$F$5:$M$5,0)+1,FALSE),H381)</f>
        <v>52.37</v>
      </c>
      <c r="I382" s="6">
        <f>IFERROR(VLOOKUP($B382,Platts!$E$5:$M$4994,MATCH(I$3,Platts!$F$5:$M$5,0)+1,FALSE),I381)</f>
        <v>53.72</v>
      </c>
      <c r="J382" s="6">
        <f t="shared" si="10"/>
        <v>6.6699999999999946</v>
      </c>
    </row>
    <row r="383" spans="2:10" x14ac:dyDescent="0.25">
      <c r="B383" s="5">
        <f t="shared" si="11"/>
        <v>42749</v>
      </c>
      <c r="C383" s="6">
        <f>IFERROR(VLOOKUP($B383,Platts!$E$5:$M$4994,MATCH(C$3,Platts!$F$5:$M$5,0)+1,FALSE),C382)</f>
        <v>45.7</v>
      </c>
      <c r="D383" s="6">
        <f>IFERROR(VLOOKUP($B383,Platts!$E$5:$M$4994,MATCH(D$3,Platts!$F$5:$M$5,0)+1,FALSE),D382)</f>
        <v>54.95</v>
      </c>
      <c r="E383" s="6">
        <f>IFERROR(VLOOKUP($B383,Platts!$E$5:$M$4994,MATCH(E$3,Platts!$F$5:$M$5,0)+1,FALSE),E382)</f>
        <v>45.81</v>
      </c>
      <c r="F383" s="6">
        <f>IFERROR(VLOOKUP($B383,Platts!$E$5:$M$4994,MATCH(F$3,Platts!$F$5:$M$5,0)+1,FALSE),F382)</f>
        <v>55.84</v>
      </c>
      <c r="G383" s="6">
        <f>IFERROR(VLOOKUP($B383,Platts!$E$5:$M$4994,MATCH(G$3,Platts!$F$5:$M$5,0)+1,FALSE),G382)</f>
        <v>55.61</v>
      </c>
      <c r="H383" s="6">
        <f>IFERROR(VLOOKUP($B383,Platts!$E$5:$M$4994,MATCH(H$3,Platts!$F$5:$M$5,0)+1,FALSE),H382)</f>
        <v>52.37</v>
      </c>
      <c r="I383" s="6">
        <f>IFERROR(VLOOKUP($B383,Platts!$E$5:$M$4994,MATCH(I$3,Platts!$F$5:$M$5,0)+1,FALSE),I382)</f>
        <v>53.72</v>
      </c>
      <c r="J383" s="6">
        <f t="shared" si="10"/>
        <v>6.6699999999999946</v>
      </c>
    </row>
    <row r="384" spans="2:10" x14ac:dyDescent="0.25">
      <c r="B384" s="5">
        <f t="shared" si="11"/>
        <v>42750</v>
      </c>
      <c r="C384" s="6">
        <f>IFERROR(VLOOKUP($B384,Platts!$E$5:$M$4994,MATCH(C$3,Platts!$F$5:$M$5,0)+1,FALSE),C383)</f>
        <v>45.7</v>
      </c>
      <c r="D384" s="6">
        <f>IFERROR(VLOOKUP($B384,Platts!$E$5:$M$4994,MATCH(D$3,Platts!$F$5:$M$5,0)+1,FALSE),D383)</f>
        <v>54.95</v>
      </c>
      <c r="E384" s="6">
        <f>IFERROR(VLOOKUP($B384,Platts!$E$5:$M$4994,MATCH(E$3,Platts!$F$5:$M$5,0)+1,FALSE),E383)</f>
        <v>45.81</v>
      </c>
      <c r="F384" s="6">
        <f>IFERROR(VLOOKUP($B384,Platts!$E$5:$M$4994,MATCH(F$3,Platts!$F$5:$M$5,0)+1,FALSE),F383)</f>
        <v>55.84</v>
      </c>
      <c r="G384" s="6">
        <f>IFERROR(VLOOKUP($B384,Platts!$E$5:$M$4994,MATCH(G$3,Platts!$F$5:$M$5,0)+1,FALSE),G383)</f>
        <v>55.61</v>
      </c>
      <c r="H384" s="6">
        <f>IFERROR(VLOOKUP($B384,Platts!$E$5:$M$4994,MATCH(H$3,Platts!$F$5:$M$5,0)+1,FALSE),H383)</f>
        <v>52.37</v>
      </c>
      <c r="I384" s="6">
        <f>IFERROR(VLOOKUP($B384,Platts!$E$5:$M$4994,MATCH(I$3,Platts!$F$5:$M$5,0)+1,FALSE),I383)</f>
        <v>53.72</v>
      </c>
      <c r="J384" s="6">
        <f t="shared" si="10"/>
        <v>6.6699999999999946</v>
      </c>
    </row>
    <row r="385" spans="2:10" x14ac:dyDescent="0.25">
      <c r="B385" s="5">
        <f t="shared" si="11"/>
        <v>42751</v>
      </c>
      <c r="C385" s="6">
        <f>IFERROR(VLOOKUP($B385,Platts!$E$5:$M$4994,MATCH(C$3,Platts!$F$5:$M$5,0)+1,FALSE),C384)</f>
        <v>45.7</v>
      </c>
      <c r="D385" s="6">
        <f>IFERROR(VLOOKUP($B385,Platts!$E$5:$M$4994,MATCH(D$3,Platts!$F$5:$M$5,0)+1,FALSE),D384)</f>
        <v>54.95</v>
      </c>
      <c r="E385" s="6">
        <f>IFERROR(VLOOKUP($B385,Platts!$E$5:$M$4994,MATCH(E$3,Platts!$F$5:$M$5,0)+1,FALSE),E384)</f>
        <v>45.81</v>
      </c>
      <c r="F385" s="6">
        <f>IFERROR(VLOOKUP($B385,Platts!$E$5:$M$4994,MATCH(F$3,Platts!$F$5:$M$5,0)+1,FALSE),F384)</f>
        <v>55.84</v>
      </c>
      <c r="G385" s="6">
        <f>IFERROR(VLOOKUP($B385,Platts!$E$5:$M$4994,MATCH(G$3,Platts!$F$5:$M$5,0)+1,FALSE),G384)</f>
        <v>55.46</v>
      </c>
      <c r="H385" s="6">
        <f>IFERROR(VLOOKUP($B385,Platts!$E$5:$M$4994,MATCH(H$3,Platts!$F$5:$M$5,0)+1,FALSE),H384)</f>
        <v>52.37</v>
      </c>
      <c r="I385" s="6">
        <f>IFERROR(VLOOKUP($B385,Platts!$E$5:$M$4994,MATCH(I$3,Platts!$F$5:$M$5,0)+1,FALSE),I384)</f>
        <v>53.72</v>
      </c>
      <c r="J385" s="6">
        <f t="shared" si="10"/>
        <v>6.6699999999999946</v>
      </c>
    </row>
    <row r="386" spans="2:10" x14ac:dyDescent="0.25">
      <c r="B386" s="5">
        <f t="shared" si="11"/>
        <v>42752</v>
      </c>
      <c r="C386" s="6">
        <f>IFERROR(VLOOKUP($B386,Platts!$E$5:$M$4994,MATCH(C$3,Platts!$F$5:$M$5,0)+1,FALSE),C385)</f>
        <v>45.88</v>
      </c>
      <c r="D386" s="6">
        <f>IFERROR(VLOOKUP($B386,Platts!$E$5:$M$4994,MATCH(D$3,Platts!$F$5:$M$5,0)+1,FALSE),D385)</f>
        <v>54.93</v>
      </c>
      <c r="E386" s="6">
        <f>IFERROR(VLOOKUP($B386,Platts!$E$5:$M$4994,MATCH(E$3,Platts!$F$5:$M$5,0)+1,FALSE),E385)</f>
        <v>45.87</v>
      </c>
      <c r="F386" s="6">
        <f>IFERROR(VLOOKUP($B386,Platts!$E$5:$M$4994,MATCH(F$3,Platts!$F$5:$M$5,0)+1,FALSE),F385)</f>
        <v>55.79</v>
      </c>
      <c r="G386" s="6">
        <f>IFERROR(VLOOKUP($B386,Platts!$E$5:$M$4994,MATCH(G$3,Platts!$F$5:$M$5,0)+1,FALSE),G385)</f>
        <v>55.94</v>
      </c>
      <c r="H386" s="6">
        <f>IFERROR(VLOOKUP($B386,Platts!$E$5:$M$4994,MATCH(H$3,Platts!$F$5:$M$5,0)+1,FALSE),H385)</f>
        <v>52.48</v>
      </c>
      <c r="I386" s="6">
        <f>IFERROR(VLOOKUP($B386,Platts!$E$5:$M$4994,MATCH(I$3,Platts!$F$5:$M$5,0)+1,FALSE),I385)</f>
        <v>53.88</v>
      </c>
      <c r="J386" s="6">
        <f t="shared" si="10"/>
        <v>6.5999999999999943</v>
      </c>
    </row>
    <row r="387" spans="2:10" x14ac:dyDescent="0.25">
      <c r="B387" s="5">
        <f t="shared" si="11"/>
        <v>42753</v>
      </c>
      <c r="C387" s="6">
        <f>IFERROR(VLOOKUP($B387,Platts!$E$5:$M$4994,MATCH(C$3,Platts!$F$5:$M$5,0)+1,FALSE),C386)</f>
        <v>44.77</v>
      </c>
      <c r="D387" s="6">
        <f>IFERROR(VLOOKUP($B387,Platts!$E$5:$M$4994,MATCH(D$3,Platts!$F$5:$M$5,0)+1,FALSE),D386)</f>
        <v>53.67</v>
      </c>
      <c r="E387" s="6">
        <f>IFERROR(VLOOKUP($B387,Platts!$E$5:$M$4994,MATCH(E$3,Platts!$F$5:$M$5,0)+1,FALSE),E386)</f>
        <v>44.26</v>
      </c>
      <c r="F387" s="6">
        <f>IFERROR(VLOOKUP($B387,Platts!$E$5:$M$4994,MATCH(F$3,Platts!$F$5:$M$5,0)+1,FALSE),F386)</f>
        <v>54.51</v>
      </c>
      <c r="G387" s="6">
        <f>IFERROR(VLOOKUP($B387,Platts!$E$5:$M$4994,MATCH(G$3,Platts!$F$5:$M$5,0)+1,FALSE),G386)</f>
        <v>55.23</v>
      </c>
      <c r="H387" s="6">
        <f>IFERROR(VLOOKUP($B387,Platts!$E$5:$M$4994,MATCH(H$3,Platts!$F$5:$M$5,0)+1,FALSE),H386)</f>
        <v>51.08</v>
      </c>
      <c r="I387" s="6">
        <f>IFERROR(VLOOKUP($B387,Platts!$E$5:$M$4994,MATCH(I$3,Platts!$F$5:$M$5,0)+1,FALSE),I386)</f>
        <v>52.48</v>
      </c>
      <c r="J387" s="6">
        <f t="shared" si="10"/>
        <v>6.3099999999999952</v>
      </c>
    </row>
    <row r="388" spans="2:10" x14ac:dyDescent="0.25">
      <c r="B388" s="5">
        <f t="shared" si="11"/>
        <v>42754</v>
      </c>
      <c r="C388" s="6">
        <f>IFERROR(VLOOKUP($B388,Platts!$E$5:$M$4994,MATCH(C$3,Platts!$F$5:$M$5,0)+1,FALSE),C387)</f>
        <v>44.33</v>
      </c>
      <c r="D388" s="6">
        <f>IFERROR(VLOOKUP($B388,Platts!$E$5:$M$4994,MATCH(D$3,Platts!$F$5:$M$5,0)+1,FALSE),D387)</f>
        <v>54.05</v>
      </c>
      <c r="E388" s="6">
        <f>IFERROR(VLOOKUP($B388,Platts!$E$5:$M$4994,MATCH(E$3,Platts!$F$5:$M$5,0)+1,FALSE),E387)</f>
        <v>44.44</v>
      </c>
      <c r="F388" s="6">
        <f>IFERROR(VLOOKUP($B388,Platts!$E$5:$M$4994,MATCH(F$3,Platts!$F$5:$M$5,0)+1,FALSE),F387)</f>
        <v>54.83</v>
      </c>
      <c r="G388" s="6">
        <f>IFERROR(VLOOKUP($B388,Platts!$E$5:$M$4994,MATCH(G$3,Platts!$F$5:$M$5,0)+1,FALSE),G387)</f>
        <v>54.31</v>
      </c>
      <c r="H388" s="6">
        <f>IFERROR(VLOOKUP($B388,Platts!$E$5:$M$4994,MATCH(H$3,Platts!$F$5:$M$5,0)+1,FALSE),H387)</f>
        <v>51.37</v>
      </c>
      <c r="I388" s="6">
        <f>IFERROR(VLOOKUP($B388,Platts!$E$5:$M$4994,MATCH(I$3,Platts!$F$5:$M$5,0)+1,FALSE),I387)</f>
        <v>53.22</v>
      </c>
      <c r="J388" s="6">
        <f t="shared" ref="J388:J451" si="12">H388-C388</f>
        <v>7.0399999999999991</v>
      </c>
    </row>
    <row r="389" spans="2:10" x14ac:dyDescent="0.25">
      <c r="B389" s="5">
        <f t="shared" si="11"/>
        <v>42755</v>
      </c>
      <c r="C389" s="6">
        <f>IFERROR(VLOOKUP($B389,Platts!$E$5:$M$4994,MATCH(C$3,Platts!$F$5:$M$5,0)+1,FALSE),C388)</f>
        <v>45.56</v>
      </c>
      <c r="D389" s="6">
        <f>IFERROR(VLOOKUP($B389,Platts!$E$5:$M$4994,MATCH(D$3,Platts!$F$5:$M$5,0)+1,FALSE),D388)</f>
        <v>55.26</v>
      </c>
      <c r="E389" s="6">
        <f>IFERROR(VLOOKUP($B389,Platts!$E$5:$M$4994,MATCH(E$3,Platts!$F$5:$M$5,0)+1,FALSE),E388)</f>
        <v>45.71</v>
      </c>
      <c r="F389" s="6">
        <f>IFERROR(VLOOKUP($B389,Platts!$E$5:$M$4994,MATCH(F$3,Platts!$F$5:$M$5,0)+1,FALSE),F388)</f>
        <v>56.05</v>
      </c>
      <c r="G389" s="6">
        <f>IFERROR(VLOOKUP($B389,Platts!$E$5:$M$4994,MATCH(G$3,Platts!$F$5:$M$5,0)+1,FALSE),G388)</f>
        <v>55.58</v>
      </c>
      <c r="H389" s="6">
        <f>IFERROR(VLOOKUP($B389,Platts!$E$5:$M$4994,MATCH(H$3,Platts!$F$5:$M$5,0)+1,FALSE),H388)</f>
        <v>52.42</v>
      </c>
      <c r="I389" s="6">
        <f>IFERROR(VLOOKUP($B389,Platts!$E$5:$M$4994,MATCH(I$3,Platts!$F$5:$M$5,0)+1,FALSE),I388)</f>
        <v>54.27</v>
      </c>
      <c r="J389" s="6">
        <f t="shared" si="12"/>
        <v>6.8599999999999994</v>
      </c>
    </row>
    <row r="390" spans="2:10" x14ac:dyDescent="0.25">
      <c r="B390" s="5">
        <f t="shared" ref="B390:B453" si="13">B389+1</f>
        <v>42756</v>
      </c>
      <c r="C390" s="6">
        <f>IFERROR(VLOOKUP($B390,Platts!$E$5:$M$4994,MATCH(C$3,Platts!$F$5:$M$5,0)+1,FALSE),C389)</f>
        <v>45.56</v>
      </c>
      <c r="D390" s="6">
        <f>IFERROR(VLOOKUP($B390,Platts!$E$5:$M$4994,MATCH(D$3,Platts!$F$5:$M$5,0)+1,FALSE),D389)</f>
        <v>55.26</v>
      </c>
      <c r="E390" s="6">
        <f>IFERROR(VLOOKUP($B390,Platts!$E$5:$M$4994,MATCH(E$3,Platts!$F$5:$M$5,0)+1,FALSE),E389)</f>
        <v>45.71</v>
      </c>
      <c r="F390" s="6">
        <f>IFERROR(VLOOKUP($B390,Platts!$E$5:$M$4994,MATCH(F$3,Platts!$F$5:$M$5,0)+1,FALSE),F389)</f>
        <v>56.05</v>
      </c>
      <c r="G390" s="6">
        <f>IFERROR(VLOOKUP($B390,Platts!$E$5:$M$4994,MATCH(G$3,Platts!$F$5:$M$5,0)+1,FALSE),G389)</f>
        <v>55.58</v>
      </c>
      <c r="H390" s="6">
        <f>IFERROR(VLOOKUP($B390,Platts!$E$5:$M$4994,MATCH(H$3,Platts!$F$5:$M$5,0)+1,FALSE),H389)</f>
        <v>52.42</v>
      </c>
      <c r="I390" s="6">
        <f>IFERROR(VLOOKUP($B390,Platts!$E$5:$M$4994,MATCH(I$3,Platts!$F$5:$M$5,0)+1,FALSE),I389)</f>
        <v>54.27</v>
      </c>
      <c r="J390" s="6">
        <f t="shared" si="12"/>
        <v>6.8599999999999994</v>
      </c>
    </row>
    <row r="391" spans="2:10" x14ac:dyDescent="0.25">
      <c r="B391" s="5">
        <f t="shared" si="13"/>
        <v>42757</v>
      </c>
      <c r="C391" s="6">
        <f>IFERROR(VLOOKUP($B391,Platts!$E$5:$M$4994,MATCH(C$3,Platts!$F$5:$M$5,0)+1,FALSE),C390)</f>
        <v>45.56</v>
      </c>
      <c r="D391" s="6">
        <f>IFERROR(VLOOKUP($B391,Platts!$E$5:$M$4994,MATCH(D$3,Platts!$F$5:$M$5,0)+1,FALSE),D390)</f>
        <v>55.26</v>
      </c>
      <c r="E391" s="6">
        <f>IFERROR(VLOOKUP($B391,Platts!$E$5:$M$4994,MATCH(E$3,Platts!$F$5:$M$5,0)+1,FALSE),E390)</f>
        <v>45.71</v>
      </c>
      <c r="F391" s="6">
        <f>IFERROR(VLOOKUP($B391,Platts!$E$5:$M$4994,MATCH(F$3,Platts!$F$5:$M$5,0)+1,FALSE),F390)</f>
        <v>56.05</v>
      </c>
      <c r="G391" s="6">
        <f>IFERROR(VLOOKUP($B391,Platts!$E$5:$M$4994,MATCH(G$3,Platts!$F$5:$M$5,0)+1,FALSE),G390)</f>
        <v>55.58</v>
      </c>
      <c r="H391" s="6">
        <f>IFERROR(VLOOKUP($B391,Platts!$E$5:$M$4994,MATCH(H$3,Platts!$F$5:$M$5,0)+1,FALSE),H390)</f>
        <v>52.42</v>
      </c>
      <c r="I391" s="6">
        <f>IFERROR(VLOOKUP($B391,Platts!$E$5:$M$4994,MATCH(I$3,Platts!$F$5:$M$5,0)+1,FALSE),I390)</f>
        <v>54.27</v>
      </c>
      <c r="J391" s="6">
        <f t="shared" si="12"/>
        <v>6.8599999999999994</v>
      </c>
    </row>
    <row r="392" spans="2:10" x14ac:dyDescent="0.25">
      <c r="B392" s="5">
        <f t="shared" si="13"/>
        <v>42758</v>
      </c>
      <c r="C392" s="6">
        <f>IFERROR(VLOOKUP($B392,Platts!$E$5:$M$4994,MATCH(C$3,Platts!$F$5:$M$5,0)+1,FALSE),C391)</f>
        <v>45.36</v>
      </c>
      <c r="D392" s="6">
        <f>IFERROR(VLOOKUP($B392,Platts!$E$5:$M$4994,MATCH(D$3,Platts!$F$5:$M$5,0)+1,FALSE),D391)</f>
        <v>54.67</v>
      </c>
      <c r="E392" s="6">
        <f>IFERROR(VLOOKUP($B392,Platts!$E$5:$M$4994,MATCH(E$3,Platts!$F$5:$M$5,0)+1,FALSE),E391)</f>
        <v>45.25</v>
      </c>
      <c r="F392" s="6">
        <f>IFERROR(VLOOKUP($B392,Platts!$E$5:$M$4994,MATCH(F$3,Platts!$F$5:$M$5,0)+1,FALSE),F391)</f>
        <v>55.54</v>
      </c>
      <c r="G392" s="6">
        <f>IFERROR(VLOOKUP($B392,Platts!$E$5:$M$4994,MATCH(G$3,Platts!$F$5:$M$5,0)+1,FALSE),G391)</f>
        <v>55.49</v>
      </c>
      <c r="H392" s="6">
        <f>IFERROR(VLOOKUP($B392,Platts!$E$5:$M$4994,MATCH(H$3,Platts!$F$5:$M$5,0)+1,FALSE),H391)</f>
        <v>51.95</v>
      </c>
      <c r="I392" s="6">
        <f>IFERROR(VLOOKUP($B392,Platts!$E$5:$M$4994,MATCH(I$3,Platts!$F$5:$M$5,0)+1,FALSE),I391)</f>
        <v>53.8</v>
      </c>
      <c r="J392" s="6">
        <f t="shared" si="12"/>
        <v>6.5900000000000034</v>
      </c>
    </row>
    <row r="393" spans="2:10" x14ac:dyDescent="0.25">
      <c r="B393" s="5">
        <f t="shared" si="13"/>
        <v>42759</v>
      </c>
      <c r="C393" s="6">
        <f>IFERROR(VLOOKUP($B393,Platts!$E$5:$M$4994,MATCH(C$3,Platts!$F$5:$M$5,0)+1,FALSE),C392)</f>
        <v>45.4</v>
      </c>
      <c r="D393" s="6">
        <f>IFERROR(VLOOKUP($B393,Platts!$E$5:$M$4994,MATCH(D$3,Platts!$F$5:$M$5,0)+1,FALSE),D392)</f>
        <v>55.08</v>
      </c>
      <c r="E393" s="6">
        <f>IFERROR(VLOOKUP($B393,Platts!$E$5:$M$4994,MATCH(E$3,Platts!$F$5:$M$5,0)+1,FALSE),E392)</f>
        <v>45.63</v>
      </c>
      <c r="F393" s="6">
        <f>IFERROR(VLOOKUP($B393,Platts!$E$5:$M$4994,MATCH(F$3,Platts!$F$5:$M$5,0)+1,FALSE),F392)</f>
        <v>55.89</v>
      </c>
      <c r="G393" s="6">
        <f>IFERROR(VLOOKUP($B393,Platts!$E$5:$M$4994,MATCH(G$3,Platts!$F$5:$M$5,0)+1,FALSE),G392)</f>
        <v>55.75</v>
      </c>
      <c r="H393" s="6">
        <f>IFERROR(VLOOKUP($B393,Platts!$E$5:$M$4994,MATCH(H$3,Platts!$F$5:$M$5,0)+1,FALSE),H392)</f>
        <v>52.53</v>
      </c>
      <c r="I393" s="6">
        <f>IFERROR(VLOOKUP($B393,Platts!$E$5:$M$4994,MATCH(I$3,Platts!$F$5:$M$5,0)+1,FALSE),I392)</f>
        <v>53.88</v>
      </c>
      <c r="J393" s="6">
        <f t="shared" si="12"/>
        <v>7.1300000000000026</v>
      </c>
    </row>
    <row r="394" spans="2:10" x14ac:dyDescent="0.25">
      <c r="B394" s="5">
        <f t="shared" si="13"/>
        <v>42760</v>
      </c>
      <c r="C394" s="6">
        <f>IFERROR(VLOOKUP($B394,Platts!$E$5:$M$4994,MATCH(C$3,Platts!$F$5:$M$5,0)+1,FALSE),C393)</f>
        <v>45.17</v>
      </c>
      <c r="D394" s="6">
        <f>IFERROR(VLOOKUP($B394,Platts!$E$5:$M$4994,MATCH(D$3,Platts!$F$5:$M$5,0)+1,FALSE),D393)</f>
        <v>54.67</v>
      </c>
      <c r="E394" s="6">
        <f>IFERROR(VLOOKUP($B394,Platts!$E$5:$M$4994,MATCH(E$3,Platts!$F$5:$M$5,0)+1,FALSE),E393)</f>
        <v>45.24</v>
      </c>
      <c r="F394" s="6">
        <f>IFERROR(VLOOKUP($B394,Platts!$E$5:$M$4994,MATCH(F$3,Platts!$F$5:$M$5,0)+1,FALSE),F393)</f>
        <v>55.52</v>
      </c>
      <c r="G394" s="6">
        <f>IFERROR(VLOOKUP($B394,Platts!$E$5:$M$4994,MATCH(G$3,Platts!$F$5:$M$5,0)+1,FALSE),G393)</f>
        <v>55.63</v>
      </c>
      <c r="H394" s="6">
        <f>IFERROR(VLOOKUP($B394,Platts!$E$5:$M$4994,MATCH(H$3,Platts!$F$5:$M$5,0)+1,FALSE),H393)</f>
        <v>52.25</v>
      </c>
      <c r="I394" s="6">
        <f>IFERROR(VLOOKUP($B394,Platts!$E$5:$M$4994,MATCH(I$3,Platts!$F$5:$M$5,0)+1,FALSE),I393)</f>
        <v>53.55</v>
      </c>
      <c r="J394" s="6">
        <f t="shared" si="12"/>
        <v>7.0799999999999983</v>
      </c>
    </row>
    <row r="395" spans="2:10" x14ac:dyDescent="0.25">
      <c r="B395" s="5">
        <f t="shared" si="13"/>
        <v>42761</v>
      </c>
      <c r="C395" s="6">
        <f>IFERROR(VLOOKUP($B395,Platts!$E$5:$M$4994,MATCH(C$3,Platts!$F$5:$M$5,0)+1,FALSE),C394)</f>
        <v>46.19</v>
      </c>
      <c r="D395" s="6">
        <f>IFERROR(VLOOKUP($B395,Platts!$E$5:$M$4994,MATCH(D$3,Platts!$F$5:$M$5,0)+1,FALSE),D394)</f>
        <v>56.26</v>
      </c>
      <c r="E395" s="6">
        <f>IFERROR(VLOOKUP($B395,Platts!$E$5:$M$4994,MATCH(E$3,Platts!$F$5:$M$5,0)+1,FALSE),E394)</f>
        <v>46.5</v>
      </c>
      <c r="F395" s="6">
        <f>IFERROR(VLOOKUP($B395,Platts!$E$5:$M$4994,MATCH(F$3,Platts!$F$5:$M$5,0)+1,FALSE),F394)</f>
        <v>57.02</v>
      </c>
      <c r="G395" s="6">
        <f>IFERROR(VLOOKUP($B395,Platts!$E$5:$M$4994,MATCH(G$3,Platts!$F$5:$M$5,0)+1,FALSE),G394)</f>
        <v>56.5</v>
      </c>
      <c r="H395" s="6">
        <f>IFERROR(VLOOKUP($B395,Platts!$E$5:$M$4994,MATCH(H$3,Platts!$F$5:$M$5,0)+1,FALSE),H394)</f>
        <v>53.78</v>
      </c>
      <c r="I395" s="6">
        <f>IFERROR(VLOOKUP($B395,Platts!$E$5:$M$4994,MATCH(I$3,Platts!$F$5:$M$5,0)+1,FALSE),I394)</f>
        <v>55.28</v>
      </c>
      <c r="J395" s="6">
        <f t="shared" si="12"/>
        <v>7.5900000000000034</v>
      </c>
    </row>
    <row r="396" spans="2:10" x14ac:dyDescent="0.25">
      <c r="B396" s="5">
        <f t="shared" si="13"/>
        <v>42762</v>
      </c>
      <c r="C396" s="6">
        <f>IFERROR(VLOOKUP($B396,Platts!$E$5:$M$4994,MATCH(C$3,Platts!$F$5:$M$5,0)+1,FALSE),C395)</f>
        <v>45.41</v>
      </c>
      <c r="D396" s="6">
        <f>IFERROR(VLOOKUP($B396,Platts!$E$5:$M$4994,MATCH(D$3,Platts!$F$5:$M$5,0)+1,FALSE),D395)</f>
        <v>55.56</v>
      </c>
      <c r="E396" s="6">
        <f>IFERROR(VLOOKUP($B396,Platts!$E$5:$M$4994,MATCH(E$3,Platts!$F$5:$M$5,0)+1,FALSE),E395)</f>
        <v>45.67</v>
      </c>
      <c r="F396" s="6">
        <f>IFERROR(VLOOKUP($B396,Platts!$E$5:$M$4994,MATCH(F$3,Platts!$F$5:$M$5,0)+1,FALSE),F395)</f>
        <v>56.3</v>
      </c>
      <c r="G396" s="6">
        <f>IFERROR(VLOOKUP($B396,Platts!$E$5:$M$4994,MATCH(G$3,Platts!$F$5:$M$5,0)+1,FALSE),G395)</f>
        <v>55.47</v>
      </c>
      <c r="H396" s="6">
        <f>IFERROR(VLOOKUP($B396,Platts!$E$5:$M$4994,MATCH(H$3,Platts!$F$5:$M$5,0)+1,FALSE),H395)</f>
        <v>53.17</v>
      </c>
      <c r="I396" s="6">
        <f>IFERROR(VLOOKUP($B396,Platts!$E$5:$M$4994,MATCH(I$3,Platts!$F$5:$M$5,0)+1,FALSE),I395)</f>
        <v>54.67</v>
      </c>
      <c r="J396" s="6">
        <f t="shared" si="12"/>
        <v>7.7600000000000051</v>
      </c>
    </row>
    <row r="397" spans="2:10" x14ac:dyDescent="0.25">
      <c r="B397" s="5">
        <f t="shared" si="13"/>
        <v>42763</v>
      </c>
      <c r="C397" s="6">
        <f>IFERROR(VLOOKUP($B397,Platts!$E$5:$M$4994,MATCH(C$3,Platts!$F$5:$M$5,0)+1,FALSE),C396)</f>
        <v>45.41</v>
      </c>
      <c r="D397" s="6">
        <f>IFERROR(VLOOKUP($B397,Platts!$E$5:$M$4994,MATCH(D$3,Platts!$F$5:$M$5,0)+1,FALSE),D396)</f>
        <v>55.56</v>
      </c>
      <c r="E397" s="6">
        <f>IFERROR(VLOOKUP($B397,Platts!$E$5:$M$4994,MATCH(E$3,Platts!$F$5:$M$5,0)+1,FALSE),E396)</f>
        <v>45.67</v>
      </c>
      <c r="F397" s="6">
        <f>IFERROR(VLOOKUP($B397,Platts!$E$5:$M$4994,MATCH(F$3,Platts!$F$5:$M$5,0)+1,FALSE),F396)</f>
        <v>56.3</v>
      </c>
      <c r="G397" s="6">
        <f>IFERROR(VLOOKUP($B397,Platts!$E$5:$M$4994,MATCH(G$3,Platts!$F$5:$M$5,0)+1,FALSE),G396)</f>
        <v>55.47</v>
      </c>
      <c r="H397" s="6">
        <f>IFERROR(VLOOKUP($B397,Platts!$E$5:$M$4994,MATCH(H$3,Platts!$F$5:$M$5,0)+1,FALSE),H396)</f>
        <v>53.17</v>
      </c>
      <c r="I397" s="6">
        <f>IFERROR(VLOOKUP($B397,Platts!$E$5:$M$4994,MATCH(I$3,Platts!$F$5:$M$5,0)+1,FALSE),I396)</f>
        <v>54.67</v>
      </c>
      <c r="J397" s="6">
        <f t="shared" si="12"/>
        <v>7.7600000000000051</v>
      </c>
    </row>
    <row r="398" spans="2:10" x14ac:dyDescent="0.25">
      <c r="B398" s="5">
        <f t="shared" si="13"/>
        <v>42764</v>
      </c>
      <c r="C398" s="6">
        <f>IFERROR(VLOOKUP($B398,Platts!$E$5:$M$4994,MATCH(C$3,Platts!$F$5:$M$5,0)+1,FALSE),C397)</f>
        <v>45.41</v>
      </c>
      <c r="D398" s="6">
        <f>IFERROR(VLOOKUP($B398,Platts!$E$5:$M$4994,MATCH(D$3,Platts!$F$5:$M$5,0)+1,FALSE),D397)</f>
        <v>55.56</v>
      </c>
      <c r="E398" s="6">
        <f>IFERROR(VLOOKUP($B398,Platts!$E$5:$M$4994,MATCH(E$3,Platts!$F$5:$M$5,0)+1,FALSE),E397)</f>
        <v>45.67</v>
      </c>
      <c r="F398" s="6">
        <f>IFERROR(VLOOKUP($B398,Platts!$E$5:$M$4994,MATCH(F$3,Platts!$F$5:$M$5,0)+1,FALSE),F397)</f>
        <v>56.3</v>
      </c>
      <c r="G398" s="6">
        <f>IFERROR(VLOOKUP($B398,Platts!$E$5:$M$4994,MATCH(G$3,Platts!$F$5:$M$5,0)+1,FALSE),G397)</f>
        <v>55.47</v>
      </c>
      <c r="H398" s="6">
        <f>IFERROR(VLOOKUP($B398,Platts!$E$5:$M$4994,MATCH(H$3,Platts!$F$5:$M$5,0)+1,FALSE),H397)</f>
        <v>53.17</v>
      </c>
      <c r="I398" s="6">
        <f>IFERROR(VLOOKUP($B398,Platts!$E$5:$M$4994,MATCH(I$3,Platts!$F$5:$M$5,0)+1,FALSE),I397)</f>
        <v>54.67</v>
      </c>
      <c r="J398" s="6">
        <f t="shared" si="12"/>
        <v>7.7600000000000051</v>
      </c>
    </row>
    <row r="399" spans="2:10" x14ac:dyDescent="0.25">
      <c r="B399" s="5">
        <f t="shared" si="13"/>
        <v>42765</v>
      </c>
      <c r="C399" s="6">
        <f>IFERROR(VLOOKUP($B399,Platts!$E$5:$M$4994,MATCH(C$3,Platts!$F$5:$M$5,0)+1,FALSE),C398)</f>
        <v>45.41</v>
      </c>
      <c r="D399" s="6">
        <f>IFERROR(VLOOKUP($B399,Platts!$E$5:$M$4994,MATCH(D$3,Platts!$F$5:$M$5,0)+1,FALSE),D398)</f>
        <v>55.16</v>
      </c>
      <c r="E399" s="6">
        <f>IFERROR(VLOOKUP($B399,Platts!$E$5:$M$4994,MATCH(E$3,Platts!$F$5:$M$5,0)+1,FALSE),E398)</f>
        <v>45.27</v>
      </c>
      <c r="F399" s="6">
        <f>IFERROR(VLOOKUP($B399,Platts!$E$5:$M$4994,MATCH(F$3,Platts!$F$5:$M$5,0)+1,FALSE),F398)</f>
        <v>55.92</v>
      </c>
      <c r="G399" s="6">
        <f>IFERROR(VLOOKUP($B399,Platts!$E$5:$M$4994,MATCH(G$3,Platts!$F$5:$M$5,0)+1,FALSE),G398)</f>
        <v>55.44</v>
      </c>
      <c r="H399" s="6">
        <f>IFERROR(VLOOKUP($B399,Platts!$E$5:$M$4994,MATCH(H$3,Platts!$F$5:$M$5,0)+1,FALSE),H398)</f>
        <v>52.63</v>
      </c>
      <c r="I399" s="6">
        <f>IFERROR(VLOOKUP($B399,Platts!$E$5:$M$4994,MATCH(I$3,Platts!$F$5:$M$5,0)+1,FALSE),I398)</f>
        <v>54.18</v>
      </c>
      <c r="J399" s="6">
        <f t="shared" si="12"/>
        <v>7.220000000000006</v>
      </c>
    </row>
    <row r="400" spans="2:10" x14ac:dyDescent="0.25">
      <c r="B400" s="5">
        <f t="shared" si="13"/>
        <v>42766</v>
      </c>
      <c r="C400" s="6">
        <f>IFERROR(VLOOKUP($B400,Platts!$E$5:$M$4994,MATCH(C$3,Platts!$F$5:$M$5,0)+1,FALSE),C399)</f>
        <v>45.18</v>
      </c>
      <c r="D400" s="6">
        <f>IFERROR(VLOOKUP($B400,Platts!$E$5:$M$4994,MATCH(D$3,Platts!$F$5:$M$5,0)+1,FALSE),D399)</f>
        <v>55.4</v>
      </c>
      <c r="E400" s="6">
        <f>IFERROR(VLOOKUP($B400,Platts!$E$5:$M$4994,MATCH(E$3,Platts!$F$5:$M$5,0)+1,FALSE),E399)</f>
        <v>45.2</v>
      </c>
      <c r="F400" s="6">
        <f>IFERROR(VLOOKUP($B400,Platts!$E$5:$M$4994,MATCH(F$3,Platts!$F$5:$M$5,0)+1,FALSE),F399)</f>
        <v>56.17</v>
      </c>
      <c r="G400" s="6">
        <f>IFERROR(VLOOKUP($B400,Platts!$E$5:$M$4994,MATCH(G$3,Platts!$F$5:$M$5,0)+1,FALSE),G399)</f>
        <v>56.26</v>
      </c>
      <c r="H400" s="6">
        <f>IFERROR(VLOOKUP($B400,Platts!$E$5:$M$4994,MATCH(H$3,Platts!$F$5:$M$5,0)+1,FALSE),H399)</f>
        <v>52.81</v>
      </c>
      <c r="I400" s="6">
        <f>IFERROR(VLOOKUP($B400,Platts!$E$5:$M$4994,MATCH(I$3,Platts!$F$5:$M$5,0)+1,FALSE),I399)</f>
        <v>54.41</v>
      </c>
      <c r="J400" s="6">
        <f t="shared" si="12"/>
        <v>7.6300000000000026</v>
      </c>
    </row>
    <row r="401" spans="2:10" x14ac:dyDescent="0.25">
      <c r="B401" s="5">
        <f t="shared" si="13"/>
        <v>42767</v>
      </c>
      <c r="C401" s="6">
        <f>IFERROR(VLOOKUP($B401,Platts!$E$5:$M$4994,MATCH(C$3,Platts!$F$5:$M$5,0)+1,FALSE),C400)</f>
        <v>45.23</v>
      </c>
      <c r="D401" s="6">
        <f>IFERROR(VLOOKUP($B401,Platts!$E$5:$M$4994,MATCH(D$3,Platts!$F$5:$M$5,0)+1,FALSE),D400)</f>
        <v>56.63</v>
      </c>
      <c r="E401" s="6">
        <f>IFERROR(VLOOKUP($B401,Platts!$E$5:$M$4994,MATCH(E$3,Platts!$F$5:$M$5,0)+1,FALSE),E400)</f>
        <v>45.92</v>
      </c>
      <c r="F401" s="6">
        <f>IFERROR(VLOOKUP($B401,Platts!$E$5:$M$4994,MATCH(F$3,Platts!$F$5:$M$5,0)+1,FALSE),F400)</f>
        <v>57.4</v>
      </c>
      <c r="G401" s="6">
        <f>IFERROR(VLOOKUP($B401,Platts!$E$5:$M$4994,MATCH(G$3,Platts!$F$5:$M$5,0)+1,FALSE),G400)</f>
        <v>56.71</v>
      </c>
      <c r="H401" s="6">
        <f>IFERROR(VLOOKUP($B401,Platts!$E$5:$M$4994,MATCH(H$3,Platts!$F$5:$M$5,0)+1,FALSE),H400)</f>
        <v>53.88</v>
      </c>
      <c r="I401" s="6">
        <f>IFERROR(VLOOKUP($B401,Platts!$E$5:$M$4994,MATCH(I$3,Platts!$F$5:$M$5,0)+1,FALSE),I400)</f>
        <v>55.53</v>
      </c>
      <c r="J401" s="6">
        <f t="shared" si="12"/>
        <v>8.6500000000000057</v>
      </c>
    </row>
    <row r="402" spans="2:10" x14ac:dyDescent="0.25">
      <c r="B402" s="5">
        <f t="shared" si="13"/>
        <v>42768</v>
      </c>
      <c r="C402" s="6">
        <f>IFERROR(VLOOKUP($B402,Platts!$E$5:$M$4994,MATCH(C$3,Platts!$F$5:$M$5,0)+1,FALSE),C401)</f>
        <v>45.6</v>
      </c>
      <c r="D402" s="6">
        <f>IFERROR(VLOOKUP($B402,Platts!$E$5:$M$4994,MATCH(D$3,Platts!$F$5:$M$5,0)+1,FALSE),D401)</f>
        <v>56.45</v>
      </c>
      <c r="E402" s="6">
        <f>IFERROR(VLOOKUP($B402,Platts!$E$5:$M$4994,MATCH(E$3,Platts!$F$5:$M$5,0)+1,FALSE),E401)</f>
        <v>45.89</v>
      </c>
      <c r="F402" s="6">
        <f>IFERROR(VLOOKUP($B402,Platts!$E$5:$M$4994,MATCH(F$3,Platts!$F$5:$M$5,0)+1,FALSE),F401)</f>
        <v>57.28</v>
      </c>
      <c r="G402" s="6">
        <f>IFERROR(VLOOKUP($B402,Platts!$E$5:$M$4994,MATCH(G$3,Platts!$F$5:$M$5,0)+1,FALSE),G401)</f>
        <v>57.15</v>
      </c>
      <c r="H402" s="6">
        <f>IFERROR(VLOOKUP($B402,Platts!$E$5:$M$4994,MATCH(H$3,Platts!$F$5:$M$5,0)+1,FALSE),H401)</f>
        <v>53.54</v>
      </c>
      <c r="I402" s="6">
        <f>IFERROR(VLOOKUP($B402,Platts!$E$5:$M$4994,MATCH(I$3,Platts!$F$5:$M$5,0)+1,FALSE),I401)</f>
        <v>55.29</v>
      </c>
      <c r="J402" s="6">
        <f t="shared" si="12"/>
        <v>7.9399999999999977</v>
      </c>
    </row>
    <row r="403" spans="2:10" x14ac:dyDescent="0.25">
      <c r="B403" s="5">
        <f t="shared" si="13"/>
        <v>42769</v>
      </c>
      <c r="C403" s="6">
        <f>IFERROR(VLOOKUP($B403,Platts!$E$5:$M$4994,MATCH(C$3,Platts!$F$5:$M$5,0)+1,FALSE),C402)</f>
        <v>46.1</v>
      </c>
      <c r="D403" s="6">
        <f>IFERROR(VLOOKUP($B403,Platts!$E$5:$M$4994,MATCH(D$3,Platts!$F$5:$M$5,0)+1,FALSE),D402)</f>
        <v>56.71</v>
      </c>
      <c r="E403" s="6">
        <f>IFERROR(VLOOKUP($B403,Platts!$E$5:$M$4994,MATCH(E$3,Platts!$F$5:$M$5,0)+1,FALSE),E402)</f>
        <v>46.34</v>
      </c>
      <c r="F403" s="6">
        <f>IFERROR(VLOOKUP($B403,Platts!$E$5:$M$4994,MATCH(F$3,Platts!$F$5:$M$5,0)+1,FALSE),F402)</f>
        <v>57.53</v>
      </c>
      <c r="G403" s="6">
        <f>IFERROR(VLOOKUP($B403,Platts!$E$5:$M$4994,MATCH(G$3,Platts!$F$5:$M$5,0)+1,FALSE),G402)</f>
        <v>57.13</v>
      </c>
      <c r="H403" s="6">
        <f>IFERROR(VLOOKUP($B403,Platts!$E$5:$M$4994,MATCH(H$3,Platts!$F$5:$M$5,0)+1,FALSE),H402)</f>
        <v>53.83</v>
      </c>
      <c r="I403" s="6">
        <f>IFERROR(VLOOKUP($B403,Platts!$E$5:$M$4994,MATCH(I$3,Platts!$F$5:$M$5,0)+1,FALSE),I402)</f>
        <v>55.58</v>
      </c>
      <c r="J403" s="6">
        <f t="shared" si="12"/>
        <v>7.7299999999999969</v>
      </c>
    </row>
    <row r="404" spans="2:10" x14ac:dyDescent="0.25">
      <c r="B404" s="5">
        <f t="shared" si="13"/>
        <v>42770</v>
      </c>
      <c r="C404" s="6">
        <f>IFERROR(VLOOKUP($B404,Platts!$E$5:$M$4994,MATCH(C$3,Platts!$F$5:$M$5,0)+1,FALSE),C403)</f>
        <v>46.1</v>
      </c>
      <c r="D404" s="6">
        <f>IFERROR(VLOOKUP($B404,Platts!$E$5:$M$4994,MATCH(D$3,Platts!$F$5:$M$5,0)+1,FALSE),D403)</f>
        <v>56.71</v>
      </c>
      <c r="E404" s="6">
        <f>IFERROR(VLOOKUP($B404,Platts!$E$5:$M$4994,MATCH(E$3,Platts!$F$5:$M$5,0)+1,FALSE),E403)</f>
        <v>46.34</v>
      </c>
      <c r="F404" s="6">
        <f>IFERROR(VLOOKUP($B404,Platts!$E$5:$M$4994,MATCH(F$3,Platts!$F$5:$M$5,0)+1,FALSE),F403)</f>
        <v>57.53</v>
      </c>
      <c r="G404" s="6">
        <f>IFERROR(VLOOKUP($B404,Platts!$E$5:$M$4994,MATCH(G$3,Platts!$F$5:$M$5,0)+1,FALSE),G403)</f>
        <v>57.13</v>
      </c>
      <c r="H404" s="6">
        <f>IFERROR(VLOOKUP($B404,Platts!$E$5:$M$4994,MATCH(H$3,Platts!$F$5:$M$5,0)+1,FALSE),H403)</f>
        <v>53.83</v>
      </c>
      <c r="I404" s="6">
        <f>IFERROR(VLOOKUP($B404,Platts!$E$5:$M$4994,MATCH(I$3,Platts!$F$5:$M$5,0)+1,FALSE),I403)</f>
        <v>55.58</v>
      </c>
      <c r="J404" s="6">
        <f t="shared" si="12"/>
        <v>7.7299999999999969</v>
      </c>
    </row>
    <row r="405" spans="2:10" x14ac:dyDescent="0.25">
      <c r="B405" s="5">
        <f t="shared" si="13"/>
        <v>42771</v>
      </c>
      <c r="C405" s="6">
        <f>IFERROR(VLOOKUP($B405,Platts!$E$5:$M$4994,MATCH(C$3,Platts!$F$5:$M$5,0)+1,FALSE),C404)</f>
        <v>46.1</v>
      </c>
      <c r="D405" s="6">
        <f>IFERROR(VLOOKUP($B405,Platts!$E$5:$M$4994,MATCH(D$3,Platts!$F$5:$M$5,0)+1,FALSE),D404)</f>
        <v>56.71</v>
      </c>
      <c r="E405" s="6">
        <f>IFERROR(VLOOKUP($B405,Platts!$E$5:$M$4994,MATCH(E$3,Platts!$F$5:$M$5,0)+1,FALSE),E404)</f>
        <v>46.34</v>
      </c>
      <c r="F405" s="6">
        <f>IFERROR(VLOOKUP($B405,Platts!$E$5:$M$4994,MATCH(F$3,Platts!$F$5:$M$5,0)+1,FALSE),F404)</f>
        <v>57.53</v>
      </c>
      <c r="G405" s="6">
        <f>IFERROR(VLOOKUP($B405,Platts!$E$5:$M$4994,MATCH(G$3,Platts!$F$5:$M$5,0)+1,FALSE),G404)</f>
        <v>57.13</v>
      </c>
      <c r="H405" s="6">
        <f>IFERROR(VLOOKUP($B405,Platts!$E$5:$M$4994,MATCH(H$3,Platts!$F$5:$M$5,0)+1,FALSE),H404)</f>
        <v>53.83</v>
      </c>
      <c r="I405" s="6">
        <f>IFERROR(VLOOKUP($B405,Platts!$E$5:$M$4994,MATCH(I$3,Platts!$F$5:$M$5,0)+1,FALSE),I404)</f>
        <v>55.58</v>
      </c>
      <c r="J405" s="6">
        <f t="shared" si="12"/>
        <v>7.7299999999999969</v>
      </c>
    </row>
    <row r="406" spans="2:10" x14ac:dyDescent="0.25">
      <c r="B406" s="5">
        <f t="shared" si="13"/>
        <v>42772</v>
      </c>
      <c r="C406" s="6">
        <f>IFERROR(VLOOKUP($B406,Platts!$E$5:$M$4994,MATCH(C$3,Platts!$F$5:$M$5,0)+1,FALSE),C405)</f>
        <v>45.37</v>
      </c>
      <c r="D406" s="6">
        <f>IFERROR(VLOOKUP($B406,Platts!$E$5:$M$4994,MATCH(D$3,Platts!$F$5:$M$5,0)+1,FALSE),D405)</f>
        <v>55.79</v>
      </c>
      <c r="E406" s="6">
        <f>IFERROR(VLOOKUP($B406,Platts!$E$5:$M$4994,MATCH(E$3,Platts!$F$5:$M$5,0)+1,FALSE),E405)</f>
        <v>45.77</v>
      </c>
      <c r="F406" s="6">
        <f>IFERROR(VLOOKUP($B406,Platts!$E$5:$M$4994,MATCH(F$3,Platts!$F$5:$M$5,0)+1,FALSE),F405)</f>
        <v>56.56</v>
      </c>
      <c r="G406" s="6">
        <f>IFERROR(VLOOKUP($B406,Platts!$E$5:$M$4994,MATCH(G$3,Platts!$F$5:$M$5,0)+1,FALSE),G405)</f>
        <v>56.19</v>
      </c>
      <c r="H406" s="6">
        <f>IFERROR(VLOOKUP($B406,Platts!$E$5:$M$4994,MATCH(H$3,Platts!$F$5:$M$5,0)+1,FALSE),H405)</f>
        <v>53.01</v>
      </c>
      <c r="I406" s="6">
        <f>IFERROR(VLOOKUP($B406,Platts!$E$5:$M$4994,MATCH(I$3,Platts!$F$5:$M$5,0)+1,FALSE),I405)</f>
        <v>54.81</v>
      </c>
      <c r="J406" s="6">
        <f t="shared" si="12"/>
        <v>7.6400000000000006</v>
      </c>
    </row>
    <row r="407" spans="2:10" x14ac:dyDescent="0.25">
      <c r="B407" s="5">
        <f t="shared" si="13"/>
        <v>42773</v>
      </c>
      <c r="C407" s="6">
        <f>IFERROR(VLOOKUP($B407,Platts!$E$5:$M$4994,MATCH(C$3,Platts!$F$5:$M$5,0)+1,FALSE),C406)</f>
        <v>44.5</v>
      </c>
      <c r="D407" s="6">
        <f>IFERROR(VLOOKUP($B407,Platts!$E$5:$M$4994,MATCH(D$3,Platts!$F$5:$M$5,0)+1,FALSE),D406)</f>
        <v>55.07</v>
      </c>
      <c r="E407" s="6">
        <f>IFERROR(VLOOKUP($B407,Platts!$E$5:$M$4994,MATCH(E$3,Platts!$F$5:$M$5,0)+1,FALSE),E406)</f>
        <v>44.8</v>
      </c>
      <c r="F407" s="6">
        <f>IFERROR(VLOOKUP($B407,Platts!$E$5:$M$4994,MATCH(F$3,Platts!$F$5:$M$5,0)+1,FALSE),F406)</f>
        <v>55.82</v>
      </c>
      <c r="G407" s="6">
        <f>IFERROR(VLOOKUP($B407,Platts!$E$5:$M$4994,MATCH(G$3,Platts!$F$5:$M$5,0)+1,FALSE),G406)</f>
        <v>55.04</v>
      </c>
      <c r="H407" s="6">
        <f>IFERROR(VLOOKUP($B407,Platts!$E$5:$M$4994,MATCH(H$3,Platts!$F$5:$M$5,0)+1,FALSE),H406)</f>
        <v>52.17</v>
      </c>
      <c r="I407" s="6">
        <f>IFERROR(VLOOKUP($B407,Platts!$E$5:$M$4994,MATCH(I$3,Platts!$F$5:$M$5,0)+1,FALSE),I406)</f>
        <v>53.92</v>
      </c>
      <c r="J407" s="6">
        <f t="shared" si="12"/>
        <v>7.6700000000000017</v>
      </c>
    </row>
    <row r="408" spans="2:10" x14ac:dyDescent="0.25">
      <c r="B408" s="5">
        <f t="shared" si="13"/>
        <v>42774</v>
      </c>
      <c r="C408" s="6">
        <f>IFERROR(VLOOKUP($B408,Platts!$E$5:$M$4994,MATCH(C$3,Platts!$F$5:$M$5,0)+1,FALSE),C407)</f>
        <v>44.72</v>
      </c>
      <c r="D408" s="6">
        <f>IFERROR(VLOOKUP($B408,Platts!$E$5:$M$4994,MATCH(D$3,Platts!$F$5:$M$5,0)+1,FALSE),D407)</f>
        <v>55.34</v>
      </c>
      <c r="E408" s="6">
        <f>IFERROR(VLOOKUP($B408,Platts!$E$5:$M$4994,MATCH(E$3,Platts!$F$5:$M$5,0)+1,FALSE),E407)</f>
        <v>45.31</v>
      </c>
      <c r="F408" s="6">
        <f>IFERROR(VLOOKUP($B408,Platts!$E$5:$M$4994,MATCH(F$3,Platts!$F$5:$M$5,0)+1,FALSE),F407)</f>
        <v>56.08</v>
      </c>
      <c r="G408" s="6">
        <f>IFERROR(VLOOKUP($B408,Platts!$E$5:$M$4994,MATCH(G$3,Platts!$F$5:$M$5,0)+1,FALSE),G407)</f>
        <v>55.44</v>
      </c>
      <c r="H408" s="6">
        <f>IFERROR(VLOOKUP($B408,Platts!$E$5:$M$4994,MATCH(H$3,Platts!$F$5:$M$5,0)+1,FALSE),H407)</f>
        <v>52.34</v>
      </c>
      <c r="I408" s="6">
        <f>IFERROR(VLOOKUP($B408,Platts!$E$5:$M$4994,MATCH(I$3,Platts!$F$5:$M$5,0)+1,FALSE),I407)</f>
        <v>54.04</v>
      </c>
      <c r="J408" s="6">
        <f t="shared" si="12"/>
        <v>7.6200000000000045</v>
      </c>
    </row>
    <row r="409" spans="2:10" x14ac:dyDescent="0.25">
      <c r="B409" s="5">
        <f t="shared" si="13"/>
        <v>42775</v>
      </c>
      <c r="C409" s="6">
        <f>IFERROR(VLOOKUP($B409,Platts!$E$5:$M$4994,MATCH(C$3,Platts!$F$5:$M$5,0)+1,FALSE),C408)</f>
        <v>45.14</v>
      </c>
      <c r="D409" s="6">
        <f>IFERROR(VLOOKUP($B409,Platts!$E$5:$M$4994,MATCH(D$3,Platts!$F$5:$M$5,0)+1,FALSE),D408)</f>
        <v>56.01</v>
      </c>
      <c r="E409" s="6">
        <f>IFERROR(VLOOKUP($B409,Platts!$E$5:$M$4994,MATCH(E$3,Platts!$F$5:$M$5,0)+1,FALSE),E408)</f>
        <v>45.93</v>
      </c>
      <c r="F409" s="6">
        <f>IFERROR(VLOOKUP($B409,Platts!$E$5:$M$4994,MATCH(F$3,Platts!$F$5:$M$5,0)+1,FALSE),F408)</f>
        <v>56.74</v>
      </c>
      <c r="G409" s="6">
        <f>IFERROR(VLOOKUP($B409,Platts!$E$5:$M$4994,MATCH(G$3,Platts!$F$5:$M$5,0)+1,FALSE),G408)</f>
        <v>55.56</v>
      </c>
      <c r="H409" s="6">
        <f>IFERROR(VLOOKUP($B409,Platts!$E$5:$M$4994,MATCH(H$3,Platts!$F$5:$M$5,0)+1,FALSE),H408)</f>
        <v>53</v>
      </c>
      <c r="I409" s="6">
        <f>IFERROR(VLOOKUP($B409,Platts!$E$5:$M$4994,MATCH(I$3,Platts!$F$5:$M$5,0)+1,FALSE),I408)</f>
        <v>54.7</v>
      </c>
      <c r="J409" s="6">
        <f t="shared" si="12"/>
        <v>7.8599999999999994</v>
      </c>
    </row>
    <row r="410" spans="2:10" x14ac:dyDescent="0.25">
      <c r="B410" s="5">
        <f t="shared" si="13"/>
        <v>42776</v>
      </c>
      <c r="C410" s="6">
        <f>IFERROR(VLOOKUP($B410,Platts!$E$5:$M$4994,MATCH(C$3,Platts!$F$5:$M$5,0)+1,FALSE),C409)</f>
        <v>46.14</v>
      </c>
      <c r="D410" s="6">
        <f>IFERROR(VLOOKUP($B410,Platts!$E$5:$M$4994,MATCH(D$3,Platts!$F$5:$M$5,0)+1,FALSE),D409)</f>
        <v>56.89</v>
      </c>
      <c r="E410" s="6">
        <f>IFERROR(VLOOKUP($B410,Platts!$E$5:$M$4994,MATCH(E$3,Platts!$F$5:$M$5,0)+1,FALSE),E409)</f>
        <v>46.95</v>
      </c>
      <c r="F410" s="6">
        <f>IFERROR(VLOOKUP($B410,Platts!$E$5:$M$4994,MATCH(F$3,Platts!$F$5:$M$5,0)+1,FALSE),F409)</f>
        <v>57.6</v>
      </c>
      <c r="G410" s="6">
        <f>IFERROR(VLOOKUP($B410,Platts!$E$5:$M$4994,MATCH(G$3,Platts!$F$5:$M$5,0)+1,FALSE),G409)</f>
        <v>56.89</v>
      </c>
      <c r="H410" s="6">
        <f>IFERROR(VLOOKUP($B410,Platts!$E$5:$M$4994,MATCH(H$3,Platts!$F$5:$M$5,0)+1,FALSE),H409)</f>
        <v>53.86</v>
      </c>
      <c r="I410" s="6">
        <f>IFERROR(VLOOKUP($B410,Platts!$E$5:$M$4994,MATCH(I$3,Platts!$F$5:$M$5,0)+1,FALSE),I409)</f>
        <v>55.61</v>
      </c>
      <c r="J410" s="6">
        <f t="shared" si="12"/>
        <v>7.7199999999999989</v>
      </c>
    </row>
    <row r="411" spans="2:10" x14ac:dyDescent="0.25">
      <c r="B411" s="5">
        <f t="shared" si="13"/>
        <v>42777</v>
      </c>
      <c r="C411" s="6">
        <f>IFERROR(VLOOKUP($B411,Platts!$E$5:$M$4994,MATCH(C$3,Platts!$F$5:$M$5,0)+1,FALSE),C410)</f>
        <v>46.14</v>
      </c>
      <c r="D411" s="6">
        <f>IFERROR(VLOOKUP($B411,Platts!$E$5:$M$4994,MATCH(D$3,Platts!$F$5:$M$5,0)+1,FALSE),D410)</f>
        <v>56.89</v>
      </c>
      <c r="E411" s="6">
        <f>IFERROR(VLOOKUP($B411,Platts!$E$5:$M$4994,MATCH(E$3,Platts!$F$5:$M$5,0)+1,FALSE),E410)</f>
        <v>46.95</v>
      </c>
      <c r="F411" s="6">
        <f>IFERROR(VLOOKUP($B411,Platts!$E$5:$M$4994,MATCH(F$3,Platts!$F$5:$M$5,0)+1,FALSE),F410)</f>
        <v>57.6</v>
      </c>
      <c r="G411" s="6">
        <f>IFERROR(VLOOKUP($B411,Platts!$E$5:$M$4994,MATCH(G$3,Platts!$F$5:$M$5,0)+1,FALSE),G410)</f>
        <v>56.89</v>
      </c>
      <c r="H411" s="6">
        <f>IFERROR(VLOOKUP($B411,Platts!$E$5:$M$4994,MATCH(H$3,Platts!$F$5:$M$5,0)+1,FALSE),H410)</f>
        <v>53.86</v>
      </c>
      <c r="I411" s="6">
        <f>IFERROR(VLOOKUP($B411,Platts!$E$5:$M$4994,MATCH(I$3,Platts!$F$5:$M$5,0)+1,FALSE),I410)</f>
        <v>55.61</v>
      </c>
      <c r="J411" s="6">
        <f t="shared" si="12"/>
        <v>7.7199999999999989</v>
      </c>
    </row>
    <row r="412" spans="2:10" x14ac:dyDescent="0.25">
      <c r="B412" s="5">
        <f t="shared" si="13"/>
        <v>42778</v>
      </c>
      <c r="C412" s="6">
        <f>IFERROR(VLOOKUP($B412,Platts!$E$5:$M$4994,MATCH(C$3,Platts!$F$5:$M$5,0)+1,FALSE),C411)</f>
        <v>46.14</v>
      </c>
      <c r="D412" s="6">
        <f>IFERROR(VLOOKUP($B412,Platts!$E$5:$M$4994,MATCH(D$3,Platts!$F$5:$M$5,0)+1,FALSE),D411)</f>
        <v>56.89</v>
      </c>
      <c r="E412" s="6">
        <f>IFERROR(VLOOKUP($B412,Platts!$E$5:$M$4994,MATCH(E$3,Platts!$F$5:$M$5,0)+1,FALSE),E411)</f>
        <v>46.95</v>
      </c>
      <c r="F412" s="6">
        <f>IFERROR(VLOOKUP($B412,Platts!$E$5:$M$4994,MATCH(F$3,Platts!$F$5:$M$5,0)+1,FALSE),F411)</f>
        <v>57.6</v>
      </c>
      <c r="G412" s="6">
        <f>IFERROR(VLOOKUP($B412,Platts!$E$5:$M$4994,MATCH(G$3,Platts!$F$5:$M$5,0)+1,FALSE),G411)</f>
        <v>56.89</v>
      </c>
      <c r="H412" s="6">
        <f>IFERROR(VLOOKUP($B412,Platts!$E$5:$M$4994,MATCH(H$3,Platts!$F$5:$M$5,0)+1,FALSE),H411)</f>
        <v>53.86</v>
      </c>
      <c r="I412" s="6">
        <f>IFERROR(VLOOKUP($B412,Platts!$E$5:$M$4994,MATCH(I$3,Platts!$F$5:$M$5,0)+1,FALSE),I411)</f>
        <v>55.61</v>
      </c>
      <c r="J412" s="6">
        <f t="shared" si="12"/>
        <v>7.7199999999999989</v>
      </c>
    </row>
    <row r="413" spans="2:10" x14ac:dyDescent="0.25">
      <c r="B413" s="5">
        <f t="shared" si="13"/>
        <v>42779</v>
      </c>
      <c r="C413" s="6">
        <f>IFERROR(VLOOKUP($B413,Platts!$E$5:$M$4994,MATCH(C$3,Platts!$F$5:$M$5,0)+1,FALSE),C412)</f>
        <v>45.36</v>
      </c>
      <c r="D413" s="6">
        <f>IFERROR(VLOOKUP($B413,Platts!$E$5:$M$4994,MATCH(D$3,Platts!$F$5:$M$5,0)+1,FALSE),D412)</f>
        <v>55.88</v>
      </c>
      <c r="E413" s="6">
        <f>IFERROR(VLOOKUP($B413,Platts!$E$5:$M$4994,MATCH(E$3,Platts!$F$5:$M$5,0)+1,FALSE),E412)</f>
        <v>45.84</v>
      </c>
      <c r="F413" s="6">
        <f>IFERROR(VLOOKUP($B413,Platts!$E$5:$M$4994,MATCH(F$3,Platts!$F$5:$M$5,0)+1,FALSE),F412)</f>
        <v>56.58</v>
      </c>
      <c r="G413" s="6">
        <f>IFERROR(VLOOKUP($B413,Platts!$E$5:$M$4994,MATCH(G$3,Platts!$F$5:$M$5,0)+1,FALSE),G412)</f>
        <v>55.68</v>
      </c>
      <c r="H413" s="6">
        <f>IFERROR(VLOOKUP($B413,Platts!$E$5:$M$4994,MATCH(H$3,Platts!$F$5:$M$5,0)+1,FALSE),H412)</f>
        <v>52.93</v>
      </c>
      <c r="I413" s="6">
        <f>IFERROR(VLOOKUP($B413,Platts!$E$5:$M$4994,MATCH(I$3,Platts!$F$5:$M$5,0)+1,FALSE),I412)</f>
        <v>54.68</v>
      </c>
      <c r="J413" s="6">
        <f t="shared" si="12"/>
        <v>7.57</v>
      </c>
    </row>
    <row r="414" spans="2:10" x14ac:dyDescent="0.25">
      <c r="B414" s="5">
        <f t="shared" si="13"/>
        <v>42780</v>
      </c>
      <c r="C414" s="6">
        <f>IFERROR(VLOOKUP($B414,Platts!$E$5:$M$4994,MATCH(C$3,Platts!$F$5:$M$5,0)+1,FALSE),C413)</f>
        <v>45.71</v>
      </c>
      <c r="D414" s="6">
        <f>IFERROR(VLOOKUP($B414,Platts!$E$5:$M$4994,MATCH(D$3,Platts!$F$5:$M$5,0)+1,FALSE),D413)</f>
        <v>56.09</v>
      </c>
      <c r="E414" s="6">
        <f>IFERROR(VLOOKUP($B414,Platts!$E$5:$M$4994,MATCH(E$3,Platts!$F$5:$M$5,0)+1,FALSE),E413)</f>
        <v>46.11</v>
      </c>
      <c r="F414" s="6">
        <f>IFERROR(VLOOKUP($B414,Platts!$E$5:$M$4994,MATCH(F$3,Platts!$F$5:$M$5,0)+1,FALSE),F413)</f>
        <v>56.81</v>
      </c>
      <c r="G414" s="6">
        <f>IFERROR(VLOOKUP($B414,Platts!$E$5:$M$4994,MATCH(G$3,Platts!$F$5:$M$5,0)+1,FALSE),G413)</f>
        <v>56.2</v>
      </c>
      <c r="H414" s="6">
        <f>IFERROR(VLOOKUP($B414,Platts!$E$5:$M$4994,MATCH(H$3,Platts!$F$5:$M$5,0)+1,FALSE),H413)</f>
        <v>53.2</v>
      </c>
      <c r="I414" s="6">
        <f>IFERROR(VLOOKUP($B414,Platts!$E$5:$M$4994,MATCH(I$3,Platts!$F$5:$M$5,0)+1,FALSE),I413)</f>
        <v>55</v>
      </c>
      <c r="J414" s="6">
        <f t="shared" si="12"/>
        <v>7.490000000000002</v>
      </c>
    </row>
    <row r="415" spans="2:10" x14ac:dyDescent="0.25">
      <c r="B415" s="5">
        <f t="shared" si="13"/>
        <v>42781</v>
      </c>
      <c r="C415" s="6">
        <f>IFERROR(VLOOKUP($B415,Platts!$E$5:$M$4994,MATCH(C$3,Platts!$F$5:$M$5,0)+1,FALSE),C414)</f>
        <v>45.51</v>
      </c>
      <c r="D415" s="6">
        <f>IFERROR(VLOOKUP($B415,Platts!$E$5:$M$4994,MATCH(D$3,Platts!$F$5:$M$5,0)+1,FALSE),D414)</f>
        <v>55.92</v>
      </c>
      <c r="E415" s="6">
        <f>IFERROR(VLOOKUP($B415,Platts!$E$5:$M$4994,MATCH(E$3,Platts!$F$5:$M$5,0)+1,FALSE),E414)</f>
        <v>45.96</v>
      </c>
      <c r="F415" s="6">
        <f>IFERROR(VLOOKUP($B415,Platts!$E$5:$M$4994,MATCH(F$3,Platts!$F$5:$M$5,0)+1,FALSE),F414)</f>
        <v>56.64</v>
      </c>
      <c r="G415" s="6">
        <f>IFERROR(VLOOKUP($B415,Platts!$E$5:$M$4994,MATCH(G$3,Platts!$F$5:$M$5,0)+1,FALSE),G414)</f>
        <v>55.85</v>
      </c>
      <c r="H415" s="6">
        <f>IFERROR(VLOOKUP($B415,Platts!$E$5:$M$4994,MATCH(H$3,Platts!$F$5:$M$5,0)+1,FALSE),H414)</f>
        <v>53.11</v>
      </c>
      <c r="I415" s="6">
        <f>IFERROR(VLOOKUP($B415,Platts!$E$5:$M$4994,MATCH(I$3,Platts!$F$5:$M$5,0)+1,FALSE),I414)</f>
        <v>55.01</v>
      </c>
      <c r="J415" s="6">
        <f t="shared" si="12"/>
        <v>7.6000000000000014</v>
      </c>
    </row>
    <row r="416" spans="2:10" x14ac:dyDescent="0.25">
      <c r="B416" s="5">
        <f t="shared" si="13"/>
        <v>42782</v>
      </c>
      <c r="C416" s="6">
        <f>IFERROR(VLOOKUP($B416,Platts!$E$5:$M$4994,MATCH(C$3,Platts!$F$5:$M$5,0)+1,FALSE),C415)</f>
        <v>45.34</v>
      </c>
      <c r="D416" s="6">
        <f>IFERROR(VLOOKUP($B416,Platts!$E$5:$M$4994,MATCH(D$3,Platts!$F$5:$M$5,0)+1,FALSE),D415)</f>
        <v>56.06</v>
      </c>
      <c r="E416" s="6">
        <f>IFERROR(VLOOKUP($B416,Platts!$E$5:$M$4994,MATCH(E$3,Platts!$F$5:$M$5,0)+1,FALSE),E415)</f>
        <v>45.87</v>
      </c>
      <c r="F416" s="6">
        <f>IFERROR(VLOOKUP($B416,Platts!$E$5:$M$4994,MATCH(F$3,Platts!$F$5:$M$5,0)+1,FALSE),F415)</f>
        <v>56.75</v>
      </c>
      <c r="G416" s="6">
        <f>IFERROR(VLOOKUP($B416,Platts!$E$5:$M$4994,MATCH(G$3,Platts!$F$5:$M$5,0)+1,FALSE),G415)</f>
        <v>55.36</v>
      </c>
      <c r="H416" s="6">
        <f>IFERROR(VLOOKUP($B416,Platts!$E$5:$M$4994,MATCH(H$3,Platts!$F$5:$M$5,0)+1,FALSE),H415)</f>
        <v>53.36</v>
      </c>
      <c r="I416" s="6">
        <f>IFERROR(VLOOKUP($B416,Platts!$E$5:$M$4994,MATCH(I$3,Platts!$F$5:$M$5,0)+1,FALSE),I415)</f>
        <v>55.21</v>
      </c>
      <c r="J416" s="6">
        <f t="shared" si="12"/>
        <v>8.019999999999996</v>
      </c>
    </row>
    <row r="417" spans="2:10" x14ac:dyDescent="0.25">
      <c r="B417" s="5">
        <f t="shared" si="13"/>
        <v>42783</v>
      </c>
      <c r="C417" s="6">
        <f>IFERROR(VLOOKUP($B417,Platts!$E$5:$M$4994,MATCH(C$3,Platts!$F$5:$M$5,0)+1,FALSE),C416)</f>
        <v>45.3</v>
      </c>
      <c r="D417" s="6">
        <f>IFERROR(VLOOKUP($B417,Platts!$E$5:$M$4994,MATCH(D$3,Platts!$F$5:$M$5,0)+1,FALSE),D416)</f>
        <v>55.96</v>
      </c>
      <c r="E417" s="6">
        <f>IFERROR(VLOOKUP($B417,Platts!$E$5:$M$4994,MATCH(E$3,Platts!$F$5:$M$5,0)+1,FALSE),E416)</f>
        <v>45.65</v>
      </c>
      <c r="F417" s="6">
        <f>IFERROR(VLOOKUP($B417,Platts!$E$5:$M$4994,MATCH(F$3,Platts!$F$5:$M$5,0)+1,FALSE),F416)</f>
        <v>56.67</v>
      </c>
      <c r="G417" s="6">
        <f>IFERROR(VLOOKUP($B417,Platts!$E$5:$M$4994,MATCH(G$3,Platts!$F$5:$M$5,0)+1,FALSE),G416)</f>
        <v>55.55</v>
      </c>
      <c r="H417" s="6">
        <f>IFERROR(VLOOKUP($B417,Platts!$E$5:$M$4994,MATCH(H$3,Platts!$F$5:$M$5,0)+1,FALSE),H416)</f>
        <v>53.4</v>
      </c>
      <c r="I417" s="6">
        <f>IFERROR(VLOOKUP($B417,Platts!$E$5:$M$4994,MATCH(I$3,Platts!$F$5:$M$5,0)+1,FALSE),I416)</f>
        <v>55.2</v>
      </c>
      <c r="J417" s="6">
        <f t="shared" si="12"/>
        <v>8.1000000000000014</v>
      </c>
    </row>
    <row r="418" spans="2:10" x14ac:dyDescent="0.25">
      <c r="B418" s="5">
        <f t="shared" si="13"/>
        <v>42784</v>
      </c>
      <c r="C418" s="6">
        <f>IFERROR(VLOOKUP($B418,Platts!$E$5:$M$4994,MATCH(C$3,Platts!$F$5:$M$5,0)+1,FALSE),C417)</f>
        <v>45.3</v>
      </c>
      <c r="D418" s="6">
        <f>IFERROR(VLOOKUP($B418,Platts!$E$5:$M$4994,MATCH(D$3,Platts!$F$5:$M$5,0)+1,FALSE),D417)</f>
        <v>55.96</v>
      </c>
      <c r="E418" s="6">
        <f>IFERROR(VLOOKUP($B418,Platts!$E$5:$M$4994,MATCH(E$3,Platts!$F$5:$M$5,0)+1,FALSE),E417)</f>
        <v>45.65</v>
      </c>
      <c r="F418" s="6">
        <f>IFERROR(VLOOKUP($B418,Platts!$E$5:$M$4994,MATCH(F$3,Platts!$F$5:$M$5,0)+1,FALSE),F417)</f>
        <v>56.67</v>
      </c>
      <c r="G418" s="6">
        <f>IFERROR(VLOOKUP($B418,Platts!$E$5:$M$4994,MATCH(G$3,Platts!$F$5:$M$5,0)+1,FALSE),G417)</f>
        <v>55.55</v>
      </c>
      <c r="H418" s="6">
        <f>IFERROR(VLOOKUP($B418,Platts!$E$5:$M$4994,MATCH(H$3,Platts!$F$5:$M$5,0)+1,FALSE),H417)</f>
        <v>53.4</v>
      </c>
      <c r="I418" s="6">
        <f>IFERROR(VLOOKUP($B418,Platts!$E$5:$M$4994,MATCH(I$3,Platts!$F$5:$M$5,0)+1,FALSE),I417)</f>
        <v>55.2</v>
      </c>
      <c r="J418" s="6">
        <f t="shared" si="12"/>
        <v>8.1000000000000014</v>
      </c>
    </row>
    <row r="419" spans="2:10" x14ac:dyDescent="0.25">
      <c r="B419" s="5">
        <f t="shared" si="13"/>
        <v>42785</v>
      </c>
      <c r="C419" s="6">
        <f>IFERROR(VLOOKUP($B419,Platts!$E$5:$M$4994,MATCH(C$3,Platts!$F$5:$M$5,0)+1,FALSE),C418)</f>
        <v>45.3</v>
      </c>
      <c r="D419" s="6">
        <f>IFERROR(VLOOKUP($B419,Platts!$E$5:$M$4994,MATCH(D$3,Platts!$F$5:$M$5,0)+1,FALSE),D418)</f>
        <v>55.96</v>
      </c>
      <c r="E419" s="6">
        <f>IFERROR(VLOOKUP($B419,Platts!$E$5:$M$4994,MATCH(E$3,Platts!$F$5:$M$5,0)+1,FALSE),E418)</f>
        <v>45.65</v>
      </c>
      <c r="F419" s="6">
        <f>IFERROR(VLOOKUP($B419,Platts!$E$5:$M$4994,MATCH(F$3,Platts!$F$5:$M$5,0)+1,FALSE),F418)</f>
        <v>56.67</v>
      </c>
      <c r="G419" s="6">
        <f>IFERROR(VLOOKUP($B419,Platts!$E$5:$M$4994,MATCH(G$3,Platts!$F$5:$M$5,0)+1,FALSE),G418)</f>
        <v>55.55</v>
      </c>
      <c r="H419" s="6">
        <f>IFERROR(VLOOKUP($B419,Platts!$E$5:$M$4994,MATCH(H$3,Platts!$F$5:$M$5,0)+1,FALSE),H418)</f>
        <v>53.4</v>
      </c>
      <c r="I419" s="6">
        <f>IFERROR(VLOOKUP($B419,Platts!$E$5:$M$4994,MATCH(I$3,Platts!$F$5:$M$5,0)+1,FALSE),I418)</f>
        <v>55.2</v>
      </c>
      <c r="J419" s="6">
        <f t="shared" si="12"/>
        <v>8.1000000000000014</v>
      </c>
    </row>
    <row r="420" spans="2:10" x14ac:dyDescent="0.25">
      <c r="B420" s="5">
        <f t="shared" si="13"/>
        <v>42786</v>
      </c>
      <c r="C420" s="6">
        <f>IFERROR(VLOOKUP($B420,Platts!$E$5:$M$4994,MATCH(C$3,Platts!$F$5:$M$5,0)+1,FALSE),C419)</f>
        <v>45.3</v>
      </c>
      <c r="D420" s="6">
        <f>IFERROR(VLOOKUP($B420,Platts!$E$5:$M$4994,MATCH(D$3,Platts!$F$5:$M$5,0)+1,FALSE),D419)</f>
        <v>55.96</v>
      </c>
      <c r="E420" s="6">
        <f>IFERROR(VLOOKUP($B420,Platts!$E$5:$M$4994,MATCH(E$3,Platts!$F$5:$M$5,0)+1,FALSE),E419)</f>
        <v>45.65</v>
      </c>
      <c r="F420" s="6">
        <f>IFERROR(VLOOKUP($B420,Platts!$E$5:$M$4994,MATCH(F$3,Platts!$F$5:$M$5,0)+1,FALSE),F419)</f>
        <v>56.67</v>
      </c>
      <c r="G420" s="6">
        <f>IFERROR(VLOOKUP($B420,Platts!$E$5:$M$4994,MATCH(G$3,Platts!$F$5:$M$5,0)+1,FALSE),G419)</f>
        <v>56.3</v>
      </c>
      <c r="H420" s="6">
        <f>IFERROR(VLOOKUP($B420,Platts!$E$5:$M$4994,MATCH(H$3,Platts!$F$5:$M$5,0)+1,FALSE),H419)</f>
        <v>53.4</v>
      </c>
      <c r="I420" s="6">
        <f>IFERROR(VLOOKUP($B420,Platts!$E$5:$M$4994,MATCH(I$3,Platts!$F$5:$M$5,0)+1,FALSE),I419)</f>
        <v>55.2</v>
      </c>
      <c r="J420" s="6">
        <f t="shared" si="12"/>
        <v>8.1000000000000014</v>
      </c>
    </row>
    <row r="421" spans="2:10" x14ac:dyDescent="0.25">
      <c r="B421" s="5">
        <f t="shared" si="13"/>
        <v>42787</v>
      </c>
      <c r="C421" s="6">
        <f>IFERROR(VLOOKUP($B421,Platts!$E$5:$M$4994,MATCH(C$3,Platts!$F$5:$M$5,0)+1,FALSE),C420)</f>
        <v>46.03</v>
      </c>
      <c r="D421" s="6">
        <f>IFERROR(VLOOKUP($B421,Platts!$E$5:$M$4994,MATCH(D$3,Platts!$F$5:$M$5,0)+1,FALSE),D420)</f>
        <v>56.67</v>
      </c>
      <c r="E421" s="6">
        <f>IFERROR(VLOOKUP($B421,Platts!$E$5:$M$4994,MATCH(E$3,Platts!$F$5:$M$5,0)+1,FALSE),E420)</f>
        <v>46.14</v>
      </c>
      <c r="F421" s="6">
        <f>IFERROR(VLOOKUP($B421,Platts!$E$5:$M$4994,MATCH(F$3,Platts!$F$5:$M$5,0)+1,FALSE),F420)</f>
        <v>57.46</v>
      </c>
      <c r="G421" s="6">
        <f>IFERROR(VLOOKUP($B421,Platts!$E$5:$M$4994,MATCH(G$3,Platts!$F$5:$M$5,0)+1,FALSE),G420)</f>
        <v>57.03</v>
      </c>
      <c r="H421" s="6">
        <f>IFERROR(VLOOKUP($B421,Platts!$E$5:$M$4994,MATCH(H$3,Platts!$F$5:$M$5,0)+1,FALSE),H420)</f>
        <v>54.06</v>
      </c>
      <c r="I421" s="6">
        <f>IFERROR(VLOOKUP($B421,Platts!$E$5:$M$4994,MATCH(I$3,Platts!$F$5:$M$5,0)+1,FALSE),I420)</f>
        <v>55.86</v>
      </c>
      <c r="J421" s="6">
        <f t="shared" si="12"/>
        <v>8.0300000000000011</v>
      </c>
    </row>
    <row r="422" spans="2:10" x14ac:dyDescent="0.25">
      <c r="B422" s="5">
        <f t="shared" si="13"/>
        <v>42788</v>
      </c>
      <c r="C422" s="6">
        <f>IFERROR(VLOOKUP($B422,Platts!$E$5:$M$4994,MATCH(C$3,Platts!$F$5:$M$5,0)+1,FALSE),C421)</f>
        <v>45.17</v>
      </c>
      <c r="D422" s="6">
        <f>IFERROR(VLOOKUP($B422,Platts!$E$5:$M$4994,MATCH(D$3,Platts!$F$5:$M$5,0)+1,FALSE),D421)</f>
        <v>55.88</v>
      </c>
      <c r="E422" s="6">
        <f>IFERROR(VLOOKUP($B422,Platts!$E$5:$M$4994,MATCH(E$3,Platts!$F$5:$M$5,0)+1,FALSE),E421)</f>
        <v>45.37</v>
      </c>
      <c r="F422" s="6">
        <f>IFERROR(VLOOKUP($B422,Platts!$E$5:$M$4994,MATCH(F$3,Platts!$F$5:$M$5,0)+1,FALSE),F421)</f>
        <v>56.67</v>
      </c>
      <c r="G422" s="6">
        <f>IFERROR(VLOOKUP($B422,Platts!$E$5:$M$4994,MATCH(G$3,Platts!$F$5:$M$5,0)+1,FALSE),G421)</f>
        <v>55.73</v>
      </c>
      <c r="H422" s="6">
        <f>IFERROR(VLOOKUP($B422,Platts!$E$5:$M$4994,MATCH(H$3,Platts!$F$5:$M$5,0)+1,FALSE),H421)</f>
        <v>53.19</v>
      </c>
      <c r="I422" s="6">
        <f>IFERROR(VLOOKUP($B422,Platts!$E$5:$M$4994,MATCH(I$3,Platts!$F$5:$M$5,0)+1,FALSE),I421)</f>
        <v>54.94</v>
      </c>
      <c r="J422" s="6">
        <f t="shared" si="12"/>
        <v>8.019999999999996</v>
      </c>
    </row>
    <row r="423" spans="2:10" x14ac:dyDescent="0.25">
      <c r="B423" s="5">
        <f t="shared" si="13"/>
        <v>42789</v>
      </c>
      <c r="C423" s="6">
        <f>IFERROR(VLOOKUP($B423,Platts!$E$5:$M$4994,MATCH(C$3,Platts!$F$5:$M$5,0)+1,FALSE),C422)</f>
        <v>46</v>
      </c>
      <c r="D423" s="6">
        <f>IFERROR(VLOOKUP($B423,Platts!$E$5:$M$4994,MATCH(D$3,Platts!$F$5:$M$5,0)+1,FALSE),D422)</f>
        <v>56.66</v>
      </c>
      <c r="E423" s="6">
        <f>IFERROR(VLOOKUP($B423,Platts!$E$5:$M$4994,MATCH(E$3,Platts!$F$5:$M$5,0)+1,FALSE),E422)</f>
        <v>46.16</v>
      </c>
      <c r="F423" s="6">
        <f>IFERROR(VLOOKUP($B423,Platts!$E$5:$M$4994,MATCH(F$3,Platts!$F$5:$M$5,0)+1,FALSE),F422)</f>
        <v>57.43</v>
      </c>
      <c r="G423" s="6">
        <f>IFERROR(VLOOKUP($B423,Platts!$E$5:$M$4994,MATCH(G$3,Platts!$F$5:$M$5,0)+1,FALSE),G422)</f>
        <v>56.76</v>
      </c>
      <c r="H423" s="6">
        <f>IFERROR(VLOOKUP($B423,Platts!$E$5:$M$4994,MATCH(H$3,Platts!$F$5:$M$5,0)+1,FALSE),H422)</f>
        <v>54.05</v>
      </c>
      <c r="I423" s="6">
        <f>IFERROR(VLOOKUP($B423,Platts!$E$5:$M$4994,MATCH(I$3,Platts!$F$5:$M$5,0)+1,FALSE),I422)</f>
        <v>55.75</v>
      </c>
      <c r="J423" s="6">
        <f t="shared" si="12"/>
        <v>8.0499999999999972</v>
      </c>
    </row>
    <row r="424" spans="2:10" x14ac:dyDescent="0.25">
      <c r="B424" s="5">
        <f t="shared" si="13"/>
        <v>42790</v>
      </c>
      <c r="C424" s="6">
        <f>IFERROR(VLOOKUP($B424,Platts!$E$5:$M$4994,MATCH(C$3,Platts!$F$5:$M$5,0)+1,FALSE),C423)</f>
        <v>45.75</v>
      </c>
      <c r="D424" s="6">
        <f>IFERROR(VLOOKUP($B424,Platts!$E$5:$M$4994,MATCH(D$3,Platts!$F$5:$M$5,0)+1,FALSE),D423)</f>
        <v>55.98</v>
      </c>
      <c r="E424" s="6">
        <f>IFERROR(VLOOKUP($B424,Platts!$E$5:$M$4994,MATCH(E$3,Platts!$F$5:$M$5,0)+1,FALSE),E423)</f>
        <v>45.98</v>
      </c>
      <c r="F424" s="6">
        <f>IFERROR(VLOOKUP($B424,Platts!$E$5:$M$4994,MATCH(F$3,Platts!$F$5:$M$5,0)+1,FALSE),F423)</f>
        <v>56.77</v>
      </c>
      <c r="G424" s="6">
        <f>IFERROR(VLOOKUP($B424,Platts!$E$5:$M$4994,MATCH(G$3,Platts!$F$5:$M$5,0)+1,FALSE),G423)</f>
        <v>56.08</v>
      </c>
      <c r="H424" s="6">
        <f>IFERROR(VLOOKUP($B424,Platts!$E$5:$M$4994,MATCH(H$3,Platts!$F$5:$M$5,0)+1,FALSE),H423)</f>
        <v>53.59</v>
      </c>
      <c r="I424" s="6">
        <f>IFERROR(VLOOKUP($B424,Platts!$E$5:$M$4994,MATCH(I$3,Platts!$F$5:$M$5,0)+1,FALSE),I423)</f>
        <v>55.14</v>
      </c>
      <c r="J424" s="6">
        <f t="shared" si="12"/>
        <v>7.8400000000000034</v>
      </c>
    </row>
    <row r="425" spans="2:10" x14ac:dyDescent="0.25">
      <c r="B425" s="5">
        <f t="shared" si="13"/>
        <v>42791</v>
      </c>
      <c r="C425" s="6">
        <f>IFERROR(VLOOKUP($B425,Platts!$E$5:$M$4994,MATCH(C$3,Platts!$F$5:$M$5,0)+1,FALSE),C424)</f>
        <v>45.75</v>
      </c>
      <c r="D425" s="6">
        <f>IFERROR(VLOOKUP($B425,Platts!$E$5:$M$4994,MATCH(D$3,Platts!$F$5:$M$5,0)+1,FALSE),D424)</f>
        <v>55.98</v>
      </c>
      <c r="E425" s="6">
        <f>IFERROR(VLOOKUP($B425,Platts!$E$5:$M$4994,MATCH(E$3,Platts!$F$5:$M$5,0)+1,FALSE),E424)</f>
        <v>45.98</v>
      </c>
      <c r="F425" s="6">
        <f>IFERROR(VLOOKUP($B425,Platts!$E$5:$M$4994,MATCH(F$3,Platts!$F$5:$M$5,0)+1,FALSE),F424)</f>
        <v>56.77</v>
      </c>
      <c r="G425" s="6">
        <f>IFERROR(VLOOKUP($B425,Platts!$E$5:$M$4994,MATCH(G$3,Platts!$F$5:$M$5,0)+1,FALSE),G424)</f>
        <v>56.08</v>
      </c>
      <c r="H425" s="6">
        <f>IFERROR(VLOOKUP($B425,Platts!$E$5:$M$4994,MATCH(H$3,Platts!$F$5:$M$5,0)+1,FALSE),H424)</f>
        <v>53.59</v>
      </c>
      <c r="I425" s="6">
        <f>IFERROR(VLOOKUP($B425,Platts!$E$5:$M$4994,MATCH(I$3,Platts!$F$5:$M$5,0)+1,FALSE),I424)</f>
        <v>55.14</v>
      </c>
      <c r="J425" s="6">
        <f t="shared" si="12"/>
        <v>7.8400000000000034</v>
      </c>
    </row>
    <row r="426" spans="2:10" x14ac:dyDescent="0.25">
      <c r="B426" s="5">
        <f t="shared" si="13"/>
        <v>42792</v>
      </c>
      <c r="C426" s="6">
        <f>IFERROR(VLOOKUP($B426,Platts!$E$5:$M$4994,MATCH(C$3,Platts!$F$5:$M$5,0)+1,FALSE),C425)</f>
        <v>45.75</v>
      </c>
      <c r="D426" s="6">
        <f>IFERROR(VLOOKUP($B426,Platts!$E$5:$M$4994,MATCH(D$3,Platts!$F$5:$M$5,0)+1,FALSE),D425)</f>
        <v>55.98</v>
      </c>
      <c r="E426" s="6">
        <f>IFERROR(VLOOKUP($B426,Platts!$E$5:$M$4994,MATCH(E$3,Platts!$F$5:$M$5,0)+1,FALSE),E425)</f>
        <v>45.98</v>
      </c>
      <c r="F426" s="6">
        <f>IFERROR(VLOOKUP($B426,Platts!$E$5:$M$4994,MATCH(F$3,Platts!$F$5:$M$5,0)+1,FALSE),F425)</f>
        <v>56.77</v>
      </c>
      <c r="G426" s="6">
        <f>IFERROR(VLOOKUP($B426,Platts!$E$5:$M$4994,MATCH(G$3,Platts!$F$5:$M$5,0)+1,FALSE),G425)</f>
        <v>56.08</v>
      </c>
      <c r="H426" s="6">
        <f>IFERROR(VLOOKUP($B426,Platts!$E$5:$M$4994,MATCH(H$3,Platts!$F$5:$M$5,0)+1,FALSE),H425)</f>
        <v>53.59</v>
      </c>
      <c r="I426" s="6">
        <f>IFERROR(VLOOKUP($B426,Platts!$E$5:$M$4994,MATCH(I$3,Platts!$F$5:$M$5,0)+1,FALSE),I425)</f>
        <v>55.14</v>
      </c>
      <c r="J426" s="6">
        <f t="shared" si="12"/>
        <v>7.8400000000000034</v>
      </c>
    </row>
    <row r="427" spans="2:10" x14ac:dyDescent="0.25">
      <c r="B427" s="5">
        <f t="shared" si="13"/>
        <v>42793</v>
      </c>
      <c r="C427" s="6">
        <f>IFERROR(VLOOKUP($B427,Platts!$E$5:$M$4994,MATCH(C$3,Platts!$F$5:$M$5,0)+1,FALSE),C426)</f>
        <v>46.22</v>
      </c>
      <c r="D427" s="6">
        <f>IFERROR(VLOOKUP($B427,Platts!$E$5:$M$4994,MATCH(D$3,Platts!$F$5:$M$5,0)+1,FALSE),D426)</f>
        <v>56.69</v>
      </c>
      <c r="E427" s="6">
        <f>IFERROR(VLOOKUP($B427,Platts!$E$5:$M$4994,MATCH(E$3,Platts!$F$5:$M$5,0)+1,FALSE),E426)</f>
        <v>46.67</v>
      </c>
      <c r="F427" s="6">
        <f>IFERROR(VLOOKUP($B427,Platts!$E$5:$M$4994,MATCH(F$3,Platts!$F$5:$M$5,0)+1,FALSE),F426)</f>
        <v>57.37</v>
      </c>
      <c r="G427" s="6">
        <f>IFERROR(VLOOKUP($B427,Platts!$E$5:$M$4994,MATCH(G$3,Platts!$F$5:$M$5,0)+1,FALSE),G426)</f>
        <v>56.1</v>
      </c>
      <c r="H427" s="6">
        <f>IFERROR(VLOOKUP($B427,Platts!$E$5:$M$4994,MATCH(H$3,Platts!$F$5:$M$5,0)+1,FALSE),H426)</f>
        <v>54.05</v>
      </c>
      <c r="I427" s="6">
        <f>IFERROR(VLOOKUP($B427,Platts!$E$5:$M$4994,MATCH(I$3,Platts!$F$5:$M$5,0)+1,FALSE),I426)</f>
        <v>55.7</v>
      </c>
      <c r="J427" s="6">
        <f t="shared" si="12"/>
        <v>7.8299999999999983</v>
      </c>
    </row>
    <row r="428" spans="2:10" x14ac:dyDescent="0.25">
      <c r="B428" s="5">
        <f t="shared" si="13"/>
        <v>42794</v>
      </c>
      <c r="C428" s="6">
        <f>IFERROR(VLOOKUP($B428,Platts!$E$5:$M$4994,MATCH(C$3,Platts!$F$5:$M$5,0)+1,FALSE),C427)</f>
        <v>46.02</v>
      </c>
      <c r="D428" s="6">
        <f>IFERROR(VLOOKUP($B428,Platts!$E$5:$M$4994,MATCH(D$3,Platts!$F$5:$M$5,0)+1,FALSE),D427)</f>
        <v>56.66</v>
      </c>
      <c r="E428" s="6">
        <f>IFERROR(VLOOKUP($B428,Platts!$E$5:$M$4994,MATCH(E$3,Platts!$F$5:$M$5,0)+1,FALSE),E427)</f>
        <v>46.33</v>
      </c>
      <c r="F428" s="6">
        <f>IFERROR(VLOOKUP($B428,Platts!$E$5:$M$4994,MATCH(F$3,Platts!$F$5:$M$5,0)+1,FALSE),F427)</f>
        <v>57.32</v>
      </c>
      <c r="G428" s="6">
        <f>IFERROR(VLOOKUP($B428,Platts!$E$5:$M$4994,MATCH(G$3,Platts!$F$5:$M$5,0)+1,FALSE),G427)</f>
        <v>55.15</v>
      </c>
      <c r="H428" s="6">
        <f>IFERROR(VLOOKUP($B428,Platts!$E$5:$M$4994,MATCH(H$3,Platts!$F$5:$M$5,0)+1,FALSE),H427)</f>
        <v>54.01</v>
      </c>
      <c r="I428" s="6">
        <f>IFERROR(VLOOKUP($B428,Platts!$E$5:$M$4994,MATCH(I$3,Platts!$F$5:$M$5,0)+1,FALSE),I427)</f>
        <v>55.76</v>
      </c>
      <c r="J428" s="6">
        <f t="shared" si="12"/>
        <v>7.9899999999999949</v>
      </c>
    </row>
    <row r="429" spans="2:10" x14ac:dyDescent="0.25">
      <c r="B429" s="5">
        <f t="shared" si="13"/>
        <v>42795</v>
      </c>
      <c r="C429" s="6">
        <f>IFERROR(VLOOKUP($B429,Platts!$E$5:$M$4994,MATCH(C$3,Platts!$F$5:$M$5,0)+1,FALSE),C428)</f>
        <v>46.33</v>
      </c>
      <c r="D429" s="6">
        <f>IFERROR(VLOOKUP($B429,Platts!$E$5:$M$4994,MATCH(D$3,Platts!$F$5:$M$5,0)+1,FALSE),D428)</f>
        <v>56.57</v>
      </c>
      <c r="E429" s="6">
        <f>IFERROR(VLOOKUP($B429,Platts!$E$5:$M$4994,MATCH(E$3,Platts!$F$5:$M$5,0)+1,FALSE),E428)</f>
        <v>47.02</v>
      </c>
      <c r="F429" s="6">
        <f>IFERROR(VLOOKUP($B429,Platts!$E$5:$M$4994,MATCH(F$3,Platts!$F$5:$M$5,0)+1,FALSE),F428)</f>
        <v>57.29</v>
      </c>
      <c r="G429" s="6">
        <f>IFERROR(VLOOKUP($B429,Platts!$E$5:$M$4994,MATCH(G$3,Platts!$F$5:$M$5,0)+1,FALSE),G428)</f>
        <v>56.61</v>
      </c>
      <c r="H429" s="6">
        <f>IFERROR(VLOOKUP($B429,Platts!$E$5:$M$4994,MATCH(H$3,Platts!$F$5:$M$5,0)+1,FALSE),H428)</f>
        <v>53.83</v>
      </c>
      <c r="I429" s="6">
        <f>IFERROR(VLOOKUP($B429,Platts!$E$5:$M$4994,MATCH(I$3,Platts!$F$5:$M$5,0)+1,FALSE),I428)</f>
        <v>55.63</v>
      </c>
      <c r="J429" s="6">
        <f t="shared" si="12"/>
        <v>7.5</v>
      </c>
    </row>
    <row r="430" spans="2:10" x14ac:dyDescent="0.25">
      <c r="B430" s="5">
        <f t="shared" si="13"/>
        <v>42796</v>
      </c>
      <c r="C430" s="6">
        <f>IFERROR(VLOOKUP($B430,Platts!$E$5:$M$4994,MATCH(C$3,Platts!$F$5:$M$5,0)+1,FALSE),C429)</f>
        <v>45.19</v>
      </c>
      <c r="D430" s="6">
        <f>IFERROR(VLOOKUP($B430,Platts!$E$5:$M$4994,MATCH(D$3,Platts!$F$5:$M$5,0)+1,FALSE),D429)</f>
        <v>55.34</v>
      </c>
      <c r="E430" s="6">
        <f>IFERROR(VLOOKUP($B430,Platts!$E$5:$M$4994,MATCH(E$3,Platts!$F$5:$M$5,0)+1,FALSE),E429)</f>
        <v>45.69</v>
      </c>
      <c r="F430" s="6">
        <f>IFERROR(VLOOKUP($B430,Platts!$E$5:$M$4994,MATCH(F$3,Platts!$F$5:$M$5,0)+1,FALSE),F429)</f>
        <v>56.04</v>
      </c>
      <c r="G430" s="6">
        <f>IFERROR(VLOOKUP($B430,Platts!$E$5:$M$4994,MATCH(G$3,Platts!$F$5:$M$5,0)+1,FALSE),G429)</f>
        <v>55.46</v>
      </c>
      <c r="H430" s="6">
        <f>IFERROR(VLOOKUP($B430,Platts!$E$5:$M$4994,MATCH(H$3,Platts!$F$5:$M$5,0)+1,FALSE),H429)</f>
        <v>52.61</v>
      </c>
      <c r="I430" s="6">
        <f>IFERROR(VLOOKUP($B430,Platts!$E$5:$M$4994,MATCH(I$3,Platts!$F$5:$M$5,0)+1,FALSE),I429)</f>
        <v>54.41</v>
      </c>
      <c r="J430" s="6">
        <f t="shared" si="12"/>
        <v>7.4200000000000017</v>
      </c>
    </row>
    <row r="431" spans="2:10" x14ac:dyDescent="0.25">
      <c r="B431" s="5">
        <f t="shared" si="13"/>
        <v>42797</v>
      </c>
      <c r="C431" s="6">
        <f>IFERROR(VLOOKUP($B431,Platts!$E$5:$M$4994,MATCH(C$3,Platts!$F$5:$M$5,0)+1,FALSE),C430)</f>
        <v>45.43</v>
      </c>
      <c r="D431" s="6">
        <f>IFERROR(VLOOKUP($B431,Platts!$E$5:$M$4994,MATCH(D$3,Platts!$F$5:$M$5,0)+1,FALSE),D430)</f>
        <v>56</v>
      </c>
      <c r="E431" s="6">
        <f>IFERROR(VLOOKUP($B431,Platts!$E$5:$M$4994,MATCH(E$3,Platts!$F$5:$M$5,0)+1,FALSE),E430)</f>
        <v>46.08</v>
      </c>
      <c r="F431" s="6">
        <f>IFERROR(VLOOKUP($B431,Platts!$E$5:$M$4994,MATCH(F$3,Platts!$F$5:$M$5,0)+1,FALSE),F430)</f>
        <v>56.7</v>
      </c>
      <c r="G431" s="6">
        <f>IFERROR(VLOOKUP($B431,Platts!$E$5:$M$4994,MATCH(G$3,Platts!$F$5:$M$5,0)+1,FALSE),G430)</f>
        <v>55.61</v>
      </c>
      <c r="H431" s="6">
        <f>IFERROR(VLOOKUP($B431,Platts!$E$5:$M$4994,MATCH(H$3,Platts!$F$5:$M$5,0)+1,FALSE),H430)</f>
        <v>53.33</v>
      </c>
      <c r="I431" s="6">
        <f>IFERROR(VLOOKUP($B431,Platts!$E$5:$M$4994,MATCH(I$3,Platts!$F$5:$M$5,0)+1,FALSE),I430)</f>
        <v>55.08</v>
      </c>
      <c r="J431" s="6">
        <f t="shared" si="12"/>
        <v>7.8999999999999986</v>
      </c>
    </row>
    <row r="432" spans="2:10" x14ac:dyDescent="0.25">
      <c r="B432" s="5">
        <f t="shared" si="13"/>
        <v>42798</v>
      </c>
      <c r="C432" s="6">
        <f>IFERROR(VLOOKUP($B432,Platts!$E$5:$M$4994,MATCH(C$3,Platts!$F$5:$M$5,0)+1,FALSE),C431)</f>
        <v>45.43</v>
      </c>
      <c r="D432" s="6">
        <f>IFERROR(VLOOKUP($B432,Platts!$E$5:$M$4994,MATCH(D$3,Platts!$F$5:$M$5,0)+1,FALSE),D431)</f>
        <v>56</v>
      </c>
      <c r="E432" s="6">
        <f>IFERROR(VLOOKUP($B432,Platts!$E$5:$M$4994,MATCH(E$3,Platts!$F$5:$M$5,0)+1,FALSE),E431)</f>
        <v>46.08</v>
      </c>
      <c r="F432" s="6">
        <f>IFERROR(VLOOKUP($B432,Platts!$E$5:$M$4994,MATCH(F$3,Platts!$F$5:$M$5,0)+1,FALSE),F431)</f>
        <v>56.7</v>
      </c>
      <c r="G432" s="6">
        <f>IFERROR(VLOOKUP($B432,Platts!$E$5:$M$4994,MATCH(G$3,Platts!$F$5:$M$5,0)+1,FALSE),G431)</f>
        <v>55.61</v>
      </c>
      <c r="H432" s="6">
        <f>IFERROR(VLOOKUP($B432,Platts!$E$5:$M$4994,MATCH(H$3,Platts!$F$5:$M$5,0)+1,FALSE),H431)</f>
        <v>53.33</v>
      </c>
      <c r="I432" s="6">
        <f>IFERROR(VLOOKUP($B432,Platts!$E$5:$M$4994,MATCH(I$3,Platts!$F$5:$M$5,0)+1,FALSE),I431)</f>
        <v>55.08</v>
      </c>
      <c r="J432" s="6">
        <f t="shared" si="12"/>
        <v>7.8999999999999986</v>
      </c>
    </row>
    <row r="433" spans="2:10" x14ac:dyDescent="0.25">
      <c r="B433" s="5">
        <f t="shared" si="13"/>
        <v>42799</v>
      </c>
      <c r="C433" s="6">
        <f>IFERROR(VLOOKUP($B433,Platts!$E$5:$M$4994,MATCH(C$3,Platts!$F$5:$M$5,0)+1,FALSE),C432)</f>
        <v>45.43</v>
      </c>
      <c r="D433" s="6">
        <f>IFERROR(VLOOKUP($B433,Platts!$E$5:$M$4994,MATCH(D$3,Platts!$F$5:$M$5,0)+1,FALSE),D432)</f>
        <v>56</v>
      </c>
      <c r="E433" s="6">
        <f>IFERROR(VLOOKUP($B433,Platts!$E$5:$M$4994,MATCH(E$3,Platts!$F$5:$M$5,0)+1,FALSE),E432)</f>
        <v>46.08</v>
      </c>
      <c r="F433" s="6">
        <f>IFERROR(VLOOKUP($B433,Platts!$E$5:$M$4994,MATCH(F$3,Platts!$F$5:$M$5,0)+1,FALSE),F432)</f>
        <v>56.7</v>
      </c>
      <c r="G433" s="6">
        <f>IFERROR(VLOOKUP($B433,Platts!$E$5:$M$4994,MATCH(G$3,Platts!$F$5:$M$5,0)+1,FALSE),G432)</f>
        <v>55.61</v>
      </c>
      <c r="H433" s="6">
        <f>IFERROR(VLOOKUP($B433,Platts!$E$5:$M$4994,MATCH(H$3,Platts!$F$5:$M$5,0)+1,FALSE),H432)</f>
        <v>53.33</v>
      </c>
      <c r="I433" s="6">
        <f>IFERROR(VLOOKUP($B433,Platts!$E$5:$M$4994,MATCH(I$3,Platts!$F$5:$M$5,0)+1,FALSE),I432)</f>
        <v>55.08</v>
      </c>
      <c r="J433" s="6">
        <f t="shared" si="12"/>
        <v>7.8999999999999986</v>
      </c>
    </row>
    <row r="434" spans="2:10" x14ac:dyDescent="0.25">
      <c r="B434" s="5">
        <f t="shared" si="13"/>
        <v>42800</v>
      </c>
      <c r="C434" s="6">
        <f>IFERROR(VLOOKUP($B434,Platts!$E$5:$M$4994,MATCH(C$3,Platts!$F$5:$M$5,0)+1,FALSE),C433)</f>
        <v>45.52</v>
      </c>
      <c r="D434" s="6">
        <f>IFERROR(VLOOKUP($B434,Platts!$E$5:$M$4994,MATCH(D$3,Platts!$F$5:$M$5,0)+1,FALSE),D433)</f>
        <v>56.01</v>
      </c>
      <c r="E434" s="6">
        <f>IFERROR(VLOOKUP($B434,Platts!$E$5:$M$4994,MATCH(E$3,Platts!$F$5:$M$5,0)+1,FALSE),E433)</f>
        <v>46.28</v>
      </c>
      <c r="F434" s="6">
        <f>IFERROR(VLOOKUP($B434,Platts!$E$5:$M$4994,MATCH(F$3,Platts!$F$5:$M$5,0)+1,FALSE),F433)</f>
        <v>56.74</v>
      </c>
      <c r="G434" s="6">
        <f>IFERROR(VLOOKUP($B434,Platts!$E$5:$M$4994,MATCH(G$3,Platts!$F$5:$M$5,0)+1,FALSE),G433)</f>
        <v>55.98</v>
      </c>
      <c r="H434" s="6">
        <f>IFERROR(VLOOKUP($B434,Platts!$E$5:$M$4994,MATCH(H$3,Platts!$F$5:$M$5,0)+1,FALSE),H433)</f>
        <v>53.2</v>
      </c>
      <c r="I434" s="6">
        <f>IFERROR(VLOOKUP($B434,Platts!$E$5:$M$4994,MATCH(I$3,Platts!$F$5:$M$5,0)+1,FALSE),I433)</f>
        <v>54.95</v>
      </c>
      <c r="J434" s="6">
        <f t="shared" si="12"/>
        <v>7.68</v>
      </c>
    </row>
    <row r="435" spans="2:10" x14ac:dyDescent="0.25">
      <c r="B435" s="5">
        <f t="shared" si="13"/>
        <v>42801</v>
      </c>
      <c r="C435" s="6">
        <f>IFERROR(VLOOKUP($B435,Platts!$E$5:$M$4994,MATCH(C$3,Platts!$F$5:$M$5,0)+1,FALSE),C434)</f>
        <v>45.56</v>
      </c>
      <c r="D435" s="6">
        <f>IFERROR(VLOOKUP($B435,Platts!$E$5:$M$4994,MATCH(D$3,Platts!$F$5:$M$5,0)+1,FALSE),D434)</f>
        <v>55.84</v>
      </c>
      <c r="E435" s="6">
        <f>IFERROR(VLOOKUP($B435,Platts!$E$5:$M$4994,MATCH(E$3,Platts!$F$5:$M$5,0)+1,FALSE),E434)</f>
        <v>46.18</v>
      </c>
      <c r="F435" s="6">
        <f>IFERROR(VLOOKUP($B435,Platts!$E$5:$M$4994,MATCH(F$3,Platts!$F$5:$M$5,0)+1,FALSE),F434)</f>
        <v>56.57</v>
      </c>
      <c r="G435" s="6">
        <f>IFERROR(VLOOKUP($B435,Platts!$E$5:$M$4994,MATCH(G$3,Platts!$F$5:$M$5,0)+1,FALSE),G434)</f>
        <v>56.09</v>
      </c>
      <c r="H435" s="6">
        <f>IFERROR(VLOOKUP($B435,Platts!$E$5:$M$4994,MATCH(H$3,Platts!$F$5:$M$5,0)+1,FALSE),H434)</f>
        <v>53.14</v>
      </c>
      <c r="I435" s="6">
        <f>IFERROR(VLOOKUP($B435,Platts!$E$5:$M$4994,MATCH(I$3,Platts!$F$5:$M$5,0)+1,FALSE),I434)</f>
        <v>54.84</v>
      </c>
      <c r="J435" s="6">
        <f t="shared" si="12"/>
        <v>7.5799999999999983</v>
      </c>
    </row>
    <row r="436" spans="2:10" x14ac:dyDescent="0.25">
      <c r="B436" s="5">
        <f t="shared" si="13"/>
        <v>42802</v>
      </c>
      <c r="C436" s="6">
        <f>IFERROR(VLOOKUP($B436,Platts!$E$5:$M$4994,MATCH(C$3,Platts!$F$5:$M$5,0)+1,FALSE),C435)</f>
        <v>43.79</v>
      </c>
      <c r="D436" s="6">
        <f>IFERROR(VLOOKUP($B436,Platts!$E$5:$M$4994,MATCH(D$3,Platts!$F$5:$M$5,0)+1,FALSE),D435)</f>
        <v>53.03</v>
      </c>
      <c r="E436" s="6">
        <f>IFERROR(VLOOKUP($B436,Platts!$E$5:$M$4994,MATCH(E$3,Platts!$F$5:$M$5,0)+1,FALSE),E435)</f>
        <v>43.58</v>
      </c>
      <c r="F436" s="6">
        <f>IFERROR(VLOOKUP($B436,Platts!$E$5:$M$4994,MATCH(F$3,Platts!$F$5:$M$5,0)+1,FALSE),F435)</f>
        <v>53.81</v>
      </c>
      <c r="G436" s="6">
        <f>IFERROR(VLOOKUP($B436,Platts!$E$5:$M$4994,MATCH(G$3,Platts!$F$5:$M$5,0)+1,FALSE),G435)</f>
        <v>55.03</v>
      </c>
      <c r="H436" s="6">
        <f>IFERROR(VLOOKUP($B436,Platts!$E$5:$M$4994,MATCH(H$3,Platts!$F$5:$M$5,0)+1,FALSE),H435)</f>
        <v>50.28</v>
      </c>
      <c r="I436" s="6">
        <f>IFERROR(VLOOKUP($B436,Platts!$E$5:$M$4994,MATCH(I$3,Platts!$F$5:$M$5,0)+1,FALSE),I435)</f>
        <v>51.98</v>
      </c>
      <c r="J436" s="6">
        <f t="shared" si="12"/>
        <v>6.490000000000002</v>
      </c>
    </row>
    <row r="437" spans="2:10" x14ac:dyDescent="0.25">
      <c r="B437" s="5">
        <f t="shared" si="13"/>
        <v>42803</v>
      </c>
      <c r="C437" s="6">
        <f>IFERROR(VLOOKUP($B437,Platts!$E$5:$M$4994,MATCH(C$3,Platts!$F$5:$M$5,0)+1,FALSE),C436)</f>
        <v>42.03</v>
      </c>
      <c r="D437" s="6">
        <f>IFERROR(VLOOKUP($B437,Platts!$E$5:$M$4994,MATCH(D$3,Platts!$F$5:$M$5,0)+1,FALSE),D436)</f>
        <v>52.02</v>
      </c>
      <c r="E437" s="6">
        <f>IFERROR(VLOOKUP($B437,Platts!$E$5:$M$4994,MATCH(E$3,Platts!$F$5:$M$5,0)+1,FALSE),E436)</f>
        <v>42.57</v>
      </c>
      <c r="F437" s="6">
        <f>IFERROR(VLOOKUP($B437,Platts!$E$5:$M$4994,MATCH(F$3,Platts!$F$5:$M$5,0)+1,FALSE),F436)</f>
        <v>52.79</v>
      </c>
      <c r="G437" s="6">
        <f>IFERROR(VLOOKUP($B437,Platts!$E$5:$M$4994,MATCH(G$3,Platts!$F$5:$M$5,0)+1,FALSE),G436)</f>
        <v>51.99</v>
      </c>
      <c r="H437" s="6">
        <f>IFERROR(VLOOKUP($B437,Platts!$E$5:$M$4994,MATCH(H$3,Platts!$F$5:$M$5,0)+1,FALSE),H436)</f>
        <v>49.28</v>
      </c>
      <c r="I437" s="6">
        <f>IFERROR(VLOOKUP($B437,Platts!$E$5:$M$4994,MATCH(I$3,Platts!$F$5:$M$5,0)+1,FALSE),I436)</f>
        <v>50.98</v>
      </c>
      <c r="J437" s="6">
        <f t="shared" si="12"/>
        <v>7.25</v>
      </c>
    </row>
    <row r="438" spans="2:10" x14ac:dyDescent="0.25">
      <c r="B438" s="5">
        <f t="shared" si="13"/>
        <v>42804</v>
      </c>
      <c r="C438" s="6">
        <f>IFERROR(VLOOKUP($B438,Platts!$E$5:$M$4994,MATCH(C$3,Platts!$F$5:$M$5,0)+1,FALSE),C437)</f>
        <v>41.47</v>
      </c>
      <c r="D438" s="6">
        <f>IFERROR(VLOOKUP($B438,Platts!$E$5:$M$4994,MATCH(D$3,Platts!$F$5:$M$5,0)+1,FALSE),D437)</f>
        <v>51.26</v>
      </c>
      <c r="E438" s="6">
        <f>IFERROR(VLOOKUP($B438,Platts!$E$5:$M$4994,MATCH(E$3,Platts!$F$5:$M$5,0)+1,FALSE),E437)</f>
        <v>41.82</v>
      </c>
      <c r="F438" s="6">
        <f>IFERROR(VLOOKUP($B438,Platts!$E$5:$M$4994,MATCH(F$3,Platts!$F$5:$M$5,0)+1,FALSE),F437)</f>
        <v>52.03</v>
      </c>
      <c r="G438" s="6">
        <f>IFERROR(VLOOKUP($B438,Platts!$E$5:$M$4994,MATCH(G$3,Platts!$F$5:$M$5,0)+1,FALSE),G437)</f>
        <v>51.75</v>
      </c>
      <c r="H438" s="6">
        <f>IFERROR(VLOOKUP($B438,Platts!$E$5:$M$4994,MATCH(H$3,Platts!$F$5:$M$5,0)+1,FALSE),H437)</f>
        <v>48.49</v>
      </c>
      <c r="I438" s="6">
        <f>IFERROR(VLOOKUP($B438,Platts!$E$5:$M$4994,MATCH(I$3,Platts!$F$5:$M$5,0)+1,FALSE),I437)</f>
        <v>50.19</v>
      </c>
      <c r="J438" s="6">
        <f t="shared" si="12"/>
        <v>7.0200000000000031</v>
      </c>
    </row>
    <row r="439" spans="2:10" x14ac:dyDescent="0.25">
      <c r="B439" s="5">
        <f t="shared" si="13"/>
        <v>42805</v>
      </c>
      <c r="C439" s="6">
        <f>IFERROR(VLOOKUP($B439,Platts!$E$5:$M$4994,MATCH(C$3,Platts!$F$5:$M$5,0)+1,FALSE),C438)</f>
        <v>41.47</v>
      </c>
      <c r="D439" s="6">
        <f>IFERROR(VLOOKUP($B439,Platts!$E$5:$M$4994,MATCH(D$3,Platts!$F$5:$M$5,0)+1,FALSE),D438)</f>
        <v>51.26</v>
      </c>
      <c r="E439" s="6">
        <f>IFERROR(VLOOKUP($B439,Platts!$E$5:$M$4994,MATCH(E$3,Platts!$F$5:$M$5,0)+1,FALSE),E438)</f>
        <v>41.82</v>
      </c>
      <c r="F439" s="6">
        <f>IFERROR(VLOOKUP($B439,Platts!$E$5:$M$4994,MATCH(F$3,Platts!$F$5:$M$5,0)+1,FALSE),F438)</f>
        <v>52.03</v>
      </c>
      <c r="G439" s="6">
        <f>IFERROR(VLOOKUP($B439,Platts!$E$5:$M$4994,MATCH(G$3,Platts!$F$5:$M$5,0)+1,FALSE),G438)</f>
        <v>51.75</v>
      </c>
      <c r="H439" s="6">
        <f>IFERROR(VLOOKUP($B439,Platts!$E$5:$M$4994,MATCH(H$3,Platts!$F$5:$M$5,0)+1,FALSE),H438)</f>
        <v>48.49</v>
      </c>
      <c r="I439" s="6">
        <f>IFERROR(VLOOKUP($B439,Platts!$E$5:$M$4994,MATCH(I$3,Platts!$F$5:$M$5,0)+1,FALSE),I438)</f>
        <v>50.19</v>
      </c>
      <c r="J439" s="6">
        <f t="shared" si="12"/>
        <v>7.0200000000000031</v>
      </c>
    </row>
    <row r="440" spans="2:10" x14ac:dyDescent="0.25">
      <c r="B440" s="5">
        <f t="shared" si="13"/>
        <v>42806</v>
      </c>
      <c r="C440" s="6">
        <f>IFERROR(VLOOKUP($B440,Platts!$E$5:$M$4994,MATCH(C$3,Platts!$F$5:$M$5,0)+1,FALSE),C439)</f>
        <v>41.47</v>
      </c>
      <c r="D440" s="6">
        <f>IFERROR(VLOOKUP($B440,Platts!$E$5:$M$4994,MATCH(D$3,Platts!$F$5:$M$5,0)+1,FALSE),D439)</f>
        <v>51.26</v>
      </c>
      <c r="E440" s="6">
        <f>IFERROR(VLOOKUP($B440,Platts!$E$5:$M$4994,MATCH(E$3,Platts!$F$5:$M$5,0)+1,FALSE),E439)</f>
        <v>41.82</v>
      </c>
      <c r="F440" s="6">
        <f>IFERROR(VLOOKUP($B440,Platts!$E$5:$M$4994,MATCH(F$3,Platts!$F$5:$M$5,0)+1,FALSE),F439)</f>
        <v>52.03</v>
      </c>
      <c r="G440" s="6">
        <f>IFERROR(VLOOKUP($B440,Platts!$E$5:$M$4994,MATCH(G$3,Platts!$F$5:$M$5,0)+1,FALSE),G439)</f>
        <v>51.75</v>
      </c>
      <c r="H440" s="6">
        <f>IFERROR(VLOOKUP($B440,Platts!$E$5:$M$4994,MATCH(H$3,Platts!$F$5:$M$5,0)+1,FALSE),H439)</f>
        <v>48.49</v>
      </c>
      <c r="I440" s="6">
        <f>IFERROR(VLOOKUP($B440,Platts!$E$5:$M$4994,MATCH(I$3,Platts!$F$5:$M$5,0)+1,FALSE),I439)</f>
        <v>50.19</v>
      </c>
      <c r="J440" s="6">
        <f t="shared" si="12"/>
        <v>7.0200000000000031</v>
      </c>
    </row>
    <row r="441" spans="2:10" x14ac:dyDescent="0.25">
      <c r="B441" s="5">
        <f t="shared" si="13"/>
        <v>42807</v>
      </c>
      <c r="C441" s="6">
        <f>IFERROR(VLOOKUP($B441,Platts!$E$5:$M$4994,MATCH(C$3,Platts!$F$5:$M$5,0)+1,FALSE),C440)</f>
        <v>41.04</v>
      </c>
      <c r="D441" s="6">
        <f>IFERROR(VLOOKUP($B441,Platts!$E$5:$M$4994,MATCH(D$3,Platts!$F$5:$M$5,0)+1,FALSE),D440)</f>
        <v>51.18</v>
      </c>
      <c r="E441" s="6">
        <f>IFERROR(VLOOKUP($B441,Platts!$E$5:$M$4994,MATCH(E$3,Platts!$F$5:$M$5,0)+1,FALSE),E440)</f>
        <v>41.68</v>
      </c>
      <c r="F441" s="6">
        <f>IFERROR(VLOOKUP($B441,Platts!$E$5:$M$4994,MATCH(F$3,Platts!$F$5:$M$5,0)+1,FALSE),F440)</f>
        <v>51.96</v>
      </c>
      <c r="G441" s="6">
        <f>IFERROR(VLOOKUP($B441,Platts!$E$5:$M$4994,MATCH(G$3,Platts!$F$5:$M$5,0)+1,FALSE),G440)</f>
        <v>51.52</v>
      </c>
      <c r="H441" s="6">
        <f>IFERROR(VLOOKUP($B441,Platts!$E$5:$M$4994,MATCH(H$3,Platts!$F$5:$M$5,0)+1,FALSE),H440)</f>
        <v>48.4</v>
      </c>
      <c r="I441" s="6">
        <f>IFERROR(VLOOKUP($B441,Platts!$E$5:$M$4994,MATCH(I$3,Platts!$F$5:$M$5,0)+1,FALSE),I440)</f>
        <v>50.1</v>
      </c>
      <c r="J441" s="6">
        <f t="shared" si="12"/>
        <v>7.3599999999999994</v>
      </c>
    </row>
    <row r="442" spans="2:10" x14ac:dyDescent="0.25">
      <c r="B442" s="5">
        <f t="shared" si="13"/>
        <v>42808</v>
      </c>
      <c r="C442" s="6">
        <f>IFERROR(VLOOKUP($B442,Platts!$E$5:$M$4994,MATCH(C$3,Platts!$F$5:$M$5,0)+1,FALSE),C441)</f>
        <v>40.29</v>
      </c>
      <c r="D442" s="6">
        <f>IFERROR(VLOOKUP($B442,Platts!$E$5:$M$4994,MATCH(D$3,Platts!$F$5:$M$5,0)+1,FALSE),D441)</f>
        <v>50.51</v>
      </c>
      <c r="E442" s="6">
        <f>IFERROR(VLOOKUP($B442,Platts!$E$5:$M$4994,MATCH(E$3,Platts!$F$5:$M$5,0)+1,FALSE),E441)</f>
        <v>41.03</v>
      </c>
      <c r="F442" s="6">
        <f>IFERROR(VLOOKUP($B442,Platts!$E$5:$M$4994,MATCH(F$3,Platts!$F$5:$M$5,0)+1,FALSE),F441)</f>
        <v>51.35</v>
      </c>
      <c r="G442" s="6">
        <f>IFERROR(VLOOKUP($B442,Platts!$E$5:$M$4994,MATCH(G$3,Platts!$F$5:$M$5,0)+1,FALSE),G441)</f>
        <v>50.48</v>
      </c>
      <c r="H442" s="6">
        <f>IFERROR(VLOOKUP($B442,Platts!$E$5:$M$4994,MATCH(H$3,Platts!$F$5:$M$5,0)+1,FALSE),H441)</f>
        <v>47.72</v>
      </c>
      <c r="I442" s="6">
        <f>IFERROR(VLOOKUP($B442,Platts!$E$5:$M$4994,MATCH(I$3,Platts!$F$5:$M$5,0)+1,FALSE),I441)</f>
        <v>49.47</v>
      </c>
      <c r="J442" s="6">
        <f t="shared" si="12"/>
        <v>7.43</v>
      </c>
    </row>
    <row r="443" spans="2:10" x14ac:dyDescent="0.25">
      <c r="B443" s="5">
        <f t="shared" si="13"/>
        <v>42809</v>
      </c>
      <c r="C443" s="6">
        <f>IFERROR(VLOOKUP($B443,Platts!$E$5:$M$4994,MATCH(C$3,Platts!$F$5:$M$5,0)+1,FALSE),C442)</f>
        <v>41.24</v>
      </c>
      <c r="D443" s="6">
        <f>IFERROR(VLOOKUP($B443,Platts!$E$5:$M$4994,MATCH(D$3,Platts!$F$5:$M$5,0)+1,FALSE),D442)</f>
        <v>51.59</v>
      </c>
      <c r="E443" s="6">
        <f>IFERROR(VLOOKUP($B443,Platts!$E$5:$M$4994,MATCH(E$3,Platts!$F$5:$M$5,0)+1,FALSE),E442)</f>
        <v>41.95</v>
      </c>
      <c r="F443" s="6">
        <f>IFERROR(VLOOKUP($B443,Platts!$E$5:$M$4994,MATCH(F$3,Platts!$F$5:$M$5,0)+1,FALSE),F442)</f>
        <v>52.4</v>
      </c>
      <c r="G443" s="6">
        <f>IFERROR(VLOOKUP($B443,Platts!$E$5:$M$4994,MATCH(G$3,Platts!$F$5:$M$5,0)+1,FALSE),G442)</f>
        <v>51.66</v>
      </c>
      <c r="H443" s="6">
        <f>IFERROR(VLOOKUP($B443,Platts!$E$5:$M$4994,MATCH(H$3,Platts!$F$5:$M$5,0)+1,FALSE),H442)</f>
        <v>48.86</v>
      </c>
      <c r="I443" s="6">
        <f>IFERROR(VLOOKUP($B443,Platts!$E$5:$M$4994,MATCH(I$3,Platts!$F$5:$M$5,0)+1,FALSE),I442)</f>
        <v>50.61</v>
      </c>
      <c r="J443" s="6">
        <f t="shared" si="12"/>
        <v>7.6199999999999974</v>
      </c>
    </row>
    <row r="444" spans="2:10" x14ac:dyDescent="0.25">
      <c r="B444" s="5">
        <f t="shared" si="13"/>
        <v>42810</v>
      </c>
      <c r="C444" s="6">
        <f>IFERROR(VLOOKUP($B444,Platts!$E$5:$M$4994,MATCH(C$3,Platts!$F$5:$M$5,0)+1,FALSE),C443)</f>
        <v>41.37</v>
      </c>
      <c r="D444" s="6">
        <f>IFERROR(VLOOKUP($B444,Platts!$E$5:$M$4994,MATCH(D$3,Platts!$F$5:$M$5,0)+1,FALSE),D443)</f>
        <v>51.54</v>
      </c>
      <c r="E444" s="6">
        <f>IFERROR(VLOOKUP($B444,Platts!$E$5:$M$4994,MATCH(E$3,Platts!$F$5:$M$5,0)+1,FALSE),E443)</f>
        <v>42.05</v>
      </c>
      <c r="F444" s="6">
        <f>IFERROR(VLOOKUP($B444,Platts!$E$5:$M$4994,MATCH(F$3,Platts!$F$5:$M$5,0)+1,FALSE),F443)</f>
        <v>52.35</v>
      </c>
      <c r="G444" s="6">
        <f>IFERROR(VLOOKUP($B444,Platts!$E$5:$M$4994,MATCH(G$3,Platts!$F$5:$M$5,0)+1,FALSE),G443)</f>
        <v>51.53</v>
      </c>
      <c r="H444" s="6">
        <f>IFERROR(VLOOKUP($B444,Platts!$E$5:$M$4994,MATCH(H$3,Platts!$F$5:$M$5,0)+1,FALSE),H443)</f>
        <v>48.75</v>
      </c>
      <c r="I444" s="6">
        <f>IFERROR(VLOOKUP($B444,Platts!$E$5:$M$4994,MATCH(I$3,Platts!$F$5:$M$5,0)+1,FALSE),I443)</f>
        <v>50.55</v>
      </c>
      <c r="J444" s="6">
        <f t="shared" si="12"/>
        <v>7.3800000000000026</v>
      </c>
    </row>
    <row r="445" spans="2:10" x14ac:dyDescent="0.25">
      <c r="B445" s="5">
        <f t="shared" si="13"/>
        <v>42811</v>
      </c>
      <c r="C445" s="6">
        <f>IFERROR(VLOOKUP($B445,Platts!$E$5:$M$4994,MATCH(C$3,Platts!$F$5:$M$5,0)+1,FALSE),C444)</f>
        <v>41.35</v>
      </c>
      <c r="D445" s="6">
        <f>IFERROR(VLOOKUP($B445,Platts!$E$5:$M$4994,MATCH(D$3,Platts!$F$5:$M$5,0)+1,FALSE),D444)</f>
        <v>51.53</v>
      </c>
      <c r="E445" s="6">
        <f>IFERROR(VLOOKUP($B445,Platts!$E$5:$M$4994,MATCH(E$3,Platts!$F$5:$M$5,0)+1,FALSE),E444)</f>
        <v>41.94</v>
      </c>
      <c r="F445" s="6">
        <f>IFERROR(VLOOKUP($B445,Platts!$E$5:$M$4994,MATCH(F$3,Platts!$F$5:$M$5,0)+1,FALSE),F444)</f>
        <v>52.33</v>
      </c>
      <c r="G445" s="6">
        <f>IFERROR(VLOOKUP($B445,Platts!$E$5:$M$4994,MATCH(G$3,Platts!$F$5:$M$5,0)+1,FALSE),G444)</f>
        <v>51.78</v>
      </c>
      <c r="H445" s="6">
        <f>IFERROR(VLOOKUP($B445,Platts!$E$5:$M$4994,MATCH(H$3,Platts!$F$5:$M$5,0)+1,FALSE),H444)</f>
        <v>48.78</v>
      </c>
      <c r="I445" s="6">
        <f>IFERROR(VLOOKUP($B445,Platts!$E$5:$M$4994,MATCH(I$3,Platts!$F$5:$M$5,0)+1,FALSE),I444)</f>
        <v>50.58</v>
      </c>
      <c r="J445" s="6">
        <f t="shared" si="12"/>
        <v>7.43</v>
      </c>
    </row>
    <row r="446" spans="2:10" x14ac:dyDescent="0.25">
      <c r="B446" s="5">
        <f t="shared" si="13"/>
        <v>42812</v>
      </c>
      <c r="C446" s="6">
        <f>IFERROR(VLOOKUP($B446,Platts!$E$5:$M$4994,MATCH(C$3,Platts!$F$5:$M$5,0)+1,FALSE),C445)</f>
        <v>41.35</v>
      </c>
      <c r="D446" s="6">
        <f>IFERROR(VLOOKUP($B446,Platts!$E$5:$M$4994,MATCH(D$3,Platts!$F$5:$M$5,0)+1,FALSE),D445)</f>
        <v>51.53</v>
      </c>
      <c r="E446" s="6">
        <f>IFERROR(VLOOKUP($B446,Platts!$E$5:$M$4994,MATCH(E$3,Platts!$F$5:$M$5,0)+1,FALSE),E445)</f>
        <v>41.94</v>
      </c>
      <c r="F446" s="6">
        <f>IFERROR(VLOOKUP($B446,Platts!$E$5:$M$4994,MATCH(F$3,Platts!$F$5:$M$5,0)+1,FALSE),F445)</f>
        <v>52.33</v>
      </c>
      <c r="G446" s="6">
        <f>IFERROR(VLOOKUP($B446,Platts!$E$5:$M$4994,MATCH(G$3,Platts!$F$5:$M$5,0)+1,FALSE),G445)</f>
        <v>51.78</v>
      </c>
      <c r="H446" s="6">
        <f>IFERROR(VLOOKUP($B446,Platts!$E$5:$M$4994,MATCH(H$3,Platts!$F$5:$M$5,0)+1,FALSE),H445)</f>
        <v>48.78</v>
      </c>
      <c r="I446" s="6">
        <f>IFERROR(VLOOKUP($B446,Platts!$E$5:$M$4994,MATCH(I$3,Platts!$F$5:$M$5,0)+1,FALSE),I445)</f>
        <v>50.58</v>
      </c>
      <c r="J446" s="6">
        <f t="shared" si="12"/>
        <v>7.43</v>
      </c>
    </row>
    <row r="447" spans="2:10" x14ac:dyDescent="0.25">
      <c r="B447" s="5">
        <f t="shared" si="13"/>
        <v>42813</v>
      </c>
      <c r="C447" s="6">
        <f>IFERROR(VLOOKUP($B447,Platts!$E$5:$M$4994,MATCH(C$3,Platts!$F$5:$M$5,0)+1,FALSE),C446)</f>
        <v>41.35</v>
      </c>
      <c r="D447" s="6">
        <f>IFERROR(VLOOKUP($B447,Platts!$E$5:$M$4994,MATCH(D$3,Platts!$F$5:$M$5,0)+1,FALSE),D446)</f>
        <v>51.53</v>
      </c>
      <c r="E447" s="6">
        <f>IFERROR(VLOOKUP($B447,Platts!$E$5:$M$4994,MATCH(E$3,Platts!$F$5:$M$5,0)+1,FALSE),E446)</f>
        <v>41.94</v>
      </c>
      <c r="F447" s="6">
        <f>IFERROR(VLOOKUP($B447,Platts!$E$5:$M$4994,MATCH(F$3,Platts!$F$5:$M$5,0)+1,FALSE),F446)</f>
        <v>52.33</v>
      </c>
      <c r="G447" s="6">
        <f>IFERROR(VLOOKUP($B447,Platts!$E$5:$M$4994,MATCH(G$3,Platts!$F$5:$M$5,0)+1,FALSE),G446)</f>
        <v>51.78</v>
      </c>
      <c r="H447" s="6">
        <f>IFERROR(VLOOKUP($B447,Platts!$E$5:$M$4994,MATCH(H$3,Platts!$F$5:$M$5,0)+1,FALSE),H446)</f>
        <v>48.78</v>
      </c>
      <c r="I447" s="6">
        <f>IFERROR(VLOOKUP($B447,Platts!$E$5:$M$4994,MATCH(I$3,Platts!$F$5:$M$5,0)+1,FALSE),I446)</f>
        <v>50.58</v>
      </c>
      <c r="J447" s="6">
        <f t="shared" si="12"/>
        <v>7.43</v>
      </c>
    </row>
    <row r="448" spans="2:10" x14ac:dyDescent="0.25">
      <c r="B448" s="5">
        <f t="shared" si="13"/>
        <v>42814</v>
      </c>
      <c r="C448" s="6">
        <f>IFERROR(VLOOKUP($B448,Platts!$E$5:$M$4994,MATCH(C$3,Platts!$F$5:$M$5,0)+1,FALSE),C447)</f>
        <v>41.27</v>
      </c>
      <c r="D448" s="6">
        <f>IFERROR(VLOOKUP($B448,Platts!$E$5:$M$4994,MATCH(D$3,Platts!$F$5:$M$5,0)+1,FALSE),D447)</f>
        <v>51.11</v>
      </c>
      <c r="E448" s="6">
        <f>IFERROR(VLOOKUP($B448,Platts!$E$5:$M$4994,MATCH(E$3,Platts!$F$5:$M$5,0)+1,FALSE),E447)</f>
        <v>41.68</v>
      </c>
      <c r="F448" s="6">
        <f>IFERROR(VLOOKUP($B448,Platts!$E$5:$M$4994,MATCH(F$3,Platts!$F$5:$M$5,0)+1,FALSE),F447)</f>
        <v>51.96</v>
      </c>
      <c r="G448" s="6">
        <f>IFERROR(VLOOKUP($B448,Platts!$E$5:$M$4994,MATCH(G$3,Platts!$F$5:$M$5,0)+1,FALSE),G447)</f>
        <v>51.95</v>
      </c>
      <c r="H448" s="6">
        <f>IFERROR(VLOOKUP($B448,Platts!$E$5:$M$4994,MATCH(H$3,Platts!$F$5:$M$5,0)+1,FALSE),H447)</f>
        <v>48.22</v>
      </c>
      <c r="I448" s="6">
        <f>IFERROR(VLOOKUP($B448,Platts!$E$5:$M$4994,MATCH(I$3,Platts!$F$5:$M$5,0)+1,FALSE),I447)</f>
        <v>50.02</v>
      </c>
      <c r="J448" s="6">
        <f t="shared" si="12"/>
        <v>6.9499999999999957</v>
      </c>
    </row>
    <row r="449" spans="2:10" x14ac:dyDescent="0.25">
      <c r="B449" s="5">
        <f t="shared" si="13"/>
        <v>42815</v>
      </c>
      <c r="C449" s="6">
        <f>IFERROR(VLOOKUP($B449,Platts!$E$5:$M$4994,MATCH(C$3,Platts!$F$5:$M$5,0)+1,FALSE),C448)</f>
        <v>40.47</v>
      </c>
      <c r="D449" s="6">
        <f>IFERROR(VLOOKUP($B449,Platts!$E$5:$M$4994,MATCH(D$3,Platts!$F$5:$M$5,0)+1,FALSE),D448)</f>
        <v>50.16</v>
      </c>
      <c r="E449" s="6">
        <f>IFERROR(VLOOKUP($B449,Platts!$E$5:$M$4994,MATCH(E$3,Platts!$F$5:$M$5,0)+1,FALSE),E448)</f>
        <v>40.869999999999997</v>
      </c>
      <c r="F449" s="6">
        <f>IFERROR(VLOOKUP($B449,Platts!$E$5:$M$4994,MATCH(F$3,Platts!$F$5:$M$5,0)+1,FALSE),F448)</f>
        <v>51.08</v>
      </c>
      <c r="G449" s="6">
        <f>IFERROR(VLOOKUP($B449,Platts!$E$5:$M$4994,MATCH(G$3,Platts!$F$5:$M$5,0)+1,FALSE),G448)</f>
        <v>51.11</v>
      </c>
      <c r="H449" s="6">
        <f>IFERROR(VLOOKUP($B449,Platts!$E$5:$M$4994,MATCH(H$3,Platts!$F$5:$M$5,0)+1,FALSE),H448)</f>
        <v>47.34</v>
      </c>
      <c r="I449" s="6">
        <f>IFERROR(VLOOKUP($B449,Platts!$E$5:$M$4994,MATCH(I$3,Platts!$F$5:$M$5,0)+1,FALSE),I448)</f>
        <v>49.04</v>
      </c>
      <c r="J449" s="6">
        <f t="shared" si="12"/>
        <v>6.8700000000000045</v>
      </c>
    </row>
    <row r="450" spans="2:10" x14ac:dyDescent="0.25">
      <c r="B450" s="5">
        <f t="shared" si="13"/>
        <v>42816</v>
      </c>
      <c r="C450" s="6">
        <f>IFERROR(VLOOKUP($B450,Platts!$E$5:$M$4994,MATCH(C$3,Platts!$F$5:$M$5,0)+1,FALSE),C449)</f>
        <v>40.11</v>
      </c>
      <c r="D450" s="6">
        <f>IFERROR(VLOOKUP($B450,Platts!$E$5:$M$4994,MATCH(D$3,Platts!$F$5:$M$5,0)+1,FALSE),D449)</f>
        <v>50.05</v>
      </c>
      <c r="E450" s="6">
        <f>IFERROR(VLOOKUP($B450,Platts!$E$5:$M$4994,MATCH(E$3,Platts!$F$5:$M$5,0)+1,FALSE),E449)</f>
        <v>40.53</v>
      </c>
      <c r="F450" s="6">
        <f>IFERROR(VLOOKUP($B450,Platts!$E$5:$M$4994,MATCH(F$3,Platts!$F$5:$M$5,0)+1,FALSE),F449)</f>
        <v>50.92</v>
      </c>
      <c r="G450" s="6">
        <f>IFERROR(VLOOKUP($B450,Platts!$E$5:$M$4994,MATCH(G$3,Platts!$F$5:$M$5,0)+1,FALSE),G449)</f>
        <v>50.32</v>
      </c>
      <c r="H450" s="6">
        <f>IFERROR(VLOOKUP($B450,Platts!$E$5:$M$4994,MATCH(H$3,Platts!$F$5:$M$5,0)+1,FALSE),H449)</f>
        <v>47.34</v>
      </c>
      <c r="I450" s="6">
        <f>IFERROR(VLOOKUP($B450,Platts!$E$5:$M$4994,MATCH(I$3,Platts!$F$5:$M$5,0)+1,FALSE),I449)</f>
        <v>49.04</v>
      </c>
      <c r="J450" s="6">
        <f t="shared" si="12"/>
        <v>7.230000000000004</v>
      </c>
    </row>
    <row r="451" spans="2:10" x14ac:dyDescent="0.25">
      <c r="B451" s="5">
        <f t="shared" si="13"/>
        <v>42817</v>
      </c>
      <c r="C451" s="6">
        <f>IFERROR(VLOOKUP($B451,Platts!$E$5:$M$4994,MATCH(C$3,Platts!$F$5:$M$5,0)+1,FALSE),C450)</f>
        <v>40.1</v>
      </c>
      <c r="D451" s="6">
        <f>IFERROR(VLOOKUP($B451,Platts!$E$5:$M$4994,MATCH(D$3,Platts!$F$5:$M$5,0)+1,FALSE),D450)</f>
        <v>49.76</v>
      </c>
      <c r="E451" s="6">
        <f>IFERROR(VLOOKUP($B451,Platts!$E$5:$M$4994,MATCH(E$3,Platts!$F$5:$M$5,0)+1,FALSE),E450)</f>
        <v>40.24</v>
      </c>
      <c r="F451" s="6">
        <f>IFERROR(VLOOKUP($B451,Platts!$E$5:$M$4994,MATCH(F$3,Platts!$F$5:$M$5,0)+1,FALSE),F450)</f>
        <v>50.65</v>
      </c>
      <c r="G451" s="6">
        <f>IFERROR(VLOOKUP($B451,Platts!$E$5:$M$4994,MATCH(G$3,Platts!$F$5:$M$5,0)+1,FALSE),G450)</f>
        <v>50.71</v>
      </c>
      <c r="H451" s="6">
        <f>IFERROR(VLOOKUP($B451,Platts!$E$5:$M$4994,MATCH(H$3,Platts!$F$5:$M$5,0)+1,FALSE),H450)</f>
        <v>47</v>
      </c>
      <c r="I451" s="6">
        <f>IFERROR(VLOOKUP($B451,Platts!$E$5:$M$4994,MATCH(I$3,Platts!$F$5:$M$5,0)+1,FALSE),I450)</f>
        <v>48.75</v>
      </c>
      <c r="J451" s="6">
        <f t="shared" si="12"/>
        <v>6.8999999999999986</v>
      </c>
    </row>
    <row r="452" spans="2:10" x14ac:dyDescent="0.25">
      <c r="B452" s="5">
        <f t="shared" si="13"/>
        <v>42818</v>
      </c>
      <c r="C452" s="6">
        <f>IFERROR(VLOOKUP($B452,Platts!$E$5:$M$4994,MATCH(C$3,Platts!$F$5:$M$5,0)+1,FALSE),C451)</f>
        <v>40.130000000000003</v>
      </c>
      <c r="D452" s="6">
        <f>IFERROR(VLOOKUP($B452,Platts!$E$5:$M$4994,MATCH(D$3,Platts!$F$5:$M$5,0)+1,FALSE),D451)</f>
        <v>50.01</v>
      </c>
      <c r="E452" s="6">
        <f>IFERROR(VLOOKUP($B452,Platts!$E$5:$M$4994,MATCH(E$3,Platts!$F$5:$M$5,0)+1,FALSE),E451)</f>
        <v>40.380000000000003</v>
      </c>
      <c r="F452" s="6">
        <f>IFERROR(VLOOKUP($B452,Platts!$E$5:$M$4994,MATCH(F$3,Platts!$F$5:$M$5,0)+1,FALSE),F451)</f>
        <v>50.94</v>
      </c>
      <c r="G452" s="6">
        <f>IFERROR(VLOOKUP($B452,Platts!$E$5:$M$4994,MATCH(G$3,Platts!$F$5:$M$5,0)+1,FALSE),G451)</f>
        <v>50.67</v>
      </c>
      <c r="H452" s="6">
        <f>IFERROR(VLOOKUP($B452,Platts!$E$5:$M$4994,MATCH(H$3,Platts!$F$5:$M$5,0)+1,FALSE),H451)</f>
        <v>47.27</v>
      </c>
      <c r="I452" s="6">
        <f>IFERROR(VLOOKUP($B452,Platts!$E$5:$M$4994,MATCH(I$3,Platts!$F$5:$M$5,0)+1,FALSE),I451)</f>
        <v>49.02</v>
      </c>
      <c r="J452" s="6">
        <f t="shared" ref="J452:J515" si="14">H452-C452</f>
        <v>7.1400000000000006</v>
      </c>
    </row>
    <row r="453" spans="2:10" x14ac:dyDescent="0.25">
      <c r="B453" s="5">
        <f t="shared" si="13"/>
        <v>42819</v>
      </c>
      <c r="C453" s="6">
        <f>IFERROR(VLOOKUP($B453,Platts!$E$5:$M$4994,MATCH(C$3,Platts!$F$5:$M$5,0)+1,FALSE),C452)</f>
        <v>40.130000000000003</v>
      </c>
      <c r="D453" s="6">
        <f>IFERROR(VLOOKUP($B453,Platts!$E$5:$M$4994,MATCH(D$3,Platts!$F$5:$M$5,0)+1,FALSE),D452)</f>
        <v>50.01</v>
      </c>
      <c r="E453" s="6">
        <f>IFERROR(VLOOKUP($B453,Platts!$E$5:$M$4994,MATCH(E$3,Platts!$F$5:$M$5,0)+1,FALSE),E452)</f>
        <v>40.380000000000003</v>
      </c>
      <c r="F453" s="6">
        <f>IFERROR(VLOOKUP($B453,Platts!$E$5:$M$4994,MATCH(F$3,Platts!$F$5:$M$5,0)+1,FALSE),F452)</f>
        <v>50.94</v>
      </c>
      <c r="G453" s="6">
        <f>IFERROR(VLOOKUP($B453,Platts!$E$5:$M$4994,MATCH(G$3,Platts!$F$5:$M$5,0)+1,FALSE),G452)</f>
        <v>50.67</v>
      </c>
      <c r="H453" s="6">
        <f>IFERROR(VLOOKUP($B453,Platts!$E$5:$M$4994,MATCH(H$3,Platts!$F$5:$M$5,0)+1,FALSE),H452)</f>
        <v>47.27</v>
      </c>
      <c r="I453" s="6">
        <f>IFERROR(VLOOKUP($B453,Platts!$E$5:$M$4994,MATCH(I$3,Platts!$F$5:$M$5,0)+1,FALSE),I452)</f>
        <v>49.02</v>
      </c>
      <c r="J453" s="6">
        <f t="shared" si="14"/>
        <v>7.1400000000000006</v>
      </c>
    </row>
    <row r="454" spans="2:10" x14ac:dyDescent="0.25">
      <c r="B454" s="5">
        <f t="shared" ref="B454:B517" si="15">B453+1</f>
        <v>42820</v>
      </c>
      <c r="C454" s="6">
        <f>IFERROR(VLOOKUP($B454,Platts!$E$5:$M$4994,MATCH(C$3,Platts!$F$5:$M$5,0)+1,FALSE),C453)</f>
        <v>40.130000000000003</v>
      </c>
      <c r="D454" s="6">
        <f>IFERROR(VLOOKUP($B454,Platts!$E$5:$M$4994,MATCH(D$3,Platts!$F$5:$M$5,0)+1,FALSE),D453)</f>
        <v>50.01</v>
      </c>
      <c r="E454" s="6">
        <f>IFERROR(VLOOKUP($B454,Platts!$E$5:$M$4994,MATCH(E$3,Platts!$F$5:$M$5,0)+1,FALSE),E453)</f>
        <v>40.380000000000003</v>
      </c>
      <c r="F454" s="6">
        <f>IFERROR(VLOOKUP($B454,Platts!$E$5:$M$4994,MATCH(F$3,Platts!$F$5:$M$5,0)+1,FALSE),F453)</f>
        <v>50.94</v>
      </c>
      <c r="G454" s="6">
        <f>IFERROR(VLOOKUP($B454,Platts!$E$5:$M$4994,MATCH(G$3,Platts!$F$5:$M$5,0)+1,FALSE),G453)</f>
        <v>50.67</v>
      </c>
      <c r="H454" s="6">
        <f>IFERROR(VLOOKUP($B454,Platts!$E$5:$M$4994,MATCH(H$3,Platts!$F$5:$M$5,0)+1,FALSE),H453)</f>
        <v>47.27</v>
      </c>
      <c r="I454" s="6">
        <f>IFERROR(VLOOKUP($B454,Platts!$E$5:$M$4994,MATCH(I$3,Platts!$F$5:$M$5,0)+1,FALSE),I453)</f>
        <v>49.02</v>
      </c>
      <c r="J454" s="6">
        <f t="shared" si="14"/>
        <v>7.1400000000000006</v>
      </c>
    </row>
    <row r="455" spans="2:10" x14ac:dyDescent="0.25">
      <c r="B455" s="5">
        <f t="shared" si="15"/>
        <v>42821</v>
      </c>
      <c r="C455" s="6">
        <f>IFERROR(VLOOKUP($B455,Platts!$E$5:$M$4994,MATCH(C$3,Platts!$F$5:$M$5,0)+1,FALSE),C454)</f>
        <v>40.22</v>
      </c>
      <c r="D455" s="6">
        <f>IFERROR(VLOOKUP($B455,Platts!$E$5:$M$4994,MATCH(D$3,Platts!$F$5:$M$5,0)+1,FALSE),D454)</f>
        <v>50.43</v>
      </c>
      <c r="E455" s="6">
        <f>IFERROR(VLOOKUP($B455,Platts!$E$5:$M$4994,MATCH(E$3,Platts!$F$5:$M$5,0)+1,FALSE),E454)</f>
        <v>40.74</v>
      </c>
      <c r="F455" s="6">
        <f>IFERROR(VLOOKUP($B455,Platts!$E$5:$M$4994,MATCH(F$3,Platts!$F$5:$M$5,0)+1,FALSE),F454)</f>
        <v>51.25</v>
      </c>
      <c r="G455" s="6">
        <f>IFERROR(VLOOKUP($B455,Platts!$E$5:$M$4994,MATCH(G$3,Platts!$F$5:$M$5,0)+1,FALSE),G454)</f>
        <v>50.8</v>
      </c>
      <c r="H455" s="6">
        <f>IFERROR(VLOOKUP($B455,Platts!$E$5:$M$4994,MATCH(H$3,Platts!$F$5:$M$5,0)+1,FALSE),H454)</f>
        <v>47.73</v>
      </c>
      <c r="I455" s="6">
        <f>IFERROR(VLOOKUP($B455,Platts!$E$5:$M$4994,MATCH(I$3,Platts!$F$5:$M$5,0)+1,FALSE),I454)</f>
        <v>49.58</v>
      </c>
      <c r="J455" s="6">
        <f t="shared" si="14"/>
        <v>7.509999999999998</v>
      </c>
    </row>
    <row r="456" spans="2:10" x14ac:dyDescent="0.25">
      <c r="B456" s="5">
        <f t="shared" si="15"/>
        <v>42822</v>
      </c>
      <c r="C456" s="6">
        <f>IFERROR(VLOOKUP($B456,Platts!$E$5:$M$4994,MATCH(C$3,Platts!$F$5:$M$5,0)+1,FALSE),C455)</f>
        <v>40.94</v>
      </c>
      <c r="D456" s="6">
        <f>IFERROR(VLOOKUP($B456,Platts!$E$5:$M$4994,MATCH(D$3,Platts!$F$5:$M$5,0)+1,FALSE),D455)</f>
        <v>51.23</v>
      </c>
      <c r="E456" s="6">
        <f>IFERROR(VLOOKUP($B456,Platts!$E$5:$M$4994,MATCH(E$3,Platts!$F$5:$M$5,0)+1,FALSE),E455)</f>
        <v>41.56</v>
      </c>
      <c r="F456" s="6">
        <f>IFERROR(VLOOKUP($B456,Platts!$E$5:$M$4994,MATCH(F$3,Platts!$F$5:$M$5,0)+1,FALSE),F455)</f>
        <v>51.99</v>
      </c>
      <c r="G456" s="6">
        <f>IFERROR(VLOOKUP($B456,Platts!$E$5:$M$4994,MATCH(G$3,Platts!$F$5:$M$5,0)+1,FALSE),G455)</f>
        <v>51.57</v>
      </c>
      <c r="H456" s="6">
        <f>IFERROR(VLOOKUP($B456,Platts!$E$5:$M$4994,MATCH(H$3,Platts!$F$5:$M$5,0)+1,FALSE),H455)</f>
        <v>48.37</v>
      </c>
      <c r="I456" s="6">
        <f>IFERROR(VLOOKUP($B456,Platts!$E$5:$M$4994,MATCH(I$3,Platts!$F$5:$M$5,0)+1,FALSE),I455)</f>
        <v>50.27</v>
      </c>
      <c r="J456" s="6">
        <f t="shared" si="14"/>
        <v>7.43</v>
      </c>
    </row>
    <row r="457" spans="2:10" x14ac:dyDescent="0.25">
      <c r="B457" s="5">
        <f t="shared" si="15"/>
        <v>42823</v>
      </c>
      <c r="C457" s="6">
        <f>IFERROR(VLOOKUP($B457,Platts!$E$5:$M$4994,MATCH(C$3,Platts!$F$5:$M$5,0)+1,FALSE),C456)</f>
        <v>41.88</v>
      </c>
      <c r="D457" s="6">
        <f>IFERROR(VLOOKUP($B457,Platts!$E$5:$M$4994,MATCH(D$3,Platts!$F$5:$M$5,0)+1,FALSE),D456)</f>
        <v>52.18</v>
      </c>
      <c r="E457" s="6">
        <f>IFERROR(VLOOKUP($B457,Platts!$E$5:$M$4994,MATCH(E$3,Platts!$F$5:$M$5,0)+1,FALSE),E456)</f>
        <v>42.09</v>
      </c>
      <c r="F457" s="6">
        <f>IFERROR(VLOOKUP($B457,Platts!$E$5:$M$4994,MATCH(F$3,Platts!$F$5:$M$5,0)+1,FALSE),F456)</f>
        <v>52.95</v>
      </c>
      <c r="G457" s="6">
        <f>IFERROR(VLOOKUP($B457,Platts!$E$5:$M$4994,MATCH(G$3,Platts!$F$5:$M$5,0)+1,FALSE),G456)</f>
        <v>52.22</v>
      </c>
      <c r="H457" s="6">
        <f>IFERROR(VLOOKUP($B457,Platts!$E$5:$M$4994,MATCH(H$3,Platts!$F$5:$M$5,0)+1,FALSE),H456)</f>
        <v>49.51</v>
      </c>
      <c r="I457" s="6">
        <f>IFERROR(VLOOKUP($B457,Platts!$E$5:$M$4994,MATCH(I$3,Platts!$F$5:$M$5,0)+1,FALSE),I456)</f>
        <v>51.31</v>
      </c>
      <c r="J457" s="6">
        <f t="shared" si="14"/>
        <v>7.6299999999999955</v>
      </c>
    </row>
    <row r="458" spans="2:10" x14ac:dyDescent="0.25">
      <c r="B458" s="5">
        <f t="shared" si="15"/>
        <v>42824</v>
      </c>
      <c r="C458" s="6">
        <f>IFERROR(VLOOKUP($B458,Platts!$E$5:$M$4994,MATCH(C$3,Platts!$F$5:$M$5,0)+1,FALSE),C457)</f>
        <v>42.63</v>
      </c>
      <c r="D458" s="6">
        <f>IFERROR(VLOOKUP($B458,Platts!$E$5:$M$4994,MATCH(D$3,Platts!$F$5:$M$5,0)+1,FALSE),D457)</f>
        <v>53.08</v>
      </c>
      <c r="E458" s="6">
        <f>IFERROR(VLOOKUP($B458,Platts!$E$5:$M$4994,MATCH(E$3,Platts!$F$5:$M$5,0)+1,FALSE),E457)</f>
        <v>43.29</v>
      </c>
      <c r="F458" s="6">
        <f>IFERROR(VLOOKUP($B458,Platts!$E$5:$M$4994,MATCH(F$3,Platts!$F$5:$M$5,0)+1,FALSE),F457)</f>
        <v>53.78</v>
      </c>
      <c r="G458" s="6">
        <f>IFERROR(VLOOKUP($B458,Platts!$E$5:$M$4994,MATCH(G$3,Platts!$F$5:$M$5,0)+1,FALSE),G457)</f>
        <v>53</v>
      </c>
      <c r="H458" s="6">
        <f>IFERROR(VLOOKUP($B458,Platts!$E$5:$M$4994,MATCH(H$3,Platts!$F$5:$M$5,0)+1,FALSE),H457)</f>
        <v>50.35</v>
      </c>
      <c r="I458" s="6">
        <f>IFERROR(VLOOKUP($B458,Platts!$E$5:$M$4994,MATCH(I$3,Platts!$F$5:$M$5,0)+1,FALSE),I457)</f>
        <v>52.2</v>
      </c>
      <c r="J458" s="6">
        <f t="shared" si="14"/>
        <v>7.7199999999999989</v>
      </c>
    </row>
    <row r="459" spans="2:10" x14ac:dyDescent="0.25">
      <c r="B459" s="5">
        <f t="shared" si="15"/>
        <v>42825</v>
      </c>
      <c r="C459" s="6">
        <f>IFERROR(VLOOKUP($B459,Platts!$E$5:$M$4994,MATCH(C$3,Platts!$F$5:$M$5,0)+1,FALSE),C458)</f>
        <v>42.6</v>
      </c>
      <c r="D459" s="6">
        <f>IFERROR(VLOOKUP($B459,Platts!$E$5:$M$4994,MATCH(D$3,Platts!$F$5:$M$5,0)+1,FALSE),D458)</f>
        <v>53.35</v>
      </c>
      <c r="E459" s="6">
        <f>IFERROR(VLOOKUP($B459,Platts!$E$5:$M$4994,MATCH(E$3,Platts!$F$5:$M$5,0)+1,FALSE),E458)</f>
        <v>43.53</v>
      </c>
      <c r="F459" s="6">
        <f>IFERROR(VLOOKUP($B459,Platts!$E$5:$M$4994,MATCH(F$3,Platts!$F$5:$M$5,0)+1,FALSE),F458)</f>
        <v>54.11</v>
      </c>
      <c r="G459" s="6">
        <f>IFERROR(VLOOKUP($B459,Platts!$E$5:$M$4994,MATCH(G$3,Platts!$F$5:$M$5,0)+1,FALSE),G458)</f>
        <v>52.56</v>
      </c>
      <c r="H459" s="6">
        <f>IFERROR(VLOOKUP($B459,Platts!$E$5:$M$4994,MATCH(H$3,Platts!$F$5:$M$5,0)+1,FALSE),H458)</f>
        <v>50.6</v>
      </c>
      <c r="I459" s="6">
        <f>IFERROR(VLOOKUP($B459,Platts!$E$5:$M$4994,MATCH(I$3,Platts!$F$5:$M$5,0)+1,FALSE),I458)</f>
        <v>52.7</v>
      </c>
      <c r="J459" s="6">
        <f t="shared" si="14"/>
        <v>8</v>
      </c>
    </row>
    <row r="460" spans="2:10" x14ac:dyDescent="0.25">
      <c r="B460" s="5">
        <f t="shared" si="15"/>
        <v>42826</v>
      </c>
      <c r="C460" s="6">
        <f>IFERROR(VLOOKUP($B460,Platts!$E$5:$M$4994,MATCH(C$3,Platts!$F$5:$M$5,0)+1,FALSE),C459)</f>
        <v>42.6</v>
      </c>
      <c r="D460" s="6">
        <f>IFERROR(VLOOKUP($B460,Platts!$E$5:$M$4994,MATCH(D$3,Platts!$F$5:$M$5,0)+1,FALSE),D459)</f>
        <v>53.35</v>
      </c>
      <c r="E460" s="6">
        <f>IFERROR(VLOOKUP($B460,Platts!$E$5:$M$4994,MATCH(E$3,Platts!$F$5:$M$5,0)+1,FALSE),E459)</f>
        <v>43.53</v>
      </c>
      <c r="F460" s="6">
        <f>IFERROR(VLOOKUP($B460,Platts!$E$5:$M$4994,MATCH(F$3,Platts!$F$5:$M$5,0)+1,FALSE),F459)</f>
        <v>54.11</v>
      </c>
      <c r="G460" s="6">
        <f>IFERROR(VLOOKUP($B460,Platts!$E$5:$M$4994,MATCH(G$3,Platts!$F$5:$M$5,0)+1,FALSE),G459)</f>
        <v>52.56</v>
      </c>
      <c r="H460" s="6">
        <f>IFERROR(VLOOKUP($B460,Platts!$E$5:$M$4994,MATCH(H$3,Platts!$F$5:$M$5,0)+1,FALSE),H459)</f>
        <v>50.6</v>
      </c>
      <c r="I460" s="6">
        <f>IFERROR(VLOOKUP($B460,Platts!$E$5:$M$4994,MATCH(I$3,Platts!$F$5:$M$5,0)+1,FALSE),I459)</f>
        <v>52.7</v>
      </c>
      <c r="J460" s="6">
        <f t="shared" si="14"/>
        <v>8</v>
      </c>
    </row>
    <row r="461" spans="2:10" x14ac:dyDescent="0.25">
      <c r="B461" s="5">
        <f t="shared" si="15"/>
        <v>42827</v>
      </c>
      <c r="C461" s="6">
        <f>IFERROR(VLOOKUP($B461,Platts!$E$5:$M$4994,MATCH(C$3,Platts!$F$5:$M$5,0)+1,FALSE),C460)</f>
        <v>42.6</v>
      </c>
      <c r="D461" s="6">
        <f>IFERROR(VLOOKUP($B461,Platts!$E$5:$M$4994,MATCH(D$3,Platts!$F$5:$M$5,0)+1,FALSE),D460)</f>
        <v>53.35</v>
      </c>
      <c r="E461" s="6">
        <f>IFERROR(VLOOKUP($B461,Platts!$E$5:$M$4994,MATCH(E$3,Platts!$F$5:$M$5,0)+1,FALSE),E460)</f>
        <v>43.53</v>
      </c>
      <c r="F461" s="6">
        <f>IFERROR(VLOOKUP($B461,Platts!$E$5:$M$4994,MATCH(F$3,Platts!$F$5:$M$5,0)+1,FALSE),F460)</f>
        <v>54.11</v>
      </c>
      <c r="G461" s="6">
        <f>IFERROR(VLOOKUP($B461,Platts!$E$5:$M$4994,MATCH(G$3,Platts!$F$5:$M$5,0)+1,FALSE),G460)</f>
        <v>52.56</v>
      </c>
      <c r="H461" s="6">
        <f>IFERROR(VLOOKUP($B461,Platts!$E$5:$M$4994,MATCH(H$3,Platts!$F$5:$M$5,0)+1,FALSE),H460)</f>
        <v>50.6</v>
      </c>
      <c r="I461" s="6">
        <f>IFERROR(VLOOKUP($B461,Platts!$E$5:$M$4994,MATCH(I$3,Platts!$F$5:$M$5,0)+1,FALSE),I460)</f>
        <v>52.7</v>
      </c>
      <c r="J461" s="6">
        <f t="shared" si="14"/>
        <v>8</v>
      </c>
    </row>
    <row r="462" spans="2:10" x14ac:dyDescent="0.25">
      <c r="B462" s="5">
        <f t="shared" si="15"/>
        <v>42828</v>
      </c>
      <c r="C462" s="6">
        <f>IFERROR(VLOOKUP($B462,Platts!$E$5:$M$4994,MATCH(C$3,Platts!$F$5:$M$5,0)+1,FALSE),C461)</f>
        <v>43.5</v>
      </c>
      <c r="D462" s="6">
        <f>IFERROR(VLOOKUP($B462,Platts!$E$5:$M$4994,MATCH(D$3,Platts!$F$5:$M$5,0)+1,FALSE),D461)</f>
        <v>52.89</v>
      </c>
      <c r="E462" s="6">
        <f>IFERROR(VLOOKUP($B462,Platts!$E$5:$M$4994,MATCH(E$3,Platts!$F$5:$M$5,0)+1,FALSE),E461)</f>
        <v>43.86</v>
      </c>
      <c r="F462" s="6">
        <f>IFERROR(VLOOKUP($B462,Platts!$E$5:$M$4994,MATCH(F$3,Platts!$F$5:$M$5,0)+1,FALSE),F461)</f>
        <v>53.68</v>
      </c>
      <c r="G462" s="6">
        <f>IFERROR(VLOOKUP($B462,Platts!$E$5:$M$4994,MATCH(G$3,Platts!$F$5:$M$5,0)+1,FALSE),G461)</f>
        <v>53.23</v>
      </c>
      <c r="H462" s="6">
        <f>IFERROR(VLOOKUP($B462,Platts!$E$5:$M$4994,MATCH(H$3,Platts!$F$5:$M$5,0)+1,FALSE),H461)</f>
        <v>50.24</v>
      </c>
      <c r="I462" s="6">
        <f>IFERROR(VLOOKUP($B462,Platts!$E$5:$M$4994,MATCH(I$3,Platts!$F$5:$M$5,0)+1,FALSE),I461)</f>
        <v>52.19</v>
      </c>
      <c r="J462" s="6">
        <f t="shared" si="14"/>
        <v>6.740000000000002</v>
      </c>
    </row>
    <row r="463" spans="2:10" x14ac:dyDescent="0.25">
      <c r="B463" s="5">
        <f t="shared" si="15"/>
        <v>42829</v>
      </c>
      <c r="C463" s="6">
        <f>IFERROR(VLOOKUP($B463,Platts!$E$5:$M$4994,MATCH(C$3,Platts!$F$5:$M$5,0)+1,FALSE),C462)</f>
        <v>44.32</v>
      </c>
      <c r="D463" s="6">
        <f>IFERROR(VLOOKUP($B463,Platts!$E$5:$M$4994,MATCH(D$3,Platts!$F$5:$M$5,0)+1,FALSE),D462)</f>
        <v>53.64</v>
      </c>
      <c r="E463" s="6">
        <f>IFERROR(VLOOKUP($B463,Platts!$E$5:$M$4994,MATCH(E$3,Platts!$F$5:$M$5,0)+1,FALSE),E462)</f>
        <v>44.54</v>
      </c>
      <c r="F463" s="6">
        <f>IFERROR(VLOOKUP($B463,Platts!$E$5:$M$4994,MATCH(F$3,Platts!$F$5:$M$5,0)+1,FALSE),F462)</f>
        <v>54.43</v>
      </c>
      <c r="G463" s="6">
        <f>IFERROR(VLOOKUP($B463,Platts!$E$5:$M$4994,MATCH(G$3,Platts!$F$5:$M$5,0)+1,FALSE),G462)</f>
        <v>54.1</v>
      </c>
      <c r="H463" s="6">
        <f>IFERROR(VLOOKUP($B463,Platts!$E$5:$M$4994,MATCH(H$3,Platts!$F$5:$M$5,0)+1,FALSE),H462)</f>
        <v>51.03</v>
      </c>
      <c r="I463" s="6">
        <f>IFERROR(VLOOKUP($B463,Platts!$E$5:$M$4994,MATCH(I$3,Platts!$F$5:$M$5,0)+1,FALSE),I462)</f>
        <v>52.93</v>
      </c>
      <c r="J463" s="6">
        <f t="shared" si="14"/>
        <v>6.7100000000000009</v>
      </c>
    </row>
    <row r="464" spans="2:10" x14ac:dyDescent="0.25">
      <c r="B464" s="5">
        <f t="shared" si="15"/>
        <v>42830</v>
      </c>
      <c r="C464" s="6">
        <f>IFERROR(VLOOKUP($B464,Platts!$E$5:$M$4994,MATCH(C$3,Platts!$F$5:$M$5,0)+1,FALSE),C463)</f>
        <v>44.6</v>
      </c>
      <c r="D464" s="6">
        <f>IFERROR(VLOOKUP($B464,Platts!$E$5:$M$4994,MATCH(D$3,Platts!$F$5:$M$5,0)+1,FALSE),D463)</f>
        <v>53.9</v>
      </c>
      <c r="E464" s="6">
        <f>IFERROR(VLOOKUP($B464,Platts!$E$5:$M$4994,MATCH(E$3,Platts!$F$5:$M$5,0)+1,FALSE),E463)</f>
        <v>44.82</v>
      </c>
      <c r="F464" s="6">
        <f>IFERROR(VLOOKUP($B464,Platts!$E$5:$M$4994,MATCH(F$3,Platts!$F$5:$M$5,0)+1,FALSE),F463)</f>
        <v>54.65</v>
      </c>
      <c r="G464" s="6">
        <f>IFERROR(VLOOKUP($B464,Platts!$E$5:$M$4994,MATCH(G$3,Platts!$F$5:$M$5,0)+1,FALSE),G463)</f>
        <v>54.39</v>
      </c>
      <c r="H464" s="6">
        <f>IFERROR(VLOOKUP($B464,Platts!$E$5:$M$4994,MATCH(H$3,Platts!$F$5:$M$5,0)+1,FALSE),H463)</f>
        <v>51.15</v>
      </c>
      <c r="I464" s="6">
        <f>IFERROR(VLOOKUP($B464,Platts!$E$5:$M$4994,MATCH(I$3,Platts!$F$5:$M$5,0)+1,FALSE),I463)</f>
        <v>53.35</v>
      </c>
      <c r="J464" s="6">
        <f t="shared" si="14"/>
        <v>6.5499999999999972</v>
      </c>
    </row>
    <row r="465" spans="2:10" x14ac:dyDescent="0.25">
      <c r="B465" s="5">
        <f t="shared" si="15"/>
        <v>42831</v>
      </c>
      <c r="C465" s="6">
        <f>IFERROR(VLOOKUP($B465,Platts!$E$5:$M$4994,MATCH(C$3,Platts!$F$5:$M$5,0)+1,FALSE),C464)</f>
        <v>45.08</v>
      </c>
      <c r="D465" s="6">
        <f>IFERROR(VLOOKUP($B465,Platts!$E$5:$M$4994,MATCH(D$3,Platts!$F$5:$M$5,0)+1,FALSE),D464)</f>
        <v>54.58</v>
      </c>
      <c r="E465" s="6">
        <f>IFERROR(VLOOKUP($B465,Platts!$E$5:$M$4994,MATCH(E$3,Platts!$F$5:$M$5,0)+1,FALSE),E464)</f>
        <v>45.54</v>
      </c>
      <c r="F465" s="6">
        <f>IFERROR(VLOOKUP($B465,Platts!$E$5:$M$4994,MATCH(F$3,Platts!$F$5:$M$5,0)+1,FALSE),F464)</f>
        <v>55.34</v>
      </c>
      <c r="G465" s="6">
        <f>IFERROR(VLOOKUP($B465,Platts!$E$5:$M$4994,MATCH(G$3,Platts!$F$5:$M$5,0)+1,FALSE),G464)</f>
        <v>54.75</v>
      </c>
      <c r="H465" s="6">
        <f>IFERROR(VLOOKUP($B465,Platts!$E$5:$M$4994,MATCH(H$3,Platts!$F$5:$M$5,0)+1,FALSE),H464)</f>
        <v>51.7</v>
      </c>
      <c r="I465" s="6">
        <f>IFERROR(VLOOKUP($B465,Platts!$E$5:$M$4994,MATCH(I$3,Platts!$F$5:$M$5,0)+1,FALSE),I464)</f>
        <v>54.05</v>
      </c>
      <c r="J465" s="6">
        <f t="shared" si="14"/>
        <v>6.6200000000000045</v>
      </c>
    </row>
    <row r="466" spans="2:10" x14ac:dyDescent="0.25">
      <c r="B466" s="5">
        <f t="shared" si="15"/>
        <v>42832</v>
      </c>
      <c r="C466" s="6">
        <f>IFERROR(VLOOKUP($B466,Platts!$E$5:$M$4994,MATCH(C$3,Platts!$F$5:$M$5,0)+1,FALSE),C465)</f>
        <v>45.6</v>
      </c>
      <c r="D466" s="6">
        <f>IFERROR(VLOOKUP($B466,Platts!$E$5:$M$4994,MATCH(D$3,Platts!$F$5:$M$5,0)+1,FALSE),D465)</f>
        <v>55.15</v>
      </c>
      <c r="E466" s="6">
        <f>IFERROR(VLOOKUP($B466,Platts!$E$5:$M$4994,MATCH(E$3,Platts!$F$5:$M$5,0)+1,FALSE),E465)</f>
        <v>46.12</v>
      </c>
      <c r="F466" s="6">
        <f>IFERROR(VLOOKUP($B466,Platts!$E$5:$M$4994,MATCH(F$3,Platts!$F$5:$M$5,0)+1,FALSE),F465)</f>
        <v>55.85</v>
      </c>
      <c r="G466" s="6">
        <f>IFERROR(VLOOKUP($B466,Platts!$E$5:$M$4994,MATCH(G$3,Platts!$F$5:$M$5,0)+1,FALSE),G465)</f>
        <v>55.13</v>
      </c>
      <c r="H466" s="6">
        <f>IFERROR(VLOOKUP($B466,Platts!$E$5:$M$4994,MATCH(H$3,Platts!$F$5:$M$5,0)+1,FALSE),H465)</f>
        <v>52.24</v>
      </c>
      <c r="I466" s="6">
        <f>IFERROR(VLOOKUP($B466,Platts!$E$5:$M$4994,MATCH(I$3,Platts!$F$5:$M$5,0)+1,FALSE),I465)</f>
        <v>54.59</v>
      </c>
      <c r="J466" s="6">
        <f t="shared" si="14"/>
        <v>6.6400000000000006</v>
      </c>
    </row>
    <row r="467" spans="2:10" x14ac:dyDescent="0.25">
      <c r="B467" s="5">
        <f t="shared" si="15"/>
        <v>42833</v>
      </c>
      <c r="C467" s="6">
        <f>IFERROR(VLOOKUP($B467,Platts!$E$5:$M$4994,MATCH(C$3,Platts!$F$5:$M$5,0)+1,FALSE),C466)</f>
        <v>45.6</v>
      </c>
      <c r="D467" s="6">
        <f>IFERROR(VLOOKUP($B467,Platts!$E$5:$M$4994,MATCH(D$3,Platts!$F$5:$M$5,0)+1,FALSE),D466)</f>
        <v>55.15</v>
      </c>
      <c r="E467" s="6">
        <f>IFERROR(VLOOKUP($B467,Platts!$E$5:$M$4994,MATCH(E$3,Platts!$F$5:$M$5,0)+1,FALSE),E466)</f>
        <v>46.12</v>
      </c>
      <c r="F467" s="6">
        <f>IFERROR(VLOOKUP($B467,Platts!$E$5:$M$4994,MATCH(F$3,Platts!$F$5:$M$5,0)+1,FALSE),F466)</f>
        <v>55.85</v>
      </c>
      <c r="G467" s="6">
        <f>IFERROR(VLOOKUP($B467,Platts!$E$5:$M$4994,MATCH(G$3,Platts!$F$5:$M$5,0)+1,FALSE),G466)</f>
        <v>55.13</v>
      </c>
      <c r="H467" s="6">
        <f>IFERROR(VLOOKUP($B467,Platts!$E$5:$M$4994,MATCH(H$3,Platts!$F$5:$M$5,0)+1,FALSE),H466)</f>
        <v>52.24</v>
      </c>
      <c r="I467" s="6">
        <f>IFERROR(VLOOKUP($B467,Platts!$E$5:$M$4994,MATCH(I$3,Platts!$F$5:$M$5,0)+1,FALSE),I466)</f>
        <v>54.59</v>
      </c>
      <c r="J467" s="6">
        <f t="shared" si="14"/>
        <v>6.6400000000000006</v>
      </c>
    </row>
    <row r="468" spans="2:10" x14ac:dyDescent="0.25">
      <c r="B468" s="5">
        <f t="shared" si="15"/>
        <v>42834</v>
      </c>
      <c r="C468" s="6">
        <f>IFERROR(VLOOKUP($B468,Platts!$E$5:$M$4994,MATCH(C$3,Platts!$F$5:$M$5,0)+1,FALSE),C467)</f>
        <v>45.6</v>
      </c>
      <c r="D468" s="6">
        <f>IFERROR(VLOOKUP($B468,Platts!$E$5:$M$4994,MATCH(D$3,Platts!$F$5:$M$5,0)+1,FALSE),D467)</f>
        <v>55.15</v>
      </c>
      <c r="E468" s="6">
        <f>IFERROR(VLOOKUP($B468,Platts!$E$5:$M$4994,MATCH(E$3,Platts!$F$5:$M$5,0)+1,FALSE),E467)</f>
        <v>46.12</v>
      </c>
      <c r="F468" s="6">
        <f>IFERROR(VLOOKUP($B468,Platts!$E$5:$M$4994,MATCH(F$3,Platts!$F$5:$M$5,0)+1,FALSE),F467)</f>
        <v>55.85</v>
      </c>
      <c r="G468" s="6">
        <f>IFERROR(VLOOKUP($B468,Platts!$E$5:$M$4994,MATCH(G$3,Platts!$F$5:$M$5,0)+1,FALSE),G467)</f>
        <v>55.13</v>
      </c>
      <c r="H468" s="6">
        <f>IFERROR(VLOOKUP($B468,Platts!$E$5:$M$4994,MATCH(H$3,Platts!$F$5:$M$5,0)+1,FALSE),H467)</f>
        <v>52.24</v>
      </c>
      <c r="I468" s="6">
        <f>IFERROR(VLOOKUP($B468,Platts!$E$5:$M$4994,MATCH(I$3,Platts!$F$5:$M$5,0)+1,FALSE),I467)</f>
        <v>54.59</v>
      </c>
      <c r="J468" s="6">
        <f t="shared" si="14"/>
        <v>6.6400000000000006</v>
      </c>
    </row>
    <row r="469" spans="2:10" x14ac:dyDescent="0.25">
      <c r="B469" s="5">
        <f t="shared" si="15"/>
        <v>42835</v>
      </c>
      <c r="C469" s="6">
        <f>IFERROR(VLOOKUP($B469,Platts!$E$5:$M$4994,MATCH(C$3,Platts!$F$5:$M$5,0)+1,FALSE),C468)</f>
        <v>46.24</v>
      </c>
      <c r="D469" s="6">
        <f>IFERROR(VLOOKUP($B469,Platts!$E$5:$M$4994,MATCH(D$3,Platts!$F$5:$M$5,0)+1,FALSE),D468)</f>
        <v>55.88</v>
      </c>
      <c r="E469" s="6">
        <f>IFERROR(VLOOKUP($B469,Platts!$E$5:$M$4994,MATCH(E$3,Platts!$F$5:$M$5,0)+1,FALSE),E468)</f>
        <v>46.74</v>
      </c>
      <c r="F469" s="6">
        <f>IFERROR(VLOOKUP($B469,Platts!$E$5:$M$4994,MATCH(F$3,Platts!$F$5:$M$5,0)+1,FALSE),F468)</f>
        <v>56.59</v>
      </c>
      <c r="G469" s="6">
        <f>IFERROR(VLOOKUP($B469,Platts!$E$5:$M$4994,MATCH(G$3,Platts!$F$5:$M$5,0)+1,FALSE),G468)</f>
        <v>55.93</v>
      </c>
      <c r="H469" s="6">
        <f>IFERROR(VLOOKUP($B469,Platts!$E$5:$M$4994,MATCH(H$3,Platts!$F$5:$M$5,0)+1,FALSE),H468)</f>
        <v>53.08</v>
      </c>
      <c r="I469" s="6">
        <f>IFERROR(VLOOKUP($B469,Platts!$E$5:$M$4994,MATCH(I$3,Platts!$F$5:$M$5,0)+1,FALSE),I468)</f>
        <v>55.28</v>
      </c>
      <c r="J469" s="6">
        <f t="shared" si="14"/>
        <v>6.8399999999999963</v>
      </c>
    </row>
    <row r="470" spans="2:10" x14ac:dyDescent="0.25">
      <c r="B470" s="5">
        <f t="shared" si="15"/>
        <v>42836</v>
      </c>
      <c r="C470" s="6">
        <f>IFERROR(VLOOKUP($B470,Platts!$E$5:$M$4994,MATCH(C$3,Platts!$F$5:$M$5,0)+1,FALSE),C469)</f>
        <v>46.27</v>
      </c>
      <c r="D470" s="6">
        <f>IFERROR(VLOOKUP($B470,Platts!$E$5:$M$4994,MATCH(D$3,Platts!$F$5:$M$5,0)+1,FALSE),D469)</f>
        <v>56.09</v>
      </c>
      <c r="E470" s="6">
        <f>IFERROR(VLOOKUP($B470,Platts!$E$5:$M$4994,MATCH(E$3,Platts!$F$5:$M$5,0)+1,FALSE),E469)</f>
        <v>46.97</v>
      </c>
      <c r="F470" s="6">
        <f>IFERROR(VLOOKUP($B470,Platts!$E$5:$M$4994,MATCH(F$3,Platts!$F$5:$M$5,0)+1,FALSE),F469)</f>
        <v>56.78</v>
      </c>
      <c r="G470" s="6">
        <f>IFERROR(VLOOKUP($B470,Platts!$E$5:$M$4994,MATCH(G$3,Platts!$F$5:$M$5,0)+1,FALSE),G469)</f>
        <v>55.59</v>
      </c>
      <c r="H470" s="6">
        <f>IFERROR(VLOOKUP($B470,Platts!$E$5:$M$4994,MATCH(H$3,Platts!$F$5:$M$5,0)+1,FALSE),H469)</f>
        <v>53.4</v>
      </c>
      <c r="I470" s="6">
        <f>IFERROR(VLOOKUP($B470,Platts!$E$5:$M$4994,MATCH(I$3,Platts!$F$5:$M$5,0)+1,FALSE),I469)</f>
        <v>55.55</v>
      </c>
      <c r="J470" s="6">
        <f t="shared" si="14"/>
        <v>7.1299999999999955</v>
      </c>
    </row>
    <row r="471" spans="2:10" x14ac:dyDescent="0.25">
      <c r="B471" s="5">
        <f t="shared" si="15"/>
        <v>42837</v>
      </c>
      <c r="C471" s="6">
        <f>IFERROR(VLOOKUP($B471,Platts!$E$5:$M$4994,MATCH(C$3,Platts!$F$5:$M$5,0)+1,FALSE),C470)</f>
        <v>46.3</v>
      </c>
      <c r="D471" s="6">
        <f>IFERROR(VLOOKUP($B471,Platts!$E$5:$M$4994,MATCH(D$3,Platts!$F$5:$M$5,0)+1,FALSE),D470)</f>
        <v>55.82</v>
      </c>
      <c r="E471" s="6">
        <f>IFERROR(VLOOKUP($B471,Platts!$E$5:$M$4994,MATCH(E$3,Platts!$F$5:$M$5,0)+1,FALSE),E470)</f>
        <v>46.6</v>
      </c>
      <c r="F471" s="6">
        <f>IFERROR(VLOOKUP($B471,Platts!$E$5:$M$4994,MATCH(F$3,Platts!$F$5:$M$5,0)+1,FALSE),F470)</f>
        <v>56.51</v>
      </c>
      <c r="G471" s="6">
        <f>IFERROR(VLOOKUP($B471,Platts!$E$5:$M$4994,MATCH(G$3,Platts!$F$5:$M$5,0)+1,FALSE),G470)</f>
        <v>55.98</v>
      </c>
      <c r="H471" s="6">
        <f>IFERROR(VLOOKUP($B471,Platts!$E$5:$M$4994,MATCH(H$3,Platts!$F$5:$M$5,0)+1,FALSE),H470)</f>
        <v>53.11</v>
      </c>
      <c r="I471" s="6">
        <f>IFERROR(VLOOKUP($B471,Platts!$E$5:$M$4994,MATCH(I$3,Platts!$F$5:$M$5,0)+1,FALSE),I470)</f>
        <v>55.31</v>
      </c>
      <c r="J471" s="6">
        <f t="shared" si="14"/>
        <v>6.8100000000000023</v>
      </c>
    </row>
    <row r="472" spans="2:10" x14ac:dyDescent="0.25">
      <c r="B472" s="5">
        <f t="shared" si="15"/>
        <v>42838</v>
      </c>
      <c r="C472" s="6">
        <f>IFERROR(VLOOKUP($B472,Platts!$E$5:$M$4994,MATCH(C$3,Platts!$F$5:$M$5,0)+1,FALSE),C471)</f>
        <v>46.37</v>
      </c>
      <c r="D472" s="6">
        <f>IFERROR(VLOOKUP($B472,Platts!$E$5:$M$4994,MATCH(D$3,Platts!$F$5:$M$5,0)+1,FALSE),D471)</f>
        <v>55.88</v>
      </c>
      <c r="E472" s="6">
        <f>IFERROR(VLOOKUP($B472,Platts!$E$5:$M$4994,MATCH(E$3,Platts!$F$5:$M$5,0)+1,FALSE),E471)</f>
        <v>46.75</v>
      </c>
      <c r="F472" s="6">
        <f>IFERROR(VLOOKUP($B472,Platts!$E$5:$M$4994,MATCH(F$3,Platts!$F$5:$M$5,0)+1,FALSE),F471)</f>
        <v>56.56</v>
      </c>
      <c r="G472" s="6">
        <f>IFERROR(VLOOKUP($B472,Platts!$E$5:$M$4994,MATCH(G$3,Platts!$F$5:$M$5,0)+1,FALSE),G471)</f>
        <v>55.9</v>
      </c>
      <c r="H472" s="6">
        <f>IFERROR(VLOOKUP($B472,Platts!$E$5:$M$4994,MATCH(H$3,Platts!$F$5:$M$5,0)+1,FALSE),H471)</f>
        <v>53.18</v>
      </c>
      <c r="I472" s="6">
        <f>IFERROR(VLOOKUP($B472,Platts!$E$5:$M$4994,MATCH(I$3,Platts!$F$5:$M$5,0)+1,FALSE),I471)</f>
        <v>55.33</v>
      </c>
      <c r="J472" s="6">
        <f t="shared" si="14"/>
        <v>6.8100000000000023</v>
      </c>
    </row>
    <row r="473" spans="2:10" x14ac:dyDescent="0.25">
      <c r="B473" s="5">
        <f t="shared" si="15"/>
        <v>42839</v>
      </c>
      <c r="C473" s="6">
        <f>IFERROR(VLOOKUP($B473,Platts!$E$5:$M$4994,MATCH(C$3,Platts!$F$5:$M$5,0)+1,FALSE),C472)</f>
        <v>46.37</v>
      </c>
      <c r="D473" s="6">
        <f>IFERROR(VLOOKUP($B473,Platts!$E$5:$M$4994,MATCH(D$3,Platts!$F$5:$M$5,0)+1,FALSE),D472)</f>
        <v>55.88</v>
      </c>
      <c r="E473" s="6">
        <f>IFERROR(VLOOKUP($B473,Platts!$E$5:$M$4994,MATCH(E$3,Platts!$F$5:$M$5,0)+1,FALSE),E472)</f>
        <v>46.75</v>
      </c>
      <c r="F473" s="6">
        <f>IFERROR(VLOOKUP($B473,Platts!$E$5:$M$4994,MATCH(F$3,Platts!$F$5:$M$5,0)+1,FALSE),F472)</f>
        <v>56.56</v>
      </c>
      <c r="G473" s="6">
        <f>IFERROR(VLOOKUP($B473,Platts!$E$5:$M$4994,MATCH(G$3,Platts!$F$5:$M$5,0)+1,FALSE),G472)</f>
        <v>55.9</v>
      </c>
      <c r="H473" s="6">
        <f>IFERROR(VLOOKUP($B473,Platts!$E$5:$M$4994,MATCH(H$3,Platts!$F$5:$M$5,0)+1,FALSE),H472)</f>
        <v>53.18</v>
      </c>
      <c r="I473" s="6">
        <f>IFERROR(VLOOKUP($B473,Platts!$E$5:$M$4994,MATCH(I$3,Platts!$F$5:$M$5,0)+1,FALSE),I472)</f>
        <v>55.33</v>
      </c>
      <c r="J473" s="6">
        <f t="shared" si="14"/>
        <v>6.8100000000000023</v>
      </c>
    </row>
    <row r="474" spans="2:10" x14ac:dyDescent="0.25">
      <c r="B474" s="5">
        <f t="shared" si="15"/>
        <v>42840</v>
      </c>
      <c r="C474" s="6">
        <f>IFERROR(VLOOKUP($B474,Platts!$E$5:$M$4994,MATCH(C$3,Platts!$F$5:$M$5,0)+1,FALSE),C473)</f>
        <v>46.37</v>
      </c>
      <c r="D474" s="6">
        <f>IFERROR(VLOOKUP($B474,Platts!$E$5:$M$4994,MATCH(D$3,Platts!$F$5:$M$5,0)+1,FALSE),D473)</f>
        <v>55.88</v>
      </c>
      <c r="E474" s="6">
        <f>IFERROR(VLOOKUP($B474,Platts!$E$5:$M$4994,MATCH(E$3,Platts!$F$5:$M$5,0)+1,FALSE),E473)</f>
        <v>46.75</v>
      </c>
      <c r="F474" s="6">
        <f>IFERROR(VLOOKUP($B474,Platts!$E$5:$M$4994,MATCH(F$3,Platts!$F$5:$M$5,0)+1,FALSE),F473)</f>
        <v>56.56</v>
      </c>
      <c r="G474" s="6">
        <f>IFERROR(VLOOKUP($B474,Platts!$E$5:$M$4994,MATCH(G$3,Platts!$F$5:$M$5,0)+1,FALSE),G473)</f>
        <v>55.9</v>
      </c>
      <c r="H474" s="6">
        <f>IFERROR(VLOOKUP($B474,Platts!$E$5:$M$4994,MATCH(H$3,Platts!$F$5:$M$5,0)+1,FALSE),H473)</f>
        <v>53.18</v>
      </c>
      <c r="I474" s="6">
        <f>IFERROR(VLOOKUP($B474,Platts!$E$5:$M$4994,MATCH(I$3,Platts!$F$5:$M$5,0)+1,FALSE),I473)</f>
        <v>55.33</v>
      </c>
      <c r="J474" s="6">
        <f t="shared" si="14"/>
        <v>6.8100000000000023</v>
      </c>
    </row>
    <row r="475" spans="2:10" x14ac:dyDescent="0.25">
      <c r="B475" s="5">
        <f t="shared" si="15"/>
        <v>42841</v>
      </c>
      <c r="C475" s="6">
        <f>IFERROR(VLOOKUP($B475,Platts!$E$5:$M$4994,MATCH(C$3,Platts!$F$5:$M$5,0)+1,FALSE),C474)</f>
        <v>46.37</v>
      </c>
      <c r="D475" s="6">
        <f>IFERROR(VLOOKUP($B475,Platts!$E$5:$M$4994,MATCH(D$3,Platts!$F$5:$M$5,0)+1,FALSE),D474)</f>
        <v>55.88</v>
      </c>
      <c r="E475" s="6">
        <f>IFERROR(VLOOKUP($B475,Platts!$E$5:$M$4994,MATCH(E$3,Platts!$F$5:$M$5,0)+1,FALSE),E474)</f>
        <v>46.75</v>
      </c>
      <c r="F475" s="6">
        <f>IFERROR(VLOOKUP($B475,Platts!$E$5:$M$4994,MATCH(F$3,Platts!$F$5:$M$5,0)+1,FALSE),F474)</f>
        <v>56.56</v>
      </c>
      <c r="G475" s="6">
        <f>IFERROR(VLOOKUP($B475,Platts!$E$5:$M$4994,MATCH(G$3,Platts!$F$5:$M$5,0)+1,FALSE),G474)</f>
        <v>55.9</v>
      </c>
      <c r="H475" s="6">
        <f>IFERROR(VLOOKUP($B475,Platts!$E$5:$M$4994,MATCH(H$3,Platts!$F$5:$M$5,0)+1,FALSE),H474)</f>
        <v>53.18</v>
      </c>
      <c r="I475" s="6">
        <f>IFERROR(VLOOKUP($B475,Platts!$E$5:$M$4994,MATCH(I$3,Platts!$F$5:$M$5,0)+1,FALSE),I474)</f>
        <v>55.33</v>
      </c>
      <c r="J475" s="6">
        <f t="shared" si="14"/>
        <v>6.8100000000000023</v>
      </c>
    </row>
    <row r="476" spans="2:10" x14ac:dyDescent="0.25">
      <c r="B476" s="5">
        <f t="shared" si="15"/>
        <v>42842</v>
      </c>
      <c r="C476" s="6">
        <f>IFERROR(VLOOKUP($B476,Platts!$E$5:$M$4994,MATCH(C$3,Platts!$F$5:$M$5,0)+1,FALSE),C475)</f>
        <v>46.37</v>
      </c>
      <c r="D476" s="6">
        <f>IFERROR(VLOOKUP($B476,Platts!$E$5:$M$4994,MATCH(D$3,Platts!$F$5:$M$5,0)+1,FALSE),D475)</f>
        <v>55.45</v>
      </c>
      <c r="E476" s="6">
        <f>IFERROR(VLOOKUP($B476,Platts!$E$5:$M$4994,MATCH(E$3,Platts!$F$5:$M$5,0)+1,FALSE),E475)</f>
        <v>46.52</v>
      </c>
      <c r="F476" s="6">
        <f>IFERROR(VLOOKUP($B476,Platts!$E$5:$M$4994,MATCH(F$3,Platts!$F$5:$M$5,0)+1,FALSE),F475)</f>
        <v>56.17</v>
      </c>
      <c r="G476" s="6">
        <f>IFERROR(VLOOKUP($B476,Platts!$E$5:$M$4994,MATCH(G$3,Platts!$F$5:$M$5,0)+1,FALSE),G475)</f>
        <v>55.9</v>
      </c>
      <c r="H476" s="6">
        <f>IFERROR(VLOOKUP($B476,Platts!$E$5:$M$4994,MATCH(H$3,Platts!$F$5:$M$5,0)+1,FALSE),H475)</f>
        <v>52.65</v>
      </c>
      <c r="I476" s="6">
        <f>IFERROR(VLOOKUP($B476,Platts!$E$5:$M$4994,MATCH(I$3,Platts!$F$5:$M$5,0)+1,FALSE),I475)</f>
        <v>54.7</v>
      </c>
      <c r="J476" s="6">
        <f t="shared" si="14"/>
        <v>6.2800000000000011</v>
      </c>
    </row>
    <row r="477" spans="2:10" x14ac:dyDescent="0.25">
      <c r="B477" s="5">
        <f t="shared" si="15"/>
        <v>42843</v>
      </c>
      <c r="C477" s="6">
        <f>IFERROR(VLOOKUP($B477,Platts!$E$5:$M$4994,MATCH(C$3,Platts!$F$5:$M$5,0)+1,FALSE),C476)</f>
        <v>45.61</v>
      </c>
      <c r="D477" s="6">
        <f>IFERROR(VLOOKUP($B477,Platts!$E$5:$M$4994,MATCH(D$3,Platts!$F$5:$M$5,0)+1,FALSE),D476)</f>
        <v>55.26</v>
      </c>
      <c r="E477" s="6">
        <f>IFERROR(VLOOKUP($B477,Platts!$E$5:$M$4994,MATCH(E$3,Platts!$F$5:$M$5,0)+1,FALSE),E476)</f>
        <v>46.21</v>
      </c>
      <c r="F477" s="6">
        <f>IFERROR(VLOOKUP($B477,Platts!$E$5:$M$4994,MATCH(F$3,Platts!$F$5:$M$5,0)+1,FALSE),F476)</f>
        <v>55.95</v>
      </c>
      <c r="G477" s="6">
        <f>IFERROR(VLOOKUP($B477,Platts!$E$5:$M$4994,MATCH(G$3,Platts!$F$5:$M$5,0)+1,FALSE),G476)</f>
        <v>54.97</v>
      </c>
      <c r="H477" s="6">
        <f>IFERROR(VLOOKUP($B477,Platts!$E$5:$M$4994,MATCH(H$3,Platts!$F$5:$M$5,0)+1,FALSE),H476)</f>
        <v>52.41</v>
      </c>
      <c r="I477" s="6">
        <f>IFERROR(VLOOKUP($B477,Platts!$E$5:$M$4994,MATCH(I$3,Platts!$F$5:$M$5,0)+1,FALSE),I476)</f>
        <v>54.56</v>
      </c>
      <c r="J477" s="6">
        <f t="shared" si="14"/>
        <v>6.7999999999999972</v>
      </c>
    </row>
    <row r="478" spans="2:10" x14ac:dyDescent="0.25">
      <c r="B478" s="5">
        <f t="shared" si="15"/>
        <v>42844</v>
      </c>
      <c r="C478" s="6">
        <f>IFERROR(VLOOKUP($B478,Platts!$E$5:$M$4994,MATCH(C$3,Platts!$F$5:$M$5,0)+1,FALSE),C477)</f>
        <v>44.29</v>
      </c>
      <c r="D478" s="6">
        <f>IFERROR(VLOOKUP($B478,Platts!$E$5:$M$4994,MATCH(D$3,Platts!$F$5:$M$5,0)+1,FALSE),D477)</f>
        <v>53.44</v>
      </c>
      <c r="E478" s="6">
        <f>IFERROR(VLOOKUP($B478,Platts!$E$5:$M$4994,MATCH(E$3,Platts!$F$5:$M$5,0)+1,FALSE),E477)</f>
        <v>44.46</v>
      </c>
      <c r="F478" s="6">
        <f>IFERROR(VLOOKUP($B478,Platts!$E$5:$M$4994,MATCH(F$3,Platts!$F$5:$M$5,0)+1,FALSE),F477)</f>
        <v>54.07</v>
      </c>
      <c r="G478" s="6">
        <f>IFERROR(VLOOKUP($B478,Platts!$E$5:$M$4994,MATCH(G$3,Platts!$F$5:$M$5,0)+1,FALSE),G477)</f>
        <v>54.42</v>
      </c>
      <c r="H478" s="6">
        <f>IFERROR(VLOOKUP($B478,Platts!$E$5:$M$4994,MATCH(H$3,Platts!$F$5:$M$5,0)+1,FALSE),H477)</f>
        <v>50.44</v>
      </c>
      <c r="I478" s="6">
        <f>IFERROR(VLOOKUP($B478,Platts!$E$5:$M$4994,MATCH(I$3,Platts!$F$5:$M$5,0)+1,FALSE),I477)</f>
        <v>52.69</v>
      </c>
      <c r="J478" s="6">
        <f t="shared" si="14"/>
        <v>6.1499999999999986</v>
      </c>
    </row>
    <row r="479" spans="2:10" x14ac:dyDescent="0.25">
      <c r="B479" s="5">
        <f t="shared" si="15"/>
        <v>42845</v>
      </c>
      <c r="C479" s="6">
        <f>IFERROR(VLOOKUP($B479,Platts!$E$5:$M$4994,MATCH(C$3,Platts!$F$5:$M$5,0)+1,FALSE),C478)</f>
        <v>43.63</v>
      </c>
      <c r="D479" s="6">
        <f>IFERROR(VLOOKUP($B479,Platts!$E$5:$M$4994,MATCH(D$3,Platts!$F$5:$M$5,0)+1,FALSE),D478)</f>
        <v>53.22</v>
      </c>
      <c r="E479" s="6">
        <f>IFERROR(VLOOKUP($B479,Platts!$E$5:$M$4994,MATCH(E$3,Platts!$F$5:$M$5,0)+1,FALSE),E478)</f>
        <v>44.24</v>
      </c>
      <c r="F479" s="6">
        <f>IFERROR(VLOOKUP($B479,Platts!$E$5:$M$4994,MATCH(F$3,Platts!$F$5:$M$5,0)+1,FALSE),F478)</f>
        <v>53.85</v>
      </c>
      <c r="G479" s="6">
        <f>IFERROR(VLOOKUP($B479,Platts!$E$5:$M$4994,MATCH(G$3,Platts!$F$5:$M$5,0)+1,FALSE),G478)</f>
        <v>53.01</v>
      </c>
      <c r="H479" s="6">
        <f>IFERROR(VLOOKUP($B479,Platts!$E$5:$M$4994,MATCH(H$3,Platts!$F$5:$M$5,0)+1,FALSE),H478)</f>
        <v>50.27</v>
      </c>
      <c r="I479" s="6">
        <f>IFERROR(VLOOKUP($B479,Platts!$E$5:$M$4994,MATCH(I$3,Platts!$F$5:$M$5,0)+1,FALSE),I478)</f>
        <v>52.57</v>
      </c>
      <c r="J479" s="6">
        <f t="shared" si="14"/>
        <v>6.6400000000000006</v>
      </c>
    </row>
    <row r="480" spans="2:10" x14ac:dyDescent="0.25">
      <c r="B480" s="5">
        <f t="shared" si="15"/>
        <v>42846</v>
      </c>
      <c r="C480" s="6">
        <f>IFERROR(VLOOKUP($B480,Platts!$E$5:$M$4994,MATCH(C$3,Platts!$F$5:$M$5,0)+1,FALSE),C479)</f>
        <v>42.73</v>
      </c>
      <c r="D480" s="6">
        <f>IFERROR(VLOOKUP($B480,Platts!$E$5:$M$4994,MATCH(D$3,Platts!$F$5:$M$5,0)+1,FALSE),D479)</f>
        <v>52.37</v>
      </c>
      <c r="E480" s="6">
        <f>IFERROR(VLOOKUP($B480,Platts!$E$5:$M$4994,MATCH(E$3,Platts!$F$5:$M$5,0)+1,FALSE),E479)</f>
        <v>43.29</v>
      </c>
      <c r="F480" s="6">
        <f>IFERROR(VLOOKUP($B480,Platts!$E$5:$M$4994,MATCH(F$3,Platts!$F$5:$M$5,0)+1,FALSE),F479)</f>
        <v>53.02</v>
      </c>
      <c r="G480" s="6">
        <f>IFERROR(VLOOKUP($B480,Platts!$E$5:$M$4994,MATCH(G$3,Platts!$F$5:$M$5,0)+1,FALSE),G479)</f>
        <v>51.88</v>
      </c>
      <c r="H480" s="6">
        <f>IFERROR(VLOOKUP($B480,Platts!$E$5:$M$4994,MATCH(H$3,Platts!$F$5:$M$5,0)+1,FALSE),H479)</f>
        <v>49.27</v>
      </c>
      <c r="I480" s="6">
        <f>IFERROR(VLOOKUP($B480,Platts!$E$5:$M$4994,MATCH(I$3,Platts!$F$5:$M$5,0)+1,FALSE),I479)</f>
        <v>51.32</v>
      </c>
      <c r="J480" s="6">
        <f t="shared" si="14"/>
        <v>6.5400000000000063</v>
      </c>
    </row>
    <row r="481" spans="2:10" x14ac:dyDescent="0.25">
      <c r="B481" s="5">
        <f t="shared" si="15"/>
        <v>42847</v>
      </c>
      <c r="C481" s="6">
        <f>IFERROR(VLOOKUP($B481,Platts!$E$5:$M$4994,MATCH(C$3,Platts!$F$5:$M$5,0)+1,FALSE),C480)</f>
        <v>42.73</v>
      </c>
      <c r="D481" s="6">
        <f>IFERROR(VLOOKUP($B481,Platts!$E$5:$M$4994,MATCH(D$3,Platts!$F$5:$M$5,0)+1,FALSE),D480)</f>
        <v>52.37</v>
      </c>
      <c r="E481" s="6">
        <f>IFERROR(VLOOKUP($B481,Platts!$E$5:$M$4994,MATCH(E$3,Platts!$F$5:$M$5,0)+1,FALSE),E480)</f>
        <v>43.29</v>
      </c>
      <c r="F481" s="6">
        <f>IFERROR(VLOOKUP($B481,Platts!$E$5:$M$4994,MATCH(F$3,Platts!$F$5:$M$5,0)+1,FALSE),F480)</f>
        <v>53.02</v>
      </c>
      <c r="G481" s="6">
        <f>IFERROR(VLOOKUP($B481,Platts!$E$5:$M$4994,MATCH(G$3,Platts!$F$5:$M$5,0)+1,FALSE),G480)</f>
        <v>51.88</v>
      </c>
      <c r="H481" s="6">
        <f>IFERROR(VLOOKUP($B481,Platts!$E$5:$M$4994,MATCH(H$3,Platts!$F$5:$M$5,0)+1,FALSE),H480)</f>
        <v>49.27</v>
      </c>
      <c r="I481" s="6">
        <f>IFERROR(VLOOKUP($B481,Platts!$E$5:$M$4994,MATCH(I$3,Platts!$F$5:$M$5,0)+1,FALSE),I480)</f>
        <v>51.32</v>
      </c>
      <c r="J481" s="6">
        <f t="shared" si="14"/>
        <v>6.5400000000000063</v>
      </c>
    </row>
    <row r="482" spans="2:10" x14ac:dyDescent="0.25">
      <c r="B482" s="5">
        <f t="shared" si="15"/>
        <v>42848</v>
      </c>
      <c r="C482" s="6">
        <f>IFERROR(VLOOKUP($B482,Platts!$E$5:$M$4994,MATCH(C$3,Platts!$F$5:$M$5,0)+1,FALSE),C481)</f>
        <v>42.73</v>
      </c>
      <c r="D482" s="6">
        <f>IFERROR(VLOOKUP($B482,Platts!$E$5:$M$4994,MATCH(D$3,Platts!$F$5:$M$5,0)+1,FALSE),D481)</f>
        <v>52.37</v>
      </c>
      <c r="E482" s="6">
        <f>IFERROR(VLOOKUP($B482,Platts!$E$5:$M$4994,MATCH(E$3,Platts!$F$5:$M$5,0)+1,FALSE),E481)</f>
        <v>43.29</v>
      </c>
      <c r="F482" s="6">
        <f>IFERROR(VLOOKUP($B482,Platts!$E$5:$M$4994,MATCH(F$3,Platts!$F$5:$M$5,0)+1,FALSE),F481)</f>
        <v>53.02</v>
      </c>
      <c r="G482" s="6">
        <f>IFERROR(VLOOKUP($B482,Platts!$E$5:$M$4994,MATCH(G$3,Platts!$F$5:$M$5,0)+1,FALSE),G481)</f>
        <v>51.88</v>
      </c>
      <c r="H482" s="6">
        <f>IFERROR(VLOOKUP($B482,Platts!$E$5:$M$4994,MATCH(H$3,Platts!$F$5:$M$5,0)+1,FALSE),H481)</f>
        <v>49.27</v>
      </c>
      <c r="I482" s="6">
        <f>IFERROR(VLOOKUP($B482,Platts!$E$5:$M$4994,MATCH(I$3,Platts!$F$5:$M$5,0)+1,FALSE),I481)</f>
        <v>51.32</v>
      </c>
      <c r="J482" s="6">
        <f t="shared" si="14"/>
        <v>6.5400000000000063</v>
      </c>
    </row>
    <row r="483" spans="2:10" x14ac:dyDescent="0.25">
      <c r="B483" s="5">
        <f t="shared" si="15"/>
        <v>42849</v>
      </c>
      <c r="C483" s="6">
        <f>IFERROR(VLOOKUP($B483,Platts!$E$5:$M$4994,MATCH(C$3,Platts!$F$5:$M$5,0)+1,FALSE),C482)</f>
        <v>42.45</v>
      </c>
      <c r="D483" s="6">
        <f>IFERROR(VLOOKUP($B483,Platts!$E$5:$M$4994,MATCH(D$3,Platts!$F$5:$M$5,0)+1,FALSE),D482)</f>
        <v>51.92</v>
      </c>
      <c r="E483" s="6">
        <f>IFERROR(VLOOKUP($B483,Platts!$E$5:$M$4994,MATCH(E$3,Platts!$F$5:$M$5,0)+1,FALSE),E482)</f>
        <v>43.02</v>
      </c>
      <c r="F483" s="6">
        <f>IFERROR(VLOOKUP($B483,Platts!$E$5:$M$4994,MATCH(F$3,Platts!$F$5:$M$5,0)+1,FALSE),F482)</f>
        <v>52.63</v>
      </c>
      <c r="G483" s="6">
        <f>IFERROR(VLOOKUP($B483,Platts!$E$5:$M$4994,MATCH(G$3,Platts!$F$5:$M$5,0)+1,FALSE),G482)</f>
        <v>51.55</v>
      </c>
      <c r="H483" s="6">
        <f>IFERROR(VLOOKUP($B483,Platts!$E$5:$M$4994,MATCH(H$3,Platts!$F$5:$M$5,0)+1,FALSE),H482)</f>
        <v>48.88</v>
      </c>
      <c r="I483" s="6">
        <f>IFERROR(VLOOKUP($B483,Platts!$E$5:$M$4994,MATCH(I$3,Platts!$F$5:$M$5,0)+1,FALSE),I482)</f>
        <v>50.93</v>
      </c>
      <c r="J483" s="6">
        <f t="shared" si="14"/>
        <v>6.43</v>
      </c>
    </row>
    <row r="484" spans="2:10" x14ac:dyDescent="0.25">
      <c r="B484" s="5">
        <f t="shared" si="15"/>
        <v>42850</v>
      </c>
      <c r="C484" s="6">
        <f>IFERROR(VLOOKUP($B484,Platts!$E$5:$M$4994,MATCH(C$3,Platts!$F$5:$M$5,0)+1,FALSE),C483)</f>
        <v>42.62</v>
      </c>
      <c r="D484" s="6">
        <f>IFERROR(VLOOKUP($B484,Platts!$E$5:$M$4994,MATCH(D$3,Platts!$F$5:$M$5,0)+1,FALSE),D483)</f>
        <v>52.33</v>
      </c>
      <c r="E484" s="6">
        <f>IFERROR(VLOOKUP($B484,Platts!$E$5:$M$4994,MATCH(E$3,Platts!$F$5:$M$5,0)+1,FALSE),E483)</f>
        <v>43.44</v>
      </c>
      <c r="F484" s="6">
        <f>IFERROR(VLOOKUP($B484,Platts!$E$5:$M$4994,MATCH(F$3,Platts!$F$5:$M$5,0)+1,FALSE),F483)</f>
        <v>53.07</v>
      </c>
      <c r="G484" s="6">
        <f>IFERROR(VLOOKUP($B484,Platts!$E$5:$M$4994,MATCH(G$3,Platts!$F$5:$M$5,0)+1,FALSE),G483)</f>
        <v>51.64</v>
      </c>
      <c r="H484" s="6">
        <f>IFERROR(VLOOKUP($B484,Platts!$E$5:$M$4994,MATCH(H$3,Platts!$F$5:$M$5,0)+1,FALSE),H483)</f>
        <v>49.21</v>
      </c>
      <c r="I484" s="6">
        <f>IFERROR(VLOOKUP($B484,Platts!$E$5:$M$4994,MATCH(I$3,Platts!$F$5:$M$5,0)+1,FALSE),I483)</f>
        <v>51.11</v>
      </c>
      <c r="J484" s="6">
        <f t="shared" si="14"/>
        <v>6.5900000000000034</v>
      </c>
    </row>
    <row r="485" spans="2:10" x14ac:dyDescent="0.25">
      <c r="B485" s="5">
        <f t="shared" si="15"/>
        <v>42851</v>
      </c>
      <c r="C485" s="6">
        <f>IFERROR(VLOOKUP($B485,Platts!$E$5:$M$4994,MATCH(C$3,Platts!$F$5:$M$5,0)+1,FALSE),C484)</f>
        <v>42.86</v>
      </c>
      <c r="D485" s="6">
        <f>IFERROR(VLOOKUP($B485,Platts!$E$5:$M$4994,MATCH(D$3,Platts!$F$5:$M$5,0)+1,FALSE),D484)</f>
        <v>52.3</v>
      </c>
      <c r="E485" s="6">
        <f>IFERROR(VLOOKUP($B485,Platts!$E$5:$M$4994,MATCH(E$3,Platts!$F$5:$M$5,0)+1,FALSE),E484)</f>
        <v>43.4</v>
      </c>
      <c r="F485" s="6">
        <f>IFERROR(VLOOKUP($B485,Platts!$E$5:$M$4994,MATCH(F$3,Platts!$F$5:$M$5,0)+1,FALSE),F484)</f>
        <v>52.98</v>
      </c>
      <c r="G485" s="6">
        <f>IFERROR(VLOOKUP($B485,Platts!$E$5:$M$4994,MATCH(G$3,Platts!$F$5:$M$5,0)+1,FALSE),G484)</f>
        <v>52.31</v>
      </c>
      <c r="H485" s="6">
        <f>IFERROR(VLOOKUP($B485,Platts!$E$5:$M$4994,MATCH(H$3,Platts!$F$5:$M$5,0)+1,FALSE),H484)</f>
        <v>49.62</v>
      </c>
      <c r="I485" s="6">
        <f>IFERROR(VLOOKUP($B485,Platts!$E$5:$M$4994,MATCH(I$3,Platts!$F$5:$M$5,0)+1,FALSE),I484)</f>
        <v>51.37</v>
      </c>
      <c r="J485" s="6">
        <f t="shared" si="14"/>
        <v>6.759999999999998</v>
      </c>
    </row>
    <row r="486" spans="2:10" x14ac:dyDescent="0.25">
      <c r="B486" s="5">
        <f t="shared" si="15"/>
        <v>42852</v>
      </c>
      <c r="C486" s="6">
        <f>IFERROR(VLOOKUP($B486,Platts!$E$5:$M$4994,MATCH(C$3,Platts!$F$5:$M$5,0)+1,FALSE),C485)</f>
        <v>42.25</v>
      </c>
      <c r="D486" s="6">
        <f>IFERROR(VLOOKUP($B486,Platts!$E$5:$M$4994,MATCH(D$3,Platts!$F$5:$M$5,0)+1,FALSE),D485)</f>
        <v>51.82</v>
      </c>
      <c r="E486" s="6">
        <f>IFERROR(VLOOKUP($B486,Platts!$E$5:$M$4994,MATCH(E$3,Platts!$F$5:$M$5,0)+1,FALSE),E485)</f>
        <v>43.06</v>
      </c>
      <c r="F486" s="6">
        <f>IFERROR(VLOOKUP($B486,Platts!$E$5:$M$4994,MATCH(F$3,Platts!$F$5:$M$5,0)+1,FALSE),F485)</f>
        <v>52.53</v>
      </c>
      <c r="G486" s="6">
        <f>IFERROR(VLOOKUP($B486,Platts!$E$5:$M$4994,MATCH(G$3,Platts!$F$5:$M$5,0)+1,FALSE),G485)</f>
        <v>50.47</v>
      </c>
      <c r="H486" s="6">
        <f>IFERROR(VLOOKUP($B486,Platts!$E$5:$M$4994,MATCH(H$3,Platts!$F$5:$M$5,0)+1,FALSE),H485)</f>
        <v>48.97</v>
      </c>
      <c r="I486" s="6">
        <f>IFERROR(VLOOKUP($B486,Platts!$E$5:$M$4994,MATCH(I$3,Platts!$F$5:$M$5,0)+1,FALSE),I485)</f>
        <v>50.72</v>
      </c>
      <c r="J486" s="6">
        <f t="shared" si="14"/>
        <v>6.7199999999999989</v>
      </c>
    </row>
    <row r="487" spans="2:10" x14ac:dyDescent="0.25">
      <c r="B487" s="5">
        <f t="shared" si="15"/>
        <v>42853</v>
      </c>
      <c r="C487" s="6">
        <f>IFERROR(VLOOKUP($B487,Platts!$E$5:$M$4994,MATCH(C$3,Platts!$F$5:$M$5,0)+1,FALSE),C486)</f>
        <v>42.74</v>
      </c>
      <c r="D487" s="6">
        <f>IFERROR(VLOOKUP($B487,Platts!$E$5:$M$4994,MATCH(D$3,Platts!$F$5:$M$5,0)+1,FALSE),D486)</f>
        <v>52.11</v>
      </c>
      <c r="E487" s="6">
        <f>IFERROR(VLOOKUP($B487,Platts!$E$5:$M$4994,MATCH(E$3,Platts!$F$5:$M$5,0)+1,FALSE),E486)</f>
        <v>43.34</v>
      </c>
      <c r="F487" s="6">
        <f>IFERROR(VLOOKUP($B487,Platts!$E$5:$M$4994,MATCH(F$3,Platts!$F$5:$M$5,0)+1,FALSE),F486)</f>
        <v>52.74</v>
      </c>
      <c r="G487" s="6">
        <f>IFERROR(VLOOKUP($B487,Platts!$E$5:$M$4994,MATCH(G$3,Platts!$F$5:$M$5,0)+1,FALSE),G486)</f>
        <v>51.5</v>
      </c>
      <c r="H487" s="6">
        <f>IFERROR(VLOOKUP($B487,Platts!$E$5:$M$4994,MATCH(H$3,Platts!$F$5:$M$5,0)+1,FALSE),H486)</f>
        <v>49.33</v>
      </c>
      <c r="I487" s="6">
        <f>IFERROR(VLOOKUP($B487,Platts!$E$5:$M$4994,MATCH(I$3,Platts!$F$5:$M$5,0)+1,FALSE),I486)</f>
        <v>51.08</v>
      </c>
      <c r="J487" s="6">
        <f t="shared" si="14"/>
        <v>6.5899999999999963</v>
      </c>
    </row>
    <row r="488" spans="2:10" x14ac:dyDescent="0.25">
      <c r="B488" s="5">
        <f t="shared" si="15"/>
        <v>42854</v>
      </c>
      <c r="C488" s="6">
        <f>IFERROR(VLOOKUP($B488,Platts!$E$5:$M$4994,MATCH(C$3,Platts!$F$5:$M$5,0)+1,FALSE),C487)</f>
        <v>42.74</v>
      </c>
      <c r="D488" s="6">
        <f>IFERROR(VLOOKUP($B488,Platts!$E$5:$M$4994,MATCH(D$3,Platts!$F$5:$M$5,0)+1,FALSE),D487)</f>
        <v>52.11</v>
      </c>
      <c r="E488" s="6">
        <f>IFERROR(VLOOKUP($B488,Platts!$E$5:$M$4994,MATCH(E$3,Platts!$F$5:$M$5,0)+1,FALSE),E487)</f>
        <v>43.34</v>
      </c>
      <c r="F488" s="6">
        <f>IFERROR(VLOOKUP($B488,Platts!$E$5:$M$4994,MATCH(F$3,Platts!$F$5:$M$5,0)+1,FALSE),F487)</f>
        <v>52.74</v>
      </c>
      <c r="G488" s="6">
        <f>IFERROR(VLOOKUP($B488,Platts!$E$5:$M$4994,MATCH(G$3,Platts!$F$5:$M$5,0)+1,FALSE),G487)</f>
        <v>51.5</v>
      </c>
      <c r="H488" s="6">
        <f>IFERROR(VLOOKUP($B488,Platts!$E$5:$M$4994,MATCH(H$3,Platts!$F$5:$M$5,0)+1,FALSE),H487)</f>
        <v>49.33</v>
      </c>
      <c r="I488" s="6">
        <f>IFERROR(VLOOKUP($B488,Platts!$E$5:$M$4994,MATCH(I$3,Platts!$F$5:$M$5,0)+1,FALSE),I487)</f>
        <v>51.08</v>
      </c>
      <c r="J488" s="6">
        <f t="shared" si="14"/>
        <v>6.5899999999999963</v>
      </c>
    </row>
    <row r="489" spans="2:10" x14ac:dyDescent="0.25">
      <c r="B489" s="5">
        <f t="shared" si="15"/>
        <v>42855</v>
      </c>
      <c r="C489" s="6">
        <f>IFERROR(VLOOKUP($B489,Platts!$E$5:$M$4994,MATCH(C$3,Platts!$F$5:$M$5,0)+1,FALSE),C488)</f>
        <v>42.74</v>
      </c>
      <c r="D489" s="6">
        <f>IFERROR(VLOOKUP($B489,Platts!$E$5:$M$4994,MATCH(D$3,Platts!$F$5:$M$5,0)+1,FALSE),D488)</f>
        <v>52.11</v>
      </c>
      <c r="E489" s="6">
        <f>IFERROR(VLOOKUP($B489,Platts!$E$5:$M$4994,MATCH(E$3,Platts!$F$5:$M$5,0)+1,FALSE),E488)</f>
        <v>43.34</v>
      </c>
      <c r="F489" s="6">
        <f>IFERROR(VLOOKUP($B489,Platts!$E$5:$M$4994,MATCH(F$3,Platts!$F$5:$M$5,0)+1,FALSE),F488)</f>
        <v>52.74</v>
      </c>
      <c r="G489" s="6">
        <f>IFERROR(VLOOKUP($B489,Platts!$E$5:$M$4994,MATCH(G$3,Platts!$F$5:$M$5,0)+1,FALSE),G488)</f>
        <v>51.5</v>
      </c>
      <c r="H489" s="6">
        <f>IFERROR(VLOOKUP($B489,Platts!$E$5:$M$4994,MATCH(H$3,Platts!$F$5:$M$5,0)+1,FALSE),H488)</f>
        <v>49.33</v>
      </c>
      <c r="I489" s="6">
        <f>IFERROR(VLOOKUP($B489,Platts!$E$5:$M$4994,MATCH(I$3,Platts!$F$5:$M$5,0)+1,FALSE),I488)</f>
        <v>51.08</v>
      </c>
      <c r="J489" s="6">
        <f t="shared" si="14"/>
        <v>6.5899999999999963</v>
      </c>
    </row>
    <row r="490" spans="2:10" x14ac:dyDescent="0.25">
      <c r="B490" s="5">
        <f t="shared" si="15"/>
        <v>42856</v>
      </c>
      <c r="C490" s="6">
        <f>IFERROR(VLOOKUP($B490,Platts!$E$5:$M$4994,MATCH(C$3,Platts!$F$5:$M$5,0)+1,FALSE),C489)</f>
        <v>42.74</v>
      </c>
      <c r="D490" s="6">
        <f>IFERROR(VLOOKUP($B490,Platts!$E$5:$M$4994,MATCH(D$3,Platts!$F$5:$M$5,0)+1,FALSE),D489)</f>
        <v>51.98</v>
      </c>
      <c r="E490" s="6">
        <f>IFERROR(VLOOKUP($B490,Platts!$E$5:$M$4994,MATCH(E$3,Platts!$F$5:$M$5,0)+1,FALSE),E489)</f>
        <v>44.84</v>
      </c>
      <c r="F490" s="6">
        <f>IFERROR(VLOOKUP($B490,Platts!$E$5:$M$4994,MATCH(F$3,Platts!$F$5:$M$5,0)+1,FALSE),F489)</f>
        <v>52.69</v>
      </c>
      <c r="G490" s="6">
        <f>IFERROR(VLOOKUP($B490,Platts!$E$5:$M$4994,MATCH(G$3,Platts!$F$5:$M$5,0)+1,FALSE),G489)</f>
        <v>51.5</v>
      </c>
      <c r="H490" s="6">
        <f>IFERROR(VLOOKUP($B490,Platts!$E$5:$M$4994,MATCH(H$3,Platts!$F$5:$M$5,0)+1,FALSE),H489)</f>
        <v>48.84</v>
      </c>
      <c r="I490" s="6">
        <f>IFERROR(VLOOKUP($B490,Platts!$E$5:$M$4994,MATCH(I$3,Platts!$F$5:$M$5,0)+1,FALSE),I489)</f>
        <v>50.69</v>
      </c>
      <c r="J490" s="6">
        <f t="shared" si="14"/>
        <v>6.1000000000000014</v>
      </c>
    </row>
    <row r="491" spans="2:10" x14ac:dyDescent="0.25">
      <c r="B491" s="5">
        <f t="shared" si="15"/>
        <v>42857</v>
      </c>
      <c r="C491" s="6">
        <f>IFERROR(VLOOKUP($B491,Platts!$E$5:$M$4994,MATCH(C$3,Platts!$F$5:$M$5,0)+1,FALSE),C490)</f>
        <v>43.22</v>
      </c>
      <c r="D491" s="6">
        <f>IFERROR(VLOOKUP($B491,Platts!$E$5:$M$4994,MATCH(D$3,Platts!$F$5:$M$5,0)+1,FALSE),D490)</f>
        <v>50.78</v>
      </c>
      <c r="E491" s="6">
        <f>IFERROR(VLOOKUP($B491,Platts!$E$5:$M$4994,MATCH(E$3,Platts!$F$5:$M$5,0)+1,FALSE),E490)</f>
        <v>44.09</v>
      </c>
      <c r="F491" s="6">
        <f>IFERROR(VLOOKUP($B491,Platts!$E$5:$M$4994,MATCH(F$3,Platts!$F$5:$M$5,0)+1,FALSE),F490)</f>
        <v>51.53</v>
      </c>
      <c r="G491" s="6">
        <f>IFERROR(VLOOKUP($B491,Platts!$E$5:$M$4994,MATCH(G$3,Platts!$F$5:$M$5,0)+1,FALSE),G490)</f>
        <v>51.13</v>
      </c>
      <c r="H491" s="6">
        <f>IFERROR(VLOOKUP($B491,Platts!$E$5:$M$4994,MATCH(H$3,Platts!$F$5:$M$5,0)+1,FALSE),H490)</f>
        <v>47.66</v>
      </c>
      <c r="I491" s="6">
        <f>IFERROR(VLOOKUP($B491,Platts!$E$5:$M$4994,MATCH(I$3,Platts!$F$5:$M$5,0)+1,FALSE),I490)</f>
        <v>49.61</v>
      </c>
      <c r="J491" s="6">
        <f t="shared" si="14"/>
        <v>4.4399999999999977</v>
      </c>
    </row>
    <row r="492" spans="2:10" x14ac:dyDescent="0.25">
      <c r="B492" s="5">
        <f t="shared" si="15"/>
        <v>42858</v>
      </c>
      <c r="C492" s="6">
        <f>IFERROR(VLOOKUP($B492,Platts!$E$5:$M$4994,MATCH(C$3,Platts!$F$5:$M$5,0)+1,FALSE),C491)</f>
        <v>42.99</v>
      </c>
      <c r="D492" s="6">
        <f>IFERROR(VLOOKUP($B492,Platts!$E$5:$M$4994,MATCH(D$3,Platts!$F$5:$M$5,0)+1,FALSE),D491)</f>
        <v>51.09</v>
      </c>
      <c r="E492" s="6">
        <f>IFERROR(VLOOKUP($B492,Platts!$E$5:$M$4994,MATCH(E$3,Platts!$F$5:$M$5,0)+1,FALSE),E491)</f>
        <v>44.28</v>
      </c>
      <c r="F492" s="6">
        <f>IFERROR(VLOOKUP($B492,Platts!$E$5:$M$4994,MATCH(F$3,Platts!$F$5:$M$5,0)+1,FALSE),F491)</f>
        <v>51.84</v>
      </c>
      <c r="G492" s="6">
        <f>IFERROR(VLOOKUP($B492,Platts!$E$5:$M$4994,MATCH(G$3,Platts!$F$5:$M$5,0)+1,FALSE),G491)</f>
        <v>50.37</v>
      </c>
      <c r="H492" s="6">
        <f>IFERROR(VLOOKUP($B492,Platts!$E$5:$M$4994,MATCH(H$3,Platts!$F$5:$M$5,0)+1,FALSE),H491)</f>
        <v>47.82</v>
      </c>
      <c r="I492" s="6">
        <f>IFERROR(VLOOKUP($B492,Platts!$E$5:$M$4994,MATCH(I$3,Platts!$F$5:$M$5,0)+1,FALSE),I491)</f>
        <v>49.77</v>
      </c>
      <c r="J492" s="6">
        <f t="shared" si="14"/>
        <v>4.8299999999999983</v>
      </c>
    </row>
    <row r="493" spans="2:10" x14ac:dyDescent="0.25">
      <c r="B493" s="5">
        <f t="shared" si="15"/>
        <v>42859</v>
      </c>
      <c r="C493" s="6">
        <f>IFERROR(VLOOKUP($B493,Platts!$E$5:$M$4994,MATCH(C$3,Platts!$F$5:$M$5,0)+1,FALSE),C492)</f>
        <v>41.42</v>
      </c>
      <c r="D493" s="6">
        <f>IFERROR(VLOOKUP($B493,Platts!$E$5:$M$4994,MATCH(D$3,Platts!$F$5:$M$5,0)+1,FALSE),D492)</f>
        <v>48.79</v>
      </c>
      <c r="E493" s="6">
        <f>IFERROR(VLOOKUP($B493,Platts!$E$5:$M$4994,MATCH(E$3,Platts!$F$5:$M$5,0)+1,FALSE),E492)</f>
        <v>42.06</v>
      </c>
      <c r="F493" s="6">
        <f>IFERROR(VLOOKUP($B493,Platts!$E$5:$M$4994,MATCH(F$3,Platts!$F$5:$M$5,0)+1,FALSE),F492)</f>
        <v>49.54</v>
      </c>
      <c r="G493" s="6">
        <f>IFERROR(VLOOKUP($B493,Platts!$E$5:$M$4994,MATCH(G$3,Platts!$F$5:$M$5,0)+1,FALSE),G492)</f>
        <v>48.99</v>
      </c>
      <c r="H493" s="6">
        <f>IFERROR(VLOOKUP($B493,Platts!$E$5:$M$4994,MATCH(H$3,Platts!$F$5:$M$5,0)+1,FALSE),H492)</f>
        <v>45.52</v>
      </c>
      <c r="I493" s="6">
        <f>IFERROR(VLOOKUP($B493,Platts!$E$5:$M$4994,MATCH(I$3,Platts!$F$5:$M$5,0)+1,FALSE),I492)</f>
        <v>47.62</v>
      </c>
      <c r="J493" s="6">
        <f t="shared" si="14"/>
        <v>4.1000000000000014</v>
      </c>
    </row>
    <row r="494" spans="2:10" x14ac:dyDescent="0.25">
      <c r="B494" s="5">
        <f t="shared" si="15"/>
        <v>42860</v>
      </c>
      <c r="C494" s="6">
        <f>IFERROR(VLOOKUP($B494,Platts!$E$5:$M$4994,MATCH(C$3,Platts!$F$5:$M$5,0)+1,FALSE),C493)</f>
        <v>41.66</v>
      </c>
      <c r="D494" s="6">
        <f>IFERROR(VLOOKUP($B494,Platts!$E$5:$M$4994,MATCH(D$3,Platts!$F$5:$M$5,0)+1,FALSE),D493)</f>
        <v>49.58</v>
      </c>
      <c r="E494" s="6">
        <f>IFERROR(VLOOKUP($B494,Platts!$E$5:$M$4994,MATCH(E$3,Platts!$F$5:$M$5,0)+1,FALSE),E493)</f>
        <v>42.86</v>
      </c>
      <c r="F494" s="6">
        <f>IFERROR(VLOOKUP($B494,Platts!$E$5:$M$4994,MATCH(F$3,Platts!$F$5:$M$5,0)+1,FALSE),F493)</f>
        <v>50.33</v>
      </c>
      <c r="G494" s="6">
        <f>IFERROR(VLOOKUP($B494,Platts!$E$5:$M$4994,MATCH(G$3,Platts!$F$5:$M$5,0)+1,FALSE),G493)</f>
        <v>49.21</v>
      </c>
      <c r="H494" s="6">
        <f>IFERROR(VLOOKUP($B494,Platts!$E$5:$M$4994,MATCH(H$3,Platts!$F$5:$M$5,0)+1,FALSE),H493)</f>
        <v>46.22</v>
      </c>
      <c r="I494" s="6">
        <f>IFERROR(VLOOKUP($B494,Platts!$E$5:$M$4994,MATCH(I$3,Platts!$F$5:$M$5,0)+1,FALSE),I493)</f>
        <v>48.32</v>
      </c>
      <c r="J494" s="6">
        <f t="shared" si="14"/>
        <v>4.5600000000000023</v>
      </c>
    </row>
    <row r="495" spans="2:10" x14ac:dyDescent="0.25">
      <c r="B495" s="5">
        <f t="shared" si="15"/>
        <v>42861</v>
      </c>
      <c r="C495" s="6">
        <f>IFERROR(VLOOKUP($B495,Platts!$E$5:$M$4994,MATCH(C$3,Platts!$F$5:$M$5,0)+1,FALSE),C494)</f>
        <v>41.66</v>
      </c>
      <c r="D495" s="6">
        <f>IFERROR(VLOOKUP($B495,Platts!$E$5:$M$4994,MATCH(D$3,Platts!$F$5:$M$5,0)+1,FALSE),D494)</f>
        <v>49.58</v>
      </c>
      <c r="E495" s="6">
        <f>IFERROR(VLOOKUP($B495,Platts!$E$5:$M$4994,MATCH(E$3,Platts!$F$5:$M$5,0)+1,FALSE),E494)</f>
        <v>42.86</v>
      </c>
      <c r="F495" s="6">
        <f>IFERROR(VLOOKUP($B495,Platts!$E$5:$M$4994,MATCH(F$3,Platts!$F$5:$M$5,0)+1,FALSE),F494)</f>
        <v>50.33</v>
      </c>
      <c r="G495" s="6">
        <f>IFERROR(VLOOKUP($B495,Platts!$E$5:$M$4994,MATCH(G$3,Platts!$F$5:$M$5,0)+1,FALSE),G494)</f>
        <v>49.21</v>
      </c>
      <c r="H495" s="6">
        <f>IFERROR(VLOOKUP($B495,Platts!$E$5:$M$4994,MATCH(H$3,Platts!$F$5:$M$5,0)+1,FALSE),H494)</f>
        <v>46.22</v>
      </c>
      <c r="I495" s="6">
        <f>IFERROR(VLOOKUP($B495,Platts!$E$5:$M$4994,MATCH(I$3,Platts!$F$5:$M$5,0)+1,FALSE),I494)</f>
        <v>48.32</v>
      </c>
      <c r="J495" s="6">
        <f t="shared" si="14"/>
        <v>4.5600000000000023</v>
      </c>
    </row>
    <row r="496" spans="2:10" x14ac:dyDescent="0.25">
      <c r="B496" s="5">
        <f t="shared" si="15"/>
        <v>42862</v>
      </c>
      <c r="C496" s="6">
        <f>IFERROR(VLOOKUP($B496,Platts!$E$5:$M$4994,MATCH(C$3,Platts!$F$5:$M$5,0)+1,FALSE),C495)</f>
        <v>41.66</v>
      </c>
      <c r="D496" s="6">
        <f>IFERROR(VLOOKUP($B496,Platts!$E$5:$M$4994,MATCH(D$3,Platts!$F$5:$M$5,0)+1,FALSE),D495)</f>
        <v>49.58</v>
      </c>
      <c r="E496" s="6">
        <f>IFERROR(VLOOKUP($B496,Platts!$E$5:$M$4994,MATCH(E$3,Platts!$F$5:$M$5,0)+1,FALSE),E495)</f>
        <v>42.86</v>
      </c>
      <c r="F496" s="6">
        <f>IFERROR(VLOOKUP($B496,Platts!$E$5:$M$4994,MATCH(F$3,Platts!$F$5:$M$5,0)+1,FALSE),F495)</f>
        <v>50.33</v>
      </c>
      <c r="G496" s="6">
        <f>IFERROR(VLOOKUP($B496,Platts!$E$5:$M$4994,MATCH(G$3,Platts!$F$5:$M$5,0)+1,FALSE),G495)</f>
        <v>49.21</v>
      </c>
      <c r="H496" s="6">
        <f>IFERROR(VLOOKUP($B496,Platts!$E$5:$M$4994,MATCH(H$3,Platts!$F$5:$M$5,0)+1,FALSE),H495)</f>
        <v>46.22</v>
      </c>
      <c r="I496" s="6">
        <f>IFERROR(VLOOKUP($B496,Platts!$E$5:$M$4994,MATCH(I$3,Platts!$F$5:$M$5,0)+1,FALSE),I495)</f>
        <v>48.32</v>
      </c>
      <c r="J496" s="6">
        <f t="shared" si="14"/>
        <v>4.5600000000000023</v>
      </c>
    </row>
    <row r="497" spans="2:10" x14ac:dyDescent="0.25">
      <c r="B497" s="5">
        <f t="shared" si="15"/>
        <v>42863</v>
      </c>
      <c r="C497" s="6">
        <f>IFERROR(VLOOKUP($B497,Platts!$E$5:$M$4994,MATCH(C$3,Platts!$F$5:$M$5,0)+1,FALSE),C496)</f>
        <v>41.81</v>
      </c>
      <c r="D497" s="6">
        <f>IFERROR(VLOOKUP($B497,Platts!$E$5:$M$4994,MATCH(D$3,Platts!$F$5:$M$5,0)+1,FALSE),D496)</f>
        <v>49.74</v>
      </c>
      <c r="E497" s="6">
        <f>IFERROR(VLOOKUP($B497,Platts!$E$5:$M$4994,MATCH(E$3,Platts!$F$5:$M$5,0)+1,FALSE),E496)</f>
        <v>42.97</v>
      </c>
      <c r="F497" s="6">
        <f>IFERROR(VLOOKUP($B497,Platts!$E$5:$M$4994,MATCH(F$3,Platts!$F$5:$M$5,0)+1,FALSE),F496)</f>
        <v>50.47</v>
      </c>
      <c r="G497" s="6">
        <f>IFERROR(VLOOKUP($B497,Platts!$E$5:$M$4994,MATCH(G$3,Platts!$F$5:$M$5,0)+1,FALSE),G496)</f>
        <v>48.61</v>
      </c>
      <c r="H497" s="6">
        <f>IFERROR(VLOOKUP($B497,Platts!$E$5:$M$4994,MATCH(H$3,Platts!$F$5:$M$5,0)+1,FALSE),H496)</f>
        <v>46.43</v>
      </c>
      <c r="I497" s="6">
        <f>IFERROR(VLOOKUP($B497,Platts!$E$5:$M$4994,MATCH(I$3,Platts!$F$5:$M$5,0)+1,FALSE),I496)</f>
        <v>48.53</v>
      </c>
      <c r="J497" s="6">
        <f t="shared" si="14"/>
        <v>4.6199999999999974</v>
      </c>
    </row>
    <row r="498" spans="2:10" x14ac:dyDescent="0.25">
      <c r="B498" s="5">
        <f t="shared" si="15"/>
        <v>42864</v>
      </c>
      <c r="C498" s="6">
        <f>IFERROR(VLOOKUP($B498,Platts!$E$5:$M$4994,MATCH(C$3,Platts!$F$5:$M$5,0)+1,FALSE),C497)</f>
        <v>41.53</v>
      </c>
      <c r="D498" s="6">
        <f>IFERROR(VLOOKUP($B498,Platts!$E$5:$M$4994,MATCH(D$3,Platts!$F$5:$M$5,0)+1,FALSE),D497)</f>
        <v>49.24</v>
      </c>
      <c r="E498" s="6">
        <f>IFERROR(VLOOKUP($B498,Platts!$E$5:$M$4994,MATCH(E$3,Platts!$F$5:$M$5,0)+1,FALSE),E497)</f>
        <v>42.66</v>
      </c>
      <c r="F498" s="6">
        <f>IFERROR(VLOOKUP($B498,Platts!$E$5:$M$4994,MATCH(F$3,Platts!$F$5:$M$5,0)+1,FALSE),F497)</f>
        <v>49.96</v>
      </c>
      <c r="G498" s="6">
        <f>IFERROR(VLOOKUP($B498,Platts!$E$5:$M$4994,MATCH(G$3,Platts!$F$5:$M$5,0)+1,FALSE),G497)</f>
        <v>48.85</v>
      </c>
      <c r="H498" s="6">
        <f>IFERROR(VLOOKUP($B498,Platts!$E$5:$M$4994,MATCH(H$3,Platts!$F$5:$M$5,0)+1,FALSE),H497)</f>
        <v>45.88</v>
      </c>
      <c r="I498" s="6">
        <f>IFERROR(VLOOKUP($B498,Platts!$E$5:$M$4994,MATCH(I$3,Platts!$F$5:$M$5,0)+1,FALSE),I497)</f>
        <v>47.98</v>
      </c>
      <c r="J498" s="6">
        <f t="shared" si="14"/>
        <v>4.3500000000000014</v>
      </c>
    </row>
    <row r="499" spans="2:10" x14ac:dyDescent="0.25">
      <c r="B499" s="5">
        <f t="shared" si="15"/>
        <v>42865</v>
      </c>
      <c r="C499" s="6">
        <f>IFERROR(VLOOKUP($B499,Platts!$E$5:$M$4994,MATCH(C$3,Platts!$F$5:$M$5,0)+1,FALSE),C498)</f>
        <v>41.53</v>
      </c>
      <c r="D499" s="6">
        <f>IFERROR(VLOOKUP($B499,Platts!$E$5:$M$4994,MATCH(D$3,Platts!$F$5:$M$5,0)+1,FALSE),D498)</f>
        <v>50.68</v>
      </c>
      <c r="E499" s="6">
        <f>IFERROR(VLOOKUP($B499,Platts!$E$5:$M$4994,MATCH(E$3,Platts!$F$5:$M$5,0)+1,FALSE),E498)</f>
        <v>43.96</v>
      </c>
      <c r="F499" s="6">
        <f>IFERROR(VLOOKUP($B499,Platts!$E$5:$M$4994,MATCH(F$3,Platts!$F$5:$M$5,0)+1,FALSE),F498)</f>
        <v>51.4</v>
      </c>
      <c r="G499" s="6">
        <f>IFERROR(VLOOKUP($B499,Platts!$E$5:$M$4994,MATCH(G$3,Platts!$F$5:$M$5,0)+1,FALSE),G498)</f>
        <v>50.08</v>
      </c>
      <c r="H499" s="6">
        <f>IFERROR(VLOOKUP($B499,Platts!$E$5:$M$4994,MATCH(H$3,Platts!$F$5:$M$5,0)+1,FALSE),H498)</f>
        <v>47.33</v>
      </c>
      <c r="I499" s="6">
        <f>IFERROR(VLOOKUP($B499,Platts!$E$5:$M$4994,MATCH(I$3,Platts!$F$5:$M$5,0)+1,FALSE),I498)</f>
        <v>49.38</v>
      </c>
      <c r="J499" s="6">
        <f t="shared" si="14"/>
        <v>5.7999999999999972</v>
      </c>
    </row>
    <row r="500" spans="2:10" x14ac:dyDescent="0.25">
      <c r="B500" s="5">
        <f t="shared" si="15"/>
        <v>42866</v>
      </c>
      <c r="C500" s="6">
        <f>IFERROR(VLOOKUP($B500,Platts!$E$5:$M$4994,MATCH(C$3,Platts!$F$5:$M$5,0)+1,FALSE),C499)</f>
        <v>43.59</v>
      </c>
      <c r="D500" s="6">
        <f>IFERROR(VLOOKUP($B500,Platts!$E$5:$M$4994,MATCH(D$3,Platts!$F$5:$M$5,0)+1,FALSE),D499)</f>
        <v>51.18</v>
      </c>
      <c r="E500" s="6">
        <f>IFERROR(VLOOKUP($B500,Platts!$E$5:$M$4994,MATCH(E$3,Platts!$F$5:$M$5,0)+1,FALSE),E499)</f>
        <v>44.67</v>
      </c>
      <c r="F500" s="6">
        <f>IFERROR(VLOOKUP($B500,Platts!$E$5:$M$4994,MATCH(F$3,Platts!$F$5:$M$5,0)+1,FALSE),F499)</f>
        <v>51.91</v>
      </c>
      <c r="G500" s="6">
        <f>IFERROR(VLOOKUP($B500,Platts!$E$5:$M$4994,MATCH(G$3,Platts!$F$5:$M$5,0)+1,FALSE),G499)</f>
        <v>50.92</v>
      </c>
      <c r="H500" s="6">
        <f>IFERROR(VLOOKUP($B500,Platts!$E$5:$M$4994,MATCH(H$3,Platts!$F$5:$M$5,0)+1,FALSE),H499)</f>
        <v>47.83</v>
      </c>
      <c r="I500" s="6">
        <f>IFERROR(VLOOKUP($B500,Platts!$E$5:$M$4994,MATCH(I$3,Platts!$F$5:$M$5,0)+1,FALSE),I499)</f>
        <v>49.83</v>
      </c>
      <c r="J500" s="6">
        <f t="shared" si="14"/>
        <v>4.2399999999999949</v>
      </c>
    </row>
    <row r="501" spans="2:10" x14ac:dyDescent="0.25">
      <c r="B501" s="5">
        <f t="shared" si="15"/>
        <v>42867</v>
      </c>
      <c r="C501" s="6">
        <f>IFERROR(VLOOKUP($B501,Platts!$E$5:$M$4994,MATCH(C$3,Platts!$F$5:$M$5,0)+1,FALSE),C500)</f>
        <v>43.52</v>
      </c>
      <c r="D501" s="6">
        <f>IFERROR(VLOOKUP($B501,Platts!$E$5:$M$4994,MATCH(D$3,Platts!$F$5:$M$5,0)+1,FALSE),D500)</f>
        <v>51.27</v>
      </c>
      <c r="E501" s="6">
        <f>IFERROR(VLOOKUP($B501,Platts!$E$5:$M$4994,MATCH(E$3,Platts!$F$5:$M$5,0)+1,FALSE),E500)</f>
        <v>44.71</v>
      </c>
      <c r="F501" s="6">
        <f>IFERROR(VLOOKUP($B501,Platts!$E$5:$M$4994,MATCH(F$3,Platts!$F$5:$M$5,0)+1,FALSE),F500)</f>
        <v>52.01</v>
      </c>
      <c r="G501" s="6">
        <f>IFERROR(VLOOKUP($B501,Platts!$E$5:$M$4994,MATCH(G$3,Platts!$F$5:$M$5,0)+1,FALSE),G500)</f>
        <v>50.57</v>
      </c>
      <c r="H501" s="6">
        <f>IFERROR(VLOOKUP($B501,Platts!$E$5:$M$4994,MATCH(H$3,Platts!$F$5:$M$5,0)+1,FALSE),H500)</f>
        <v>47.84</v>
      </c>
      <c r="I501" s="6">
        <f>IFERROR(VLOOKUP($B501,Platts!$E$5:$M$4994,MATCH(I$3,Platts!$F$5:$M$5,0)+1,FALSE),I500)</f>
        <v>49.94</v>
      </c>
      <c r="J501" s="6">
        <f t="shared" si="14"/>
        <v>4.32</v>
      </c>
    </row>
    <row r="502" spans="2:10" x14ac:dyDescent="0.25">
      <c r="B502" s="5">
        <f t="shared" si="15"/>
        <v>42868</v>
      </c>
      <c r="C502" s="6">
        <f>IFERROR(VLOOKUP($B502,Platts!$E$5:$M$4994,MATCH(C$3,Platts!$F$5:$M$5,0)+1,FALSE),C501)</f>
        <v>43.52</v>
      </c>
      <c r="D502" s="6">
        <f>IFERROR(VLOOKUP($B502,Platts!$E$5:$M$4994,MATCH(D$3,Platts!$F$5:$M$5,0)+1,FALSE),D501)</f>
        <v>51.27</v>
      </c>
      <c r="E502" s="6">
        <f>IFERROR(VLOOKUP($B502,Platts!$E$5:$M$4994,MATCH(E$3,Platts!$F$5:$M$5,0)+1,FALSE),E501)</f>
        <v>44.71</v>
      </c>
      <c r="F502" s="6">
        <f>IFERROR(VLOOKUP($B502,Platts!$E$5:$M$4994,MATCH(F$3,Platts!$F$5:$M$5,0)+1,FALSE),F501)</f>
        <v>52.01</v>
      </c>
      <c r="G502" s="6">
        <f>IFERROR(VLOOKUP($B502,Platts!$E$5:$M$4994,MATCH(G$3,Platts!$F$5:$M$5,0)+1,FALSE),G501)</f>
        <v>50.57</v>
      </c>
      <c r="H502" s="6">
        <f>IFERROR(VLOOKUP($B502,Platts!$E$5:$M$4994,MATCH(H$3,Platts!$F$5:$M$5,0)+1,FALSE),H501)</f>
        <v>47.84</v>
      </c>
      <c r="I502" s="6">
        <f>IFERROR(VLOOKUP($B502,Platts!$E$5:$M$4994,MATCH(I$3,Platts!$F$5:$M$5,0)+1,FALSE),I501)</f>
        <v>49.94</v>
      </c>
      <c r="J502" s="6">
        <f t="shared" si="14"/>
        <v>4.32</v>
      </c>
    </row>
    <row r="503" spans="2:10" x14ac:dyDescent="0.25">
      <c r="B503" s="5">
        <f t="shared" si="15"/>
        <v>42869</v>
      </c>
      <c r="C503" s="6">
        <f>IFERROR(VLOOKUP($B503,Platts!$E$5:$M$4994,MATCH(C$3,Platts!$F$5:$M$5,0)+1,FALSE),C502)</f>
        <v>43.52</v>
      </c>
      <c r="D503" s="6">
        <f>IFERROR(VLOOKUP($B503,Platts!$E$5:$M$4994,MATCH(D$3,Platts!$F$5:$M$5,0)+1,FALSE),D502)</f>
        <v>51.27</v>
      </c>
      <c r="E503" s="6">
        <f>IFERROR(VLOOKUP($B503,Platts!$E$5:$M$4994,MATCH(E$3,Platts!$F$5:$M$5,0)+1,FALSE),E502)</f>
        <v>44.71</v>
      </c>
      <c r="F503" s="6">
        <f>IFERROR(VLOOKUP($B503,Platts!$E$5:$M$4994,MATCH(F$3,Platts!$F$5:$M$5,0)+1,FALSE),F502)</f>
        <v>52.01</v>
      </c>
      <c r="G503" s="6">
        <f>IFERROR(VLOOKUP($B503,Platts!$E$5:$M$4994,MATCH(G$3,Platts!$F$5:$M$5,0)+1,FALSE),G502)</f>
        <v>50.57</v>
      </c>
      <c r="H503" s="6">
        <f>IFERROR(VLOOKUP($B503,Platts!$E$5:$M$4994,MATCH(H$3,Platts!$F$5:$M$5,0)+1,FALSE),H502)</f>
        <v>47.84</v>
      </c>
      <c r="I503" s="6">
        <f>IFERROR(VLOOKUP($B503,Platts!$E$5:$M$4994,MATCH(I$3,Platts!$F$5:$M$5,0)+1,FALSE),I502)</f>
        <v>49.94</v>
      </c>
      <c r="J503" s="6">
        <f t="shared" si="14"/>
        <v>4.32</v>
      </c>
    </row>
    <row r="504" spans="2:10" x14ac:dyDescent="0.25">
      <c r="B504" s="5">
        <f t="shared" si="15"/>
        <v>42870</v>
      </c>
      <c r="C504" s="6">
        <f>IFERROR(VLOOKUP($B504,Platts!$E$5:$M$4994,MATCH(C$3,Platts!$F$5:$M$5,0)+1,FALSE),C503)</f>
        <v>44.84</v>
      </c>
      <c r="D504" s="6">
        <f>IFERROR(VLOOKUP($B504,Platts!$E$5:$M$4994,MATCH(D$3,Platts!$F$5:$M$5,0)+1,FALSE),D503)</f>
        <v>52.27</v>
      </c>
      <c r="E504" s="6">
        <f>IFERROR(VLOOKUP($B504,Platts!$E$5:$M$4994,MATCH(E$3,Platts!$F$5:$M$5,0)+1,FALSE),E503)</f>
        <v>45.71</v>
      </c>
      <c r="F504" s="6">
        <f>IFERROR(VLOOKUP($B504,Platts!$E$5:$M$4994,MATCH(F$3,Platts!$F$5:$M$5,0)+1,FALSE),F503)</f>
        <v>53.01</v>
      </c>
      <c r="G504" s="6">
        <f>IFERROR(VLOOKUP($B504,Platts!$E$5:$M$4994,MATCH(G$3,Platts!$F$5:$M$5,0)+1,FALSE),G503)</f>
        <v>52.26</v>
      </c>
      <c r="H504" s="6">
        <f>IFERROR(VLOOKUP($B504,Platts!$E$5:$M$4994,MATCH(H$3,Platts!$F$5:$M$5,0)+1,FALSE),H503)</f>
        <v>48.85</v>
      </c>
      <c r="I504" s="6">
        <f>IFERROR(VLOOKUP($B504,Platts!$E$5:$M$4994,MATCH(I$3,Platts!$F$5:$M$5,0)+1,FALSE),I503)</f>
        <v>50.95</v>
      </c>
      <c r="J504" s="6">
        <f t="shared" si="14"/>
        <v>4.009999999999998</v>
      </c>
    </row>
    <row r="505" spans="2:10" x14ac:dyDescent="0.25">
      <c r="B505" s="5">
        <f t="shared" si="15"/>
        <v>42871</v>
      </c>
      <c r="C505" s="6">
        <f>IFERROR(VLOOKUP($B505,Platts!$E$5:$M$4994,MATCH(C$3,Platts!$F$5:$M$5,0)+1,FALSE),C504)</f>
        <v>44.67</v>
      </c>
      <c r="D505" s="6">
        <f>IFERROR(VLOOKUP($B505,Platts!$E$5:$M$4994,MATCH(D$3,Platts!$F$5:$M$5,0)+1,FALSE),D504)</f>
        <v>52.13</v>
      </c>
      <c r="E505" s="6">
        <f>IFERROR(VLOOKUP($B505,Platts!$E$5:$M$4994,MATCH(E$3,Platts!$F$5:$M$5,0)+1,FALSE),E504)</f>
        <v>45.54</v>
      </c>
      <c r="F505" s="6">
        <f>IFERROR(VLOOKUP($B505,Platts!$E$5:$M$4994,MATCH(F$3,Platts!$F$5:$M$5,0)+1,FALSE),F504)</f>
        <v>52.85</v>
      </c>
      <c r="G505" s="6">
        <f>IFERROR(VLOOKUP($B505,Platts!$E$5:$M$4994,MATCH(G$3,Platts!$F$5:$M$5,0)+1,FALSE),G504)</f>
        <v>51.94</v>
      </c>
      <c r="H505" s="6">
        <f>IFERROR(VLOOKUP($B505,Platts!$E$5:$M$4994,MATCH(H$3,Platts!$F$5:$M$5,0)+1,FALSE),H504)</f>
        <v>48.66</v>
      </c>
      <c r="I505" s="6">
        <f>IFERROR(VLOOKUP($B505,Platts!$E$5:$M$4994,MATCH(I$3,Platts!$F$5:$M$5,0)+1,FALSE),I504)</f>
        <v>50.76</v>
      </c>
      <c r="J505" s="6">
        <f t="shared" si="14"/>
        <v>3.9899999999999949</v>
      </c>
    </row>
    <row r="506" spans="2:10" x14ac:dyDescent="0.25">
      <c r="B506" s="5">
        <f t="shared" si="15"/>
        <v>42872</v>
      </c>
      <c r="C506" s="6">
        <f>IFERROR(VLOOKUP($B506,Platts!$E$5:$M$4994,MATCH(C$3,Platts!$F$5:$M$5,0)+1,FALSE),C505)</f>
        <v>44.94</v>
      </c>
      <c r="D506" s="6">
        <f>IFERROR(VLOOKUP($B506,Platts!$E$5:$M$4994,MATCH(D$3,Platts!$F$5:$M$5,0)+1,FALSE),D505)</f>
        <v>52.57</v>
      </c>
      <c r="E506" s="6">
        <f>IFERROR(VLOOKUP($B506,Platts!$E$5:$M$4994,MATCH(E$3,Platts!$F$5:$M$5,0)+1,FALSE),E505)</f>
        <v>46</v>
      </c>
      <c r="F506" s="6">
        <f>IFERROR(VLOOKUP($B506,Platts!$E$5:$M$4994,MATCH(F$3,Platts!$F$5:$M$5,0)+1,FALSE),F505)</f>
        <v>53.31</v>
      </c>
      <c r="G506" s="6">
        <f>IFERROR(VLOOKUP($B506,Platts!$E$5:$M$4994,MATCH(G$3,Platts!$F$5:$M$5,0)+1,FALSE),G505)</f>
        <v>52.46</v>
      </c>
      <c r="H506" s="6">
        <f>IFERROR(VLOOKUP($B506,Platts!$E$5:$M$4994,MATCH(H$3,Platts!$F$5:$M$5,0)+1,FALSE),H505)</f>
        <v>49.07</v>
      </c>
      <c r="I506" s="6">
        <f>IFERROR(VLOOKUP($B506,Platts!$E$5:$M$4994,MATCH(I$3,Platts!$F$5:$M$5,0)+1,FALSE),I505)</f>
        <v>51.22</v>
      </c>
      <c r="J506" s="6">
        <f t="shared" si="14"/>
        <v>4.1300000000000026</v>
      </c>
    </row>
    <row r="507" spans="2:10" x14ac:dyDescent="0.25">
      <c r="B507" s="5">
        <f t="shared" si="15"/>
        <v>42873</v>
      </c>
      <c r="C507" s="6">
        <f>IFERROR(VLOOKUP($B507,Platts!$E$5:$M$4994,MATCH(C$3,Platts!$F$5:$M$5,0)+1,FALSE),C506)</f>
        <v>45.27</v>
      </c>
      <c r="D507" s="6">
        <f>IFERROR(VLOOKUP($B507,Platts!$E$5:$M$4994,MATCH(D$3,Platts!$F$5:$M$5,0)+1,FALSE),D506)</f>
        <v>52.97</v>
      </c>
      <c r="E507" s="6">
        <f>IFERROR(VLOOKUP($B507,Platts!$E$5:$M$4994,MATCH(E$3,Platts!$F$5:$M$5,0)+1,FALSE),E506)</f>
        <v>46.28</v>
      </c>
      <c r="F507" s="6">
        <f>IFERROR(VLOOKUP($B507,Platts!$E$5:$M$4994,MATCH(F$3,Platts!$F$5:$M$5,0)+1,FALSE),F506)</f>
        <v>53.71</v>
      </c>
      <c r="G507" s="6">
        <f>IFERROR(VLOOKUP($B507,Platts!$E$5:$M$4994,MATCH(G$3,Platts!$F$5:$M$5,0)+1,FALSE),G506)</f>
        <v>52.54</v>
      </c>
      <c r="H507" s="6">
        <f>IFERROR(VLOOKUP($B507,Platts!$E$5:$M$4994,MATCH(H$3,Platts!$F$5:$M$5,0)+1,FALSE),H506)</f>
        <v>49.35</v>
      </c>
      <c r="I507" s="6">
        <f>IFERROR(VLOOKUP($B507,Platts!$E$5:$M$4994,MATCH(I$3,Platts!$F$5:$M$5,0)+1,FALSE),I506)</f>
        <v>51.45</v>
      </c>
      <c r="J507" s="6">
        <f t="shared" si="14"/>
        <v>4.0799999999999983</v>
      </c>
    </row>
    <row r="508" spans="2:10" x14ac:dyDescent="0.25">
      <c r="B508" s="5">
        <f t="shared" si="15"/>
        <v>42874</v>
      </c>
      <c r="C508" s="6">
        <f>IFERROR(VLOOKUP($B508,Platts!$E$5:$M$4994,MATCH(C$3,Platts!$F$5:$M$5,0)+1,FALSE),C507)</f>
        <v>46.19</v>
      </c>
      <c r="D508" s="6">
        <f>IFERROR(VLOOKUP($B508,Platts!$E$5:$M$4994,MATCH(D$3,Platts!$F$5:$M$5,0)+1,FALSE),D507)</f>
        <v>54.02</v>
      </c>
      <c r="E508" s="6">
        <f>IFERROR(VLOOKUP($B508,Platts!$E$5:$M$4994,MATCH(E$3,Platts!$F$5:$M$5,0)+1,FALSE),E507)</f>
        <v>47.3</v>
      </c>
      <c r="F508" s="6">
        <f>IFERROR(VLOOKUP($B508,Platts!$E$5:$M$4994,MATCH(F$3,Platts!$F$5:$M$5,0)+1,FALSE),F507)</f>
        <v>54.78</v>
      </c>
      <c r="G508" s="6">
        <f>IFERROR(VLOOKUP($B508,Platts!$E$5:$M$4994,MATCH(G$3,Platts!$F$5:$M$5,0)+1,FALSE),G507)</f>
        <v>53.44</v>
      </c>
      <c r="H508" s="6">
        <f>IFERROR(VLOOKUP($B508,Platts!$E$5:$M$4994,MATCH(H$3,Platts!$F$5:$M$5,0)+1,FALSE),H507)</f>
        <v>50.33</v>
      </c>
      <c r="I508" s="6">
        <f>IFERROR(VLOOKUP($B508,Platts!$E$5:$M$4994,MATCH(I$3,Platts!$F$5:$M$5,0)+1,FALSE),I507)</f>
        <v>52.53</v>
      </c>
      <c r="J508" s="6">
        <f t="shared" si="14"/>
        <v>4.1400000000000006</v>
      </c>
    </row>
    <row r="509" spans="2:10" x14ac:dyDescent="0.25">
      <c r="B509" s="5">
        <f t="shared" si="15"/>
        <v>42875</v>
      </c>
      <c r="C509" s="6">
        <f>IFERROR(VLOOKUP($B509,Platts!$E$5:$M$4994,MATCH(C$3,Platts!$F$5:$M$5,0)+1,FALSE),C508)</f>
        <v>46.19</v>
      </c>
      <c r="D509" s="6">
        <f>IFERROR(VLOOKUP($B509,Platts!$E$5:$M$4994,MATCH(D$3,Platts!$F$5:$M$5,0)+1,FALSE),D508)</f>
        <v>54.02</v>
      </c>
      <c r="E509" s="6">
        <f>IFERROR(VLOOKUP($B509,Platts!$E$5:$M$4994,MATCH(E$3,Platts!$F$5:$M$5,0)+1,FALSE),E508)</f>
        <v>47.3</v>
      </c>
      <c r="F509" s="6">
        <f>IFERROR(VLOOKUP($B509,Platts!$E$5:$M$4994,MATCH(F$3,Platts!$F$5:$M$5,0)+1,FALSE),F508)</f>
        <v>54.78</v>
      </c>
      <c r="G509" s="6">
        <f>IFERROR(VLOOKUP($B509,Platts!$E$5:$M$4994,MATCH(G$3,Platts!$F$5:$M$5,0)+1,FALSE),G508)</f>
        <v>53.44</v>
      </c>
      <c r="H509" s="6">
        <f>IFERROR(VLOOKUP($B509,Platts!$E$5:$M$4994,MATCH(H$3,Platts!$F$5:$M$5,0)+1,FALSE),H508)</f>
        <v>50.33</v>
      </c>
      <c r="I509" s="6">
        <f>IFERROR(VLOOKUP($B509,Platts!$E$5:$M$4994,MATCH(I$3,Platts!$F$5:$M$5,0)+1,FALSE),I508)</f>
        <v>52.53</v>
      </c>
      <c r="J509" s="6">
        <f t="shared" si="14"/>
        <v>4.1400000000000006</v>
      </c>
    </row>
    <row r="510" spans="2:10" x14ac:dyDescent="0.25">
      <c r="B510" s="5">
        <f t="shared" si="15"/>
        <v>42876</v>
      </c>
      <c r="C510" s="6">
        <f>IFERROR(VLOOKUP($B510,Platts!$E$5:$M$4994,MATCH(C$3,Platts!$F$5:$M$5,0)+1,FALSE),C509)</f>
        <v>46.19</v>
      </c>
      <c r="D510" s="6">
        <f>IFERROR(VLOOKUP($B510,Platts!$E$5:$M$4994,MATCH(D$3,Platts!$F$5:$M$5,0)+1,FALSE),D509)</f>
        <v>54.02</v>
      </c>
      <c r="E510" s="6">
        <f>IFERROR(VLOOKUP($B510,Platts!$E$5:$M$4994,MATCH(E$3,Platts!$F$5:$M$5,0)+1,FALSE),E509)</f>
        <v>47.3</v>
      </c>
      <c r="F510" s="6">
        <f>IFERROR(VLOOKUP($B510,Platts!$E$5:$M$4994,MATCH(F$3,Platts!$F$5:$M$5,0)+1,FALSE),F509)</f>
        <v>54.78</v>
      </c>
      <c r="G510" s="6">
        <f>IFERROR(VLOOKUP($B510,Platts!$E$5:$M$4994,MATCH(G$3,Platts!$F$5:$M$5,0)+1,FALSE),G509)</f>
        <v>53.44</v>
      </c>
      <c r="H510" s="6">
        <f>IFERROR(VLOOKUP($B510,Platts!$E$5:$M$4994,MATCH(H$3,Platts!$F$5:$M$5,0)+1,FALSE),H509)</f>
        <v>50.33</v>
      </c>
      <c r="I510" s="6">
        <f>IFERROR(VLOOKUP($B510,Platts!$E$5:$M$4994,MATCH(I$3,Platts!$F$5:$M$5,0)+1,FALSE),I509)</f>
        <v>52.53</v>
      </c>
      <c r="J510" s="6">
        <f t="shared" si="14"/>
        <v>4.1400000000000006</v>
      </c>
    </row>
    <row r="511" spans="2:10" x14ac:dyDescent="0.25">
      <c r="B511" s="5">
        <f t="shared" si="15"/>
        <v>42877</v>
      </c>
      <c r="C511" s="6">
        <f>IFERROR(VLOOKUP($B511,Platts!$E$5:$M$4994,MATCH(C$3,Platts!$F$5:$M$5,0)+1,FALSE),C510)</f>
        <v>46.51</v>
      </c>
      <c r="D511" s="6">
        <f>IFERROR(VLOOKUP($B511,Platts!$E$5:$M$4994,MATCH(D$3,Platts!$F$5:$M$5,0)+1,FALSE),D510)</f>
        <v>54.31</v>
      </c>
      <c r="E511" s="6">
        <f>IFERROR(VLOOKUP($B511,Platts!$E$5:$M$4994,MATCH(E$3,Platts!$F$5:$M$5,0)+1,FALSE),E510)</f>
        <v>47.42</v>
      </c>
      <c r="F511" s="6">
        <f>IFERROR(VLOOKUP($B511,Platts!$E$5:$M$4994,MATCH(F$3,Platts!$F$5:$M$5,0)+1,FALSE),F510)</f>
        <v>55.05</v>
      </c>
      <c r="G511" s="6">
        <f>IFERROR(VLOOKUP($B511,Platts!$E$5:$M$4994,MATCH(G$3,Platts!$F$5:$M$5,0)+1,FALSE),G510)</f>
        <v>54.11</v>
      </c>
      <c r="H511" s="6">
        <f>IFERROR(VLOOKUP($B511,Platts!$E$5:$M$4994,MATCH(H$3,Platts!$F$5:$M$5,0)+1,FALSE),H510)</f>
        <v>50.73</v>
      </c>
      <c r="I511" s="6">
        <f>IFERROR(VLOOKUP($B511,Platts!$E$5:$M$4994,MATCH(I$3,Platts!$F$5:$M$5,0)+1,FALSE),I510)</f>
        <v>53.03</v>
      </c>
      <c r="J511" s="6">
        <f t="shared" si="14"/>
        <v>4.2199999999999989</v>
      </c>
    </row>
    <row r="512" spans="2:10" x14ac:dyDescent="0.25">
      <c r="B512" s="5">
        <f t="shared" si="15"/>
        <v>42878</v>
      </c>
      <c r="C512" s="6">
        <f>IFERROR(VLOOKUP($B512,Platts!$E$5:$M$4994,MATCH(C$3,Platts!$F$5:$M$5,0)+1,FALSE),C511)</f>
        <v>46.71</v>
      </c>
      <c r="D512" s="6">
        <f>IFERROR(VLOOKUP($B512,Platts!$E$5:$M$4994,MATCH(D$3,Platts!$F$5:$M$5,0)+1,FALSE),D511)</f>
        <v>54.64</v>
      </c>
      <c r="E512" s="6">
        <f>IFERROR(VLOOKUP($B512,Platts!$E$5:$M$4994,MATCH(E$3,Platts!$F$5:$M$5,0)+1,FALSE),E511)</f>
        <v>47.75</v>
      </c>
      <c r="F512" s="6">
        <f>IFERROR(VLOOKUP($B512,Platts!$E$5:$M$4994,MATCH(F$3,Platts!$F$5:$M$5,0)+1,FALSE),F511)</f>
        <v>55.37</v>
      </c>
      <c r="G512" s="6">
        <f>IFERROR(VLOOKUP($B512,Platts!$E$5:$M$4994,MATCH(G$3,Platts!$F$5:$M$5,0)+1,FALSE),G511)</f>
        <v>54.04</v>
      </c>
      <c r="H512" s="6">
        <f>IFERROR(VLOOKUP($B512,Platts!$E$5:$M$4994,MATCH(H$3,Platts!$F$5:$M$5,0)+1,FALSE),H511)</f>
        <v>51.17</v>
      </c>
      <c r="I512" s="6">
        <f>IFERROR(VLOOKUP($B512,Platts!$E$5:$M$4994,MATCH(I$3,Platts!$F$5:$M$5,0)+1,FALSE),I511)</f>
        <v>53.27</v>
      </c>
      <c r="J512" s="6">
        <f t="shared" si="14"/>
        <v>4.4600000000000009</v>
      </c>
    </row>
    <row r="513" spans="2:10" x14ac:dyDescent="0.25">
      <c r="B513" s="5">
        <f t="shared" si="15"/>
        <v>42879</v>
      </c>
      <c r="C513" s="6">
        <f>IFERROR(VLOOKUP($B513,Platts!$E$5:$M$4994,MATCH(C$3,Platts!$F$5:$M$5,0)+1,FALSE),C512)</f>
        <v>46.84</v>
      </c>
      <c r="D513" s="6">
        <f>IFERROR(VLOOKUP($B513,Platts!$E$5:$M$4994,MATCH(D$3,Platts!$F$5:$M$5,0)+1,FALSE),D512)</f>
        <v>54.38</v>
      </c>
      <c r="E513" s="6">
        <f>IFERROR(VLOOKUP($B513,Platts!$E$5:$M$4994,MATCH(E$3,Platts!$F$5:$M$5,0)+1,FALSE),E512)</f>
        <v>47.75</v>
      </c>
      <c r="F513" s="6">
        <f>IFERROR(VLOOKUP($B513,Platts!$E$5:$M$4994,MATCH(F$3,Platts!$F$5:$M$5,0)+1,FALSE),F512)</f>
        <v>55.13</v>
      </c>
      <c r="G513" s="6">
        <f>IFERROR(VLOOKUP($B513,Platts!$E$5:$M$4994,MATCH(G$3,Platts!$F$5:$M$5,0)+1,FALSE),G512)</f>
        <v>54.13</v>
      </c>
      <c r="H513" s="6">
        <f>IFERROR(VLOOKUP($B513,Platts!$E$5:$M$4994,MATCH(H$3,Platts!$F$5:$M$5,0)+1,FALSE),H512)</f>
        <v>51.06</v>
      </c>
      <c r="I513" s="6">
        <f>IFERROR(VLOOKUP($B513,Platts!$E$5:$M$4994,MATCH(I$3,Platts!$F$5:$M$5,0)+1,FALSE),I512)</f>
        <v>53.11</v>
      </c>
      <c r="J513" s="6">
        <f t="shared" si="14"/>
        <v>4.2199999999999989</v>
      </c>
    </row>
    <row r="514" spans="2:10" x14ac:dyDescent="0.25">
      <c r="B514" s="5">
        <f t="shared" si="15"/>
        <v>42880</v>
      </c>
      <c r="C514" s="6">
        <f>IFERROR(VLOOKUP($B514,Platts!$E$5:$M$4994,MATCH(C$3,Platts!$F$5:$M$5,0)+1,FALSE),C513)</f>
        <v>45.17</v>
      </c>
      <c r="D514" s="6">
        <f>IFERROR(VLOOKUP($B514,Platts!$E$5:$M$4994,MATCH(D$3,Platts!$F$5:$M$5,0)+1,FALSE),D513)</f>
        <v>51.72</v>
      </c>
      <c r="E514" s="6">
        <f>IFERROR(VLOOKUP($B514,Platts!$E$5:$M$4994,MATCH(E$3,Platts!$F$5:$M$5,0)+1,FALSE),E513)</f>
        <v>45.28</v>
      </c>
      <c r="F514" s="6">
        <f>IFERROR(VLOOKUP($B514,Platts!$E$5:$M$4994,MATCH(F$3,Platts!$F$5:$M$5,0)+1,FALSE),F513)</f>
        <v>52.46</v>
      </c>
      <c r="G514" s="6">
        <f>IFERROR(VLOOKUP($B514,Platts!$E$5:$M$4994,MATCH(G$3,Platts!$F$5:$M$5,0)+1,FALSE),G513)</f>
        <v>53.09</v>
      </c>
      <c r="H514" s="6">
        <f>IFERROR(VLOOKUP($B514,Platts!$E$5:$M$4994,MATCH(H$3,Platts!$F$5:$M$5,0)+1,FALSE),H513)</f>
        <v>48.7</v>
      </c>
      <c r="I514" s="6">
        <f>IFERROR(VLOOKUP($B514,Platts!$E$5:$M$4994,MATCH(I$3,Platts!$F$5:$M$5,0)+1,FALSE),I513)</f>
        <v>50.45</v>
      </c>
      <c r="J514" s="6">
        <f t="shared" si="14"/>
        <v>3.5300000000000011</v>
      </c>
    </row>
    <row r="515" spans="2:10" x14ac:dyDescent="0.25">
      <c r="B515" s="5">
        <f t="shared" si="15"/>
        <v>42881</v>
      </c>
      <c r="C515" s="6">
        <f>IFERROR(VLOOKUP($B515,Platts!$E$5:$M$4994,MATCH(C$3,Platts!$F$5:$M$5,0)+1,FALSE),C514)</f>
        <v>45.02</v>
      </c>
      <c r="D515" s="6">
        <f>IFERROR(VLOOKUP($B515,Platts!$E$5:$M$4994,MATCH(D$3,Platts!$F$5:$M$5,0)+1,FALSE),D514)</f>
        <v>53.04</v>
      </c>
      <c r="E515" s="6">
        <f>IFERROR(VLOOKUP($B515,Platts!$E$5:$M$4994,MATCH(E$3,Platts!$F$5:$M$5,0)+1,FALSE),E514)</f>
        <v>46.17</v>
      </c>
      <c r="F515" s="6">
        <f>IFERROR(VLOOKUP($B515,Platts!$E$5:$M$4994,MATCH(F$3,Platts!$F$5:$M$5,0)+1,FALSE),F514)</f>
        <v>53.71</v>
      </c>
      <c r="G515" s="6">
        <f>IFERROR(VLOOKUP($B515,Platts!$E$5:$M$4994,MATCH(G$3,Platts!$F$5:$M$5,0)+1,FALSE),G514)</f>
        <v>51.74</v>
      </c>
      <c r="H515" s="6">
        <f>IFERROR(VLOOKUP($B515,Platts!$E$5:$M$4994,MATCH(H$3,Platts!$F$5:$M$5,0)+1,FALSE),H514)</f>
        <v>49.8</v>
      </c>
      <c r="I515" s="6">
        <f>IFERROR(VLOOKUP($B515,Platts!$E$5:$M$4994,MATCH(I$3,Platts!$F$5:$M$5,0)+1,FALSE),I514)</f>
        <v>51.85</v>
      </c>
      <c r="J515" s="6">
        <f t="shared" si="14"/>
        <v>4.779999999999994</v>
      </c>
    </row>
    <row r="516" spans="2:10" x14ac:dyDescent="0.25">
      <c r="B516" s="5">
        <f t="shared" si="15"/>
        <v>42882</v>
      </c>
      <c r="C516" s="6">
        <f>IFERROR(VLOOKUP($B516,Platts!$E$5:$M$4994,MATCH(C$3,Platts!$F$5:$M$5,0)+1,FALSE),C515)</f>
        <v>45.02</v>
      </c>
      <c r="D516" s="6">
        <f>IFERROR(VLOOKUP($B516,Platts!$E$5:$M$4994,MATCH(D$3,Platts!$F$5:$M$5,0)+1,FALSE),D515)</f>
        <v>53.04</v>
      </c>
      <c r="E516" s="6">
        <f>IFERROR(VLOOKUP($B516,Platts!$E$5:$M$4994,MATCH(E$3,Platts!$F$5:$M$5,0)+1,FALSE),E515)</f>
        <v>46.17</v>
      </c>
      <c r="F516" s="6">
        <f>IFERROR(VLOOKUP($B516,Platts!$E$5:$M$4994,MATCH(F$3,Platts!$F$5:$M$5,0)+1,FALSE),F515)</f>
        <v>53.71</v>
      </c>
      <c r="G516" s="6">
        <f>IFERROR(VLOOKUP($B516,Platts!$E$5:$M$4994,MATCH(G$3,Platts!$F$5:$M$5,0)+1,FALSE),G515)</f>
        <v>51.74</v>
      </c>
      <c r="H516" s="6">
        <f>IFERROR(VLOOKUP($B516,Platts!$E$5:$M$4994,MATCH(H$3,Platts!$F$5:$M$5,0)+1,FALSE),H515)</f>
        <v>49.8</v>
      </c>
      <c r="I516" s="6">
        <f>IFERROR(VLOOKUP($B516,Platts!$E$5:$M$4994,MATCH(I$3,Platts!$F$5:$M$5,0)+1,FALSE),I515)</f>
        <v>51.85</v>
      </c>
      <c r="J516" s="6">
        <f t="shared" ref="J516:J579" si="16">H516-C516</f>
        <v>4.779999999999994</v>
      </c>
    </row>
    <row r="517" spans="2:10" x14ac:dyDescent="0.25">
      <c r="B517" s="5">
        <f t="shared" si="15"/>
        <v>42883</v>
      </c>
      <c r="C517" s="6">
        <f>IFERROR(VLOOKUP($B517,Platts!$E$5:$M$4994,MATCH(C$3,Platts!$F$5:$M$5,0)+1,FALSE),C516)</f>
        <v>45.02</v>
      </c>
      <c r="D517" s="6">
        <f>IFERROR(VLOOKUP($B517,Platts!$E$5:$M$4994,MATCH(D$3,Platts!$F$5:$M$5,0)+1,FALSE),D516)</f>
        <v>53.04</v>
      </c>
      <c r="E517" s="6">
        <f>IFERROR(VLOOKUP($B517,Platts!$E$5:$M$4994,MATCH(E$3,Platts!$F$5:$M$5,0)+1,FALSE),E516)</f>
        <v>46.17</v>
      </c>
      <c r="F517" s="6">
        <f>IFERROR(VLOOKUP($B517,Platts!$E$5:$M$4994,MATCH(F$3,Platts!$F$5:$M$5,0)+1,FALSE),F516)</f>
        <v>53.71</v>
      </c>
      <c r="G517" s="6">
        <f>IFERROR(VLOOKUP($B517,Platts!$E$5:$M$4994,MATCH(G$3,Platts!$F$5:$M$5,0)+1,FALSE),G516)</f>
        <v>51.74</v>
      </c>
      <c r="H517" s="6">
        <f>IFERROR(VLOOKUP($B517,Platts!$E$5:$M$4994,MATCH(H$3,Platts!$F$5:$M$5,0)+1,FALSE),H516)</f>
        <v>49.8</v>
      </c>
      <c r="I517" s="6">
        <f>IFERROR(VLOOKUP($B517,Platts!$E$5:$M$4994,MATCH(I$3,Platts!$F$5:$M$5,0)+1,FALSE),I516)</f>
        <v>51.85</v>
      </c>
      <c r="J517" s="6">
        <f t="shared" si="16"/>
        <v>4.779999999999994</v>
      </c>
    </row>
    <row r="518" spans="2:10" x14ac:dyDescent="0.25">
      <c r="B518" s="5">
        <f t="shared" ref="B518:B581" si="17">B517+1</f>
        <v>42884</v>
      </c>
      <c r="C518" s="6">
        <f>IFERROR(VLOOKUP($B518,Platts!$E$5:$M$4994,MATCH(C$3,Platts!$F$5:$M$5,0)+1,FALSE),C517)</f>
        <v>45.02</v>
      </c>
      <c r="D518" s="6">
        <f>IFERROR(VLOOKUP($B518,Platts!$E$5:$M$4994,MATCH(D$3,Platts!$F$5:$M$5,0)+1,FALSE),D517)</f>
        <v>53.04</v>
      </c>
      <c r="E518" s="6">
        <f>IFERROR(VLOOKUP($B518,Platts!$E$5:$M$4994,MATCH(E$3,Platts!$F$5:$M$5,0)+1,FALSE),E517)</f>
        <v>46.17</v>
      </c>
      <c r="F518" s="6">
        <f>IFERROR(VLOOKUP($B518,Platts!$E$5:$M$4994,MATCH(F$3,Platts!$F$5:$M$5,0)+1,FALSE),F517)</f>
        <v>53.71</v>
      </c>
      <c r="G518" s="6">
        <f>IFERROR(VLOOKUP($B518,Platts!$E$5:$M$4994,MATCH(G$3,Platts!$F$5:$M$5,0)+1,FALSE),G517)</f>
        <v>51.74</v>
      </c>
      <c r="H518" s="6">
        <f>IFERROR(VLOOKUP($B518,Platts!$E$5:$M$4994,MATCH(H$3,Platts!$F$5:$M$5,0)+1,FALSE),H517)</f>
        <v>49.8</v>
      </c>
      <c r="I518" s="6">
        <f>IFERROR(VLOOKUP($B518,Platts!$E$5:$M$4994,MATCH(I$3,Platts!$F$5:$M$5,0)+1,FALSE),I517)</f>
        <v>51.85</v>
      </c>
      <c r="J518" s="6">
        <f t="shared" si="16"/>
        <v>4.779999999999994</v>
      </c>
    </row>
    <row r="519" spans="2:10" x14ac:dyDescent="0.25">
      <c r="B519" s="5">
        <f t="shared" si="17"/>
        <v>42885</v>
      </c>
      <c r="C519" s="6">
        <f>IFERROR(VLOOKUP($B519,Platts!$E$5:$M$4994,MATCH(C$3,Platts!$F$5:$M$5,0)+1,FALSE),C518)</f>
        <v>44.87</v>
      </c>
      <c r="D519" s="6">
        <f>IFERROR(VLOOKUP($B519,Platts!$E$5:$M$4994,MATCH(D$3,Platts!$F$5:$M$5,0)+1,FALSE),D518)</f>
        <v>52.87</v>
      </c>
      <c r="E519" s="6">
        <f>IFERROR(VLOOKUP($B519,Platts!$E$5:$M$4994,MATCH(E$3,Platts!$F$5:$M$5,0)+1,FALSE),E518)</f>
        <v>46.06</v>
      </c>
      <c r="F519" s="6">
        <f>IFERROR(VLOOKUP($B519,Platts!$E$5:$M$4994,MATCH(F$3,Platts!$F$5:$M$5,0)+1,FALSE),F518)</f>
        <v>53.51</v>
      </c>
      <c r="G519" s="6">
        <f>IFERROR(VLOOKUP($B519,Platts!$E$5:$M$4994,MATCH(G$3,Platts!$F$5:$M$5,0)+1,FALSE),G518)</f>
        <v>51.29</v>
      </c>
      <c r="H519" s="6">
        <f>IFERROR(VLOOKUP($B519,Platts!$E$5:$M$4994,MATCH(H$3,Platts!$F$5:$M$5,0)+1,FALSE),H518)</f>
        <v>49.66</v>
      </c>
      <c r="I519" s="6">
        <f>IFERROR(VLOOKUP($B519,Platts!$E$5:$M$4994,MATCH(I$3,Platts!$F$5:$M$5,0)+1,FALSE),I518)</f>
        <v>51.81</v>
      </c>
      <c r="J519" s="6">
        <f t="shared" si="16"/>
        <v>4.7899999999999991</v>
      </c>
    </row>
    <row r="520" spans="2:10" x14ac:dyDescent="0.25">
      <c r="B520" s="5">
        <f t="shared" si="17"/>
        <v>42886</v>
      </c>
      <c r="C520" s="6">
        <f>IFERROR(VLOOKUP($B520,Platts!$E$5:$M$4994,MATCH(C$3,Platts!$F$5:$M$5,0)+1,FALSE),C519)</f>
        <v>43.67</v>
      </c>
      <c r="D520" s="6">
        <f>IFERROR(VLOOKUP($B520,Platts!$E$5:$M$4994,MATCH(D$3,Platts!$F$5:$M$5,0)+1,FALSE),D519)</f>
        <v>51.55</v>
      </c>
      <c r="E520" s="6">
        <f>IFERROR(VLOOKUP($B520,Platts!$E$5:$M$4994,MATCH(E$3,Platts!$F$5:$M$5,0)+1,FALSE),E519)</f>
        <v>44.8</v>
      </c>
      <c r="F520" s="6">
        <f>IFERROR(VLOOKUP($B520,Platts!$E$5:$M$4994,MATCH(F$3,Platts!$F$5:$M$5,0)+1,FALSE),F519)</f>
        <v>52.14</v>
      </c>
      <c r="G520" s="6">
        <f>IFERROR(VLOOKUP($B520,Platts!$E$5:$M$4994,MATCH(G$3,Platts!$F$5:$M$5,0)+1,FALSE),G519)</f>
        <v>49.8</v>
      </c>
      <c r="H520" s="6">
        <f>IFERROR(VLOOKUP($B520,Platts!$E$5:$M$4994,MATCH(H$3,Platts!$F$5:$M$5,0)+1,FALSE),H519)</f>
        <v>48.32</v>
      </c>
      <c r="I520" s="6">
        <f>IFERROR(VLOOKUP($B520,Platts!$E$5:$M$4994,MATCH(I$3,Platts!$F$5:$M$5,0)+1,FALSE),I519)</f>
        <v>50.47</v>
      </c>
      <c r="J520" s="6">
        <f t="shared" si="16"/>
        <v>4.6499999999999986</v>
      </c>
    </row>
    <row r="521" spans="2:10" x14ac:dyDescent="0.25">
      <c r="B521" s="5">
        <f t="shared" si="17"/>
        <v>42887</v>
      </c>
      <c r="C521" s="6">
        <f>IFERROR(VLOOKUP($B521,Platts!$E$5:$M$4994,MATCH(C$3,Platts!$F$5:$M$5,0)+1,FALSE),C520)</f>
        <v>44.3</v>
      </c>
      <c r="D521" s="6">
        <f>IFERROR(VLOOKUP($B521,Platts!$E$5:$M$4994,MATCH(D$3,Platts!$F$5:$M$5,0)+1,FALSE),D520)</f>
        <v>51.66</v>
      </c>
      <c r="E521" s="6">
        <f>IFERROR(VLOOKUP($B521,Platts!$E$5:$M$4994,MATCH(E$3,Platts!$F$5:$M$5,0)+1,FALSE),E520)</f>
        <v>44.86</v>
      </c>
      <c r="F521" s="6">
        <f>IFERROR(VLOOKUP($B521,Platts!$E$5:$M$4994,MATCH(F$3,Platts!$F$5:$M$5,0)+1,FALSE),F520)</f>
        <v>52.26</v>
      </c>
      <c r="G521" s="6">
        <f>IFERROR(VLOOKUP($B521,Platts!$E$5:$M$4994,MATCH(G$3,Platts!$F$5:$M$5,0)+1,FALSE),G520)</f>
        <v>51.35</v>
      </c>
      <c r="H521" s="6">
        <f>IFERROR(VLOOKUP($B521,Platts!$E$5:$M$4994,MATCH(H$3,Platts!$F$5:$M$5,0)+1,FALSE),H520)</f>
        <v>48.36</v>
      </c>
      <c r="I521" s="6">
        <f>IFERROR(VLOOKUP($B521,Platts!$E$5:$M$4994,MATCH(I$3,Platts!$F$5:$M$5,0)+1,FALSE),I520)</f>
        <v>50.51</v>
      </c>
      <c r="J521" s="6">
        <f t="shared" si="16"/>
        <v>4.0600000000000023</v>
      </c>
    </row>
    <row r="522" spans="2:10" x14ac:dyDescent="0.25">
      <c r="B522" s="5">
        <f t="shared" si="17"/>
        <v>42888</v>
      </c>
      <c r="C522" s="6">
        <f>IFERROR(VLOOKUP($B522,Platts!$E$5:$M$4994,MATCH(C$3,Platts!$F$5:$M$5,0)+1,FALSE),C521)</f>
        <v>43.26</v>
      </c>
      <c r="D522" s="6">
        <f>IFERROR(VLOOKUP($B522,Platts!$E$5:$M$4994,MATCH(D$3,Platts!$F$5:$M$5,0)+1,FALSE),D521)</f>
        <v>50.93</v>
      </c>
      <c r="E522" s="6">
        <f>IFERROR(VLOOKUP($B522,Platts!$E$5:$M$4994,MATCH(E$3,Platts!$F$5:$M$5,0)+1,FALSE),E521)</f>
        <v>44.31</v>
      </c>
      <c r="F522" s="6">
        <f>IFERROR(VLOOKUP($B522,Platts!$E$5:$M$4994,MATCH(F$3,Platts!$F$5:$M$5,0)+1,FALSE),F521)</f>
        <v>51.57</v>
      </c>
      <c r="G522" s="6">
        <f>IFERROR(VLOOKUP($B522,Platts!$E$5:$M$4994,MATCH(G$3,Platts!$F$5:$M$5,0)+1,FALSE),G521)</f>
        <v>49.98</v>
      </c>
      <c r="H522" s="6">
        <f>IFERROR(VLOOKUP($B522,Platts!$E$5:$M$4994,MATCH(H$3,Platts!$F$5:$M$5,0)+1,FALSE),H521)</f>
        <v>47.66</v>
      </c>
      <c r="I522" s="6">
        <f>IFERROR(VLOOKUP($B522,Platts!$E$5:$M$4994,MATCH(I$3,Platts!$F$5:$M$5,0)+1,FALSE),I521)</f>
        <v>49.76</v>
      </c>
      <c r="J522" s="6">
        <f t="shared" si="16"/>
        <v>4.3999999999999986</v>
      </c>
    </row>
    <row r="523" spans="2:10" x14ac:dyDescent="0.25">
      <c r="B523" s="5">
        <f t="shared" si="17"/>
        <v>42889</v>
      </c>
      <c r="C523" s="6">
        <f>IFERROR(VLOOKUP($B523,Platts!$E$5:$M$4994,MATCH(C$3,Platts!$F$5:$M$5,0)+1,FALSE),C522)</f>
        <v>43.26</v>
      </c>
      <c r="D523" s="6">
        <f>IFERROR(VLOOKUP($B523,Platts!$E$5:$M$4994,MATCH(D$3,Platts!$F$5:$M$5,0)+1,FALSE),D522)</f>
        <v>50.93</v>
      </c>
      <c r="E523" s="6">
        <f>IFERROR(VLOOKUP($B523,Platts!$E$5:$M$4994,MATCH(E$3,Platts!$F$5:$M$5,0)+1,FALSE),E522)</f>
        <v>44.31</v>
      </c>
      <c r="F523" s="6">
        <f>IFERROR(VLOOKUP($B523,Platts!$E$5:$M$4994,MATCH(F$3,Platts!$F$5:$M$5,0)+1,FALSE),F522)</f>
        <v>51.57</v>
      </c>
      <c r="G523" s="6">
        <f>IFERROR(VLOOKUP($B523,Platts!$E$5:$M$4994,MATCH(G$3,Platts!$F$5:$M$5,0)+1,FALSE),G522)</f>
        <v>49.98</v>
      </c>
      <c r="H523" s="6">
        <f>IFERROR(VLOOKUP($B523,Platts!$E$5:$M$4994,MATCH(H$3,Platts!$F$5:$M$5,0)+1,FALSE),H522)</f>
        <v>47.66</v>
      </c>
      <c r="I523" s="6">
        <f>IFERROR(VLOOKUP($B523,Platts!$E$5:$M$4994,MATCH(I$3,Platts!$F$5:$M$5,0)+1,FALSE),I522)</f>
        <v>49.76</v>
      </c>
      <c r="J523" s="6">
        <f t="shared" si="16"/>
        <v>4.3999999999999986</v>
      </c>
    </row>
    <row r="524" spans="2:10" x14ac:dyDescent="0.25">
      <c r="B524" s="5">
        <f t="shared" si="17"/>
        <v>42890</v>
      </c>
      <c r="C524" s="6">
        <f>IFERROR(VLOOKUP($B524,Platts!$E$5:$M$4994,MATCH(C$3,Platts!$F$5:$M$5,0)+1,FALSE),C523)</f>
        <v>43.26</v>
      </c>
      <c r="D524" s="6">
        <f>IFERROR(VLOOKUP($B524,Platts!$E$5:$M$4994,MATCH(D$3,Platts!$F$5:$M$5,0)+1,FALSE),D523)</f>
        <v>50.93</v>
      </c>
      <c r="E524" s="6">
        <f>IFERROR(VLOOKUP($B524,Platts!$E$5:$M$4994,MATCH(E$3,Platts!$F$5:$M$5,0)+1,FALSE),E523)</f>
        <v>44.31</v>
      </c>
      <c r="F524" s="6">
        <f>IFERROR(VLOOKUP($B524,Platts!$E$5:$M$4994,MATCH(F$3,Platts!$F$5:$M$5,0)+1,FALSE),F523)</f>
        <v>51.57</v>
      </c>
      <c r="G524" s="6">
        <f>IFERROR(VLOOKUP($B524,Platts!$E$5:$M$4994,MATCH(G$3,Platts!$F$5:$M$5,0)+1,FALSE),G523)</f>
        <v>49.98</v>
      </c>
      <c r="H524" s="6">
        <f>IFERROR(VLOOKUP($B524,Platts!$E$5:$M$4994,MATCH(H$3,Platts!$F$5:$M$5,0)+1,FALSE),H523)</f>
        <v>47.66</v>
      </c>
      <c r="I524" s="6">
        <f>IFERROR(VLOOKUP($B524,Platts!$E$5:$M$4994,MATCH(I$3,Platts!$F$5:$M$5,0)+1,FALSE),I523)</f>
        <v>49.76</v>
      </c>
      <c r="J524" s="6">
        <f t="shared" si="16"/>
        <v>4.3999999999999986</v>
      </c>
    </row>
    <row r="525" spans="2:10" x14ac:dyDescent="0.25">
      <c r="B525" s="5">
        <f t="shared" si="17"/>
        <v>42891</v>
      </c>
      <c r="C525" s="6">
        <f>IFERROR(VLOOKUP($B525,Platts!$E$5:$M$4994,MATCH(C$3,Platts!$F$5:$M$5,0)+1,FALSE),C524)</f>
        <v>42.97</v>
      </c>
      <c r="D525" s="6">
        <f>IFERROR(VLOOKUP($B525,Platts!$E$5:$M$4994,MATCH(D$3,Platts!$F$5:$M$5,0)+1,FALSE),D524)</f>
        <v>50.57</v>
      </c>
      <c r="E525" s="6">
        <f>IFERROR(VLOOKUP($B525,Platts!$E$5:$M$4994,MATCH(E$3,Platts!$F$5:$M$5,0)+1,FALSE),E524)</f>
        <v>43.9</v>
      </c>
      <c r="F525" s="6">
        <f>IFERROR(VLOOKUP($B525,Platts!$E$5:$M$4994,MATCH(F$3,Platts!$F$5:$M$5,0)+1,FALSE),F524)</f>
        <v>51.18</v>
      </c>
      <c r="G525" s="6">
        <f>IFERROR(VLOOKUP($B525,Platts!$E$5:$M$4994,MATCH(G$3,Platts!$F$5:$M$5,0)+1,FALSE),G524)</f>
        <v>49.2</v>
      </c>
      <c r="H525" s="6">
        <f>IFERROR(VLOOKUP($B525,Platts!$E$5:$M$4994,MATCH(H$3,Platts!$F$5:$M$5,0)+1,FALSE),H524)</f>
        <v>47.4</v>
      </c>
      <c r="I525" s="6">
        <f>IFERROR(VLOOKUP($B525,Platts!$E$5:$M$4994,MATCH(I$3,Platts!$F$5:$M$5,0)+1,FALSE),I524)</f>
        <v>49.6</v>
      </c>
      <c r="J525" s="6">
        <f t="shared" si="16"/>
        <v>4.43</v>
      </c>
    </row>
    <row r="526" spans="2:10" x14ac:dyDescent="0.25">
      <c r="B526" s="5">
        <f t="shared" si="17"/>
        <v>42892</v>
      </c>
      <c r="C526" s="6">
        <f>IFERROR(VLOOKUP($B526,Platts!$E$5:$M$4994,MATCH(C$3,Platts!$F$5:$M$5,0)+1,FALSE),C525)</f>
        <v>43.23</v>
      </c>
      <c r="D526" s="6">
        <f>IFERROR(VLOOKUP($B526,Platts!$E$5:$M$4994,MATCH(D$3,Platts!$F$5:$M$5,0)+1,FALSE),D525)</f>
        <v>51.38</v>
      </c>
      <c r="E526" s="6">
        <f>IFERROR(VLOOKUP($B526,Platts!$E$5:$M$4994,MATCH(E$3,Platts!$F$5:$M$5,0)+1,FALSE),E525)</f>
        <v>44.29</v>
      </c>
      <c r="F526" s="6">
        <f>IFERROR(VLOOKUP($B526,Platts!$E$5:$M$4994,MATCH(F$3,Platts!$F$5:$M$5,0)+1,FALSE),F525)</f>
        <v>51.95</v>
      </c>
      <c r="G526" s="6">
        <f>IFERROR(VLOOKUP($B526,Platts!$E$5:$M$4994,MATCH(G$3,Platts!$F$5:$M$5,0)+1,FALSE),G525)</f>
        <v>49.29</v>
      </c>
      <c r="H526" s="6">
        <f>IFERROR(VLOOKUP($B526,Platts!$E$5:$M$4994,MATCH(H$3,Platts!$F$5:$M$5,0)+1,FALSE),H525)</f>
        <v>48.19</v>
      </c>
      <c r="I526" s="6">
        <f>IFERROR(VLOOKUP($B526,Platts!$E$5:$M$4994,MATCH(I$3,Platts!$F$5:$M$5,0)+1,FALSE),I525)</f>
        <v>50.29</v>
      </c>
      <c r="J526" s="6">
        <f t="shared" si="16"/>
        <v>4.9600000000000009</v>
      </c>
    </row>
    <row r="527" spans="2:10" x14ac:dyDescent="0.25">
      <c r="B527" s="5">
        <f t="shared" si="17"/>
        <v>42893</v>
      </c>
      <c r="C527" s="6">
        <f>IFERROR(VLOOKUP($B527,Platts!$E$5:$M$4994,MATCH(C$3,Platts!$F$5:$M$5,0)+1,FALSE),C526)</f>
        <v>41.94</v>
      </c>
      <c r="D527" s="6">
        <f>IFERROR(VLOOKUP($B527,Platts!$E$5:$M$4994,MATCH(D$3,Platts!$F$5:$M$5,0)+1,FALSE),D526)</f>
        <v>49.06</v>
      </c>
      <c r="E527" s="6">
        <f>IFERROR(VLOOKUP($B527,Platts!$E$5:$M$4994,MATCH(E$3,Platts!$F$5:$M$5,0)+1,FALSE),E526)</f>
        <v>43.1</v>
      </c>
      <c r="F527" s="6">
        <f>IFERROR(VLOOKUP($B527,Platts!$E$5:$M$4994,MATCH(F$3,Platts!$F$5:$M$5,0)+1,FALSE),F526)</f>
        <v>49.7</v>
      </c>
      <c r="G527" s="6">
        <f>IFERROR(VLOOKUP($B527,Platts!$E$5:$M$4994,MATCH(G$3,Platts!$F$5:$M$5,0)+1,FALSE),G526)</f>
        <v>48.43</v>
      </c>
      <c r="H527" s="6">
        <f>IFERROR(VLOOKUP($B527,Platts!$E$5:$M$4994,MATCH(H$3,Platts!$F$5:$M$5,0)+1,FALSE),H526)</f>
        <v>45.72</v>
      </c>
      <c r="I527" s="6">
        <f>IFERROR(VLOOKUP($B527,Platts!$E$5:$M$4994,MATCH(I$3,Platts!$F$5:$M$5,0)+1,FALSE),I526)</f>
        <v>47.62</v>
      </c>
      <c r="J527" s="6">
        <f t="shared" si="16"/>
        <v>3.7800000000000011</v>
      </c>
    </row>
    <row r="528" spans="2:10" x14ac:dyDescent="0.25">
      <c r="B528" s="5">
        <f t="shared" si="17"/>
        <v>42894</v>
      </c>
      <c r="C528" s="6">
        <f>IFERROR(VLOOKUP($B528,Platts!$E$5:$M$4994,MATCH(C$3,Platts!$F$5:$M$5,0)+1,FALSE),C527)</f>
        <v>41.77</v>
      </c>
      <c r="D528" s="6">
        <f>IFERROR(VLOOKUP($B528,Platts!$E$5:$M$4994,MATCH(D$3,Platts!$F$5:$M$5,0)+1,FALSE),D527)</f>
        <v>48.78</v>
      </c>
      <c r="E528" s="6">
        <f>IFERROR(VLOOKUP($B528,Platts!$E$5:$M$4994,MATCH(E$3,Platts!$F$5:$M$5,0)+1,FALSE),E527)</f>
        <v>42.52</v>
      </c>
      <c r="F528" s="6">
        <f>IFERROR(VLOOKUP($B528,Platts!$E$5:$M$4994,MATCH(F$3,Platts!$F$5:$M$5,0)+1,FALSE),F527)</f>
        <v>49.4</v>
      </c>
      <c r="G528" s="6">
        <f>IFERROR(VLOOKUP($B528,Platts!$E$5:$M$4994,MATCH(G$3,Platts!$F$5:$M$5,0)+1,FALSE),G527)</f>
        <v>47.99</v>
      </c>
      <c r="H528" s="6">
        <f>IFERROR(VLOOKUP($B528,Platts!$E$5:$M$4994,MATCH(H$3,Platts!$F$5:$M$5,0)+1,FALSE),H527)</f>
        <v>45.64</v>
      </c>
      <c r="I528" s="6">
        <f>IFERROR(VLOOKUP($B528,Platts!$E$5:$M$4994,MATCH(I$3,Platts!$F$5:$M$5,0)+1,FALSE),I527)</f>
        <v>47.64</v>
      </c>
      <c r="J528" s="6">
        <f t="shared" si="16"/>
        <v>3.8699999999999974</v>
      </c>
    </row>
    <row r="529" spans="2:10" x14ac:dyDescent="0.25">
      <c r="B529" s="5">
        <f t="shared" si="17"/>
        <v>42895</v>
      </c>
      <c r="C529" s="6">
        <f>IFERROR(VLOOKUP($B529,Platts!$E$5:$M$4994,MATCH(C$3,Platts!$F$5:$M$5,0)+1,FALSE),C528)</f>
        <v>41.83</v>
      </c>
      <c r="D529" s="6">
        <f>IFERROR(VLOOKUP($B529,Platts!$E$5:$M$4994,MATCH(D$3,Platts!$F$5:$M$5,0)+1,FALSE),D528)</f>
        <v>49.03</v>
      </c>
      <c r="E529" s="6">
        <f>IFERROR(VLOOKUP($B529,Platts!$E$5:$M$4994,MATCH(E$3,Platts!$F$5:$M$5,0)+1,FALSE),E528)</f>
        <v>42.67</v>
      </c>
      <c r="F529" s="6">
        <f>IFERROR(VLOOKUP($B529,Platts!$E$5:$M$4994,MATCH(F$3,Platts!$F$5:$M$5,0)+1,FALSE),F528)</f>
        <v>49.66</v>
      </c>
      <c r="G529" s="6">
        <f>IFERROR(VLOOKUP($B529,Platts!$E$5:$M$4994,MATCH(G$3,Platts!$F$5:$M$5,0)+1,FALSE),G528)</f>
        <v>48.36</v>
      </c>
      <c r="H529" s="6">
        <f>IFERROR(VLOOKUP($B529,Platts!$E$5:$M$4994,MATCH(H$3,Platts!$F$5:$M$5,0)+1,FALSE),H528)</f>
        <v>45.83</v>
      </c>
      <c r="I529" s="6">
        <f>IFERROR(VLOOKUP($B529,Platts!$E$5:$M$4994,MATCH(I$3,Platts!$F$5:$M$5,0)+1,FALSE),I528)</f>
        <v>47.83</v>
      </c>
      <c r="J529" s="6">
        <f t="shared" si="16"/>
        <v>4</v>
      </c>
    </row>
    <row r="530" spans="2:10" x14ac:dyDescent="0.25">
      <c r="B530" s="5">
        <f t="shared" si="17"/>
        <v>42896</v>
      </c>
      <c r="C530" s="6">
        <f>IFERROR(VLOOKUP($B530,Platts!$E$5:$M$4994,MATCH(C$3,Platts!$F$5:$M$5,0)+1,FALSE),C529)</f>
        <v>41.83</v>
      </c>
      <c r="D530" s="6">
        <f>IFERROR(VLOOKUP($B530,Platts!$E$5:$M$4994,MATCH(D$3,Platts!$F$5:$M$5,0)+1,FALSE),D529)</f>
        <v>49.03</v>
      </c>
      <c r="E530" s="6">
        <f>IFERROR(VLOOKUP($B530,Platts!$E$5:$M$4994,MATCH(E$3,Platts!$F$5:$M$5,0)+1,FALSE),E529)</f>
        <v>42.67</v>
      </c>
      <c r="F530" s="6">
        <f>IFERROR(VLOOKUP($B530,Platts!$E$5:$M$4994,MATCH(F$3,Platts!$F$5:$M$5,0)+1,FALSE),F529)</f>
        <v>49.66</v>
      </c>
      <c r="G530" s="6">
        <f>IFERROR(VLOOKUP($B530,Platts!$E$5:$M$4994,MATCH(G$3,Platts!$F$5:$M$5,0)+1,FALSE),G529)</f>
        <v>48.36</v>
      </c>
      <c r="H530" s="6">
        <f>IFERROR(VLOOKUP($B530,Platts!$E$5:$M$4994,MATCH(H$3,Platts!$F$5:$M$5,0)+1,FALSE),H529)</f>
        <v>45.83</v>
      </c>
      <c r="I530" s="6">
        <f>IFERROR(VLOOKUP($B530,Platts!$E$5:$M$4994,MATCH(I$3,Platts!$F$5:$M$5,0)+1,FALSE),I529)</f>
        <v>47.83</v>
      </c>
      <c r="J530" s="6">
        <f t="shared" si="16"/>
        <v>4</v>
      </c>
    </row>
    <row r="531" spans="2:10" x14ac:dyDescent="0.25">
      <c r="B531" s="5">
        <f t="shared" si="17"/>
        <v>42897</v>
      </c>
      <c r="C531" s="6">
        <f>IFERROR(VLOOKUP($B531,Platts!$E$5:$M$4994,MATCH(C$3,Platts!$F$5:$M$5,0)+1,FALSE),C530)</f>
        <v>41.83</v>
      </c>
      <c r="D531" s="6">
        <f>IFERROR(VLOOKUP($B531,Platts!$E$5:$M$4994,MATCH(D$3,Platts!$F$5:$M$5,0)+1,FALSE),D530)</f>
        <v>49.03</v>
      </c>
      <c r="E531" s="6">
        <f>IFERROR(VLOOKUP($B531,Platts!$E$5:$M$4994,MATCH(E$3,Platts!$F$5:$M$5,0)+1,FALSE),E530)</f>
        <v>42.67</v>
      </c>
      <c r="F531" s="6">
        <f>IFERROR(VLOOKUP($B531,Platts!$E$5:$M$4994,MATCH(F$3,Platts!$F$5:$M$5,0)+1,FALSE),F530)</f>
        <v>49.66</v>
      </c>
      <c r="G531" s="6">
        <f>IFERROR(VLOOKUP($B531,Platts!$E$5:$M$4994,MATCH(G$3,Platts!$F$5:$M$5,0)+1,FALSE),G530)</f>
        <v>48.36</v>
      </c>
      <c r="H531" s="6">
        <f>IFERROR(VLOOKUP($B531,Platts!$E$5:$M$4994,MATCH(H$3,Platts!$F$5:$M$5,0)+1,FALSE),H530)</f>
        <v>45.83</v>
      </c>
      <c r="I531" s="6">
        <f>IFERROR(VLOOKUP($B531,Platts!$E$5:$M$4994,MATCH(I$3,Platts!$F$5:$M$5,0)+1,FALSE),I530)</f>
        <v>47.83</v>
      </c>
      <c r="J531" s="6">
        <f t="shared" si="16"/>
        <v>4</v>
      </c>
    </row>
    <row r="532" spans="2:10" x14ac:dyDescent="0.25">
      <c r="B532" s="5">
        <f t="shared" si="17"/>
        <v>42898</v>
      </c>
      <c r="C532" s="6">
        <f>IFERROR(VLOOKUP($B532,Platts!$E$5:$M$4994,MATCH(C$3,Platts!$F$5:$M$5,0)+1,FALSE),C531)</f>
        <v>42.09</v>
      </c>
      <c r="D532" s="6">
        <f>IFERROR(VLOOKUP($B532,Platts!$E$5:$M$4994,MATCH(D$3,Platts!$F$5:$M$5,0)+1,FALSE),D531)</f>
        <v>49.27</v>
      </c>
      <c r="E532" s="6">
        <f>IFERROR(VLOOKUP($B532,Platts!$E$5:$M$4994,MATCH(E$3,Platts!$F$5:$M$5,0)+1,FALSE),E531)</f>
        <v>42.91</v>
      </c>
      <c r="F532" s="6">
        <f>IFERROR(VLOOKUP($B532,Platts!$E$5:$M$4994,MATCH(F$3,Platts!$F$5:$M$5,0)+1,FALSE),F531)</f>
        <v>49.87</v>
      </c>
      <c r="G532" s="6">
        <f>IFERROR(VLOOKUP($B532,Platts!$E$5:$M$4994,MATCH(G$3,Platts!$F$5:$M$5,0)+1,FALSE),G531)</f>
        <v>48.79</v>
      </c>
      <c r="H532" s="6">
        <f>IFERROR(VLOOKUP($B532,Platts!$E$5:$M$4994,MATCH(H$3,Platts!$F$5:$M$5,0)+1,FALSE),H531)</f>
        <v>46.08</v>
      </c>
      <c r="I532" s="6">
        <f>IFERROR(VLOOKUP($B532,Platts!$E$5:$M$4994,MATCH(I$3,Platts!$F$5:$M$5,0)+1,FALSE),I531)</f>
        <v>48.18</v>
      </c>
      <c r="J532" s="6">
        <f t="shared" si="16"/>
        <v>3.9899999999999949</v>
      </c>
    </row>
    <row r="533" spans="2:10" x14ac:dyDescent="0.25">
      <c r="B533" s="5">
        <f t="shared" si="17"/>
        <v>42899</v>
      </c>
      <c r="C533" s="6">
        <f>IFERROR(VLOOKUP($B533,Platts!$E$5:$M$4994,MATCH(C$3,Platts!$F$5:$M$5,0)+1,FALSE),C532)</f>
        <v>42.29</v>
      </c>
      <c r="D533" s="6">
        <f>IFERROR(VLOOKUP($B533,Platts!$E$5:$M$4994,MATCH(D$3,Platts!$F$5:$M$5,0)+1,FALSE),D532)</f>
        <v>49.67</v>
      </c>
      <c r="E533" s="6">
        <f>IFERROR(VLOOKUP($B533,Platts!$E$5:$M$4994,MATCH(E$3,Platts!$F$5:$M$5,0)+1,FALSE),E532)</f>
        <v>43.15</v>
      </c>
      <c r="F533" s="6">
        <f>IFERROR(VLOOKUP($B533,Platts!$E$5:$M$4994,MATCH(F$3,Platts!$F$5:$M$5,0)+1,FALSE),F532)</f>
        <v>50.28</v>
      </c>
      <c r="G533" s="6">
        <f>IFERROR(VLOOKUP($B533,Platts!$E$5:$M$4994,MATCH(G$3,Platts!$F$5:$M$5,0)+1,FALSE),G532)</f>
        <v>48.18</v>
      </c>
      <c r="H533" s="6">
        <f>IFERROR(VLOOKUP($B533,Platts!$E$5:$M$4994,MATCH(H$3,Platts!$F$5:$M$5,0)+1,FALSE),H532)</f>
        <v>46.46</v>
      </c>
      <c r="I533" s="6">
        <f>IFERROR(VLOOKUP($B533,Platts!$E$5:$M$4994,MATCH(I$3,Platts!$F$5:$M$5,0)+1,FALSE),I532)</f>
        <v>48.61</v>
      </c>
      <c r="J533" s="6">
        <f t="shared" si="16"/>
        <v>4.1700000000000017</v>
      </c>
    </row>
    <row r="534" spans="2:10" x14ac:dyDescent="0.25">
      <c r="B534" s="5">
        <f t="shared" si="17"/>
        <v>42900</v>
      </c>
      <c r="C534" s="6">
        <f>IFERROR(VLOOKUP($B534,Platts!$E$5:$M$4994,MATCH(C$3,Platts!$F$5:$M$5,0)+1,FALSE),C533)</f>
        <v>40.98</v>
      </c>
      <c r="D534" s="6">
        <f>IFERROR(VLOOKUP($B534,Platts!$E$5:$M$4994,MATCH(D$3,Platts!$F$5:$M$5,0)+1,FALSE),D533)</f>
        <v>47.94</v>
      </c>
      <c r="E534" s="6">
        <f>IFERROR(VLOOKUP($B534,Platts!$E$5:$M$4994,MATCH(E$3,Platts!$F$5:$M$5,0)+1,FALSE),E533)</f>
        <v>41.58</v>
      </c>
      <c r="F534" s="6">
        <f>IFERROR(VLOOKUP($B534,Platts!$E$5:$M$4994,MATCH(F$3,Platts!$F$5:$M$5,0)+1,FALSE),F533)</f>
        <v>48.58</v>
      </c>
      <c r="G534" s="6">
        <f>IFERROR(VLOOKUP($B534,Platts!$E$5:$M$4994,MATCH(G$3,Platts!$F$5:$M$5,0)+1,FALSE),G533)</f>
        <v>46.88</v>
      </c>
      <c r="H534" s="6">
        <f>IFERROR(VLOOKUP($B534,Platts!$E$5:$M$4994,MATCH(H$3,Platts!$F$5:$M$5,0)+1,FALSE),H533)</f>
        <v>44.73</v>
      </c>
      <c r="I534" s="6">
        <f>IFERROR(VLOOKUP($B534,Platts!$E$5:$M$4994,MATCH(I$3,Platts!$F$5:$M$5,0)+1,FALSE),I533)</f>
        <v>46.98</v>
      </c>
      <c r="J534" s="6">
        <f t="shared" si="16"/>
        <v>3.75</v>
      </c>
    </row>
    <row r="535" spans="2:10" x14ac:dyDescent="0.25">
      <c r="B535" s="5">
        <f t="shared" si="17"/>
        <v>42901</v>
      </c>
      <c r="C535" s="6">
        <f>IFERROR(VLOOKUP($B535,Platts!$E$5:$M$4994,MATCH(C$3,Platts!$F$5:$M$5,0)+1,FALSE),C534)</f>
        <v>40.619999999999997</v>
      </c>
      <c r="D535" s="6">
        <f>IFERROR(VLOOKUP($B535,Platts!$E$5:$M$4994,MATCH(D$3,Platts!$F$5:$M$5,0)+1,FALSE),D534)</f>
        <v>47.59</v>
      </c>
      <c r="E535" s="6">
        <f>IFERROR(VLOOKUP($B535,Platts!$E$5:$M$4994,MATCH(E$3,Platts!$F$5:$M$5,0)+1,FALSE),E534)</f>
        <v>41.35</v>
      </c>
      <c r="F535" s="6">
        <f>IFERROR(VLOOKUP($B535,Platts!$E$5:$M$4994,MATCH(F$3,Platts!$F$5:$M$5,0)+1,FALSE),F534)</f>
        <v>48.24</v>
      </c>
      <c r="G535" s="6">
        <f>IFERROR(VLOOKUP($B535,Platts!$E$5:$M$4994,MATCH(G$3,Platts!$F$5:$M$5,0)+1,FALSE),G534)</f>
        <v>46.96</v>
      </c>
      <c r="H535" s="6">
        <f>IFERROR(VLOOKUP($B535,Platts!$E$5:$M$4994,MATCH(H$3,Platts!$F$5:$M$5,0)+1,FALSE),H534)</f>
        <v>44.46</v>
      </c>
      <c r="I535" s="6">
        <f>IFERROR(VLOOKUP($B535,Platts!$E$5:$M$4994,MATCH(I$3,Platts!$F$5:$M$5,0)+1,FALSE),I534)</f>
        <v>46.61</v>
      </c>
      <c r="J535" s="6">
        <f t="shared" si="16"/>
        <v>3.8400000000000034</v>
      </c>
    </row>
    <row r="536" spans="2:10" x14ac:dyDescent="0.25">
      <c r="B536" s="5">
        <f t="shared" si="17"/>
        <v>42902</v>
      </c>
      <c r="C536" s="6">
        <f>IFERROR(VLOOKUP($B536,Platts!$E$5:$M$4994,MATCH(C$3,Platts!$F$5:$M$5,0)+1,FALSE),C535)</f>
        <v>40.85</v>
      </c>
      <c r="D536" s="6">
        <f>IFERROR(VLOOKUP($B536,Platts!$E$5:$M$4994,MATCH(D$3,Platts!$F$5:$M$5,0)+1,FALSE),D535)</f>
        <v>47.77</v>
      </c>
      <c r="E536" s="6">
        <f>IFERROR(VLOOKUP($B536,Platts!$E$5:$M$4994,MATCH(E$3,Platts!$F$5:$M$5,0)+1,FALSE),E535)</f>
        <v>41.55</v>
      </c>
      <c r="F536" s="6">
        <f>IFERROR(VLOOKUP($B536,Platts!$E$5:$M$4994,MATCH(F$3,Platts!$F$5:$M$5,0)+1,FALSE),F535)</f>
        <v>48.5</v>
      </c>
      <c r="G536" s="6">
        <f>IFERROR(VLOOKUP($B536,Platts!$E$5:$M$4994,MATCH(G$3,Platts!$F$5:$M$5,0)+1,FALSE),G535)</f>
        <v>47.13</v>
      </c>
      <c r="H536" s="6">
        <f>IFERROR(VLOOKUP($B536,Platts!$E$5:$M$4994,MATCH(H$3,Platts!$F$5:$M$5,0)+1,FALSE),H535)</f>
        <v>44.74</v>
      </c>
      <c r="I536" s="6">
        <f>IFERROR(VLOOKUP($B536,Platts!$E$5:$M$4994,MATCH(I$3,Platts!$F$5:$M$5,0)+1,FALSE),I535)</f>
        <v>46.74</v>
      </c>
      <c r="J536" s="6">
        <f t="shared" si="16"/>
        <v>3.8900000000000006</v>
      </c>
    </row>
    <row r="537" spans="2:10" x14ac:dyDescent="0.25">
      <c r="B537" s="5">
        <f t="shared" si="17"/>
        <v>42903</v>
      </c>
      <c r="C537" s="6">
        <f>IFERROR(VLOOKUP($B537,Platts!$E$5:$M$4994,MATCH(C$3,Platts!$F$5:$M$5,0)+1,FALSE),C536)</f>
        <v>40.85</v>
      </c>
      <c r="D537" s="6">
        <f>IFERROR(VLOOKUP($B537,Platts!$E$5:$M$4994,MATCH(D$3,Platts!$F$5:$M$5,0)+1,FALSE),D536)</f>
        <v>47.77</v>
      </c>
      <c r="E537" s="6">
        <f>IFERROR(VLOOKUP($B537,Platts!$E$5:$M$4994,MATCH(E$3,Platts!$F$5:$M$5,0)+1,FALSE),E536)</f>
        <v>41.55</v>
      </c>
      <c r="F537" s="6">
        <f>IFERROR(VLOOKUP($B537,Platts!$E$5:$M$4994,MATCH(F$3,Platts!$F$5:$M$5,0)+1,FALSE),F536)</f>
        <v>48.5</v>
      </c>
      <c r="G537" s="6">
        <f>IFERROR(VLOOKUP($B537,Platts!$E$5:$M$4994,MATCH(G$3,Platts!$F$5:$M$5,0)+1,FALSE),G536)</f>
        <v>47.13</v>
      </c>
      <c r="H537" s="6">
        <f>IFERROR(VLOOKUP($B537,Platts!$E$5:$M$4994,MATCH(H$3,Platts!$F$5:$M$5,0)+1,FALSE),H536)</f>
        <v>44.74</v>
      </c>
      <c r="I537" s="6">
        <f>IFERROR(VLOOKUP($B537,Platts!$E$5:$M$4994,MATCH(I$3,Platts!$F$5:$M$5,0)+1,FALSE),I536)</f>
        <v>46.74</v>
      </c>
      <c r="J537" s="6">
        <f t="shared" si="16"/>
        <v>3.8900000000000006</v>
      </c>
    </row>
    <row r="538" spans="2:10" x14ac:dyDescent="0.25">
      <c r="B538" s="5">
        <f t="shared" si="17"/>
        <v>42904</v>
      </c>
      <c r="C538" s="6">
        <f>IFERROR(VLOOKUP($B538,Platts!$E$5:$M$4994,MATCH(C$3,Platts!$F$5:$M$5,0)+1,FALSE),C537)</f>
        <v>40.85</v>
      </c>
      <c r="D538" s="6">
        <f>IFERROR(VLOOKUP($B538,Platts!$E$5:$M$4994,MATCH(D$3,Platts!$F$5:$M$5,0)+1,FALSE),D537)</f>
        <v>47.77</v>
      </c>
      <c r="E538" s="6">
        <f>IFERROR(VLOOKUP($B538,Platts!$E$5:$M$4994,MATCH(E$3,Platts!$F$5:$M$5,0)+1,FALSE),E537)</f>
        <v>41.55</v>
      </c>
      <c r="F538" s="6">
        <f>IFERROR(VLOOKUP($B538,Platts!$E$5:$M$4994,MATCH(F$3,Platts!$F$5:$M$5,0)+1,FALSE),F537)</f>
        <v>48.5</v>
      </c>
      <c r="G538" s="6">
        <f>IFERROR(VLOOKUP($B538,Platts!$E$5:$M$4994,MATCH(G$3,Platts!$F$5:$M$5,0)+1,FALSE),G537)</f>
        <v>47.13</v>
      </c>
      <c r="H538" s="6">
        <f>IFERROR(VLOOKUP($B538,Platts!$E$5:$M$4994,MATCH(H$3,Platts!$F$5:$M$5,0)+1,FALSE),H537)</f>
        <v>44.74</v>
      </c>
      <c r="I538" s="6">
        <f>IFERROR(VLOOKUP($B538,Platts!$E$5:$M$4994,MATCH(I$3,Platts!$F$5:$M$5,0)+1,FALSE),I537)</f>
        <v>46.74</v>
      </c>
      <c r="J538" s="6">
        <f t="shared" si="16"/>
        <v>3.8900000000000006</v>
      </c>
    </row>
    <row r="539" spans="2:10" x14ac:dyDescent="0.25">
      <c r="B539" s="5">
        <f t="shared" si="17"/>
        <v>42905</v>
      </c>
      <c r="C539" s="6">
        <f>IFERROR(VLOOKUP($B539,Platts!$E$5:$M$4994,MATCH(C$3,Platts!$F$5:$M$5,0)+1,FALSE),C538)</f>
        <v>40.659999999999997</v>
      </c>
      <c r="D539" s="6">
        <f>IFERROR(VLOOKUP($B539,Platts!$E$5:$M$4994,MATCH(D$3,Platts!$F$5:$M$5,0)+1,FALSE),D538)</f>
        <v>47.25</v>
      </c>
      <c r="E539" s="6">
        <f>IFERROR(VLOOKUP($B539,Platts!$E$5:$M$4994,MATCH(E$3,Platts!$F$5:$M$5,0)+1,FALSE),E538)</f>
        <v>41.14</v>
      </c>
      <c r="F539" s="6">
        <f>IFERROR(VLOOKUP($B539,Platts!$E$5:$M$4994,MATCH(F$3,Platts!$F$5:$M$5,0)+1,FALSE),F538)</f>
        <v>48</v>
      </c>
      <c r="G539" s="6">
        <f>IFERROR(VLOOKUP($B539,Platts!$E$5:$M$4994,MATCH(G$3,Platts!$F$5:$M$5,0)+1,FALSE),G538)</f>
        <v>47.36</v>
      </c>
      <c r="H539" s="6">
        <f>IFERROR(VLOOKUP($B539,Platts!$E$5:$M$4994,MATCH(H$3,Platts!$F$5:$M$5,0)+1,FALSE),H538)</f>
        <v>44.2</v>
      </c>
      <c r="I539" s="6">
        <f>IFERROR(VLOOKUP($B539,Platts!$E$5:$M$4994,MATCH(I$3,Platts!$F$5:$M$5,0)+1,FALSE),I538)</f>
        <v>46.15</v>
      </c>
      <c r="J539" s="6">
        <f t="shared" si="16"/>
        <v>3.5400000000000063</v>
      </c>
    </row>
    <row r="540" spans="2:10" x14ac:dyDescent="0.25">
      <c r="B540" s="5">
        <f t="shared" si="17"/>
        <v>42906</v>
      </c>
      <c r="C540" s="6">
        <f>IFERROR(VLOOKUP($B540,Platts!$E$5:$M$4994,MATCH(C$3,Platts!$F$5:$M$5,0)+1,FALSE),C539)</f>
        <v>39.79</v>
      </c>
      <c r="D540" s="6">
        <f>IFERROR(VLOOKUP($B540,Platts!$E$5:$M$4994,MATCH(D$3,Platts!$F$5:$M$5,0)+1,FALSE),D539)</f>
        <v>46.33</v>
      </c>
      <c r="E540" s="6">
        <f>IFERROR(VLOOKUP($B540,Platts!$E$5:$M$4994,MATCH(E$3,Platts!$F$5:$M$5,0)+1,FALSE),E539)</f>
        <v>40.49</v>
      </c>
      <c r="F540" s="6">
        <f>IFERROR(VLOOKUP($B540,Platts!$E$5:$M$4994,MATCH(F$3,Platts!$F$5:$M$5,0)+1,FALSE),F539)</f>
        <v>47.06</v>
      </c>
      <c r="G540" s="6">
        <f>IFERROR(VLOOKUP($B540,Platts!$E$5:$M$4994,MATCH(G$3,Platts!$F$5:$M$5,0)+1,FALSE),G539)</f>
        <v>45.63</v>
      </c>
      <c r="H540" s="6">
        <f>IFERROR(VLOOKUP($B540,Platts!$E$5:$M$4994,MATCH(H$3,Platts!$F$5:$M$5,0)+1,FALSE),H539)</f>
        <v>43.23</v>
      </c>
      <c r="I540" s="6">
        <f>IFERROR(VLOOKUP($B540,Platts!$E$5:$M$4994,MATCH(I$3,Platts!$F$5:$M$5,0)+1,FALSE),I539)</f>
        <v>45.18</v>
      </c>
      <c r="J540" s="6">
        <f t="shared" si="16"/>
        <v>3.4399999999999977</v>
      </c>
    </row>
    <row r="541" spans="2:10" x14ac:dyDescent="0.25">
      <c r="B541" s="5">
        <f t="shared" si="17"/>
        <v>42907</v>
      </c>
      <c r="C541" s="6">
        <f>IFERROR(VLOOKUP($B541,Platts!$E$5:$M$4994,MATCH(C$3,Platts!$F$5:$M$5,0)+1,FALSE),C540)</f>
        <v>39.200000000000003</v>
      </c>
      <c r="D541" s="6">
        <f>IFERROR(VLOOKUP($B541,Platts!$E$5:$M$4994,MATCH(D$3,Platts!$F$5:$M$5,0)+1,FALSE),D540)</f>
        <v>45.34</v>
      </c>
      <c r="E541" s="6">
        <f>IFERROR(VLOOKUP($B541,Platts!$E$5:$M$4994,MATCH(E$3,Platts!$F$5:$M$5,0)+1,FALSE),E540)</f>
        <v>39.520000000000003</v>
      </c>
      <c r="F541" s="6">
        <f>IFERROR(VLOOKUP($B541,Platts!$E$5:$M$4994,MATCH(F$3,Platts!$F$5:$M$5,0)+1,FALSE),F540)</f>
        <v>46.08</v>
      </c>
      <c r="G541" s="6">
        <f>IFERROR(VLOOKUP($B541,Platts!$E$5:$M$4994,MATCH(G$3,Platts!$F$5:$M$5,0)+1,FALSE),G540)</f>
        <v>45.77</v>
      </c>
      <c r="H541" s="6">
        <f>IFERROR(VLOOKUP($B541,Platts!$E$5:$M$4994,MATCH(H$3,Platts!$F$5:$M$5,0)+1,FALSE),H540)</f>
        <v>42.33</v>
      </c>
      <c r="I541" s="6">
        <f>IFERROR(VLOOKUP($B541,Platts!$E$5:$M$4994,MATCH(I$3,Platts!$F$5:$M$5,0)+1,FALSE),I540)</f>
        <v>44.13</v>
      </c>
      <c r="J541" s="6">
        <f t="shared" si="16"/>
        <v>3.1299999999999955</v>
      </c>
    </row>
    <row r="542" spans="2:10" x14ac:dyDescent="0.25">
      <c r="B542" s="5">
        <f t="shared" si="17"/>
        <v>42908</v>
      </c>
      <c r="C542" s="6">
        <f>IFERROR(VLOOKUP($B542,Platts!$E$5:$M$4994,MATCH(C$3,Platts!$F$5:$M$5,0)+1,FALSE),C541)</f>
        <v>39.380000000000003</v>
      </c>
      <c r="D542" s="6">
        <f>IFERROR(VLOOKUP($B542,Platts!$E$5:$M$4994,MATCH(D$3,Platts!$F$5:$M$5,0)+1,FALSE),D541)</f>
        <v>45.66</v>
      </c>
      <c r="E542" s="6">
        <f>IFERROR(VLOOKUP($B542,Platts!$E$5:$M$4994,MATCH(E$3,Platts!$F$5:$M$5,0)+1,FALSE),E541)</f>
        <v>39.909999999999997</v>
      </c>
      <c r="F542" s="6">
        <f>IFERROR(VLOOKUP($B542,Platts!$E$5:$M$4994,MATCH(F$3,Platts!$F$5:$M$5,0)+1,FALSE),F541)</f>
        <v>46.4</v>
      </c>
      <c r="G542" s="6">
        <f>IFERROR(VLOOKUP($B542,Platts!$E$5:$M$4994,MATCH(G$3,Platts!$F$5:$M$5,0)+1,FALSE),G541)</f>
        <v>45.67</v>
      </c>
      <c r="H542" s="6">
        <f>IFERROR(VLOOKUP($B542,Platts!$E$5:$M$4994,MATCH(H$3,Platts!$F$5:$M$5,0)+1,FALSE),H541)</f>
        <v>42.54</v>
      </c>
      <c r="I542" s="6">
        <f>IFERROR(VLOOKUP($B542,Platts!$E$5:$M$4994,MATCH(I$3,Platts!$F$5:$M$5,0)+1,FALSE),I541)</f>
        <v>44.39</v>
      </c>
      <c r="J542" s="6">
        <f t="shared" si="16"/>
        <v>3.1599999999999966</v>
      </c>
    </row>
    <row r="543" spans="2:10" x14ac:dyDescent="0.25">
      <c r="B543" s="5">
        <f t="shared" si="17"/>
        <v>42909</v>
      </c>
      <c r="C543" s="6">
        <f>IFERROR(VLOOKUP($B543,Platts!$E$5:$M$4994,MATCH(C$3,Platts!$F$5:$M$5,0)+1,FALSE),C542)</f>
        <v>39.65</v>
      </c>
      <c r="D543" s="6">
        <f>IFERROR(VLOOKUP($B543,Platts!$E$5:$M$4994,MATCH(D$3,Platts!$F$5:$M$5,0)+1,FALSE),D542)</f>
        <v>45.9</v>
      </c>
      <c r="E543" s="6">
        <f>IFERROR(VLOOKUP($B543,Platts!$E$5:$M$4994,MATCH(E$3,Platts!$F$5:$M$5,0)+1,FALSE),E542)</f>
        <v>40.22</v>
      </c>
      <c r="F543" s="6">
        <f>IFERROR(VLOOKUP($B543,Platts!$E$5:$M$4994,MATCH(F$3,Platts!$F$5:$M$5,0)+1,FALSE),F542)</f>
        <v>46.66</v>
      </c>
      <c r="G543" s="6">
        <f>IFERROR(VLOOKUP($B543,Platts!$E$5:$M$4994,MATCH(G$3,Platts!$F$5:$M$5,0)+1,FALSE),G542)</f>
        <v>45.6</v>
      </c>
      <c r="H543" s="6">
        <f>IFERROR(VLOOKUP($B543,Platts!$E$5:$M$4994,MATCH(H$3,Platts!$F$5:$M$5,0)+1,FALSE),H542)</f>
        <v>42.81</v>
      </c>
      <c r="I543" s="6">
        <f>IFERROR(VLOOKUP($B543,Platts!$E$5:$M$4994,MATCH(I$3,Platts!$F$5:$M$5,0)+1,FALSE),I542)</f>
        <v>44.76</v>
      </c>
      <c r="J543" s="6">
        <f t="shared" si="16"/>
        <v>3.1600000000000037</v>
      </c>
    </row>
    <row r="544" spans="2:10" x14ac:dyDescent="0.25">
      <c r="B544" s="5">
        <f t="shared" si="17"/>
        <v>42910</v>
      </c>
      <c r="C544" s="6">
        <f>IFERROR(VLOOKUP($B544,Platts!$E$5:$M$4994,MATCH(C$3,Platts!$F$5:$M$5,0)+1,FALSE),C543)</f>
        <v>39.65</v>
      </c>
      <c r="D544" s="6">
        <f>IFERROR(VLOOKUP($B544,Platts!$E$5:$M$4994,MATCH(D$3,Platts!$F$5:$M$5,0)+1,FALSE),D543)</f>
        <v>45.9</v>
      </c>
      <c r="E544" s="6">
        <f>IFERROR(VLOOKUP($B544,Platts!$E$5:$M$4994,MATCH(E$3,Platts!$F$5:$M$5,0)+1,FALSE),E543)</f>
        <v>40.22</v>
      </c>
      <c r="F544" s="6">
        <f>IFERROR(VLOOKUP($B544,Platts!$E$5:$M$4994,MATCH(F$3,Platts!$F$5:$M$5,0)+1,FALSE),F543)</f>
        <v>46.66</v>
      </c>
      <c r="G544" s="6">
        <f>IFERROR(VLOOKUP($B544,Platts!$E$5:$M$4994,MATCH(G$3,Platts!$F$5:$M$5,0)+1,FALSE),G543)</f>
        <v>45.6</v>
      </c>
      <c r="H544" s="6">
        <f>IFERROR(VLOOKUP($B544,Platts!$E$5:$M$4994,MATCH(H$3,Platts!$F$5:$M$5,0)+1,FALSE),H543)</f>
        <v>42.81</v>
      </c>
      <c r="I544" s="6">
        <f>IFERROR(VLOOKUP($B544,Platts!$E$5:$M$4994,MATCH(I$3,Platts!$F$5:$M$5,0)+1,FALSE),I543)</f>
        <v>44.76</v>
      </c>
      <c r="J544" s="6">
        <f t="shared" si="16"/>
        <v>3.1600000000000037</v>
      </c>
    </row>
    <row r="545" spans="2:10" x14ac:dyDescent="0.25">
      <c r="B545" s="5">
        <f t="shared" si="17"/>
        <v>42911</v>
      </c>
      <c r="C545" s="6">
        <f>IFERROR(VLOOKUP($B545,Platts!$E$5:$M$4994,MATCH(C$3,Platts!$F$5:$M$5,0)+1,FALSE),C544)</f>
        <v>39.65</v>
      </c>
      <c r="D545" s="6">
        <f>IFERROR(VLOOKUP($B545,Platts!$E$5:$M$4994,MATCH(D$3,Platts!$F$5:$M$5,0)+1,FALSE),D544)</f>
        <v>45.9</v>
      </c>
      <c r="E545" s="6">
        <f>IFERROR(VLOOKUP($B545,Platts!$E$5:$M$4994,MATCH(E$3,Platts!$F$5:$M$5,0)+1,FALSE),E544)</f>
        <v>40.22</v>
      </c>
      <c r="F545" s="6">
        <f>IFERROR(VLOOKUP($B545,Platts!$E$5:$M$4994,MATCH(F$3,Platts!$F$5:$M$5,0)+1,FALSE),F544)</f>
        <v>46.66</v>
      </c>
      <c r="G545" s="6">
        <f>IFERROR(VLOOKUP($B545,Platts!$E$5:$M$4994,MATCH(G$3,Platts!$F$5:$M$5,0)+1,FALSE),G544)</f>
        <v>45.6</v>
      </c>
      <c r="H545" s="6">
        <f>IFERROR(VLOOKUP($B545,Platts!$E$5:$M$4994,MATCH(H$3,Platts!$F$5:$M$5,0)+1,FALSE),H544)</f>
        <v>42.81</v>
      </c>
      <c r="I545" s="6">
        <f>IFERROR(VLOOKUP($B545,Platts!$E$5:$M$4994,MATCH(I$3,Platts!$F$5:$M$5,0)+1,FALSE),I544)</f>
        <v>44.76</v>
      </c>
      <c r="J545" s="6">
        <f t="shared" si="16"/>
        <v>3.1600000000000037</v>
      </c>
    </row>
    <row r="546" spans="2:10" x14ac:dyDescent="0.25">
      <c r="B546" s="5">
        <f t="shared" si="17"/>
        <v>42912</v>
      </c>
      <c r="C546" s="6">
        <f>IFERROR(VLOOKUP($B546,Platts!$E$5:$M$4994,MATCH(C$3,Platts!$F$5:$M$5,0)+1,FALSE),C545)</f>
        <v>39.65</v>
      </c>
      <c r="D546" s="6">
        <f>IFERROR(VLOOKUP($B546,Platts!$E$5:$M$4994,MATCH(D$3,Platts!$F$5:$M$5,0)+1,FALSE),D545)</f>
        <v>46.44</v>
      </c>
      <c r="E546" s="6">
        <f>IFERROR(VLOOKUP($B546,Platts!$E$5:$M$4994,MATCH(E$3,Platts!$F$5:$M$5,0)+1,FALSE),E545)</f>
        <v>40.659999999999997</v>
      </c>
      <c r="F546" s="6">
        <f>IFERROR(VLOOKUP($B546,Platts!$E$5:$M$4994,MATCH(F$3,Platts!$F$5:$M$5,0)+1,FALSE),F545)</f>
        <v>47.17</v>
      </c>
      <c r="G546" s="6">
        <f>IFERROR(VLOOKUP($B546,Platts!$E$5:$M$4994,MATCH(G$3,Platts!$F$5:$M$5,0)+1,FALSE),G545)</f>
        <v>45.61</v>
      </c>
      <c r="H546" s="6">
        <f>IFERROR(VLOOKUP($B546,Platts!$E$5:$M$4994,MATCH(H$3,Platts!$F$5:$M$5,0)+1,FALSE),H545)</f>
        <v>43.38</v>
      </c>
      <c r="I546" s="6">
        <f>IFERROR(VLOOKUP($B546,Platts!$E$5:$M$4994,MATCH(I$3,Platts!$F$5:$M$5,0)+1,FALSE),I545)</f>
        <v>45.28</v>
      </c>
      <c r="J546" s="6">
        <f t="shared" si="16"/>
        <v>3.730000000000004</v>
      </c>
    </row>
    <row r="547" spans="2:10" x14ac:dyDescent="0.25">
      <c r="B547" s="5">
        <f t="shared" si="17"/>
        <v>42913</v>
      </c>
      <c r="C547" s="6">
        <f>IFERROR(VLOOKUP($B547,Platts!$E$5:$M$4994,MATCH(C$3,Platts!$F$5:$M$5,0)+1,FALSE),C546)</f>
        <v>40.85</v>
      </c>
      <c r="D547" s="6">
        <f>IFERROR(VLOOKUP($B547,Platts!$E$5:$M$4994,MATCH(D$3,Platts!$F$5:$M$5,0)+1,FALSE),D546)</f>
        <v>47.37</v>
      </c>
      <c r="E547" s="6">
        <f>IFERROR(VLOOKUP($B547,Platts!$E$5:$M$4994,MATCH(E$3,Platts!$F$5:$M$5,0)+1,FALSE),E546)</f>
        <v>41.52</v>
      </c>
      <c r="F547" s="6">
        <f>IFERROR(VLOOKUP($B547,Platts!$E$5:$M$4994,MATCH(F$3,Platts!$F$5:$M$5,0)+1,FALSE),F546)</f>
        <v>48.08</v>
      </c>
      <c r="G547" s="6">
        <f>IFERROR(VLOOKUP($B547,Platts!$E$5:$M$4994,MATCH(G$3,Platts!$F$5:$M$5,0)+1,FALSE),G546)</f>
        <v>46.98</v>
      </c>
      <c r="H547" s="6">
        <f>IFERROR(VLOOKUP($B547,Platts!$E$5:$M$4994,MATCH(H$3,Platts!$F$5:$M$5,0)+1,FALSE),H546)</f>
        <v>44.24</v>
      </c>
      <c r="I547" s="6">
        <f>IFERROR(VLOOKUP($B547,Platts!$E$5:$M$4994,MATCH(I$3,Platts!$F$5:$M$5,0)+1,FALSE),I546)</f>
        <v>46.29</v>
      </c>
      <c r="J547" s="6">
        <f t="shared" si="16"/>
        <v>3.3900000000000006</v>
      </c>
    </row>
    <row r="548" spans="2:10" x14ac:dyDescent="0.25">
      <c r="B548" s="5">
        <f t="shared" si="17"/>
        <v>42914</v>
      </c>
      <c r="C548" s="6">
        <f>IFERROR(VLOOKUP($B548,Platts!$E$5:$M$4994,MATCH(C$3,Platts!$F$5:$M$5,0)+1,FALSE),C547)</f>
        <v>41.38</v>
      </c>
      <c r="D548" s="6">
        <f>IFERROR(VLOOKUP($B548,Platts!$E$5:$M$4994,MATCH(D$3,Platts!$F$5:$M$5,0)+1,FALSE),D547)</f>
        <v>47.92</v>
      </c>
      <c r="E548" s="6">
        <f>IFERROR(VLOOKUP($B548,Platts!$E$5:$M$4994,MATCH(E$3,Platts!$F$5:$M$5,0)+1,FALSE),E547)</f>
        <v>42.24</v>
      </c>
      <c r="F548" s="6">
        <f>IFERROR(VLOOKUP($B548,Platts!$E$5:$M$4994,MATCH(F$3,Platts!$F$5:$M$5,0)+1,FALSE),F547)</f>
        <v>48.64</v>
      </c>
      <c r="G548" s="6">
        <f>IFERROR(VLOOKUP($B548,Platts!$E$5:$M$4994,MATCH(G$3,Platts!$F$5:$M$5,0)+1,FALSE),G547)</f>
        <v>47.19</v>
      </c>
      <c r="H548" s="6">
        <f>IFERROR(VLOOKUP($B548,Platts!$E$5:$M$4994,MATCH(H$3,Platts!$F$5:$M$5,0)+1,FALSE),H547)</f>
        <v>44.74</v>
      </c>
      <c r="I548" s="6">
        <f>IFERROR(VLOOKUP($B548,Platts!$E$5:$M$4994,MATCH(I$3,Platts!$F$5:$M$5,0)+1,FALSE),I547)</f>
        <v>46.79</v>
      </c>
      <c r="J548" s="6">
        <f t="shared" si="16"/>
        <v>3.3599999999999994</v>
      </c>
    </row>
    <row r="549" spans="2:10" x14ac:dyDescent="0.25">
      <c r="B549" s="5">
        <f t="shared" si="17"/>
        <v>42915</v>
      </c>
      <c r="C549" s="6">
        <f>IFERROR(VLOOKUP($B549,Platts!$E$5:$M$4994,MATCH(C$3,Platts!$F$5:$M$5,0)+1,FALSE),C548)</f>
        <v>41.82</v>
      </c>
      <c r="D549" s="6">
        <f>IFERROR(VLOOKUP($B549,Platts!$E$5:$M$4994,MATCH(D$3,Platts!$F$5:$M$5,0)+1,FALSE),D548)</f>
        <v>48.12</v>
      </c>
      <c r="E549" s="6">
        <f>IFERROR(VLOOKUP($B549,Platts!$E$5:$M$4994,MATCH(E$3,Platts!$F$5:$M$5,0)+1,FALSE),E548)</f>
        <v>42.36</v>
      </c>
      <c r="F549" s="6">
        <f>IFERROR(VLOOKUP($B549,Platts!$E$5:$M$4994,MATCH(F$3,Platts!$F$5:$M$5,0)+1,FALSE),F548)</f>
        <v>48.8</v>
      </c>
      <c r="G549" s="6">
        <f>IFERROR(VLOOKUP($B549,Platts!$E$5:$M$4994,MATCH(G$3,Platts!$F$5:$M$5,0)+1,FALSE),G548)</f>
        <v>47.75</v>
      </c>
      <c r="H549" s="6">
        <f>IFERROR(VLOOKUP($B549,Platts!$E$5:$M$4994,MATCH(H$3,Platts!$F$5:$M$5,0)+1,FALSE),H548)</f>
        <v>44.93</v>
      </c>
      <c r="I549" s="6">
        <f>IFERROR(VLOOKUP($B549,Platts!$E$5:$M$4994,MATCH(I$3,Platts!$F$5:$M$5,0)+1,FALSE),I548)</f>
        <v>47.13</v>
      </c>
      <c r="J549" s="6">
        <f t="shared" si="16"/>
        <v>3.1099999999999994</v>
      </c>
    </row>
    <row r="550" spans="2:10" x14ac:dyDescent="0.25">
      <c r="B550" s="5">
        <f t="shared" si="17"/>
        <v>42916</v>
      </c>
      <c r="C550" s="6">
        <f>IFERROR(VLOOKUP($B550,Platts!$E$5:$M$4994,MATCH(C$3,Platts!$F$5:$M$5,0)+1,FALSE),C549)</f>
        <v>42.68</v>
      </c>
      <c r="D550" s="6">
        <f>IFERROR(VLOOKUP($B550,Platts!$E$5:$M$4994,MATCH(D$3,Platts!$F$5:$M$5,0)+1,FALSE),D549)</f>
        <v>49.24</v>
      </c>
      <c r="E550" s="6">
        <f>IFERROR(VLOOKUP($B550,Platts!$E$5:$M$4994,MATCH(E$3,Platts!$F$5:$M$5,0)+1,FALSE),E549)</f>
        <v>43.52</v>
      </c>
      <c r="F550" s="6">
        <f>IFERROR(VLOOKUP($B550,Platts!$E$5:$M$4994,MATCH(F$3,Platts!$F$5:$M$5,0)+1,FALSE),F549)</f>
        <v>49.96</v>
      </c>
      <c r="G550" s="6">
        <f>IFERROR(VLOOKUP($B550,Platts!$E$5:$M$4994,MATCH(G$3,Platts!$F$5:$M$5,0)+1,FALSE),G549)</f>
        <v>47.75</v>
      </c>
      <c r="H550" s="6">
        <f>IFERROR(VLOOKUP($B550,Platts!$E$5:$M$4994,MATCH(H$3,Platts!$F$5:$M$5,0)+1,FALSE),H549)</f>
        <v>46.04</v>
      </c>
      <c r="I550" s="6">
        <f>IFERROR(VLOOKUP($B550,Platts!$E$5:$M$4994,MATCH(I$3,Platts!$F$5:$M$5,0)+1,FALSE),I549)</f>
        <v>48.19</v>
      </c>
      <c r="J550" s="6">
        <f t="shared" si="16"/>
        <v>3.3599999999999994</v>
      </c>
    </row>
    <row r="551" spans="2:10" x14ac:dyDescent="0.25">
      <c r="B551" s="5">
        <f t="shared" si="17"/>
        <v>42917</v>
      </c>
      <c r="C551" s="6">
        <f>IFERROR(VLOOKUP($B551,Platts!$E$5:$M$4994,MATCH(C$3,Platts!$F$5:$M$5,0)+1,FALSE),C550)</f>
        <v>42.68</v>
      </c>
      <c r="D551" s="6">
        <f>IFERROR(VLOOKUP($B551,Platts!$E$5:$M$4994,MATCH(D$3,Platts!$F$5:$M$5,0)+1,FALSE),D550)</f>
        <v>49.24</v>
      </c>
      <c r="E551" s="6">
        <f>IFERROR(VLOOKUP($B551,Platts!$E$5:$M$4994,MATCH(E$3,Platts!$F$5:$M$5,0)+1,FALSE),E550)</f>
        <v>43.52</v>
      </c>
      <c r="F551" s="6">
        <f>IFERROR(VLOOKUP($B551,Platts!$E$5:$M$4994,MATCH(F$3,Platts!$F$5:$M$5,0)+1,FALSE),F550)</f>
        <v>49.96</v>
      </c>
      <c r="G551" s="6">
        <f>IFERROR(VLOOKUP($B551,Platts!$E$5:$M$4994,MATCH(G$3,Platts!$F$5:$M$5,0)+1,FALSE),G550)</f>
        <v>47.75</v>
      </c>
      <c r="H551" s="6">
        <f>IFERROR(VLOOKUP($B551,Platts!$E$5:$M$4994,MATCH(H$3,Platts!$F$5:$M$5,0)+1,FALSE),H550)</f>
        <v>46.04</v>
      </c>
      <c r="I551" s="6">
        <f>IFERROR(VLOOKUP($B551,Platts!$E$5:$M$4994,MATCH(I$3,Platts!$F$5:$M$5,0)+1,FALSE),I550)</f>
        <v>48.19</v>
      </c>
      <c r="J551" s="6">
        <f t="shared" si="16"/>
        <v>3.3599999999999994</v>
      </c>
    </row>
    <row r="552" spans="2:10" x14ac:dyDescent="0.25">
      <c r="B552" s="5">
        <f t="shared" si="17"/>
        <v>42918</v>
      </c>
      <c r="C552" s="6">
        <f>IFERROR(VLOOKUP($B552,Platts!$E$5:$M$4994,MATCH(C$3,Platts!$F$5:$M$5,0)+1,FALSE),C551)</f>
        <v>42.68</v>
      </c>
      <c r="D552" s="6">
        <f>IFERROR(VLOOKUP($B552,Platts!$E$5:$M$4994,MATCH(D$3,Platts!$F$5:$M$5,0)+1,FALSE),D551)</f>
        <v>49.24</v>
      </c>
      <c r="E552" s="6">
        <f>IFERROR(VLOOKUP($B552,Platts!$E$5:$M$4994,MATCH(E$3,Platts!$F$5:$M$5,0)+1,FALSE),E551)</f>
        <v>43.52</v>
      </c>
      <c r="F552" s="6">
        <f>IFERROR(VLOOKUP($B552,Platts!$E$5:$M$4994,MATCH(F$3,Platts!$F$5:$M$5,0)+1,FALSE),F551)</f>
        <v>49.96</v>
      </c>
      <c r="G552" s="6">
        <f>IFERROR(VLOOKUP($B552,Platts!$E$5:$M$4994,MATCH(G$3,Platts!$F$5:$M$5,0)+1,FALSE),G551)</f>
        <v>47.75</v>
      </c>
      <c r="H552" s="6">
        <f>IFERROR(VLOOKUP($B552,Platts!$E$5:$M$4994,MATCH(H$3,Platts!$F$5:$M$5,0)+1,FALSE),H551)</f>
        <v>46.04</v>
      </c>
      <c r="I552" s="6">
        <f>IFERROR(VLOOKUP($B552,Platts!$E$5:$M$4994,MATCH(I$3,Platts!$F$5:$M$5,0)+1,FALSE),I551)</f>
        <v>48.19</v>
      </c>
      <c r="J552" s="6">
        <f t="shared" si="16"/>
        <v>3.3599999999999994</v>
      </c>
    </row>
    <row r="553" spans="2:10" x14ac:dyDescent="0.25">
      <c r="B553" s="5">
        <f t="shared" si="17"/>
        <v>42919</v>
      </c>
      <c r="C553" s="6">
        <f>IFERROR(VLOOKUP($B553,Platts!$E$5:$M$4994,MATCH(C$3,Platts!$F$5:$M$5,0)+1,FALSE),C552)</f>
        <v>42.68</v>
      </c>
      <c r="D553" s="6">
        <f>IFERROR(VLOOKUP($B553,Platts!$E$5:$M$4994,MATCH(D$3,Platts!$F$5:$M$5,0)+1,FALSE),D552)</f>
        <v>51.06</v>
      </c>
      <c r="E553" s="6">
        <f>IFERROR(VLOOKUP($B553,Platts!$E$5:$M$4994,MATCH(E$3,Platts!$F$5:$M$5,0)+1,FALSE),E552)</f>
        <v>44.72</v>
      </c>
      <c r="F553" s="6">
        <f>IFERROR(VLOOKUP($B553,Platts!$E$5:$M$4994,MATCH(F$3,Platts!$F$5:$M$5,0)+1,FALSE),F552)</f>
        <v>51.79</v>
      </c>
      <c r="G553" s="6">
        <f>IFERROR(VLOOKUP($B553,Platts!$E$5:$M$4994,MATCH(G$3,Platts!$F$5:$M$5,0)+1,FALSE),G552)</f>
        <v>49.64</v>
      </c>
      <c r="H553" s="6">
        <f>IFERROR(VLOOKUP($B553,Platts!$E$5:$M$4994,MATCH(H$3,Platts!$F$5:$M$5,0)+1,FALSE),H552)</f>
        <v>46.04</v>
      </c>
      <c r="I553" s="6">
        <f>IFERROR(VLOOKUP($B553,Platts!$E$5:$M$4994,MATCH(I$3,Platts!$F$5:$M$5,0)+1,FALSE),I552)</f>
        <v>48.19</v>
      </c>
      <c r="J553" s="6">
        <f t="shared" si="16"/>
        <v>3.3599999999999994</v>
      </c>
    </row>
    <row r="554" spans="2:10" x14ac:dyDescent="0.25">
      <c r="B554" s="5">
        <f t="shared" si="17"/>
        <v>42920</v>
      </c>
      <c r="C554" s="6">
        <f>IFERROR(VLOOKUP($B554,Platts!$E$5:$M$4994,MATCH(C$3,Platts!$F$5:$M$5,0)+1,FALSE),C553)</f>
        <v>42.68</v>
      </c>
      <c r="D554" s="6">
        <f>IFERROR(VLOOKUP($B554,Platts!$E$5:$M$4994,MATCH(D$3,Platts!$F$5:$M$5,0)+1,FALSE),D553)</f>
        <v>51.06</v>
      </c>
      <c r="E554" s="6">
        <f>IFERROR(VLOOKUP($B554,Platts!$E$5:$M$4994,MATCH(E$3,Platts!$F$5:$M$5,0)+1,FALSE),E553)</f>
        <v>44.72</v>
      </c>
      <c r="F554" s="6">
        <f>IFERROR(VLOOKUP($B554,Platts!$E$5:$M$4994,MATCH(F$3,Platts!$F$5:$M$5,0)+1,FALSE),F553)</f>
        <v>51.79</v>
      </c>
      <c r="G554" s="6">
        <f>IFERROR(VLOOKUP($B554,Platts!$E$5:$M$4994,MATCH(G$3,Platts!$F$5:$M$5,0)+1,FALSE),G553)</f>
        <v>49.86</v>
      </c>
      <c r="H554" s="6">
        <f>IFERROR(VLOOKUP($B554,Platts!$E$5:$M$4994,MATCH(H$3,Platts!$F$5:$M$5,0)+1,FALSE),H553)</f>
        <v>46.04</v>
      </c>
      <c r="I554" s="6">
        <f>IFERROR(VLOOKUP($B554,Platts!$E$5:$M$4994,MATCH(I$3,Platts!$F$5:$M$5,0)+1,FALSE),I553)</f>
        <v>48.19</v>
      </c>
      <c r="J554" s="6">
        <f t="shared" si="16"/>
        <v>3.3599999999999994</v>
      </c>
    </row>
    <row r="555" spans="2:10" x14ac:dyDescent="0.25">
      <c r="B555" s="5">
        <f t="shared" si="17"/>
        <v>42921</v>
      </c>
      <c r="C555" s="6">
        <f>IFERROR(VLOOKUP($B555,Platts!$E$5:$M$4994,MATCH(C$3,Platts!$F$5:$M$5,0)+1,FALSE),C554)</f>
        <v>42.71</v>
      </c>
      <c r="D555" s="6">
        <f>IFERROR(VLOOKUP($B555,Platts!$E$5:$M$4994,MATCH(D$3,Platts!$F$5:$M$5,0)+1,FALSE),D554)</f>
        <v>49.15</v>
      </c>
      <c r="E555" s="6">
        <f>IFERROR(VLOOKUP($B555,Platts!$E$5:$M$4994,MATCH(E$3,Platts!$F$5:$M$5,0)+1,FALSE),E554)</f>
        <v>42.88</v>
      </c>
      <c r="F555" s="6">
        <f>IFERROR(VLOOKUP($B555,Platts!$E$5:$M$4994,MATCH(F$3,Platts!$F$5:$M$5,0)+1,FALSE),F554)</f>
        <v>49.87</v>
      </c>
      <c r="G555" s="6">
        <f>IFERROR(VLOOKUP($B555,Platts!$E$5:$M$4994,MATCH(G$3,Platts!$F$5:$M$5,0)+1,FALSE),G554)</f>
        <v>48.14</v>
      </c>
      <c r="H555" s="6">
        <f>IFERROR(VLOOKUP($B555,Platts!$E$5:$M$4994,MATCH(H$3,Platts!$F$5:$M$5,0)+1,FALSE),H554)</f>
        <v>45.13</v>
      </c>
      <c r="I555" s="6">
        <f>IFERROR(VLOOKUP($B555,Platts!$E$5:$M$4994,MATCH(I$3,Platts!$F$5:$M$5,0)+1,FALSE),I554)</f>
        <v>47.33</v>
      </c>
      <c r="J555" s="6">
        <f t="shared" si="16"/>
        <v>2.4200000000000017</v>
      </c>
    </row>
    <row r="556" spans="2:10" x14ac:dyDescent="0.25">
      <c r="B556" s="5">
        <f t="shared" si="17"/>
        <v>42922</v>
      </c>
      <c r="C556" s="6">
        <f>IFERROR(VLOOKUP($B556,Platts!$E$5:$M$4994,MATCH(C$3,Platts!$F$5:$M$5,0)+1,FALSE),C555)</f>
        <v>42.9</v>
      </c>
      <c r="D556" s="6">
        <f>IFERROR(VLOOKUP($B556,Platts!$E$5:$M$4994,MATCH(D$3,Platts!$F$5:$M$5,0)+1,FALSE),D555)</f>
        <v>49.5</v>
      </c>
      <c r="E556" s="6">
        <f>IFERROR(VLOOKUP($B556,Platts!$E$5:$M$4994,MATCH(E$3,Platts!$F$5:$M$5,0)+1,FALSE),E555)</f>
        <v>43.2</v>
      </c>
      <c r="F556" s="6">
        <f>IFERROR(VLOOKUP($B556,Platts!$E$5:$M$4994,MATCH(F$3,Platts!$F$5:$M$5,0)+1,FALSE),F555)</f>
        <v>50.19</v>
      </c>
      <c r="G556" s="6">
        <f>IFERROR(VLOOKUP($B556,Platts!$E$5:$M$4994,MATCH(G$3,Platts!$F$5:$M$5,0)+1,FALSE),G555)</f>
        <v>49.07</v>
      </c>
      <c r="H556" s="6">
        <f>IFERROR(VLOOKUP($B556,Platts!$E$5:$M$4994,MATCH(H$3,Platts!$F$5:$M$5,0)+1,FALSE),H555)</f>
        <v>45.52</v>
      </c>
      <c r="I556" s="6">
        <f>IFERROR(VLOOKUP($B556,Platts!$E$5:$M$4994,MATCH(I$3,Platts!$F$5:$M$5,0)+1,FALSE),I555)</f>
        <v>47.72</v>
      </c>
      <c r="J556" s="6">
        <f t="shared" si="16"/>
        <v>2.6200000000000045</v>
      </c>
    </row>
    <row r="557" spans="2:10" x14ac:dyDescent="0.25">
      <c r="B557" s="5">
        <f t="shared" si="17"/>
        <v>42923</v>
      </c>
      <c r="C557" s="6">
        <f>IFERROR(VLOOKUP($B557,Platts!$E$5:$M$4994,MATCH(C$3,Platts!$F$5:$M$5,0)+1,FALSE),C556)</f>
        <v>41.48</v>
      </c>
      <c r="D557" s="6">
        <f>IFERROR(VLOOKUP($B557,Platts!$E$5:$M$4994,MATCH(D$3,Platts!$F$5:$M$5,0)+1,FALSE),D556)</f>
        <v>48.31</v>
      </c>
      <c r="E557" s="6">
        <f>IFERROR(VLOOKUP($B557,Platts!$E$5:$M$4994,MATCH(E$3,Platts!$F$5:$M$5,0)+1,FALSE),E556)</f>
        <v>42.08</v>
      </c>
      <c r="F557" s="6">
        <f>IFERROR(VLOOKUP($B557,Platts!$E$5:$M$4994,MATCH(F$3,Platts!$F$5:$M$5,0)+1,FALSE),F556)</f>
        <v>49.01</v>
      </c>
      <c r="G557" s="6">
        <f>IFERROR(VLOOKUP($B557,Platts!$E$5:$M$4994,MATCH(G$3,Platts!$F$5:$M$5,0)+1,FALSE),G556)</f>
        <v>46.97</v>
      </c>
      <c r="H557" s="6">
        <f>IFERROR(VLOOKUP($B557,Platts!$E$5:$M$4994,MATCH(H$3,Platts!$F$5:$M$5,0)+1,FALSE),H556)</f>
        <v>44.23</v>
      </c>
      <c r="I557" s="6">
        <f>IFERROR(VLOOKUP($B557,Platts!$E$5:$M$4994,MATCH(I$3,Platts!$F$5:$M$5,0)+1,FALSE),I556)</f>
        <v>46.43</v>
      </c>
      <c r="J557" s="6">
        <f t="shared" si="16"/>
        <v>2.75</v>
      </c>
    </row>
    <row r="558" spans="2:10" x14ac:dyDescent="0.25">
      <c r="B558" s="5">
        <f t="shared" si="17"/>
        <v>42924</v>
      </c>
      <c r="C558" s="6">
        <f>IFERROR(VLOOKUP($B558,Platts!$E$5:$M$4994,MATCH(C$3,Platts!$F$5:$M$5,0)+1,FALSE),C557)</f>
        <v>41.48</v>
      </c>
      <c r="D558" s="6">
        <f>IFERROR(VLOOKUP($B558,Platts!$E$5:$M$4994,MATCH(D$3,Platts!$F$5:$M$5,0)+1,FALSE),D557)</f>
        <v>48.31</v>
      </c>
      <c r="E558" s="6">
        <f>IFERROR(VLOOKUP($B558,Platts!$E$5:$M$4994,MATCH(E$3,Platts!$F$5:$M$5,0)+1,FALSE),E557)</f>
        <v>42.08</v>
      </c>
      <c r="F558" s="6">
        <f>IFERROR(VLOOKUP($B558,Platts!$E$5:$M$4994,MATCH(F$3,Platts!$F$5:$M$5,0)+1,FALSE),F557)</f>
        <v>49.01</v>
      </c>
      <c r="G558" s="6">
        <f>IFERROR(VLOOKUP($B558,Platts!$E$5:$M$4994,MATCH(G$3,Platts!$F$5:$M$5,0)+1,FALSE),G557)</f>
        <v>46.97</v>
      </c>
      <c r="H558" s="6">
        <f>IFERROR(VLOOKUP($B558,Platts!$E$5:$M$4994,MATCH(H$3,Platts!$F$5:$M$5,0)+1,FALSE),H557)</f>
        <v>44.23</v>
      </c>
      <c r="I558" s="6">
        <f>IFERROR(VLOOKUP($B558,Platts!$E$5:$M$4994,MATCH(I$3,Platts!$F$5:$M$5,0)+1,FALSE),I557)</f>
        <v>46.43</v>
      </c>
      <c r="J558" s="6">
        <f t="shared" si="16"/>
        <v>2.75</v>
      </c>
    </row>
    <row r="559" spans="2:10" x14ac:dyDescent="0.25">
      <c r="B559" s="5">
        <f t="shared" si="17"/>
        <v>42925</v>
      </c>
      <c r="C559" s="6">
        <f>IFERROR(VLOOKUP($B559,Platts!$E$5:$M$4994,MATCH(C$3,Platts!$F$5:$M$5,0)+1,FALSE),C558)</f>
        <v>41.48</v>
      </c>
      <c r="D559" s="6">
        <f>IFERROR(VLOOKUP($B559,Platts!$E$5:$M$4994,MATCH(D$3,Platts!$F$5:$M$5,0)+1,FALSE),D558)</f>
        <v>48.31</v>
      </c>
      <c r="E559" s="6">
        <f>IFERROR(VLOOKUP($B559,Platts!$E$5:$M$4994,MATCH(E$3,Platts!$F$5:$M$5,0)+1,FALSE),E558)</f>
        <v>42.08</v>
      </c>
      <c r="F559" s="6">
        <f>IFERROR(VLOOKUP($B559,Platts!$E$5:$M$4994,MATCH(F$3,Platts!$F$5:$M$5,0)+1,FALSE),F558)</f>
        <v>49.01</v>
      </c>
      <c r="G559" s="6">
        <f>IFERROR(VLOOKUP($B559,Platts!$E$5:$M$4994,MATCH(G$3,Platts!$F$5:$M$5,0)+1,FALSE),G558)</f>
        <v>46.97</v>
      </c>
      <c r="H559" s="6">
        <f>IFERROR(VLOOKUP($B559,Platts!$E$5:$M$4994,MATCH(H$3,Platts!$F$5:$M$5,0)+1,FALSE),H558)</f>
        <v>44.23</v>
      </c>
      <c r="I559" s="6">
        <f>IFERROR(VLOOKUP($B559,Platts!$E$5:$M$4994,MATCH(I$3,Platts!$F$5:$M$5,0)+1,FALSE),I558)</f>
        <v>46.43</v>
      </c>
      <c r="J559" s="6">
        <f t="shared" si="16"/>
        <v>2.75</v>
      </c>
    </row>
    <row r="560" spans="2:10" x14ac:dyDescent="0.25">
      <c r="B560" s="5">
        <f t="shared" si="17"/>
        <v>42926</v>
      </c>
      <c r="C560" s="6">
        <f>IFERROR(VLOOKUP($B560,Platts!$E$5:$M$4994,MATCH(C$3,Platts!$F$5:$M$5,0)+1,FALSE),C559)</f>
        <v>41.64</v>
      </c>
      <c r="D560" s="6">
        <f>IFERROR(VLOOKUP($B560,Platts!$E$5:$M$4994,MATCH(D$3,Platts!$F$5:$M$5,0)+1,FALSE),D559)</f>
        <v>48.47</v>
      </c>
      <c r="E560" s="6">
        <f>IFERROR(VLOOKUP($B560,Platts!$E$5:$M$4994,MATCH(E$3,Platts!$F$5:$M$5,0)+1,FALSE),E559)</f>
        <v>42.27</v>
      </c>
      <c r="F560" s="6">
        <f>IFERROR(VLOOKUP($B560,Platts!$E$5:$M$4994,MATCH(F$3,Platts!$F$5:$M$5,0)+1,FALSE),F559)</f>
        <v>49.16</v>
      </c>
      <c r="G560" s="6">
        <f>IFERROR(VLOOKUP($B560,Platts!$E$5:$M$4994,MATCH(G$3,Platts!$F$5:$M$5,0)+1,FALSE),G559)</f>
        <v>47.32</v>
      </c>
      <c r="H560" s="6">
        <f>IFERROR(VLOOKUP($B560,Platts!$E$5:$M$4994,MATCH(H$3,Platts!$F$5:$M$5,0)+1,FALSE),H559)</f>
        <v>44.4</v>
      </c>
      <c r="I560" s="6">
        <f>IFERROR(VLOOKUP($B560,Platts!$E$5:$M$4994,MATCH(I$3,Platts!$F$5:$M$5,0)+1,FALSE),I559)</f>
        <v>46.7</v>
      </c>
      <c r="J560" s="6">
        <f t="shared" si="16"/>
        <v>2.759999999999998</v>
      </c>
    </row>
    <row r="561" spans="2:10" x14ac:dyDescent="0.25">
      <c r="B561" s="5">
        <f t="shared" si="17"/>
        <v>42927</v>
      </c>
      <c r="C561" s="6">
        <f>IFERROR(VLOOKUP($B561,Platts!$E$5:$M$4994,MATCH(C$3,Platts!$F$5:$M$5,0)+1,FALSE),C560)</f>
        <v>41.94</v>
      </c>
      <c r="D561" s="6">
        <f>IFERROR(VLOOKUP($B561,Platts!$E$5:$M$4994,MATCH(D$3,Platts!$F$5:$M$5,0)+1,FALSE),D560)</f>
        <v>49.1</v>
      </c>
      <c r="E561" s="6">
        <f>IFERROR(VLOOKUP($B561,Platts!$E$5:$M$4994,MATCH(E$3,Platts!$F$5:$M$5,0)+1,FALSE),E560)</f>
        <v>42.83</v>
      </c>
      <c r="F561" s="6">
        <f>IFERROR(VLOOKUP($B561,Platts!$E$5:$M$4994,MATCH(F$3,Platts!$F$5:$M$5,0)+1,FALSE),F560)</f>
        <v>49.78</v>
      </c>
      <c r="G561" s="6">
        <f>IFERROR(VLOOKUP($B561,Platts!$E$5:$M$4994,MATCH(G$3,Platts!$F$5:$M$5,0)+1,FALSE),G560)</f>
        <v>47.17</v>
      </c>
      <c r="H561" s="6">
        <f>IFERROR(VLOOKUP($B561,Platts!$E$5:$M$4994,MATCH(H$3,Platts!$F$5:$M$5,0)+1,FALSE),H560)</f>
        <v>45.04</v>
      </c>
      <c r="I561" s="6">
        <f>IFERROR(VLOOKUP($B561,Platts!$E$5:$M$4994,MATCH(I$3,Platts!$F$5:$M$5,0)+1,FALSE),I560)</f>
        <v>47.44</v>
      </c>
      <c r="J561" s="6">
        <f t="shared" si="16"/>
        <v>3.1000000000000014</v>
      </c>
    </row>
    <row r="562" spans="2:10" x14ac:dyDescent="0.25">
      <c r="B562" s="5">
        <f t="shared" si="17"/>
        <v>42928</v>
      </c>
      <c r="C562" s="6">
        <f>IFERROR(VLOOKUP($B562,Platts!$E$5:$M$4994,MATCH(C$3,Platts!$F$5:$M$5,0)+1,FALSE),C561)</f>
        <v>42.59</v>
      </c>
      <c r="D562" s="6">
        <f>IFERROR(VLOOKUP($B562,Platts!$E$5:$M$4994,MATCH(D$3,Platts!$F$5:$M$5,0)+1,FALSE),D561)</f>
        <v>49.42</v>
      </c>
      <c r="E562" s="6">
        <f>IFERROR(VLOOKUP($B562,Platts!$E$5:$M$4994,MATCH(E$3,Platts!$F$5:$M$5,0)+1,FALSE),E561)</f>
        <v>43.31</v>
      </c>
      <c r="F562" s="6">
        <f>IFERROR(VLOOKUP($B562,Platts!$E$5:$M$4994,MATCH(F$3,Platts!$F$5:$M$5,0)+1,FALSE),F561)</f>
        <v>50.07</v>
      </c>
      <c r="G562" s="6">
        <f>IFERROR(VLOOKUP($B562,Platts!$E$5:$M$4994,MATCH(G$3,Platts!$F$5:$M$5,0)+1,FALSE),G561)</f>
        <v>47.82</v>
      </c>
      <c r="H562" s="6">
        <f>IFERROR(VLOOKUP($B562,Platts!$E$5:$M$4994,MATCH(H$3,Platts!$F$5:$M$5,0)+1,FALSE),H561)</f>
        <v>45.49</v>
      </c>
      <c r="I562" s="6">
        <f>IFERROR(VLOOKUP($B562,Platts!$E$5:$M$4994,MATCH(I$3,Platts!$F$5:$M$5,0)+1,FALSE),I561)</f>
        <v>47.84</v>
      </c>
      <c r="J562" s="6">
        <f t="shared" si="16"/>
        <v>2.8999999999999986</v>
      </c>
    </row>
    <row r="563" spans="2:10" x14ac:dyDescent="0.25">
      <c r="B563" s="5">
        <f t="shared" si="17"/>
        <v>42929</v>
      </c>
      <c r="C563" s="6">
        <f>IFERROR(VLOOKUP($B563,Platts!$E$5:$M$4994,MATCH(C$3,Platts!$F$5:$M$5,0)+1,FALSE),C562)</f>
        <v>43.15</v>
      </c>
      <c r="D563" s="6">
        <f>IFERROR(VLOOKUP($B563,Platts!$E$5:$M$4994,MATCH(D$3,Platts!$F$5:$M$5,0)+1,FALSE),D562)</f>
        <v>50.03</v>
      </c>
      <c r="E563" s="6">
        <f>IFERROR(VLOOKUP($B563,Platts!$E$5:$M$4994,MATCH(E$3,Platts!$F$5:$M$5,0)+1,FALSE),E562)</f>
        <v>43.68</v>
      </c>
      <c r="F563" s="6">
        <f>IFERROR(VLOOKUP($B563,Platts!$E$5:$M$4994,MATCH(F$3,Platts!$F$5:$M$5,0)+1,FALSE),F562)</f>
        <v>50.69</v>
      </c>
      <c r="G563" s="6">
        <f>IFERROR(VLOOKUP($B563,Platts!$E$5:$M$4994,MATCH(G$3,Platts!$F$5:$M$5,0)+1,FALSE),G562)</f>
        <v>48.59</v>
      </c>
      <c r="H563" s="6">
        <f>IFERROR(VLOOKUP($B563,Platts!$E$5:$M$4994,MATCH(H$3,Platts!$F$5:$M$5,0)+1,FALSE),H562)</f>
        <v>46.08</v>
      </c>
      <c r="I563" s="6">
        <f>IFERROR(VLOOKUP($B563,Platts!$E$5:$M$4994,MATCH(I$3,Platts!$F$5:$M$5,0)+1,FALSE),I562)</f>
        <v>48.43</v>
      </c>
      <c r="J563" s="6">
        <f t="shared" si="16"/>
        <v>2.9299999999999997</v>
      </c>
    </row>
    <row r="564" spans="2:10" x14ac:dyDescent="0.25">
      <c r="B564" s="5">
        <f t="shared" si="17"/>
        <v>42930</v>
      </c>
      <c r="C564" s="6">
        <f>IFERROR(VLOOKUP($B564,Platts!$E$5:$M$4994,MATCH(C$3,Platts!$F$5:$M$5,0)+1,FALSE),C563)</f>
        <v>43.74</v>
      </c>
      <c r="D564" s="6">
        <f>IFERROR(VLOOKUP($B564,Platts!$E$5:$M$4994,MATCH(D$3,Platts!$F$5:$M$5,0)+1,FALSE),D563)</f>
        <v>50.35</v>
      </c>
      <c r="E564" s="6">
        <f>IFERROR(VLOOKUP($B564,Platts!$E$5:$M$4994,MATCH(E$3,Platts!$F$5:$M$5,0)+1,FALSE),E563)</f>
        <v>44.21</v>
      </c>
      <c r="F564" s="6">
        <f>IFERROR(VLOOKUP($B564,Platts!$E$5:$M$4994,MATCH(F$3,Platts!$F$5:$M$5,0)+1,FALSE),F563)</f>
        <v>51.07</v>
      </c>
      <c r="G564" s="6">
        <f>IFERROR(VLOOKUP($B564,Platts!$E$5:$M$4994,MATCH(G$3,Platts!$F$5:$M$5,0)+1,FALSE),G563)</f>
        <v>48.73</v>
      </c>
      <c r="H564" s="6">
        <f>IFERROR(VLOOKUP($B564,Platts!$E$5:$M$4994,MATCH(H$3,Platts!$F$5:$M$5,0)+1,FALSE),H563)</f>
        <v>46.54</v>
      </c>
      <c r="I564" s="6">
        <f>IFERROR(VLOOKUP($B564,Platts!$E$5:$M$4994,MATCH(I$3,Platts!$F$5:$M$5,0)+1,FALSE),I563)</f>
        <v>48.89</v>
      </c>
      <c r="J564" s="6">
        <f t="shared" si="16"/>
        <v>2.7999999999999972</v>
      </c>
    </row>
    <row r="565" spans="2:10" x14ac:dyDescent="0.25">
      <c r="B565" s="5">
        <f t="shared" si="17"/>
        <v>42931</v>
      </c>
      <c r="C565" s="6">
        <f>IFERROR(VLOOKUP($B565,Platts!$E$5:$M$4994,MATCH(C$3,Platts!$F$5:$M$5,0)+1,FALSE),C564)</f>
        <v>43.74</v>
      </c>
      <c r="D565" s="6">
        <f>IFERROR(VLOOKUP($B565,Platts!$E$5:$M$4994,MATCH(D$3,Platts!$F$5:$M$5,0)+1,FALSE),D564)</f>
        <v>50.35</v>
      </c>
      <c r="E565" s="6">
        <f>IFERROR(VLOOKUP($B565,Platts!$E$5:$M$4994,MATCH(E$3,Platts!$F$5:$M$5,0)+1,FALSE),E564)</f>
        <v>44.21</v>
      </c>
      <c r="F565" s="6">
        <f>IFERROR(VLOOKUP($B565,Platts!$E$5:$M$4994,MATCH(F$3,Platts!$F$5:$M$5,0)+1,FALSE),F564)</f>
        <v>51.07</v>
      </c>
      <c r="G565" s="6">
        <f>IFERROR(VLOOKUP($B565,Platts!$E$5:$M$4994,MATCH(G$3,Platts!$F$5:$M$5,0)+1,FALSE),G564)</f>
        <v>48.73</v>
      </c>
      <c r="H565" s="6">
        <f>IFERROR(VLOOKUP($B565,Platts!$E$5:$M$4994,MATCH(H$3,Platts!$F$5:$M$5,0)+1,FALSE),H564)</f>
        <v>46.54</v>
      </c>
      <c r="I565" s="6">
        <f>IFERROR(VLOOKUP($B565,Platts!$E$5:$M$4994,MATCH(I$3,Platts!$F$5:$M$5,0)+1,FALSE),I564)</f>
        <v>48.89</v>
      </c>
      <c r="J565" s="6">
        <f t="shared" si="16"/>
        <v>2.7999999999999972</v>
      </c>
    </row>
    <row r="566" spans="2:10" x14ac:dyDescent="0.25">
      <c r="B566" s="5">
        <f t="shared" si="17"/>
        <v>42932</v>
      </c>
      <c r="C566" s="6">
        <f>IFERROR(VLOOKUP($B566,Platts!$E$5:$M$4994,MATCH(C$3,Platts!$F$5:$M$5,0)+1,FALSE),C565)</f>
        <v>43.74</v>
      </c>
      <c r="D566" s="6">
        <f>IFERROR(VLOOKUP($B566,Platts!$E$5:$M$4994,MATCH(D$3,Platts!$F$5:$M$5,0)+1,FALSE),D565)</f>
        <v>50.35</v>
      </c>
      <c r="E566" s="6">
        <f>IFERROR(VLOOKUP($B566,Platts!$E$5:$M$4994,MATCH(E$3,Platts!$F$5:$M$5,0)+1,FALSE),E565)</f>
        <v>44.21</v>
      </c>
      <c r="F566" s="6">
        <f>IFERROR(VLOOKUP($B566,Platts!$E$5:$M$4994,MATCH(F$3,Platts!$F$5:$M$5,0)+1,FALSE),F565)</f>
        <v>51.07</v>
      </c>
      <c r="G566" s="6">
        <f>IFERROR(VLOOKUP($B566,Platts!$E$5:$M$4994,MATCH(G$3,Platts!$F$5:$M$5,0)+1,FALSE),G565)</f>
        <v>48.73</v>
      </c>
      <c r="H566" s="6">
        <f>IFERROR(VLOOKUP($B566,Platts!$E$5:$M$4994,MATCH(H$3,Platts!$F$5:$M$5,0)+1,FALSE),H565)</f>
        <v>46.54</v>
      </c>
      <c r="I566" s="6">
        <f>IFERROR(VLOOKUP($B566,Platts!$E$5:$M$4994,MATCH(I$3,Platts!$F$5:$M$5,0)+1,FALSE),I565)</f>
        <v>48.89</v>
      </c>
      <c r="J566" s="6">
        <f t="shared" si="16"/>
        <v>2.7999999999999972</v>
      </c>
    </row>
    <row r="567" spans="2:10" x14ac:dyDescent="0.25">
      <c r="B567" s="5">
        <f t="shared" si="17"/>
        <v>42933</v>
      </c>
      <c r="C567" s="6">
        <f>IFERROR(VLOOKUP($B567,Platts!$E$5:$M$4994,MATCH(C$3,Platts!$F$5:$M$5,0)+1,FALSE),C566)</f>
        <v>43.55</v>
      </c>
      <c r="D567" s="6">
        <f>IFERROR(VLOOKUP($B567,Platts!$E$5:$M$4994,MATCH(D$3,Platts!$F$5:$M$5,0)+1,FALSE),D566)</f>
        <v>50.11</v>
      </c>
      <c r="E567" s="6">
        <f>IFERROR(VLOOKUP($B567,Platts!$E$5:$M$4994,MATCH(E$3,Platts!$F$5:$M$5,0)+1,FALSE),E566)</f>
        <v>44.25</v>
      </c>
      <c r="F567" s="6">
        <f>IFERROR(VLOOKUP($B567,Platts!$E$5:$M$4994,MATCH(F$3,Platts!$F$5:$M$5,0)+1,FALSE),F566)</f>
        <v>50.76</v>
      </c>
      <c r="G567" s="6">
        <f>IFERROR(VLOOKUP($B567,Platts!$E$5:$M$4994,MATCH(G$3,Platts!$F$5:$M$5,0)+1,FALSE),G566)</f>
        <v>48.94</v>
      </c>
      <c r="H567" s="6">
        <f>IFERROR(VLOOKUP($B567,Platts!$E$5:$M$4994,MATCH(H$3,Platts!$F$5:$M$5,0)+1,FALSE),H566)</f>
        <v>46.02</v>
      </c>
      <c r="I567" s="6">
        <f>IFERROR(VLOOKUP($B567,Platts!$E$5:$M$4994,MATCH(I$3,Platts!$F$5:$M$5,0)+1,FALSE),I566)</f>
        <v>48.42</v>
      </c>
      <c r="J567" s="6">
        <f t="shared" si="16"/>
        <v>2.470000000000006</v>
      </c>
    </row>
    <row r="568" spans="2:10" x14ac:dyDescent="0.25">
      <c r="B568" s="5">
        <f t="shared" si="17"/>
        <v>42934</v>
      </c>
      <c r="C568" s="6">
        <f>IFERROR(VLOOKUP($B568,Platts!$E$5:$M$4994,MATCH(C$3,Platts!$F$5:$M$5,0)+1,FALSE),C567)</f>
        <v>43.54</v>
      </c>
      <c r="D568" s="6">
        <f>IFERROR(VLOOKUP($B568,Platts!$E$5:$M$4994,MATCH(D$3,Platts!$F$5:$M$5,0)+1,FALSE),D567)</f>
        <v>50.48</v>
      </c>
      <c r="E568" s="6">
        <f>IFERROR(VLOOKUP($B568,Platts!$E$5:$M$4994,MATCH(E$3,Platts!$F$5:$M$5,0)+1,FALSE),E567)</f>
        <v>44.48</v>
      </c>
      <c r="F568" s="6">
        <f>IFERROR(VLOOKUP($B568,Platts!$E$5:$M$4994,MATCH(F$3,Platts!$F$5:$M$5,0)+1,FALSE),F567)</f>
        <v>51.15</v>
      </c>
      <c r="G568" s="6">
        <f>IFERROR(VLOOKUP($B568,Platts!$E$5:$M$4994,MATCH(G$3,Platts!$F$5:$M$5,0)+1,FALSE),G567)</f>
        <v>48.78</v>
      </c>
      <c r="H568" s="6">
        <f>IFERROR(VLOOKUP($B568,Platts!$E$5:$M$4994,MATCH(H$3,Platts!$F$5:$M$5,0)+1,FALSE),H567)</f>
        <v>46.4</v>
      </c>
      <c r="I568" s="6">
        <f>IFERROR(VLOOKUP($B568,Platts!$E$5:$M$4994,MATCH(I$3,Platts!$F$5:$M$5,0)+1,FALSE),I567)</f>
        <v>48.8</v>
      </c>
      <c r="J568" s="6">
        <f t="shared" si="16"/>
        <v>2.8599999999999994</v>
      </c>
    </row>
    <row r="569" spans="2:10" x14ac:dyDescent="0.25">
      <c r="B569" s="5">
        <f t="shared" si="17"/>
        <v>42935</v>
      </c>
      <c r="C569" s="6">
        <f>IFERROR(VLOOKUP($B569,Platts!$E$5:$M$4994,MATCH(C$3,Platts!$F$5:$M$5,0)+1,FALSE),C568)</f>
        <v>44.29</v>
      </c>
      <c r="D569" s="6">
        <f>IFERROR(VLOOKUP($B569,Platts!$E$5:$M$4994,MATCH(D$3,Platts!$F$5:$M$5,0)+1,FALSE),D568)</f>
        <v>51.24</v>
      </c>
      <c r="E569" s="6">
        <f>IFERROR(VLOOKUP($B569,Platts!$E$5:$M$4994,MATCH(E$3,Platts!$F$5:$M$5,0)+1,FALSE),E568)</f>
        <v>45.31</v>
      </c>
      <c r="F569" s="6">
        <f>IFERROR(VLOOKUP($B569,Platts!$E$5:$M$4994,MATCH(F$3,Platts!$F$5:$M$5,0)+1,FALSE),F568)</f>
        <v>51.92</v>
      </c>
      <c r="G569" s="6">
        <f>IFERROR(VLOOKUP($B569,Platts!$E$5:$M$4994,MATCH(G$3,Platts!$F$5:$M$5,0)+1,FALSE),G568)</f>
        <v>49.58</v>
      </c>
      <c r="H569" s="6">
        <f>IFERROR(VLOOKUP($B569,Platts!$E$5:$M$4994,MATCH(H$3,Platts!$F$5:$M$5,0)+1,FALSE),H568)</f>
        <v>47.12</v>
      </c>
      <c r="I569" s="6">
        <f>IFERROR(VLOOKUP($B569,Platts!$E$5:$M$4994,MATCH(I$3,Platts!$F$5:$M$5,0)+1,FALSE),I568)</f>
        <v>49.57</v>
      </c>
      <c r="J569" s="6">
        <f t="shared" si="16"/>
        <v>2.8299999999999983</v>
      </c>
    </row>
    <row r="570" spans="2:10" x14ac:dyDescent="0.25">
      <c r="B570" s="5">
        <f t="shared" si="17"/>
        <v>42936</v>
      </c>
      <c r="C570" s="6">
        <f>IFERROR(VLOOKUP($B570,Platts!$E$5:$M$4994,MATCH(C$3,Platts!$F$5:$M$5,0)+1,FALSE),C569)</f>
        <v>43.99</v>
      </c>
      <c r="D570" s="6">
        <f>IFERROR(VLOOKUP($B570,Platts!$E$5:$M$4994,MATCH(D$3,Platts!$F$5:$M$5,0)+1,FALSE),D569)</f>
        <v>50.99</v>
      </c>
      <c r="E570" s="6">
        <f>IFERROR(VLOOKUP($B570,Platts!$E$5:$M$4994,MATCH(E$3,Platts!$F$5:$M$5,0)+1,FALSE),E569)</f>
        <v>44.97</v>
      </c>
      <c r="F570" s="6">
        <f>IFERROR(VLOOKUP($B570,Platts!$E$5:$M$4994,MATCH(F$3,Platts!$F$5:$M$5,0)+1,FALSE),F569)</f>
        <v>51.65</v>
      </c>
      <c r="G570" s="6">
        <f>IFERROR(VLOOKUP($B570,Platts!$E$5:$M$4994,MATCH(G$3,Platts!$F$5:$M$5,0)+1,FALSE),G569)</f>
        <v>49.62</v>
      </c>
      <c r="H570" s="6">
        <f>IFERROR(VLOOKUP($B570,Platts!$E$5:$M$4994,MATCH(H$3,Platts!$F$5:$M$5,0)+1,FALSE),H569)</f>
        <v>46.79</v>
      </c>
      <c r="I570" s="6">
        <f>IFERROR(VLOOKUP($B570,Platts!$E$5:$M$4994,MATCH(I$3,Platts!$F$5:$M$5,0)+1,FALSE),I569)</f>
        <v>49.34</v>
      </c>
      <c r="J570" s="6">
        <f t="shared" si="16"/>
        <v>2.7999999999999972</v>
      </c>
    </row>
    <row r="571" spans="2:10" x14ac:dyDescent="0.25">
      <c r="B571" s="5">
        <f t="shared" si="17"/>
        <v>42937</v>
      </c>
      <c r="C571" s="6">
        <f>IFERROR(VLOOKUP($B571,Platts!$E$5:$M$4994,MATCH(C$3,Platts!$F$5:$M$5,0)+1,FALSE),C570)</f>
        <v>43.32</v>
      </c>
      <c r="D571" s="6">
        <f>IFERROR(VLOOKUP($B571,Platts!$E$5:$M$4994,MATCH(D$3,Platts!$F$5:$M$5,0)+1,FALSE),D570)</f>
        <v>49.84</v>
      </c>
      <c r="E571" s="6">
        <f>IFERROR(VLOOKUP($B571,Platts!$E$5:$M$4994,MATCH(E$3,Platts!$F$5:$M$5,0)+1,FALSE),E570)</f>
        <v>43.7</v>
      </c>
      <c r="F571" s="6">
        <f>IFERROR(VLOOKUP($B571,Platts!$E$5:$M$4994,MATCH(F$3,Platts!$F$5:$M$5,0)+1,FALSE),F570)</f>
        <v>50.47</v>
      </c>
      <c r="G571" s="6">
        <f>IFERROR(VLOOKUP($B571,Platts!$E$5:$M$4994,MATCH(G$3,Platts!$F$5:$M$5,0)+1,FALSE),G570)</f>
        <v>48.74</v>
      </c>
      <c r="H571" s="6">
        <f>IFERROR(VLOOKUP($B571,Platts!$E$5:$M$4994,MATCH(H$3,Platts!$F$5:$M$5,0)+1,FALSE),H570)</f>
        <v>45.62</v>
      </c>
      <c r="I571" s="6">
        <f>IFERROR(VLOOKUP($B571,Platts!$E$5:$M$4994,MATCH(I$3,Platts!$F$5:$M$5,0)+1,FALSE),I570)</f>
        <v>48.17</v>
      </c>
      <c r="J571" s="6">
        <f t="shared" si="16"/>
        <v>2.2999999999999972</v>
      </c>
    </row>
    <row r="572" spans="2:10" x14ac:dyDescent="0.25">
      <c r="B572" s="5">
        <f t="shared" si="17"/>
        <v>42938</v>
      </c>
      <c r="C572" s="6">
        <f>IFERROR(VLOOKUP($B572,Platts!$E$5:$M$4994,MATCH(C$3,Platts!$F$5:$M$5,0)+1,FALSE),C571)</f>
        <v>43.32</v>
      </c>
      <c r="D572" s="6">
        <f>IFERROR(VLOOKUP($B572,Platts!$E$5:$M$4994,MATCH(D$3,Platts!$F$5:$M$5,0)+1,FALSE),D571)</f>
        <v>49.84</v>
      </c>
      <c r="E572" s="6">
        <f>IFERROR(VLOOKUP($B572,Platts!$E$5:$M$4994,MATCH(E$3,Platts!$F$5:$M$5,0)+1,FALSE),E571)</f>
        <v>43.7</v>
      </c>
      <c r="F572" s="6">
        <f>IFERROR(VLOOKUP($B572,Platts!$E$5:$M$4994,MATCH(F$3,Platts!$F$5:$M$5,0)+1,FALSE),F571)</f>
        <v>50.47</v>
      </c>
      <c r="G572" s="6">
        <f>IFERROR(VLOOKUP($B572,Platts!$E$5:$M$4994,MATCH(G$3,Platts!$F$5:$M$5,0)+1,FALSE),G571)</f>
        <v>48.74</v>
      </c>
      <c r="H572" s="6">
        <f>IFERROR(VLOOKUP($B572,Platts!$E$5:$M$4994,MATCH(H$3,Platts!$F$5:$M$5,0)+1,FALSE),H571)</f>
        <v>45.62</v>
      </c>
      <c r="I572" s="6">
        <f>IFERROR(VLOOKUP($B572,Platts!$E$5:$M$4994,MATCH(I$3,Platts!$F$5:$M$5,0)+1,FALSE),I571)</f>
        <v>48.17</v>
      </c>
      <c r="J572" s="6">
        <f t="shared" si="16"/>
        <v>2.2999999999999972</v>
      </c>
    </row>
    <row r="573" spans="2:10" x14ac:dyDescent="0.25">
      <c r="B573" s="5">
        <f t="shared" si="17"/>
        <v>42939</v>
      </c>
      <c r="C573" s="6">
        <f>IFERROR(VLOOKUP($B573,Platts!$E$5:$M$4994,MATCH(C$3,Platts!$F$5:$M$5,0)+1,FALSE),C572)</f>
        <v>43.32</v>
      </c>
      <c r="D573" s="6">
        <f>IFERROR(VLOOKUP($B573,Platts!$E$5:$M$4994,MATCH(D$3,Platts!$F$5:$M$5,0)+1,FALSE),D572)</f>
        <v>49.84</v>
      </c>
      <c r="E573" s="6">
        <f>IFERROR(VLOOKUP($B573,Platts!$E$5:$M$4994,MATCH(E$3,Platts!$F$5:$M$5,0)+1,FALSE),E572)</f>
        <v>43.7</v>
      </c>
      <c r="F573" s="6">
        <f>IFERROR(VLOOKUP($B573,Platts!$E$5:$M$4994,MATCH(F$3,Platts!$F$5:$M$5,0)+1,FALSE),F572)</f>
        <v>50.47</v>
      </c>
      <c r="G573" s="6">
        <f>IFERROR(VLOOKUP($B573,Platts!$E$5:$M$4994,MATCH(G$3,Platts!$F$5:$M$5,0)+1,FALSE),G572)</f>
        <v>48.74</v>
      </c>
      <c r="H573" s="6">
        <f>IFERROR(VLOOKUP($B573,Platts!$E$5:$M$4994,MATCH(H$3,Platts!$F$5:$M$5,0)+1,FALSE),H572)</f>
        <v>45.62</v>
      </c>
      <c r="I573" s="6">
        <f>IFERROR(VLOOKUP($B573,Platts!$E$5:$M$4994,MATCH(I$3,Platts!$F$5:$M$5,0)+1,FALSE),I572)</f>
        <v>48.17</v>
      </c>
      <c r="J573" s="6">
        <f t="shared" si="16"/>
        <v>2.2999999999999972</v>
      </c>
    </row>
    <row r="574" spans="2:10" x14ac:dyDescent="0.25">
      <c r="B574" s="5">
        <f t="shared" si="17"/>
        <v>42940</v>
      </c>
      <c r="C574" s="6">
        <f>IFERROR(VLOOKUP($B574,Platts!$E$5:$M$4994,MATCH(C$3,Platts!$F$5:$M$5,0)+1,FALSE),C573)</f>
        <v>43.37</v>
      </c>
      <c r="D574" s="6">
        <f>IFERROR(VLOOKUP($B574,Platts!$E$5:$M$4994,MATCH(D$3,Platts!$F$5:$M$5,0)+1,FALSE),D573)</f>
        <v>50.48</v>
      </c>
      <c r="E574" s="6">
        <f>IFERROR(VLOOKUP($B574,Platts!$E$5:$M$4994,MATCH(E$3,Platts!$F$5:$M$5,0)+1,FALSE),E573)</f>
        <v>44.21</v>
      </c>
      <c r="F574" s="6">
        <f>IFERROR(VLOOKUP($B574,Platts!$E$5:$M$4994,MATCH(F$3,Platts!$F$5:$M$5,0)+1,FALSE),F573)</f>
        <v>51.13</v>
      </c>
      <c r="G574" s="6">
        <f>IFERROR(VLOOKUP($B574,Platts!$E$5:$M$4994,MATCH(G$3,Platts!$F$5:$M$5,0)+1,FALSE),G573)</f>
        <v>48.63</v>
      </c>
      <c r="H574" s="6">
        <f>IFERROR(VLOOKUP($B574,Platts!$E$5:$M$4994,MATCH(H$3,Platts!$F$5:$M$5,0)+1,FALSE),H573)</f>
        <v>46.19</v>
      </c>
      <c r="I574" s="6">
        <f>IFERROR(VLOOKUP($B574,Platts!$E$5:$M$4994,MATCH(I$3,Platts!$F$5:$M$5,0)+1,FALSE),I573)</f>
        <v>48.69</v>
      </c>
      <c r="J574" s="6">
        <f t="shared" si="16"/>
        <v>2.8200000000000003</v>
      </c>
    </row>
    <row r="575" spans="2:10" x14ac:dyDescent="0.25">
      <c r="B575" s="5">
        <f t="shared" si="17"/>
        <v>42941</v>
      </c>
      <c r="C575" s="6">
        <f>IFERROR(VLOOKUP($B575,Platts!$E$5:$M$4994,MATCH(C$3,Platts!$F$5:$M$5,0)+1,FALSE),C574)</f>
        <v>44.69</v>
      </c>
      <c r="D575" s="6">
        <f>IFERROR(VLOOKUP($B575,Platts!$E$5:$M$4994,MATCH(D$3,Platts!$F$5:$M$5,0)+1,FALSE),D574)</f>
        <v>52.07</v>
      </c>
      <c r="E575" s="6">
        <f>IFERROR(VLOOKUP($B575,Platts!$E$5:$M$4994,MATCH(E$3,Platts!$F$5:$M$5,0)+1,FALSE),E574)</f>
        <v>45.16</v>
      </c>
      <c r="F575" s="6">
        <f>IFERROR(VLOOKUP($B575,Platts!$E$5:$M$4994,MATCH(F$3,Platts!$F$5:$M$5,0)+1,FALSE),F574)</f>
        <v>52.7</v>
      </c>
      <c r="G575" s="6">
        <f>IFERROR(VLOOKUP($B575,Platts!$E$5:$M$4994,MATCH(G$3,Platts!$F$5:$M$5,0)+1,FALSE),G574)</f>
        <v>50.04</v>
      </c>
      <c r="H575" s="6">
        <f>IFERROR(VLOOKUP($B575,Platts!$E$5:$M$4994,MATCH(H$3,Platts!$F$5:$M$5,0)+1,FALSE),H574)</f>
        <v>47.74</v>
      </c>
      <c r="I575" s="6">
        <f>IFERROR(VLOOKUP($B575,Platts!$E$5:$M$4994,MATCH(I$3,Platts!$F$5:$M$5,0)+1,FALSE),I574)</f>
        <v>50.24</v>
      </c>
      <c r="J575" s="6">
        <f t="shared" si="16"/>
        <v>3.0500000000000043</v>
      </c>
    </row>
    <row r="576" spans="2:10" x14ac:dyDescent="0.25">
      <c r="B576" s="5">
        <f t="shared" si="17"/>
        <v>42942</v>
      </c>
      <c r="C576" s="6">
        <f>IFERROR(VLOOKUP($B576,Platts!$E$5:$M$4994,MATCH(C$3,Platts!$F$5:$M$5,0)+1,FALSE),C575)</f>
        <v>45.56</v>
      </c>
      <c r="D576" s="6">
        <f>IFERROR(VLOOKUP($B576,Platts!$E$5:$M$4994,MATCH(D$3,Platts!$F$5:$M$5,0)+1,FALSE),D575)</f>
        <v>52.86</v>
      </c>
      <c r="E576" s="6">
        <f>IFERROR(VLOOKUP($B576,Platts!$E$5:$M$4994,MATCH(E$3,Platts!$F$5:$M$5,0)+1,FALSE),E575)</f>
        <v>46.34</v>
      </c>
      <c r="F576" s="6">
        <f>IFERROR(VLOOKUP($B576,Platts!$E$5:$M$4994,MATCH(F$3,Platts!$F$5:$M$5,0)+1,FALSE),F575)</f>
        <v>53.48</v>
      </c>
      <c r="G576" s="6">
        <f>IFERROR(VLOOKUP($B576,Platts!$E$5:$M$4994,MATCH(G$3,Platts!$F$5:$M$5,0)+1,FALSE),G575)</f>
        <v>50.66</v>
      </c>
      <c r="H576" s="6">
        <f>IFERROR(VLOOKUP($B576,Platts!$E$5:$M$4994,MATCH(H$3,Platts!$F$5:$M$5,0)+1,FALSE),H575)</f>
        <v>48.75</v>
      </c>
      <c r="I576" s="6">
        <f>IFERROR(VLOOKUP($B576,Platts!$E$5:$M$4994,MATCH(I$3,Platts!$F$5:$M$5,0)+1,FALSE),I575)</f>
        <v>51.1</v>
      </c>
      <c r="J576" s="6">
        <f t="shared" si="16"/>
        <v>3.1899999999999977</v>
      </c>
    </row>
    <row r="577" spans="2:10" x14ac:dyDescent="0.25">
      <c r="B577" s="5">
        <f t="shared" si="17"/>
        <v>42943</v>
      </c>
      <c r="C577" s="6">
        <f>IFERROR(VLOOKUP($B577,Platts!$E$5:$M$4994,MATCH(C$3,Platts!$F$5:$M$5,0)+1,FALSE),C576)</f>
        <v>45.98</v>
      </c>
      <c r="D577" s="6">
        <f>IFERROR(VLOOKUP($B577,Platts!$E$5:$M$4994,MATCH(D$3,Platts!$F$5:$M$5,0)+1,FALSE),D576)</f>
        <v>53.21</v>
      </c>
      <c r="E577" s="6">
        <f>IFERROR(VLOOKUP($B577,Platts!$E$5:$M$4994,MATCH(E$3,Platts!$F$5:$M$5,0)+1,FALSE),E576)</f>
        <v>46.86</v>
      </c>
      <c r="F577" s="6">
        <f>IFERROR(VLOOKUP($B577,Platts!$E$5:$M$4994,MATCH(F$3,Platts!$F$5:$M$5,0)+1,FALSE),F576)</f>
        <v>53.85</v>
      </c>
      <c r="G577" s="6">
        <f>IFERROR(VLOOKUP($B577,Platts!$E$5:$M$4994,MATCH(G$3,Platts!$F$5:$M$5,0)+1,FALSE),G576)</f>
        <v>51.39</v>
      </c>
      <c r="H577" s="6">
        <f>IFERROR(VLOOKUP($B577,Platts!$E$5:$M$4994,MATCH(H$3,Platts!$F$5:$M$5,0)+1,FALSE),H576)</f>
        <v>49.04</v>
      </c>
      <c r="I577" s="6">
        <f>IFERROR(VLOOKUP($B577,Platts!$E$5:$M$4994,MATCH(I$3,Platts!$F$5:$M$5,0)+1,FALSE),I576)</f>
        <v>51.39</v>
      </c>
      <c r="J577" s="6">
        <f t="shared" si="16"/>
        <v>3.0600000000000023</v>
      </c>
    </row>
    <row r="578" spans="2:10" x14ac:dyDescent="0.25">
      <c r="B578" s="5">
        <f t="shared" si="17"/>
        <v>42944</v>
      </c>
      <c r="C578" s="6">
        <f>IFERROR(VLOOKUP($B578,Platts!$E$5:$M$4994,MATCH(C$3,Platts!$F$5:$M$5,0)+1,FALSE),C577)</f>
        <v>46.61</v>
      </c>
      <c r="D578" s="6">
        <f>IFERROR(VLOOKUP($B578,Platts!$E$5:$M$4994,MATCH(D$3,Platts!$F$5:$M$5,0)+1,FALSE),D577)</f>
        <v>53.85</v>
      </c>
      <c r="E578" s="6">
        <f>IFERROR(VLOOKUP($B578,Platts!$E$5:$M$4994,MATCH(E$3,Platts!$F$5:$M$5,0)+1,FALSE),E577)</f>
        <v>47.24</v>
      </c>
      <c r="F578" s="6">
        <f>IFERROR(VLOOKUP($B578,Platts!$E$5:$M$4994,MATCH(F$3,Platts!$F$5:$M$5,0)+1,FALSE),F577)</f>
        <v>54.5</v>
      </c>
      <c r="G578" s="6">
        <f>IFERROR(VLOOKUP($B578,Platts!$E$5:$M$4994,MATCH(G$3,Platts!$F$5:$M$5,0)+1,FALSE),G577)</f>
        <v>52.48</v>
      </c>
      <c r="H578" s="6">
        <f>IFERROR(VLOOKUP($B578,Platts!$E$5:$M$4994,MATCH(H$3,Platts!$F$5:$M$5,0)+1,FALSE),H577)</f>
        <v>49.71</v>
      </c>
      <c r="I578" s="6">
        <f>IFERROR(VLOOKUP($B578,Platts!$E$5:$M$4994,MATCH(I$3,Platts!$F$5:$M$5,0)+1,FALSE),I577)</f>
        <v>51.96</v>
      </c>
      <c r="J578" s="6">
        <f t="shared" si="16"/>
        <v>3.1000000000000014</v>
      </c>
    </row>
    <row r="579" spans="2:10" x14ac:dyDescent="0.25">
      <c r="B579" s="5">
        <f t="shared" si="17"/>
        <v>42945</v>
      </c>
      <c r="C579" s="6">
        <f>IFERROR(VLOOKUP($B579,Platts!$E$5:$M$4994,MATCH(C$3,Platts!$F$5:$M$5,0)+1,FALSE),C578)</f>
        <v>46.61</v>
      </c>
      <c r="D579" s="6">
        <f>IFERROR(VLOOKUP($B579,Platts!$E$5:$M$4994,MATCH(D$3,Platts!$F$5:$M$5,0)+1,FALSE),D578)</f>
        <v>53.85</v>
      </c>
      <c r="E579" s="6">
        <f>IFERROR(VLOOKUP($B579,Platts!$E$5:$M$4994,MATCH(E$3,Platts!$F$5:$M$5,0)+1,FALSE),E578)</f>
        <v>47.24</v>
      </c>
      <c r="F579" s="6">
        <f>IFERROR(VLOOKUP($B579,Platts!$E$5:$M$4994,MATCH(F$3,Platts!$F$5:$M$5,0)+1,FALSE),F578)</f>
        <v>54.5</v>
      </c>
      <c r="G579" s="6">
        <f>IFERROR(VLOOKUP($B579,Platts!$E$5:$M$4994,MATCH(G$3,Platts!$F$5:$M$5,0)+1,FALSE),G578)</f>
        <v>52.48</v>
      </c>
      <c r="H579" s="6">
        <f>IFERROR(VLOOKUP($B579,Platts!$E$5:$M$4994,MATCH(H$3,Platts!$F$5:$M$5,0)+1,FALSE),H578)</f>
        <v>49.71</v>
      </c>
      <c r="I579" s="6">
        <f>IFERROR(VLOOKUP($B579,Platts!$E$5:$M$4994,MATCH(I$3,Platts!$F$5:$M$5,0)+1,FALSE),I578)</f>
        <v>51.96</v>
      </c>
      <c r="J579" s="6">
        <f t="shared" si="16"/>
        <v>3.1000000000000014</v>
      </c>
    </row>
    <row r="580" spans="2:10" x14ac:dyDescent="0.25">
      <c r="B580" s="5">
        <f t="shared" si="17"/>
        <v>42946</v>
      </c>
      <c r="C580" s="6">
        <f>IFERROR(VLOOKUP($B580,Platts!$E$5:$M$4994,MATCH(C$3,Platts!$F$5:$M$5,0)+1,FALSE),C579)</f>
        <v>46.61</v>
      </c>
      <c r="D580" s="6">
        <f>IFERROR(VLOOKUP($B580,Platts!$E$5:$M$4994,MATCH(D$3,Platts!$F$5:$M$5,0)+1,FALSE),D579)</f>
        <v>53.85</v>
      </c>
      <c r="E580" s="6">
        <f>IFERROR(VLOOKUP($B580,Platts!$E$5:$M$4994,MATCH(E$3,Platts!$F$5:$M$5,0)+1,FALSE),E579)</f>
        <v>47.24</v>
      </c>
      <c r="F580" s="6">
        <f>IFERROR(VLOOKUP($B580,Platts!$E$5:$M$4994,MATCH(F$3,Platts!$F$5:$M$5,0)+1,FALSE),F579)</f>
        <v>54.5</v>
      </c>
      <c r="G580" s="6">
        <f>IFERROR(VLOOKUP($B580,Platts!$E$5:$M$4994,MATCH(G$3,Platts!$F$5:$M$5,0)+1,FALSE),G579)</f>
        <v>52.48</v>
      </c>
      <c r="H580" s="6">
        <f>IFERROR(VLOOKUP($B580,Platts!$E$5:$M$4994,MATCH(H$3,Platts!$F$5:$M$5,0)+1,FALSE),H579)</f>
        <v>49.71</v>
      </c>
      <c r="I580" s="6">
        <f>IFERROR(VLOOKUP($B580,Platts!$E$5:$M$4994,MATCH(I$3,Platts!$F$5:$M$5,0)+1,FALSE),I579)</f>
        <v>51.96</v>
      </c>
      <c r="J580" s="6">
        <f t="shared" ref="J580:J643" si="18">H580-C580</f>
        <v>3.1000000000000014</v>
      </c>
    </row>
    <row r="581" spans="2:10" x14ac:dyDescent="0.25">
      <c r="B581" s="5">
        <f t="shared" si="17"/>
        <v>42947</v>
      </c>
      <c r="C581" s="6">
        <f>IFERROR(VLOOKUP($B581,Platts!$E$5:$M$4994,MATCH(C$3,Platts!$F$5:$M$5,0)+1,FALSE),C580)</f>
        <v>46.8</v>
      </c>
      <c r="D581" s="6">
        <f>IFERROR(VLOOKUP($B581,Platts!$E$5:$M$4994,MATCH(D$3,Platts!$F$5:$M$5,0)+1,FALSE),D580)</f>
        <v>54.32</v>
      </c>
      <c r="E581" s="6">
        <f>IFERROR(VLOOKUP($B581,Platts!$E$5:$M$4994,MATCH(E$3,Platts!$F$5:$M$5,0)+1,FALSE),E580)</f>
        <v>47.59</v>
      </c>
      <c r="F581" s="6">
        <f>IFERROR(VLOOKUP($B581,Platts!$E$5:$M$4994,MATCH(F$3,Platts!$F$5:$M$5,0)+1,FALSE),F580)</f>
        <v>55</v>
      </c>
      <c r="G581" s="6">
        <f>IFERROR(VLOOKUP($B581,Platts!$E$5:$M$4994,MATCH(G$3,Platts!$F$5:$M$5,0)+1,FALSE),G580)</f>
        <v>52.44</v>
      </c>
      <c r="H581" s="6">
        <f>IFERROR(VLOOKUP($B581,Platts!$E$5:$M$4994,MATCH(H$3,Platts!$F$5:$M$5,0)+1,FALSE),H580)</f>
        <v>50.17</v>
      </c>
      <c r="I581" s="6">
        <f>IFERROR(VLOOKUP($B581,Platts!$E$5:$M$4994,MATCH(I$3,Platts!$F$5:$M$5,0)+1,FALSE),I580)</f>
        <v>52.52</v>
      </c>
      <c r="J581" s="6">
        <f t="shared" si="18"/>
        <v>3.3700000000000045</v>
      </c>
    </row>
    <row r="582" spans="2:10" x14ac:dyDescent="0.25">
      <c r="B582" s="5">
        <f t="shared" ref="B582:B645" si="19">B581+1</f>
        <v>42948</v>
      </c>
      <c r="C582" s="6">
        <f>IFERROR(VLOOKUP($B582,Platts!$E$5:$M$4994,MATCH(C$3,Platts!$F$5:$M$5,0)+1,FALSE),C581)</f>
        <v>45.82</v>
      </c>
      <c r="D582" s="6">
        <f>IFERROR(VLOOKUP($B582,Platts!$E$5:$M$4994,MATCH(D$3,Platts!$F$5:$M$5,0)+1,FALSE),D581)</f>
        <v>53.31</v>
      </c>
      <c r="E582" s="6">
        <f>IFERROR(VLOOKUP($B582,Platts!$E$5:$M$4994,MATCH(E$3,Platts!$F$5:$M$5,0)+1,FALSE),E581)</f>
        <v>46.49</v>
      </c>
      <c r="F582" s="6">
        <f>IFERROR(VLOOKUP($B582,Platts!$E$5:$M$4994,MATCH(F$3,Platts!$F$5:$M$5,0)+1,FALSE),F581)</f>
        <v>54.01</v>
      </c>
      <c r="G582" s="6">
        <f>IFERROR(VLOOKUP($B582,Platts!$E$5:$M$4994,MATCH(G$3,Platts!$F$5:$M$5,0)+1,FALSE),G581)</f>
        <v>51.38</v>
      </c>
      <c r="H582" s="6">
        <f>IFERROR(VLOOKUP($B582,Platts!$E$5:$M$4994,MATCH(H$3,Platts!$F$5:$M$5,0)+1,FALSE),H581)</f>
        <v>49.16</v>
      </c>
      <c r="I582" s="6">
        <f>IFERROR(VLOOKUP($B582,Platts!$E$5:$M$4994,MATCH(I$3,Platts!$F$5:$M$5,0)+1,FALSE),I581)</f>
        <v>51.46</v>
      </c>
      <c r="J582" s="6">
        <f t="shared" si="18"/>
        <v>3.3399999999999963</v>
      </c>
    </row>
    <row r="583" spans="2:10" x14ac:dyDescent="0.25">
      <c r="B583" s="5">
        <f t="shared" si="19"/>
        <v>42949</v>
      </c>
      <c r="C583" s="6">
        <f>IFERROR(VLOOKUP($B583,Platts!$E$5:$M$4994,MATCH(C$3,Platts!$F$5:$M$5,0)+1,FALSE),C582)</f>
        <v>46</v>
      </c>
      <c r="D583" s="6">
        <f>IFERROR(VLOOKUP($B583,Platts!$E$5:$M$4994,MATCH(D$3,Platts!$F$5:$M$5,0)+1,FALSE),D582)</f>
        <v>53.78</v>
      </c>
      <c r="E583" s="6">
        <f>IFERROR(VLOOKUP($B583,Platts!$E$5:$M$4994,MATCH(E$3,Platts!$F$5:$M$5,0)+1,FALSE),E582)</f>
        <v>46.97</v>
      </c>
      <c r="F583" s="6">
        <f>IFERROR(VLOOKUP($B583,Platts!$E$5:$M$4994,MATCH(F$3,Platts!$F$5:$M$5,0)+1,FALSE),F582)</f>
        <v>54.5</v>
      </c>
      <c r="G583" s="6">
        <f>IFERROR(VLOOKUP($B583,Platts!$E$5:$M$4994,MATCH(G$3,Platts!$F$5:$M$5,0)+1,FALSE),G582)</f>
        <v>52.26</v>
      </c>
      <c r="H583" s="6">
        <f>IFERROR(VLOOKUP($B583,Platts!$E$5:$M$4994,MATCH(H$3,Platts!$F$5:$M$5,0)+1,FALSE),H582)</f>
        <v>49.59</v>
      </c>
      <c r="I583" s="6">
        <f>IFERROR(VLOOKUP($B583,Platts!$E$5:$M$4994,MATCH(I$3,Platts!$F$5:$M$5,0)+1,FALSE),I582)</f>
        <v>51.94</v>
      </c>
      <c r="J583" s="6">
        <f t="shared" si="18"/>
        <v>3.5900000000000034</v>
      </c>
    </row>
    <row r="584" spans="2:10" x14ac:dyDescent="0.25">
      <c r="B584" s="5">
        <f t="shared" si="19"/>
        <v>42950</v>
      </c>
      <c r="C584" s="6">
        <f>IFERROR(VLOOKUP($B584,Platts!$E$5:$M$4994,MATCH(C$3,Platts!$F$5:$M$5,0)+1,FALSE),C583)</f>
        <v>46.29</v>
      </c>
      <c r="D584" s="6">
        <f>IFERROR(VLOOKUP($B584,Platts!$E$5:$M$4994,MATCH(D$3,Platts!$F$5:$M$5,0)+1,FALSE),D583)</f>
        <v>53.34</v>
      </c>
      <c r="E584" s="6">
        <f>IFERROR(VLOOKUP($B584,Platts!$E$5:$M$4994,MATCH(E$3,Platts!$F$5:$M$5,0)+1,FALSE),E583)</f>
        <v>46.62</v>
      </c>
      <c r="F584" s="6">
        <f>IFERROR(VLOOKUP($B584,Platts!$E$5:$M$4994,MATCH(F$3,Platts!$F$5:$M$5,0)+1,FALSE),F583)</f>
        <v>54.04</v>
      </c>
      <c r="G584" s="6">
        <f>IFERROR(VLOOKUP($B584,Platts!$E$5:$M$4994,MATCH(G$3,Platts!$F$5:$M$5,0)+1,FALSE),G583)</f>
        <v>52.92</v>
      </c>
      <c r="H584" s="6">
        <f>IFERROR(VLOOKUP($B584,Platts!$E$5:$M$4994,MATCH(H$3,Platts!$F$5:$M$5,0)+1,FALSE),H583)</f>
        <v>49.03</v>
      </c>
      <c r="I584" s="6">
        <f>IFERROR(VLOOKUP($B584,Platts!$E$5:$M$4994,MATCH(I$3,Platts!$F$5:$M$5,0)+1,FALSE),I583)</f>
        <v>51.43</v>
      </c>
      <c r="J584" s="6">
        <f t="shared" si="18"/>
        <v>2.740000000000002</v>
      </c>
    </row>
    <row r="585" spans="2:10" x14ac:dyDescent="0.25">
      <c r="B585" s="5">
        <f t="shared" si="19"/>
        <v>42951</v>
      </c>
      <c r="C585" s="6">
        <f>IFERROR(VLOOKUP($B585,Platts!$E$5:$M$4994,MATCH(C$3,Platts!$F$5:$M$5,0)+1,FALSE),C584)</f>
        <v>46.28</v>
      </c>
      <c r="D585" s="6">
        <f>IFERROR(VLOOKUP($B585,Platts!$E$5:$M$4994,MATCH(D$3,Platts!$F$5:$M$5,0)+1,FALSE),D584)</f>
        <v>53.9</v>
      </c>
      <c r="E585" s="6">
        <f>IFERROR(VLOOKUP($B585,Platts!$E$5:$M$4994,MATCH(E$3,Platts!$F$5:$M$5,0)+1,FALSE),E584)</f>
        <v>47.06</v>
      </c>
      <c r="F585" s="6">
        <f>IFERROR(VLOOKUP($B585,Platts!$E$5:$M$4994,MATCH(F$3,Platts!$F$5:$M$5,0)+1,FALSE),F584)</f>
        <v>54.61</v>
      </c>
      <c r="G585" s="6">
        <f>IFERROR(VLOOKUP($B585,Platts!$E$5:$M$4994,MATCH(G$3,Platts!$F$5:$M$5,0)+1,FALSE),G584)</f>
        <v>52.54</v>
      </c>
      <c r="H585" s="6">
        <f>IFERROR(VLOOKUP($B585,Platts!$E$5:$M$4994,MATCH(H$3,Platts!$F$5:$M$5,0)+1,FALSE),H584)</f>
        <v>49.58</v>
      </c>
      <c r="I585" s="6">
        <f>IFERROR(VLOOKUP($B585,Platts!$E$5:$M$4994,MATCH(I$3,Platts!$F$5:$M$5,0)+1,FALSE),I584)</f>
        <v>51.98</v>
      </c>
      <c r="J585" s="6">
        <f t="shared" si="18"/>
        <v>3.2999999999999972</v>
      </c>
    </row>
    <row r="586" spans="2:10" x14ac:dyDescent="0.25">
      <c r="B586" s="5">
        <f t="shared" si="19"/>
        <v>42952</v>
      </c>
      <c r="C586" s="6">
        <f>IFERROR(VLOOKUP($B586,Platts!$E$5:$M$4994,MATCH(C$3,Platts!$F$5:$M$5,0)+1,FALSE),C585)</f>
        <v>46.28</v>
      </c>
      <c r="D586" s="6">
        <f>IFERROR(VLOOKUP($B586,Platts!$E$5:$M$4994,MATCH(D$3,Platts!$F$5:$M$5,0)+1,FALSE),D585)</f>
        <v>53.9</v>
      </c>
      <c r="E586" s="6">
        <f>IFERROR(VLOOKUP($B586,Platts!$E$5:$M$4994,MATCH(E$3,Platts!$F$5:$M$5,0)+1,FALSE),E585)</f>
        <v>47.06</v>
      </c>
      <c r="F586" s="6">
        <f>IFERROR(VLOOKUP($B586,Platts!$E$5:$M$4994,MATCH(F$3,Platts!$F$5:$M$5,0)+1,FALSE),F585)</f>
        <v>54.61</v>
      </c>
      <c r="G586" s="6">
        <f>IFERROR(VLOOKUP($B586,Platts!$E$5:$M$4994,MATCH(G$3,Platts!$F$5:$M$5,0)+1,FALSE),G585)</f>
        <v>52.54</v>
      </c>
      <c r="H586" s="6">
        <f>IFERROR(VLOOKUP($B586,Platts!$E$5:$M$4994,MATCH(H$3,Platts!$F$5:$M$5,0)+1,FALSE),H585)</f>
        <v>49.58</v>
      </c>
      <c r="I586" s="6">
        <f>IFERROR(VLOOKUP($B586,Platts!$E$5:$M$4994,MATCH(I$3,Platts!$F$5:$M$5,0)+1,FALSE),I585)</f>
        <v>51.98</v>
      </c>
      <c r="J586" s="6">
        <f t="shared" si="18"/>
        <v>3.2999999999999972</v>
      </c>
    </row>
    <row r="587" spans="2:10" x14ac:dyDescent="0.25">
      <c r="B587" s="5">
        <f t="shared" si="19"/>
        <v>42953</v>
      </c>
      <c r="C587" s="6">
        <f>IFERROR(VLOOKUP($B587,Platts!$E$5:$M$4994,MATCH(C$3,Platts!$F$5:$M$5,0)+1,FALSE),C586)</f>
        <v>46.28</v>
      </c>
      <c r="D587" s="6">
        <f>IFERROR(VLOOKUP($B587,Platts!$E$5:$M$4994,MATCH(D$3,Platts!$F$5:$M$5,0)+1,FALSE),D586)</f>
        <v>53.9</v>
      </c>
      <c r="E587" s="6">
        <f>IFERROR(VLOOKUP($B587,Platts!$E$5:$M$4994,MATCH(E$3,Platts!$F$5:$M$5,0)+1,FALSE),E586)</f>
        <v>47.06</v>
      </c>
      <c r="F587" s="6">
        <f>IFERROR(VLOOKUP($B587,Platts!$E$5:$M$4994,MATCH(F$3,Platts!$F$5:$M$5,0)+1,FALSE),F586)</f>
        <v>54.61</v>
      </c>
      <c r="G587" s="6">
        <f>IFERROR(VLOOKUP($B587,Platts!$E$5:$M$4994,MATCH(G$3,Platts!$F$5:$M$5,0)+1,FALSE),G586)</f>
        <v>52.54</v>
      </c>
      <c r="H587" s="6">
        <f>IFERROR(VLOOKUP($B587,Platts!$E$5:$M$4994,MATCH(H$3,Platts!$F$5:$M$5,0)+1,FALSE),H586)</f>
        <v>49.58</v>
      </c>
      <c r="I587" s="6">
        <f>IFERROR(VLOOKUP($B587,Platts!$E$5:$M$4994,MATCH(I$3,Platts!$F$5:$M$5,0)+1,FALSE),I586)</f>
        <v>51.98</v>
      </c>
      <c r="J587" s="6">
        <f t="shared" si="18"/>
        <v>3.2999999999999972</v>
      </c>
    </row>
    <row r="588" spans="2:10" x14ac:dyDescent="0.25">
      <c r="B588" s="5">
        <f t="shared" si="19"/>
        <v>42954</v>
      </c>
      <c r="C588" s="6">
        <f>IFERROR(VLOOKUP($B588,Platts!$E$5:$M$4994,MATCH(C$3,Platts!$F$5:$M$5,0)+1,FALSE),C587)</f>
        <v>46.17</v>
      </c>
      <c r="D588" s="6">
        <f>IFERROR(VLOOKUP($B588,Platts!$E$5:$M$4994,MATCH(D$3,Platts!$F$5:$M$5,0)+1,FALSE),D587)</f>
        <v>53.81</v>
      </c>
      <c r="E588" s="6">
        <f>IFERROR(VLOOKUP($B588,Platts!$E$5:$M$4994,MATCH(E$3,Platts!$F$5:$M$5,0)+1,FALSE),E587)</f>
        <v>47.2</v>
      </c>
      <c r="F588" s="6">
        <f>IFERROR(VLOOKUP($B588,Platts!$E$5:$M$4994,MATCH(F$3,Platts!$F$5:$M$5,0)+1,FALSE),F587)</f>
        <v>54.5</v>
      </c>
      <c r="G588" s="6">
        <f>IFERROR(VLOOKUP($B588,Platts!$E$5:$M$4994,MATCH(G$3,Platts!$F$5:$M$5,0)+1,FALSE),G587)</f>
        <v>51.67</v>
      </c>
      <c r="H588" s="6">
        <f>IFERROR(VLOOKUP($B588,Platts!$E$5:$M$4994,MATCH(H$3,Platts!$F$5:$M$5,0)+1,FALSE),H587)</f>
        <v>49.39</v>
      </c>
      <c r="I588" s="6">
        <f>IFERROR(VLOOKUP($B588,Platts!$E$5:$M$4994,MATCH(I$3,Platts!$F$5:$M$5,0)+1,FALSE),I587)</f>
        <v>51.94</v>
      </c>
      <c r="J588" s="6">
        <f t="shared" si="18"/>
        <v>3.2199999999999989</v>
      </c>
    </row>
    <row r="589" spans="2:10" x14ac:dyDescent="0.25">
      <c r="B589" s="5">
        <f t="shared" si="19"/>
        <v>42955</v>
      </c>
      <c r="C589" s="6">
        <f>IFERROR(VLOOKUP($B589,Platts!$E$5:$M$4994,MATCH(C$3,Platts!$F$5:$M$5,0)+1,FALSE),C588)</f>
        <v>46.54</v>
      </c>
      <c r="D589" s="6">
        <f>IFERROR(VLOOKUP($B589,Platts!$E$5:$M$4994,MATCH(D$3,Platts!$F$5:$M$5,0)+1,FALSE),D588)</f>
        <v>53.67</v>
      </c>
      <c r="E589" s="6">
        <f>IFERROR(VLOOKUP($B589,Platts!$E$5:$M$4994,MATCH(E$3,Platts!$F$5:$M$5,0)+1,FALSE),E588)</f>
        <v>47.2</v>
      </c>
      <c r="F589" s="6">
        <f>IFERROR(VLOOKUP($B589,Platts!$E$5:$M$4994,MATCH(F$3,Platts!$F$5:$M$5,0)+1,FALSE),F588)</f>
        <v>54.35</v>
      </c>
      <c r="G589" s="6">
        <f>IFERROR(VLOOKUP($B589,Platts!$E$5:$M$4994,MATCH(G$3,Platts!$F$5:$M$5,0)+1,FALSE),G588)</f>
        <v>52.51</v>
      </c>
      <c r="H589" s="6">
        <f>IFERROR(VLOOKUP($B589,Platts!$E$5:$M$4994,MATCH(H$3,Platts!$F$5:$M$5,0)+1,FALSE),H588)</f>
        <v>49.17</v>
      </c>
      <c r="I589" s="6">
        <f>IFERROR(VLOOKUP($B589,Platts!$E$5:$M$4994,MATCH(I$3,Platts!$F$5:$M$5,0)+1,FALSE),I588)</f>
        <v>51.87</v>
      </c>
      <c r="J589" s="6">
        <f t="shared" si="18"/>
        <v>2.6300000000000026</v>
      </c>
    </row>
    <row r="590" spans="2:10" x14ac:dyDescent="0.25">
      <c r="B590" s="5">
        <f t="shared" si="19"/>
        <v>42956</v>
      </c>
      <c r="C590" s="6">
        <f>IFERROR(VLOOKUP($B590,Platts!$E$5:$M$4994,MATCH(C$3,Platts!$F$5:$M$5,0)+1,FALSE),C589)</f>
        <v>46.54</v>
      </c>
      <c r="D590" s="6">
        <f>IFERROR(VLOOKUP($B590,Platts!$E$5:$M$4994,MATCH(D$3,Platts!$F$5:$M$5,0)+1,FALSE),D589)</f>
        <v>54.25</v>
      </c>
      <c r="E590" s="6">
        <f>IFERROR(VLOOKUP($B590,Platts!$E$5:$M$4994,MATCH(E$3,Platts!$F$5:$M$5,0)+1,FALSE),E589)</f>
        <v>47.56</v>
      </c>
      <c r="F590" s="6">
        <f>IFERROR(VLOOKUP($B590,Platts!$E$5:$M$4994,MATCH(F$3,Platts!$F$5:$M$5,0)+1,FALSE),F589)</f>
        <v>54.95</v>
      </c>
      <c r="G590" s="6">
        <f>IFERROR(VLOOKUP($B590,Platts!$E$5:$M$4994,MATCH(G$3,Platts!$F$5:$M$5,0)+1,FALSE),G589)</f>
        <v>52.3</v>
      </c>
      <c r="H590" s="6">
        <f>IFERROR(VLOOKUP($B590,Platts!$E$5:$M$4994,MATCH(H$3,Platts!$F$5:$M$5,0)+1,FALSE),H589)</f>
        <v>49.56</v>
      </c>
      <c r="I590" s="6">
        <f>IFERROR(VLOOKUP($B590,Platts!$E$5:$M$4994,MATCH(I$3,Platts!$F$5:$M$5,0)+1,FALSE),I589)</f>
        <v>52.31</v>
      </c>
      <c r="J590" s="6">
        <f t="shared" si="18"/>
        <v>3.0200000000000031</v>
      </c>
    </row>
    <row r="591" spans="2:10" x14ac:dyDescent="0.25">
      <c r="B591" s="5">
        <f t="shared" si="19"/>
        <v>42957</v>
      </c>
      <c r="C591" s="6">
        <f>IFERROR(VLOOKUP($B591,Platts!$E$5:$M$4994,MATCH(C$3,Platts!$F$5:$M$5,0)+1,FALSE),C590)</f>
        <v>46.4</v>
      </c>
      <c r="D591" s="6">
        <f>IFERROR(VLOOKUP($B591,Platts!$E$5:$M$4994,MATCH(D$3,Platts!$F$5:$M$5,0)+1,FALSE),D590)</f>
        <v>53.37</v>
      </c>
      <c r="E591" s="6">
        <f>IFERROR(VLOOKUP($B591,Platts!$E$5:$M$4994,MATCH(E$3,Platts!$F$5:$M$5,0)+1,FALSE),E590)</f>
        <v>46.74</v>
      </c>
      <c r="F591" s="6">
        <f>IFERROR(VLOOKUP($B591,Platts!$E$5:$M$4994,MATCH(F$3,Platts!$F$5:$M$5,0)+1,FALSE),F590)</f>
        <v>54.09</v>
      </c>
      <c r="G591" s="6">
        <f>IFERROR(VLOOKUP($B591,Platts!$E$5:$M$4994,MATCH(G$3,Platts!$F$5:$M$5,0)+1,FALSE),G590)</f>
        <v>52.6</v>
      </c>
      <c r="H591" s="6">
        <f>IFERROR(VLOOKUP($B591,Platts!$E$5:$M$4994,MATCH(H$3,Platts!$F$5:$M$5,0)+1,FALSE),H590)</f>
        <v>48.59</v>
      </c>
      <c r="I591" s="6">
        <f>IFERROR(VLOOKUP($B591,Platts!$E$5:$M$4994,MATCH(I$3,Platts!$F$5:$M$5,0)+1,FALSE),I590)</f>
        <v>51.49</v>
      </c>
      <c r="J591" s="6">
        <f t="shared" si="18"/>
        <v>2.1900000000000048</v>
      </c>
    </row>
    <row r="592" spans="2:10" x14ac:dyDescent="0.25">
      <c r="B592" s="5">
        <f t="shared" si="19"/>
        <v>42958</v>
      </c>
      <c r="C592" s="6">
        <f>IFERROR(VLOOKUP($B592,Platts!$E$5:$M$4994,MATCH(C$3,Platts!$F$5:$M$5,0)+1,FALSE),C591)</f>
        <v>45.74</v>
      </c>
      <c r="D592" s="6">
        <f>IFERROR(VLOOKUP($B592,Platts!$E$5:$M$4994,MATCH(D$3,Platts!$F$5:$M$5,0)+1,FALSE),D591)</f>
        <v>53.5</v>
      </c>
      <c r="E592" s="6">
        <f>IFERROR(VLOOKUP($B592,Platts!$E$5:$M$4994,MATCH(E$3,Platts!$F$5:$M$5,0)+1,FALSE),E591)</f>
        <v>46.81</v>
      </c>
      <c r="F592" s="6">
        <f>IFERROR(VLOOKUP($B592,Platts!$E$5:$M$4994,MATCH(F$3,Platts!$F$5:$M$5,0)+1,FALSE),F591)</f>
        <v>54.23</v>
      </c>
      <c r="G592" s="6">
        <f>IFERROR(VLOOKUP($B592,Platts!$E$5:$M$4994,MATCH(G$3,Platts!$F$5:$M$5,0)+1,FALSE),G591)</f>
        <v>51.98</v>
      </c>
      <c r="H592" s="6">
        <f>IFERROR(VLOOKUP($B592,Platts!$E$5:$M$4994,MATCH(H$3,Platts!$F$5:$M$5,0)+1,FALSE),H591)</f>
        <v>48.82</v>
      </c>
      <c r="I592" s="6">
        <f>IFERROR(VLOOKUP($B592,Platts!$E$5:$M$4994,MATCH(I$3,Platts!$F$5:$M$5,0)+1,FALSE),I591)</f>
        <v>51.57</v>
      </c>
      <c r="J592" s="6">
        <f t="shared" si="18"/>
        <v>3.0799999999999983</v>
      </c>
    </row>
    <row r="593" spans="2:10" x14ac:dyDescent="0.25">
      <c r="B593" s="5">
        <f t="shared" si="19"/>
        <v>42959</v>
      </c>
      <c r="C593" s="6">
        <f>IFERROR(VLOOKUP($B593,Platts!$E$5:$M$4994,MATCH(C$3,Platts!$F$5:$M$5,0)+1,FALSE),C592)</f>
        <v>45.74</v>
      </c>
      <c r="D593" s="6">
        <f>IFERROR(VLOOKUP($B593,Platts!$E$5:$M$4994,MATCH(D$3,Platts!$F$5:$M$5,0)+1,FALSE),D592)</f>
        <v>53.5</v>
      </c>
      <c r="E593" s="6">
        <f>IFERROR(VLOOKUP($B593,Platts!$E$5:$M$4994,MATCH(E$3,Platts!$F$5:$M$5,0)+1,FALSE),E592)</f>
        <v>46.81</v>
      </c>
      <c r="F593" s="6">
        <f>IFERROR(VLOOKUP($B593,Platts!$E$5:$M$4994,MATCH(F$3,Platts!$F$5:$M$5,0)+1,FALSE),F592)</f>
        <v>54.23</v>
      </c>
      <c r="G593" s="6">
        <f>IFERROR(VLOOKUP($B593,Platts!$E$5:$M$4994,MATCH(G$3,Platts!$F$5:$M$5,0)+1,FALSE),G592)</f>
        <v>51.98</v>
      </c>
      <c r="H593" s="6">
        <f>IFERROR(VLOOKUP($B593,Platts!$E$5:$M$4994,MATCH(H$3,Platts!$F$5:$M$5,0)+1,FALSE),H592)</f>
        <v>48.82</v>
      </c>
      <c r="I593" s="6">
        <f>IFERROR(VLOOKUP($B593,Platts!$E$5:$M$4994,MATCH(I$3,Platts!$F$5:$M$5,0)+1,FALSE),I592)</f>
        <v>51.57</v>
      </c>
      <c r="J593" s="6">
        <f t="shared" si="18"/>
        <v>3.0799999999999983</v>
      </c>
    </row>
    <row r="594" spans="2:10" x14ac:dyDescent="0.25">
      <c r="B594" s="5">
        <f t="shared" si="19"/>
        <v>42960</v>
      </c>
      <c r="C594" s="6">
        <f>IFERROR(VLOOKUP($B594,Platts!$E$5:$M$4994,MATCH(C$3,Platts!$F$5:$M$5,0)+1,FALSE),C593)</f>
        <v>45.74</v>
      </c>
      <c r="D594" s="6">
        <f>IFERROR(VLOOKUP($B594,Platts!$E$5:$M$4994,MATCH(D$3,Platts!$F$5:$M$5,0)+1,FALSE),D593)</f>
        <v>53.5</v>
      </c>
      <c r="E594" s="6">
        <f>IFERROR(VLOOKUP($B594,Platts!$E$5:$M$4994,MATCH(E$3,Platts!$F$5:$M$5,0)+1,FALSE),E593)</f>
        <v>46.81</v>
      </c>
      <c r="F594" s="6">
        <f>IFERROR(VLOOKUP($B594,Platts!$E$5:$M$4994,MATCH(F$3,Platts!$F$5:$M$5,0)+1,FALSE),F593)</f>
        <v>54.23</v>
      </c>
      <c r="G594" s="6">
        <f>IFERROR(VLOOKUP($B594,Platts!$E$5:$M$4994,MATCH(G$3,Platts!$F$5:$M$5,0)+1,FALSE),G593)</f>
        <v>51.98</v>
      </c>
      <c r="H594" s="6">
        <f>IFERROR(VLOOKUP($B594,Platts!$E$5:$M$4994,MATCH(H$3,Platts!$F$5:$M$5,0)+1,FALSE),H593)</f>
        <v>48.82</v>
      </c>
      <c r="I594" s="6">
        <f>IFERROR(VLOOKUP($B594,Platts!$E$5:$M$4994,MATCH(I$3,Platts!$F$5:$M$5,0)+1,FALSE),I593)</f>
        <v>51.57</v>
      </c>
      <c r="J594" s="6">
        <f t="shared" si="18"/>
        <v>3.0799999999999983</v>
      </c>
    </row>
    <row r="595" spans="2:10" x14ac:dyDescent="0.25">
      <c r="B595" s="5">
        <f t="shared" si="19"/>
        <v>42961</v>
      </c>
      <c r="C595" s="6">
        <f>IFERROR(VLOOKUP($B595,Platts!$E$5:$M$4994,MATCH(C$3,Platts!$F$5:$M$5,0)+1,FALSE),C594)</f>
        <v>45.27</v>
      </c>
      <c r="D595" s="6">
        <f>IFERROR(VLOOKUP($B595,Platts!$E$5:$M$4994,MATCH(D$3,Platts!$F$5:$M$5,0)+1,FALSE),D594)</f>
        <v>52.23</v>
      </c>
      <c r="E595" s="6">
        <f>IFERROR(VLOOKUP($B595,Platts!$E$5:$M$4994,MATCH(E$3,Platts!$F$5:$M$5,0)+1,FALSE),E594)</f>
        <v>45.54</v>
      </c>
      <c r="F595" s="6">
        <f>IFERROR(VLOOKUP($B595,Platts!$E$5:$M$4994,MATCH(F$3,Platts!$F$5:$M$5,0)+1,FALSE),F594)</f>
        <v>52.96</v>
      </c>
      <c r="G595" s="6">
        <f>IFERROR(VLOOKUP($B595,Platts!$E$5:$M$4994,MATCH(G$3,Platts!$F$5:$M$5,0)+1,FALSE),G594)</f>
        <v>51.94</v>
      </c>
      <c r="H595" s="6">
        <f>IFERROR(VLOOKUP($B595,Platts!$E$5:$M$4994,MATCH(H$3,Platts!$F$5:$M$5,0)+1,FALSE),H594)</f>
        <v>47.59</v>
      </c>
      <c r="I595" s="6">
        <f>IFERROR(VLOOKUP($B595,Platts!$E$5:$M$4994,MATCH(I$3,Platts!$F$5:$M$5,0)+1,FALSE),I594)</f>
        <v>50.34</v>
      </c>
      <c r="J595" s="6">
        <f t="shared" si="18"/>
        <v>2.3200000000000003</v>
      </c>
    </row>
    <row r="596" spans="2:10" x14ac:dyDescent="0.25">
      <c r="B596" s="5">
        <f t="shared" si="19"/>
        <v>42962</v>
      </c>
      <c r="C596" s="6">
        <f>IFERROR(VLOOKUP($B596,Platts!$E$5:$M$4994,MATCH(C$3,Platts!$F$5:$M$5,0)+1,FALSE),C595)</f>
        <v>44.54</v>
      </c>
      <c r="D596" s="6">
        <f>IFERROR(VLOOKUP($B596,Platts!$E$5:$M$4994,MATCH(D$3,Platts!$F$5:$M$5,0)+1,FALSE),D595)</f>
        <v>52.22</v>
      </c>
      <c r="E596" s="6">
        <f>IFERROR(VLOOKUP($B596,Platts!$E$5:$M$4994,MATCH(E$3,Platts!$F$5:$M$5,0)+1,FALSE),E595)</f>
        <v>45.54</v>
      </c>
      <c r="F596" s="6">
        <f>IFERROR(VLOOKUP($B596,Platts!$E$5:$M$4994,MATCH(F$3,Platts!$F$5:$M$5,0)+1,FALSE),F595)</f>
        <v>52.94</v>
      </c>
      <c r="G596" s="6">
        <f>IFERROR(VLOOKUP($B596,Platts!$E$5:$M$4994,MATCH(G$3,Platts!$F$5:$M$5,0)+1,FALSE),G595)</f>
        <v>50.56</v>
      </c>
      <c r="H596" s="6">
        <f>IFERROR(VLOOKUP($B596,Platts!$E$5:$M$4994,MATCH(H$3,Platts!$F$5:$M$5,0)+1,FALSE),H595)</f>
        <v>47.55</v>
      </c>
      <c r="I596" s="6">
        <f>IFERROR(VLOOKUP($B596,Platts!$E$5:$M$4994,MATCH(I$3,Platts!$F$5:$M$5,0)+1,FALSE),I595)</f>
        <v>50.2</v>
      </c>
      <c r="J596" s="6">
        <f t="shared" si="18"/>
        <v>3.009999999999998</v>
      </c>
    </row>
    <row r="597" spans="2:10" x14ac:dyDescent="0.25">
      <c r="B597" s="5">
        <f t="shared" si="19"/>
        <v>42963</v>
      </c>
      <c r="C597" s="6">
        <f>IFERROR(VLOOKUP($B597,Platts!$E$5:$M$4994,MATCH(C$3,Platts!$F$5:$M$5,0)+1,FALSE),C596)</f>
        <v>44.41</v>
      </c>
      <c r="D597" s="6">
        <f>IFERROR(VLOOKUP($B597,Platts!$E$5:$M$4994,MATCH(D$3,Platts!$F$5:$M$5,0)+1,FALSE),D596)</f>
        <v>51.65</v>
      </c>
      <c r="E597" s="6">
        <f>IFERROR(VLOOKUP($B597,Platts!$E$5:$M$4994,MATCH(E$3,Platts!$F$5:$M$5,0)+1,FALSE),E596)</f>
        <v>44.78</v>
      </c>
      <c r="F597" s="6">
        <f>IFERROR(VLOOKUP($B597,Platts!$E$5:$M$4994,MATCH(F$3,Platts!$F$5:$M$5,0)+1,FALSE),F596)</f>
        <v>52.4</v>
      </c>
      <c r="G597" s="6">
        <f>IFERROR(VLOOKUP($B597,Platts!$E$5:$M$4994,MATCH(G$3,Platts!$F$5:$M$5,0)+1,FALSE),G596)</f>
        <v>50.94</v>
      </c>
      <c r="H597" s="6">
        <f>IFERROR(VLOOKUP($B597,Platts!$E$5:$M$4994,MATCH(H$3,Platts!$F$5:$M$5,0)+1,FALSE),H596)</f>
        <v>46.78</v>
      </c>
      <c r="I597" s="6">
        <f>IFERROR(VLOOKUP($B597,Platts!$E$5:$M$4994,MATCH(I$3,Platts!$F$5:$M$5,0)+1,FALSE),I596)</f>
        <v>49.68</v>
      </c>
      <c r="J597" s="6">
        <f t="shared" si="18"/>
        <v>2.3700000000000045</v>
      </c>
    </row>
    <row r="598" spans="2:10" x14ac:dyDescent="0.25">
      <c r="B598" s="5">
        <f t="shared" si="19"/>
        <v>42964</v>
      </c>
      <c r="C598" s="6">
        <f>IFERROR(VLOOKUP($B598,Platts!$E$5:$M$4994,MATCH(C$3,Platts!$F$5:$M$5,0)+1,FALSE),C597)</f>
        <v>44.25</v>
      </c>
      <c r="D598" s="6">
        <f>IFERROR(VLOOKUP($B598,Platts!$E$5:$M$4994,MATCH(D$3,Platts!$F$5:$M$5,0)+1,FALSE),D597)</f>
        <v>52.26</v>
      </c>
      <c r="E598" s="6">
        <f>IFERROR(VLOOKUP($B598,Platts!$E$5:$M$4994,MATCH(E$3,Platts!$F$5:$M$5,0)+1,FALSE),E597)</f>
        <v>45.4</v>
      </c>
      <c r="F598" s="6">
        <f>IFERROR(VLOOKUP($B598,Platts!$E$5:$M$4994,MATCH(F$3,Platts!$F$5:$M$5,0)+1,FALSE),F597)</f>
        <v>52.99</v>
      </c>
      <c r="G598" s="6">
        <f>IFERROR(VLOOKUP($B598,Platts!$E$5:$M$4994,MATCH(G$3,Platts!$F$5:$M$5,0)+1,FALSE),G597)</f>
        <v>50.77</v>
      </c>
      <c r="H598" s="6">
        <f>IFERROR(VLOOKUP($B598,Platts!$E$5:$M$4994,MATCH(H$3,Platts!$F$5:$M$5,0)+1,FALSE),H597)</f>
        <v>47.09</v>
      </c>
      <c r="I598" s="6">
        <f>IFERROR(VLOOKUP($B598,Platts!$E$5:$M$4994,MATCH(I$3,Platts!$F$5:$M$5,0)+1,FALSE),I597)</f>
        <v>50.24</v>
      </c>
      <c r="J598" s="6">
        <f t="shared" si="18"/>
        <v>2.8400000000000034</v>
      </c>
    </row>
    <row r="599" spans="2:10" x14ac:dyDescent="0.25">
      <c r="B599" s="5">
        <f t="shared" si="19"/>
        <v>42965</v>
      </c>
      <c r="C599" s="6">
        <f>IFERROR(VLOOKUP($B599,Platts!$E$5:$M$4994,MATCH(C$3,Platts!$F$5:$M$5,0)+1,FALSE),C598)</f>
        <v>45.3</v>
      </c>
      <c r="D599" s="6">
        <f>IFERROR(VLOOKUP($B599,Platts!$E$5:$M$4994,MATCH(D$3,Platts!$F$5:$M$5,0)+1,FALSE),D598)</f>
        <v>53.87</v>
      </c>
      <c r="E599" s="6">
        <f>IFERROR(VLOOKUP($B599,Platts!$E$5:$M$4994,MATCH(E$3,Platts!$F$5:$M$5,0)+1,FALSE),E598)</f>
        <v>46.92</v>
      </c>
      <c r="F599" s="6">
        <f>IFERROR(VLOOKUP($B599,Platts!$E$5:$M$4994,MATCH(F$3,Platts!$F$5:$M$5,0)+1,FALSE),F598)</f>
        <v>54.68</v>
      </c>
      <c r="G599" s="6">
        <f>IFERROR(VLOOKUP($B599,Platts!$E$5:$M$4994,MATCH(G$3,Platts!$F$5:$M$5,0)+1,FALSE),G598)</f>
        <v>51.39</v>
      </c>
      <c r="H599" s="6">
        <f>IFERROR(VLOOKUP($B599,Platts!$E$5:$M$4994,MATCH(H$3,Platts!$F$5:$M$5,0)+1,FALSE),H598)</f>
        <v>48.51</v>
      </c>
      <c r="I599" s="6">
        <f>IFERROR(VLOOKUP($B599,Platts!$E$5:$M$4994,MATCH(I$3,Platts!$F$5:$M$5,0)+1,FALSE),I598)</f>
        <v>51.86</v>
      </c>
      <c r="J599" s="6">
        <f t="shared" si="18"/>
        <v>3.2100000000000009</v>
      </c>
    </row>
    <row r="600" spans="2:10" x14ac:dyDescent="0.25">
      <c r="B600" s="5">
        <f t="shared" si="19"/>
        <v>42966</v>
      </c>
      <c r="C600" s="6">
        <f>IFERROR(VLOOKUP($B600,Platts!$E$5:$M$4994,MATCH(C$3,Platts!$F$5:$M$5,0)+1,FALSE),C599)</f>
        <v>45.3</v>
      </c>
      <c r="D600" s="6">
        <f>IFERROR(VLOOKUP($B600,Platts!$E$5:$M$4994,MATCH(D$3,Platts!$F$5:$M$5,0)+1,FALSE),D599)</f>
        <v>53.87</v>
      </c>
      <c r="E600" s="6">
        <f>IFERROR(VLOOKUP($B600,Platts!$E$5:$M$4994,MATCH(E$3,Platts!$F$5:$M$5,0)+1,FALSE),E599)</f>
        <v>46.92</v>
      </c>
      <c r="F600" s="6">
        <f>IFERROR(VLOOKUP($B600,Platts!$E$5:$M$4994,MATCH(F$3,Platts!$F$5:$M$5,0)+1,FALSE),F599)</f>
        <v>54.68</v>
      </c>
      <c r="G600" s="6">
        <f>IFERROR(VLOOKUP($B600,Platts!$E$5:$M$4994,MATCH(G$3,Platts!$F$5:$M$5,0)+1,FALSE),G599)</f>
        <v>51.39</v>
      </c>
      <c r="H600" s="6">
        <f>IFERROR(VLOOKUP($B600,Platts!$E$5:$M$4994,MATCH(H$3,Platts!$F$5:$M$5,0)+1,FALSE),H599)</f>
        <v>48.51</v>
      </c>
      <c r="I600" s="6">
        <f>IFERROR(VLOOKUP($B600,Platts!$E$5:$M$4994,MATCH(I$3,Platts!$F$5:$M$5,0)+1,FALSE),I599)</f>
        <v>51.86</v>
      </c>
      <c r="J600" s="6">
        <f t="shared" si="18"/>
        <v>3.2100000000000009</v>
      </c>
    </row>
    <row r="601" spans="2:10" x14ac:dyDescent="0.25">
      <c r="B601" s="5">
        <f t="shared" si="19"/>
        <v>42967</v>
      </c>
      <c r="C601" s="6">
        <f>IFERROR(VLOOKUP($B601,Platts!$E$5:$M$4994,MATCH(C$3,Platts!$F$5:$M$5,0)+1,FALSE),C600)</f>
        <v>45.3</v>
      </c>
      <c r="D601" s="6">
        <f>IFERROR(VLOOKUP($B601,Platts!$E$5:$M$4994,MATCH(D$3,Platts!$F$5:$M$5,0)+1,FALSE),D600)</f>
        <v>53.87</v>
      </c>
      <c r="E601" s="6">
        <f>IFERROR(VLOOKUP($B601,Platts!$E$5:$M$4994,MATCH(E$3,Platts!$F$5:$M$5,0)+1,FALSE),E600)</f>
        <v>46.92</v>
      </c>
      <c r="F601" s="6">
        <f>IFERROR(VLOOKUP($B601,Platts!$E$5:$M$4994,MATCH(F$3,Platts!$F$5:$M$5,0)+1,FALSE),F600)</f>
        <v>54.68</v>
      </c>
      <c r="G601" s="6">
        <f>IFERROR(VLOOKUP($B601,Platts!$E$5:$M$4994,MATCH(G$3,Platts!$F$5:$M$5,0)+1,FALSE),G600)</f>
        <v>51.39</v>
      </c>
      <c r="H601" s="6">
        <f>IFERROR(VLOOKUP($B601,Platts!$E$5:$M$4994,MATCH(H$3,Platts!$F$5:$M$5,0)+1,FALSE),H600)</f>
        <v>48.51</v>
      </c>
      <c r="I601" s="6">
        <f>IFERROR(VLOOKUP($B601,Platts!$E$5:$M$4994,MATCH(I$3,Platts!$F$5:$M$5,0)+1,FALSE),I600)</f>
        <v>51.86</v>
      </c>
      <c r="J601" s="6">
        <f t="shared" si="18"/>
        <v>3.2100000000000009</v>
      </c>
    </row>
    <row r="602" spans="2:10" x14ac:dyDescent="0.25">
      <c r="B602" s="5">
        <f t="shared" si="19"/>
        <v>42968</v>
      </c>
      <c r="C602" s="6">
        <f>IFERROR(VLOOKUP($B602,Platts!$E$5:$M$4994,MATCH(C$3,Platts!$F$5:$M$5,0)+1,FALSE),C601)</f>
        <v>45.4</v>
      </c>
      <c r="D602" s="6">
        <f>IFERROR(VLOOKUP($B602,Platts!$E$5:$M$4994,MATCH(D$3,Platts!$F$5:$M$5,0)+1,FALSE),D601)</f>
        <v>52.58</v>
      </c>
      <c r="E602" s="6">
        <f>IFERROR(VLOOKUP($B602,Platts!$E$5:$M$4994,MATCH(E$3,Platts!$F$5:$M$5,0)+1,FALSE),E601)</f>
        <v>45.74</v>
      </c>
      <c r="F602" s="6">
        <f>IFERROR(VLOOKUP($B602,Platts!$E$5:$M$4994,MATCH(F$3,Platts!$F$5:$M$5,0)+1,FALSE),F601)</f>
        <v>53.38</v>
      </c>
      <c r="G602" s="6">
        <f>IFERROR(VLOOKUP($B602,Platts!$E$5:$M$4994,MATCH(G$3,Platts!$F$5:$M$5,0)+1,FALSE),G601)</f>
        <v>51.85</v>
      </c>
      <c r="H602" s="6">
        <f>IFERROR(VLOOKUP($B602,Platts!$E$5:$M$4994,MATCH(H$3,Platts!$F$5:$M$5,0)+1,FALSE),H601)</f>
        <v>47.37</v>
      </c>
      <c r="I602" s="6">
        <f>IFERROR(VLOOKUP($B602,Platts!$E$5:$M$4994,MATCH(I$3,Platts!$F$5:$M$5,0)+1,FALSE),I601)</f>
        <v>50.57</v>
      </c>
      <c r="J602" s="6">
        <f t="shared" si="18"/>
        <v>1.9699999999999989</v>
      </c>
    </row>
    <row r="603" spans="2:10" x14ac:dyDescent="0.25">
      <c r="B603" s="5">
        <f t="shared" si="19"/>
        <v>42969</v>
      </c>
      <c r="C603" s="6">
        <f>IFERROR(VLOOKUP($B603,Platts!$E$5:$M$4994,MATCH(C$3,Platts!$F$5:$M$5,0)+1,FALSE),C602)</f>
        <v>45.36</v>
      </c>
      <c r="D603" s="6">
        <f>IFERROR(VLOOKUP($B603,Platts!$E$5:$M$4994,MATCH(D$3,Platts!$F$5:$M$5,0)+1,FALSE),D602)</f>
        <v>52.76</v>
      </c>
      <c r="E603" s="6">
        <f>IFERROR(VLOOKUP($B603,Platts!$E$5:$M$4994,MATCH(E$3,Platts!$F$5:$M$5,0)+1,FALSE),E602)</f>
        <v>46.03</v>
      </c>
      <c r="F603" s="6">
        <f>IFERROR(VLOOKUP($B603,Platts!$E$5:$M$4994,MATCH(F$3,Platts!$F$5:$M$5,0)+1,FALSE),F602)</f>
        <v>53.57</v>
      </c>
      <c r="G603" s="6">
        <f>IFERROR(VLOOKUP($B603,Platts!$E$5:$M$4994,MATCH(G$3,Platts!$F$5:$M$5,0)+1,FALSE),G602)</f>
        <v>52.19</v>
      </c>
      <c r="H603" s="6">
        <f>IFERROR(VLOOKUP($B603,Platts!$E$5:$M$4994,MATCH(H$3,Platts!$F$5:$M$5,0)+1,FALSE),H602)</f>
        <v>47.64</v>
      </c>
      <c r="I603" s="6">
        <f>IFERROR(VLOOKUP($B603,Platts!$E$5:$M$4994,MATCH(I$3,Platts!$F$5:$M$5,0)+1,FALSE),I602)</f>
        <v>50.79</v>
      </c>
      <c r="J603" s="6">
        <f t="shared" si="18"/>
        <v>2.2800000000000011</v>
      </c>
    </row>
    <row r="604" spans="2:10" x14ac:dyDescent="0.25">
      <c r="B604" s="5">
        <f t="shared" si="19"/>
        <v>42970</v>
      </c>
      <c r="C604" s="6">
        <f>IFERROR(VLOOKUP($B604,Platts!$E$5:$M$4994,MATCH(C$3,Platts!$F$5:$M$5,0)+1,FALSE),C603)</f>
        <v>45.64</v>
      </c>
      <c r="D604" s="6">
        <f>IFERROR(VLOOKUP($B604,Platts!$E$5:$M$4994,MATCH(D$3,Platts!$F$5:$M$5,0)+1,FALSE),D603)</f>
        <v>53.31</v>
      </c>
      <c r="E604" s="6">
        <f>IFERROR(VLOOKUP($B604,Platts!$E$5:$M$4994,MATCH(E$3,Platts!$F$5:$M$5,0)+1,FALSE),E603)</f>
        <v>46.39</v>
      </c>
      <c r="F604" s="6">
        <f>IFERROR(VLOOKUP($B604,Platts!$E$5:$M$4994,MATCH(F$3,Platts!$F$5:$M$5,0)+1,FALSE),F603)</f>
        <v>54.11</v>
      </c>
      <c r="G604" s="6">
        <f>IFERROR(VLOOKUP($B604,Platts!$E$5:$M$4994,MATCH(G$3,Platts!$F$5:$M$5,0)+1,FALSE),G603)</f>
        <v>52.48</v>
      </c>
      <c r="H604" s="6">
        <f>IFERROR(VLOOKUP($B604,Platts!$E$5:$M$4994,MATCH(H$3,Platts!$F$5:$M$5,0)+1,FALSE),H603)</f>
        <v>48.19</v>
      </c>
      <c r="I604" s="6">
        <f>IFERROR(VLOOKUP($B604,Platts!$E$5:$M$4994,MATCH(I$3,Platts!$F$5:$M$5,0)+1,FALSE),I603)</f>
        <v>51.44</v>
      </c>
      <c r="J604" s="6">
        <f t="shared" si="18"/>
        <v>2.5499999999999972</v>
      </c>
    </row>
    <row r="605" spans="2:10" x14ac:dyDescent="0.25">
      <c r="B605" s="5">
        <f t="shared" si="19"/>
        <v>42971</v>
      </c>
      <c r="C605" s="6">
        <f>IFERROR(VLOOKUP($B605,Platts!$E$5:$M$4994,MATCH(C$3,Platts!$F$5:$M$5,0)+1,FALSE),C604)</f>
        <v>45.5</v>
      </c>
      <c r="D605" s="6">
        <f>IFERROR(VLOOKUP($B605,Platts!$E$5:$M$4994,MATCH(D$3,Platts!$F$5:$M$5,0)+1,FALSE),D604)</f>
        <v>52.46</v>
      </c>
      <c r="E605" s="6">
        <f>IFERROR(VLOOKUP($B605,Platts!$E$5:$M$4994,MATCH(E$3,Platts!$F$5:$M$5,0)+1,FALSE),E604)</f>
        <v>45.89</v>
      </c>
      <c r="F605" s="6">
        <f>IFERROR(VLOOKUP($B605,Platts!$E$5:$M$4994,MATCH(F$3,Platts!$F$5:$M$5,0)+1,FALSE),F604)</f>
        <v>53.34</v>
      </c>
      <c r="G605" s="6">
        <f>IFERROR(VLOOKUP($B605,Platts!$E$5:$M$4994,MATCH(G$3,Platts!$F$5:$M$5,0)+1,FALSE),G604)</f>
        <v>52.35</v>
      </c>
      <c r="H605" s="6">
        <f>IFERROR(VLOOKUP($B605,Platts!$E$5:$M$4994,MATCH(H$3,Platts!$F$5:$M$5,0)+1,FALSE),H604)</f>
        <v>47.28</v>
      </c>
      <c r="I605" s="6">
        <f>IFERROR(VLOOKUP($B605,Platts!$E$5:$M$4994,MATCH(I$3,Platts!$F$5:$M$5,0)+1,FALSE),I604)</f>
        <v>50.68</v>
      </c>
      <c r="J605" s="6">
        <f t="shared" si="18"/>
        <v>1.7800000000000011</v>
      </c>
    </row>
    <row r="606" spans="2:10" x14ac:dyDescent="0.25">
      <c r="B606" s="5">
        <f t="shared" si="19"/>
        <v>42972</v>
      </c>
      <c r="C606" s="6">
        <f>IFERROR(VLOOKUP($B606,Platts!$E$5:$M$4994,MATCH(C$3,Platts!$F$5:$M$5,0)+1,FALSE),C605)</f>
        <v>45.75</v>
      </c>
      <c r="D606" s="6">
        <f>IFERROR(VLOOKUP($B606,Platts!$E$5:$M$4994,MATCH(D$3,Platts!$F$5:$M$5,0)+1,FALSE),D605)</f>
        <v>52.8</v>
      </c>
      <c r="E606" s="6">
        <f>IFERROR(VLOOKUP($B606,Platts!$E$5:$M$4994,MATCH(E$3,Platts!$F$5:$M$5,0)+1,FALSE),E605)</f>
        <v>46.09</v>
      </c>
      <c r="F606" s="6">
        <f>IFERROR(VLOOKUP($B606,Platts!$E$5:$M$4994,MATCH(F$3,Platts!$F$5:$M$5,0)+1,FALSE),F605)</f>
        <v>53.66</v>
      </c>
      <c r="G606" s="6">
        <f>IFERROR(VLOOKUP($B606,Platts!$E$5:$M$4994,MATCH(G$3,Platts!$F$5:$M$5,0)+1,FALSE),G605)</f>
        <v>52.37</v>
      </c>
      <c r="H606" s="6">
        <f>IFERROR(VLOOKUP($B606,Platts!$E$5:$M$4994,MATCH(H$3,Platts!$F$5:$M$5,0)+1,FALSE),H605)</f>
        <v>47.63</v>
      </c>
      <c r="I606" s="6">
        <f>IFERROR(VLOOKUP($B606,Platts!$E$5:$M$4994,MATCH(I$3,Platts!$F$5:$M$5,0)+1,FALSE),I605)</f>
        <v>51.23</v>
      </c>
      <c r="J606" s="6">
        <f t="shared" si="18"/>
        <v>1.8800000000000026</v>
      </c>
    </row>
    <row r="607" spans="2:10" x14ac:dyDescent="0.25">
      <c r="B607" s="5">
        <f t="shared" si="19"/>
        <v>42973</v>
      </c>
      <c r="C607" s="6">
        <f>IFERROR(VLOOKUP($B607,Platts!$E$5:$M$4994,MATCH(C$3,Platts!$F$5:$M$5,0)+1,FALSE),C606)</f>
        <v>45.75</v>
      </c>
      <c r="D607" s="6">
        <f>IFERROR(VLOOKUP($B607,Platts!$E$5:$M$4994,MATCH(D$3,Platts!$F$5:$M$5,0)+1,FALSE),D606)</f>
        <v>52.8</v>
      </c>
      <c r="E607" s="6">
        <f>IFERROR(VLOOKUP($B607,Platts!$E$5:$M$4994,MATCH(E$3,Platts!$F$5:$M$5,0)+1,FALSE),E606)</f>
        <v>46.09</v>
      </c>
      <c r="F607" s="6">
        <f>IFERROR(VLOOKUP($B607,Platts!$E$5:$M$4994,MATCH(F$3,Platts!$F$5:$M$5,0)+1,FALSE),F606)</f>
        <v>53.66</v>
      </c>
      <c r="G607" s="6">
        <f>IFERROR(VLOOKUP($B607,Platts!$E$5:$M$4994,MATCH(G$3,Platts!$F$5:$M$5,0)+1,FALSE),G606)</f>
        <v>52.37</v>
      </c>
      <c r="H607" s="6">
        <f>IFERROR(VLOOKUP($B607,Platts!$E$5:$M$4994,MATCH(H$3,Platts!$F$5:$M$5,0)+1,FALSE),H606)</f>
        <v>47.63</v>
      </c>
      <c r="I607" s="6">
        <f>IFERROR(VLOOKUP($B607,Platts!$E$5:$M$4994,MATCH(I$3,Platts!$F$5:$M$5,0)+1,FALSE),I606)</f>
        <v>51.23</v>
      </c>
      <c r="J607" s="6">
        <f t="shared" si="18"/>
        <v>1.8800000000000026</v>
      </c>
    </row>
    <row r="608" spans="2:10" x14ac:dyDescent="0.25">
      <c r="B608" s="5">
        <f t="shared" si="19"/>
        <v>42974</v>
      </c>
      <c r="C608" s="6">
        <f>IFERROR(VLOOKUP($B608,Platts!$E$5:$M$4994,MATCH(C$3,Platts!$F$5:$M$5,0)+1,FALSE),C607)</f>
        <v>45.75</v>
      </c>
      <c r="D608" s="6">
        <f>IFERROR(VLOOKUP($B608,Platts!$E$5:$M$4994,MATCH(D$3,Platts!$F$5:$M$5,0)+1,FALSE),D607)</f>
        <v>52.8</v>
      </c>
      <c r="E608" s="6">
        <f>IFERROR(VLOOKUP($B608,Platts!$E$5:$M$4994,MATCH(E$3,Platts!$F$5:$M$5,0)+1,FALSE),E607)</f>
        <v>46.09</v>
      </c>
      <c r="F608" s="6">
        <f>IFERROR(VLOOKUP($B608,Platts!$E$5:$M$4994,MATCH(F$3,Platts!$F$5:$M$5,0)+1,FALSE),F607)</f>
        <v>53.66</v>
      </c>
      <c r="G608" s="6">
        <f>IFERROR(VLOOKUP($B608,Platts!$E$5:$M$4994,MATCH(G$3,Platts!$F$5:$M$5,0)+1,FALSE),G607)</f>
        <v>52.37</v>
      </c>
      <c r="H608" s="6">
        <f>IFERROR(VLOOKUP($B608,Platts!$E$5:$M$4994,MATCH(H$3,Platts!$F$5:$M$5,0)+1,FALSE),H607)</f>
        <v>47.63</v>
      </c>
      <c r="I608" s="6">
        <f>IFERROR(VLOOKUP($B608,Platts!$E$5:$M$4994,MATCH(I$3,Platts!$F$5:$M$5,0)+1,FALSE),I607)</f>
        <v>51.23</v>
      </c>
      <c r="J608" s="6">
        <f t="shared" si="18"/>
        <v>1.8800000000000026</v>
      </c>
    </row>
    <row r="609" spans="2:10" x14ac:dyDescent="0.25">
      <c r="B609" s="5">
        <f t="shared" si="19"/>
        <v>42975</v>
      </c>
      <c r="C609" s="6">
        <f>IFERROR(VLOOKUP($B609,Platts!$E$5:$M$4994,MATCH(C$3,Platts!$F$5:$M$5,0)+1,FALSE),C608)</f>
        <v>45.75</v>
      </c>
      <c r="D609" s="6">
        <f>IFERROR(VLOOKUP($B609,Platts!$E$5:$M$4994,MATCH(D$3,Platts!$F$5:$M$5,0)+1,FALSE),D608)</f>
        <v>51.46</v>
      </c>
      <c r="E609" s="6">
        <f>IFERROR(VLOOKUP($B609,Platts!$E$5:$M$4994,MATCH(E$3,Platts!$F$5:$M$5,0)+1,FALSE),E608)</f>
        <v>45.11</v>
      </c>
      <c r="F609" s="6">
        <f>IFERROR(VLOOKUP($B609,Platts!$E$5:$M$4994,MATCH(F$3,Platts!$F$5:$M$5,0)+1,FALSE),F608)</f>
        <v>52.46</v>
      </c>
      <c r="G609" s="6">
        <f>IFERROR(VLOOKUP($B609,Platts!$E$5:$M$4994,MATCH(G$3,Platts!$F$5:$M$5,0)+1,FALSE),G608)</f>
        <v>52.37</v>
      </c>
      <c r="H609" s="6">
        <f>IFERROR(VLOOKUP($B609,Platts!$E$5:$M$4994,MATCH(H$3,Platts!$F$5:$M$5,0)+1,FALSE),H608)</f>
        <v>46.57</v>
      </c>
      <c r="I609" s="6">
        <f>IFERROR(VLOOKUP($B609,Platts!$E$5:$M$4994,MATCH(I$3,Platts!$F$5:$M$5,0)+1,FALSE),I608)</f>
        <v>49.87</v>
      </c>
      <c r="J609" s="6">
        <f t="shared" si="18"/>
        <v>0.82000000000000028</v>
      </c>
    </row>
    <row r="610" spans="2:10" x14ac:dyDescent="0.25">
      <c r="B610" s="5">
        <f t="shared" si="19"/>
        <v>42976</v>
      </c>
      <c r="C610" s="6">
        <f>IFERROR(VLOOKUP($B610,Platts!$E$5:$M$4994,MATCH(C$3,Platts!$F$5:$M$5,0)+1,FALSE),C609)</f>
        <v>45.05</v>
      </c>
      <c r="D610" s="6">
        <f>IFERROR(VLOOKUP($B610,Platts!$E$5:$M$4994,MATCH(D$3,Platts!$F$5:$M$5,0)+1,FALSE),D609)</f>
        <v>51.63</v>
      </c>
      <c r="E610" s="6">
        <f>IFERROR(VLOOKUP($B610,Platts!$E$5:$M$4994,MATCH(E$3,Platts!$F$5:$M$5,0)+1,FALSE),E609)</f>
        <v>45.12</v>
      </c>
      <c r="F610" s="6">
        <f>IFERROR(VLOOKUP($B610,Platts!$E$5:$M$4994,MATCH(F$3,Platts!$F$5:$M$5,0)+1,FALSE),F609)</f>
        <v>52.61</v>
      </c>
      <c r="G610" s="6">
        <f>IFERROR(VLOOKUP($B610,Platts!$E$5:$M$4994,MATCH(G$3,Platts!$F$5:$M$5,0)+1,FALSE),G609)</f>
        <v>51.87</v>
      </c>
      <c r="H610" s="6">
        <f>IFERROR(VLOOKUP($B610,Platts!$E$5:$M$4994,MATCH(H$3,Platts!$F$5:$M$5,0)+1,FALSE),H609)</f>
        <v>46.44</v>
      </c>
      <c r="I610" s="6">
        <f>IFERROR(VLOOKUP($B610,Platts!$E$5:$M$4994,MATCH(I$3,Platts!$F$5:$M$5,0)+1,FALSE),I609)</f>
        <v>50.44</v>
      </c>
      <c r="J610" s="6">
        <f t="shared" si="18"/>
        <v>1.3900000000000006</v>
      </c>
    </row>
    <row r="611" spans="2:10" x14ac:dyDescent="0.25">
      <c r="B611" s="5">
        <f t="shared" si="19"/>
        <v>42977</v>
      </c>
      <c r="C611" s="6">
        <f>IFERROR(VLOOKUP($B611,Platts!$E$5:$M$4994,MATCH(C$3,Platts!$F$5:$M$5,0)+1,FALSE),C610)</f>
        <v>44.86</v>
      </c>
      <c r="D611" s="6">
        <f>IFERROR(VLOOKUP($B611,Platts!$E$5:$M$4994,MATCH(D$3,Platts!$F$5:$M$5,0)+1,FALSE),D610)</f>
        <v>51.31</v>
      </c>
      <c r="E611" s="6">
        <f>IFERROR(VLOOKUP($B611,Platts!$E$5:$M$4994,MATCH(E$3,Platts!$F$5:$M$5,0)+1,FALSE),E610)</f>
        <v>45.04</v>
      </c>
      <c r="F611" s="6">
        <f>IFERROR(VLOOKUP($B611,Platts!$E$5:$M$4994,MATCH(F$3,Platts!$F$5:$M$5,0)+1,FALSE),F610)</f>
        <v>52.18</v>
      </c>
      <c r="G611" s="6">
        <f>IFERROR(VLOOKUP($B611,Platts!$E$5:$M$4994,MATCH(G$3,Platts!$F$5:$M$5,0)+1,FALSE),G610)</f>
        <v>51.85</v>
      </c>
      <c r="H611" s="6">
        <f>IFERROR(VLOOKUP($B611,Platts!$E$5:$M$4994,MATCH(H$3,Platts!$F$5:$M$5,0)+1,FALSE),H610)</f>
        <v>45.96</v>
      </c>
      <c r="I611" s="6">
        <f>IFERROR(VLOOKUP($B611,Platts!$E$5:$M$4994,MATCH(I$3,Platts!$F$5:$M$5,0)+1,FALSE),I610)</f>
        <v>50.01</v>
      </c>
      <c r="J611" s="6">
        <f t="shared" si="18"/>
        <v>1.1000000000000014</v>
      </c>
    </row>
    <row r="612" spans="2:10" x14ac:dyDescent="0.25">
      <c r="B612" s="5">
        <f t="shared" si="19"/>
        <v>42978</v>
      </c>
      <c r="C612" s="6">
        <f>IFERROR(VLOOKUP($B612,Platts!$E$5:$M$4994,MATCH(C$3,Platts!$F$5:$M$5,0)+1,FALSE),C611)</f>
        <v>45.62</v>
      </c>
      <c r="D612" s="6">
        <f>IFERROR(VLOOKUP($B612,Platts!$E$5:$M$4994,MATCH(D$3,Platts!$F$5:$M$5,0)+1,FALSE),D611)</f>
        <v>52.49</v>
      </c>
      <c r="E612" s="6">
        <f>IFERROR(VLOOKUP($B612,Platts!$E$5:$M$4994,MATCH(E$3,Platts!$F$5:$M$5,0)+1,FALSE),E611)</f>
        <v>46.24</v>
      </c>
      <c r="F612" s="6">
        <f>IFERROR(VLOOKUP($B612,Platts!$E$5:$M$4994,MATCH(F$3,Platts!$F$5:$M$5,0)+1,FALSE),F611)</f>
        <v>53.5</v>
      </c>
      <c r="G612" s="6">
        <f>IFERROR(VLOOKUP($B612,Platts!$E$5:$M$4994,MATCH(G$3,Platts!$F$5:$M$5,0)+1,FALSE),G611)</f>
        <v>52.52</v>
      </c>
      <c r="H612" s="6">
        <f>IFERROR(VLOOKUP($B612,Platts!$E$5:$M$4994,MATCH(H$3,Platts!$F$5:$M$5,0)+1,FALSE),H611)</f>
        <v>47.23</v>
      </c>
      <c r="I612" s="6">
        <f>IFERROR(VLOOKUP($B612,Platts!$E$5:$M$4994,MATCH(I$3,Platts!$F$5:$M$5,0)+1,FALSE),I611)</f>
        <v>51.23</v>
      </c>
      <c r="J612" s="6">
        <f t="shared" si="18"/>
        <v>1.6099999999999994</v>
      </c>
    </row>
    <row r="613" spans="2:10" x14ac:dyDescent="0.25">
      <c r="B613" s="5">
        <f t="shared" si="19"/>
        <v>42979</v>
      </c>
      <c r="C613" s="6">
        <f>IFERROR(VLOOKUP($B613,Platts!$E$5:$M$4994,MATCH(C$3,Platts!$F$5:$M$5,0)+1,FALSE),C612)</f>
        <v>45.62</v>
      </c>
      <c r="D613" s="6">
        <f>IFERROR(VLOOKUP($B613,Platts!$E$5:$M$4994,MATCH(D$3,Platts!$F$5:$M$5,0)+1,FALSE),D612)</f>
        <v>52.03</v>
      </c>
      <c r="E613" s="6">
        <f>IFERROR(VLOOKUP($B613,Platts!$E$5:$M$4994,MATCH(E$3,Platts!$F$5:$M$5,0)+1,FALSE),E612)</f>
        <v>46.34</v>
      </c>
      <c r="F613" s="6">
        <f>IFERROR(VLOOKUP($B613,Platts!$E$5:$M$4994,MATCH(F$3,Platts!$F$5:$M$5,0)+1,FALSE),F612)</f>
        <v>53.31</v>
      </c>
      <c r="G613" s="6">
        <f>IFERROR(VLOOKUP($B613,Platts!$E$5:$M$4994,MATCH(G$3,Platts!$F$5:$M$5,0)+1,FALSE),G612)</f>
        <v>52.75</v>
      </c>
      <c r="H613" s="6">
        <f>IFERROR(VLOOKUP($B613,Platts!$E$5:$M$4994,MATCH(H$3,Platts!$F$5:$M$5,0)+1,FALSE),H612)</f>
        <v>47.29</v>
      </c>
      <c r="I613" s="6">
        <f>IFERROR(VLOOKUP($B613,Platts!$E$5:$M$4994,MATCH(I$3,Platts!$F$5:$M$5,0)+1,FALSE),I612)</f>
        <v>51.49</v>
      </c>
      <c r="J613" s="6">
        <f t="shared" si="18"/>
        <v>1.6700000000000017</v>
      </c>
    </row>
    <row r="614" spans="2:10" x14ac:dyDescent="0.25">
      <c r="B614" s="5">
        <f t="shared" si="19"/>
        <v>42980</v>
      </c>
      <c r="C614" s="6">
        <f>IFERROR(VLOOKUP($B614,Platts!$E$5:$M$4994,MATCH(C$3,Platts!$F$5:$M$5,0)+1,FALSE),C613)</f>
        <v>45.62</v>
      </c>
      <c r="D614" s="6">
        <f>IFERROR(VLOOKUP($B614,Platts!$E$5:$M$4994,MATCH(D$3,Platts!$F$5:$M$5,0)+1,FALSE),D613)</f>
        <v>52.03</v>
      </c>
      <c r="E614" s="6">
        <f>IFERROR(VLOOKUP($B614,Platts!$E$5:$M$4994,MATCH(E$3,Platts!$F$5:$M$5,0)+1,FALSE),E613)</f>
        <v>46.34</v>
      </c>
      <c r="F614" s="6">
        <f>IFERROR(VLOOKUP($B614,Platts!$E$5:$M$4994,MATCH(F$3,Platts!$F$5:$M$5,0)+1,FALSE),F613)</f>
        <v>53.31</v>
      </c>
      <c r="G614" s="6">
        <f>IFERROR(VLOOKUP($B614,Platts!$E$5:$M$4994,MATCH(G$3,Platts!$F$5:$M$5,0)+1,FALSE),G613)</f>
        <v>52.75</v>
      </c>
      <c r="H614" s="6">
        <f>IFERROR(VLOOKUP($B614,Platts!$E$5:$M$4994,MATCH(H$3,Platts!$F$5:$M$5,0)+1,FALSE),H613)</f>
        <v>47.29</v>
      </c>
      <c r="I614" s="6">
        <f>IFERROR(VLOOKUP($B614,Platts!$E$5:$M$4994,MATCH(I$3,Platts!$F$5:$M$5,0)+1,FALSE),I613)</f>
        <v>51.49</v>
      </c>
      <c r="J614" s="6">
        <f t="shared" si="18"/>
        <v>1.6700000000000017</v>
      </c>
    </row>
    <row r="615" spans="2:10" x14ac:dyDescent="0.25">
      <c r="B615" s="5">
        <f t="shared" si="19"/>
        <v>42981</v>
      </c>
      <c r="C615" s="6">
        <f>IFERROR(VLOOKUP($B615,Platts!$E$5:$M$4994,MATCH(C$3,Platts!$F$5:$M$5,0)+1,FALSE),C614)</f>
        <v>45.62</v>
      </c>
      <c r="D615" s="6">
        <f>IFERROR(VLOOKUP($B615,Platts!$E$5:$M$4994,MATCH(D$3,Platts!$F$5:$M$5,0)+1,FALSE),D614)</f>
        <v>52.03</v>
      </c>
      <c r="E615" s="6">
        <f>IFERROR(VLOOKUP($B615,Platts!$E$5:$M$4994,MATCH(E$3,Platts!$F$5:$M$5,0)+1,FALSE),E614)</f>
        <v>46.34</v>
      </c>
      <c r="F615" s="6">
        <f>IFERROR(VLOOKUP($B615,Platts!$E$5:$M$4994,MATCH(F$3,Platts!$F$5:$M$5,0)+1,FALSE),F614)</f>
        <v>53.31</v>
      </c>
      <c r="G615" s="6">
        <f>IFERROR(VLOOKUP($B615,Platts!$E$5:$M$4994,MATCH(G$3,Platts!$F$5:$M$5,0)+1,FALSE),G614)</f>
        <v>52.75</v>
      </c>
      <c r="H615" s="6">
        <f>IFERROR(VLOOKUP($B615,Platts!$E$5:$M$4994,MATCH(H$3,Platts!$F$5:$M$5,0)+1,FALSE),H614)</f>
        <v>47.29</v>
      </c>
      <c r="I615" s="6">
        <f>IFERROR(VLOOKUP($B615,Platts!$E$5:$M$4994,MATCH(I$3,Platts!$F$5:$M$5,0)+1,FALSE),I614)</f>
        <v>51.49</v>
      </c>
      <c r="J615" s="6">
        <f t="shared" si="18"/>
        <v>1.6700000000000017</v>
      </c>
    </row>
    <row r="616" spans="2:10" x14ac:dyDescent="0.25">
      <c r="B616" s="5">
        <f t="shared" si="19"/>
        <v>42982</v>
      </c>
      <c r="C616" s="6">
        <f>IFERROR(VLOOKUP($B616,Platts!$E$5:$M$4994,MATCH(C$3,Platts!$F$5:$M$5,0)+1,FALSE),C615)</f>
        <v>45.62</v>
      </c>
      <c r="D616" s="6">
        <f>IFERROR(VLOOKUP($B616,Platts!$E$5:$M$4994,MATCH(D$3,Platts!$F$5:$M$5,0)+1,FALSE),D615)</f>
        <v>52.03</v>
      </c>
      <c r="E616" s="6">
        <f>IFERROR(VLOOKUP($B616,Platts!$E$5:$M$4994,MATCH(E$3,Platts!$F$5:$M$5,0)+1,FALSE),E615)</f>
        <v>46.34</v>
      </c>
      <c r="F616" s="6">
        <f>IFERROR(VLOOKUP($B616,Platts!$E$5:$M$4994,MATCH(F$3,Platts!$F$5:$M$5,0)+1,FALSE),F615)</f>
        <v>53.31</v>
      </c>
      <c r="G616" s="6">
        <f>IFERROR(VLOOKUP($B616,Platts!$E$5:$M$4994,MATCH(G$3,Platts!$F$5:$M$5,0)+1,FALSE),G615)</f>
        <v>52.59</v>
      </c>
      <c r="H616" s="6">
        <f>IFERROR(VLOOKUP($B616,Platts!$E$5:$M$4994,MATCH(H$3,Platts!$F$5:$M$5,0)+1,FALSE),H615)</f>
        <v>47.29</v>
      </c>
      <c r="I616" s="6">
        <f>IFERROR(VLOOKUP($B616,Platts!$E$5:$M$4994,MATCH(I$3,Platts!$F$5:$M$5,0)+1,FALSE),I615)</f>
        <v>51.49</v>
      </c>
      <c r="J616" s="6">
        <f t="shared" si="18"/>
        <v>1.6700000000000017</v>
      </c>
    </row>
    <row r="617" spans="2:10" x14ac:dyDescent="0.25">
      <c r="B617" s="5">
        <f t="shared" si="19"/>
        <v>42983</v>
      </c>
      <c r="C617" s="6">
        <f>IFERROR(VLOOKUP($B617,Platts!$E$5:$M$4994,MATCH(C$3,Platts!$F$5:$M$5,0)+1,FALSE),C616)</f>
        <v>46.63</v>
      </c>
      <c r="D617" s="6">
        <f>IFERROR(VLOOKUP($B617,Platts!$E$5:$M$4994,MATCH(D$3,Platts!$F$5:$M$5,0)+1,FALSE),D616)</f>
        <v>53.43</v>
      </c>
      <c r="E617" s="6">
        <f>IFERROR(VLOOKUP($B617,Platts!$E$5:$M$4994,MATCH(E$3,Platts!$F$5:$M$5,0)+1,FALSE),E616)</f>
        <v>47.58</v>
      </c>
      <c r="F617" s="6">
        <f>IFERROR(VLOOKUP($B617,Platts!$E$5:$M$4994,MATCH(F$3,Platts!$F$5:$M$5,0)+1,FALSE),F616)</f>
        <v>54.54</v>
      </c>
      <c r="G617" s="6">
        <f>IFERROR(VLOOKUP($B617,Platts!$E$5:$M$4994,MATCH(G$3,Platts!$F$5:$M$5,0)+1,FALSE),G616)</f>
        <v>53.54</v>
      </c>
      <c r="H617" s="6">
        <f>IFERROR(VLOOKUP($B617,Platts!$E$5:$M$4994,MATCH(H$3,Platts!$F$5:$M$5,0)+1,FALSE),H616)</f>
        <v>48.66</v>
      </c>
      <c r="I617" s="6">
        <f>IFERROR(VLOOKUP($B617,Platts!$E$5:$M$4994,MATCH(I$3,Platts!$F$5:$M$5,0)+1,FALSE),I616)</f>
        <v>52.36</v>
      </c>
      <c r="J617" s="6">
        <f t="shared" si="18"/>
        <v>2.029999999999994</v>
      </c>
    </row>
    <row r="618" spans="2:10" x14ac:dyDescent="0.25">
      <c r="B618" s="5">
        <f t="shared" si="19"/>
        <v>42984</v>
      </c>
      <c r="C618" s="6">
        <f>IFERROR(VLOOKUP($B618,Platts!$E$5:$M$4994,MATCH(C$3,Platts!$F$5:$M$5,0)+1,FALSE),C617)</f>
        <v>47.43</v>
      </c>
      <c r="D618" s="6">
        <f>IFERROR(VLOOKUP($B618,Platts!$E$5:$M$4994,MATCH(D$3,Platts!$F$5:$M$5,0)+1,FALSE),D617)</f>
        <v>54.17</v>
      </c>
      <c r="E618" s="6">
        <f>IFERROR(VLOOKUP($B618,Platts!$E$5:$M$4994,MATCH(E$3,Platts!$F$5:$M$5,0)+1,FALSE),E617)</f>
        <v>48.28</v>
      </c>
      <c r="F618" s="6">
        <f>IFERROR(VLOOKUP($B618,Platts!$E$5:$M$4994,MATCH(F$3,Platts!$F$5:$M$5,0)+1,FALSE),F617)</f>
        <v>55.34</v>
      </c>
      <c r="G618" s="6">
        <f>IFERROR(VLOOKUP($B618,Platts!$E$5:$M$4994,MATCH(G$3,Platts!$F$5:$M$5,0)+1,FALSE),G617)</f>
        <v>54.37</v>
      </c>
      <c r="H618" s="6">
        <f>IFERROR(VLOOKUP($B618,Platts!$E$5:$M$4994,MATCH(H$3,Platts!$F$5:$M$5,0)+1,FALSE),H617)</f>
        <v>49.16</v>
      </c>
      <c r="I618" s="6">
        <f>IFERROR(VLOOKUP($B618,Platts!$E$5:$M$4994,MATCH(I$3,Platts!$F$5:$M$5,0)+1,FALSE),I617)</f>
        <v>53.31</v>
      </c>
      <c r="J618" s="6">
        <f t="shared" si="18"/>
        <v>1.7299999999999969</v>
      </c>
    </row>
    <row r="619" spans="2:10" x14ac:dyDescent="0.25">
      <c r="B619" s="5">
        <f t="shared" si="19"/>
        <v>42985</v>
      </c>
      <c r="C619" s="6">
        <f>IFERROR(VLOOKUP($B619,Platts!$E$5:$M$4994,MATCH(C$3,Platts!$F$5:$M$5,0)+1,FALSE),C618)</f>
        <v>47.32</v>
      </c>
      <c r="D619" s="6">
        <f>IFERROR(VLOOKUP($B619,Platts!$E$5:$M$4994,MATCH(D$3,Platts!$F$5:$M$5,0)+1,FALSE),D618)</f>
        <v>54.14</v>
      </c>
      <c r="E619" s="6">
        <f>IFERROR(VLOOKUP($B619,Platts!$E$5:$M$4994,MATCH(E$3,Platts!$F$5:$M$5,0)+1,FALSE),E618)</f>
        <v>48.32</v>
      </c>
      <c r="F619" s="6">
        <f>IFERROR(VLOOKUP($B619,Platts!$E$5:$M$4994,MATCH(F$3,Platts!$F$5:$M$5,0)+1,FALSE),F618)</f>
        <v>55.36</v>
      </c>
      <c r="G619" s="6">
        <f>IFERROR(VLOOKUP($B619,Platts!$E$5:$M$4994,MATCH(G$3,Platts!$F$5:$M$5,0)+1,FALSE),G618)</f>
        <v>54.12</v>
      </c>
      <c r="H619" s="6">
        <f>IFERROR(VLOOKUP($B619,Platts!$E$5:$M$4994,MATCH(H$3,Platts!$F$5:$M$5,0)+1,FALSE),H618)</f>
        <v>49.09</v>
      </c>
      <c r="I619" s="6">
        <f>IFERROR(VLOOKUP($B619,Platts!$E$5:$M$4994,MATCH(I$3,Platts!$F$5:$M$5,0)+1,FALSE),I618)</f>
        <v>53.34</v>
      </c>
      <c r="J619" s="6">
        <f t="shared" si="18"/>
        <v>1.7700000000000031</v>
      </c>
    </row>
    <row r="620" spans="2:10" x14ac:dyDescent="0.25">
      <c r="B620" s="5">
        <f t="shared" si="19"/>
        <v>42986</v>
      </c>
      <c r="C620" s="6">
        <f>IFERROR(VLOOKUP($B620,Platts!$E$5:$M$4994,MATCH(C$3,Platts!$F$5:$M$5,0)+1,FALSE),C619)</f>
        <v>46.83</v>
      </c>
      <c r="D620" s="6">
        <f>IFERROR(VLOOKUP($B620,Platts!$E$5:$M$4994,MATCH(D$3,Platts!$F$5:$M$5,0)+1,FALSE),D619)</f>
        <v>52.91</v>
      </c>
      <c r="E620" s="6">
        <f>IFERROR(VLOOKUP($B620,Platts!$E$5:$M$4994,MATCH(E$3,Platts!$F$5:$M$5,0)+1,FALSE),E619)</f>
        <v>47.21</v>
      </c>
      <c r="F620" s="6">
        <f>IFERROR(VLOOKUP($B620,Platts!$E$5:$M$4994,MATCH(F$3,Platts!$F$5:$M$5,0)+1,FALSE),F619)</f>
        <v>54.22</v>
      </c>
      <c r="G620" s="6">
        <f>IFERROR(VLOOKUP($B620,Platts!$E$5:$M$4994,MATCH(G$3,Platts!$F$5:$M$5,0)+1,FALSE),G619)</f>
        <v>54.23</v>
      </c>
      <c r="H620" s="6">
        <f>IFERROR(VLOOKUP($B620,Platts!$E$5:$M$4994,MATCH(H$3,Platts!$F$5:$M$5,0)+1,FALSE),H619)</f>
        <v>47.48</v>
      </c>
      <c r="I620" s="6">
        <f>IFERROR(VLOOKUP($B620,Platts!$E$5:$M$4994,MATCH(I$3,Platts!$F$5:$M$5,0)+1,FALSE),I619)</f>
        <v>52.48</v>
      </c>
      <c r="J620" s="6">
        <f t="shared" si="18"/>
        <v>0.64999999999999858</v>
      </c>
    </row>
    <row r="621" spans="2:10" x14ac:dyDescent="0.25">
      <c r="B621" s="5">
        <f t="shared" si="19"/>
        <v>42987</v>
      </c>
      <c r="C621" s="6">
        <f>IFERROR(VLOOKUP($B621,Platts!$E$5:$M$4994,MATCH(C$3,Platts!$F$5:$M$5,0)+1,FALSE),C620)</f>
        <v>46.83</v>
      </c>
      <c r="D621" s="6">
        <f>IFERROR(VLOOKUP($B621,Platts!$E$5:$M$4994,MATCH(D$3,Platts!$F$5:$M$5,0)+1,FALSE),D620)</f>
        <v>52.91</v>
      </c>
      <c r="E621" s="6">
        <f>IFERROR(VLOOKUP($B621,Platts!$E$5:$M$4994,MATCH(E$3,Platts!$F$5:$M$5,0)+1,FALSE),E620)</f>
        <v>47.21</v>
      </c>
      <c r="F621" s="6">
        <f>IFERROR(VLOOKUP($B621,Platts!$E$5:$M$4994,MATCH(F$3,Platts!$F$5:$M$5,0)+1,FALSE),F620)</f>
        <v>54.22</v>
      </c>
      <c r="G621" s="6">
        <f>IFERROR(VLOOKUP($B621,Platts!$E$5:$M$4994,MATCH(G$3,Platts!$F$5:$M$5,0)+1,FALSE),G620)</f>
        <v>54.23</v>
      </c>
      <c r="H621" s="6">
        <f>IFERROR(VLOOKUP($B621,Platts!$E$5:$M$4994,MATCH(H$3,Platts!$F$5:$M$5,0)+1,FALSE),H620)</f>
        <v>47.48</v>
      </c>
      <c r="I621" s="6">
        <f>IFERROR(VLOOKUP($B621,Platts!$E$5:$M$4994,MATCH(I$3,Platts!$F$5:$M$5,0)+1,FALSE),I620)</f>
        <v>52.48</v>
      </c>
      <c r="J621" s="6">
        <f t="shared" si="18"/>
        <v>0.64999999999999858</v>
      </c>
    </row>
    <row r="622" spans="2:10" x14ac:dyDescent="0.25">
      <c r="B622" s="5">
        <f t="shared" si="19"/>
        <v>42988</v>
      </c>
      <c r="C622" s="6">
        <f>IFERROR(VLOOKUP($B622,Platts!$E$5:$M$4994,MATCH(C$3,Platts!$F$5:$M$5,0)+1,FALSE),C621)</f>
        <v>46.83</v>
      </c>
      <c r="D622" s="6">
        <f>IFERROR(VLOOKUP($B622,Platts!$E$5:$M$4994,MATCH(D$3,Platts!$F$5:$M$5,0)+1,FALSE),D621)</f>
        <v>52.91</v>
      </c>
      <c r="E622" s="6">
        <f>IFERROR(VLOOKUP($B622,Platts!$E$5:$M$4994,MATCH(E$3,Platts!$F$5:$M$5,0)+1,FALSE),E621)</f>
        <v>47.21</v>
      </c>
      <c r="F622" s="6">
        <f>IFERROR(VLOOKUP($B622,Platts!$E$5:$M$4994,MATCH(F$3,Platts!$F$5:$M$5,0)+1,FALSE),F621)</f>
        <v>54.22</v>
      </c>
      <c r="G622" s="6">
        <f>IFERROR(VLOOKUP($B622,Platts!$E$5:$M$4994,MATCH(G$3,Platts!$F$5:$M$5,0)+1,FALSE),G621)</f>
        <v>54.23</v>
      </c>
      <c r="H622" s="6">
        <f>IFERROR(VLOOKUP($B622,Platts!$E$5:$M$4994,MATCH(H$3,Platts!$F$5:$M$5,0)+1,FALSE),H621)</f>
        <v>47.48</v>
      </c>
      <c r="I622" s="6">
        <f>IFERROR(VLOOKUP($B622,Platts!$E$5:$M$4994,MATCH(I$3,Platts!$F$5:$M$5,0)+1,FALSE),I621)</f>
        <v>52.48</v>
      </c>
      <c r="J622" s="6">
        <f t="shared" si="18"/>
        <v>0.64999999999999858</v>
      </c>
    </row>
    <row r="623" spans="2:10" x14ac:dyDescent="0.25">
      <c r="B623" s="5">
        <f t="shared" si="19"/>
        <v>42989</v>
      </c>
      <c r="C623" s="6">
        <f>IFERROR(VLOOKUP($B623,Platts!$E$5:$M$4994,MATCH(C$3,Platts!$F$5:$M$5,0)+1,FALSE),C622)</f>
        <v>46.72</v>
      </c>
      <c r="D623" s="6">
        <f>IFERROR(VLOOKUP($B623,Platts!$E$5:$M$4994,MATCH(D$3,Platts!$F$5:$M$5,0)+1,FALSE),D622)</f>
        <v>53.47</v>
      </c>
      <c r="E623" s="6">
        <f>IFERROR(VLOOKUP($B623,Platts!$E$5:$M$4994,MATCH(E$3,Platts!$F$5:$M$5,0)+1,FALSE),E622)</f>
        <v>47.58</v>
      </c>
      <c r="F623" s="6">
        <f>IFERROR(VLOOKUP($B623,Platts!$E$5:$M$4994,MATCH(F$3,Platts!$F$5:$M$5,0)+1,FALSE),F622)</f>
        <v>54.71</v>
      </c>
      <c r="G623" s="6">
        <f>IFERROR(VLOOKUP($B623,Platts!$E$5:$M$4994,MATCH(G$3,Platts!$F$5:$M$5,0)+1,FALSE),G622)</f>
        <v>53.56</v>
      </c>
      <c r="H623" s="6">
        <f>IFERROR(VLOOKUP($B623,Platts!$E$5:$M$4994,MATCH(H$3,Platts!$F$5:$M$5,0)+1,FALSE),H622)</f>
        <v>48.07</v>
      </c>
      <c r="I623" s="6">
        <f>IFERROR(VLOOKUP($B623,Platts!$E$5:$M$4994,MATCH(I$3,Platts!$F$5:$M$5,0)+1,FALSE),I622)</f>
        <v>52.92</v>
      </c>
      <c r="J623" s="6">
        <f t="shared" si="18"/>
        <v>1.3500000000000014</v>
      </c>
    </row>
    <row r="624" spans="2:10" x14ac:dyDescent="0.25">
      <c r="B624" s="5">
        <f t="shared" si="19"/>
        <v>42990</v>
      </c>
      <c r="C624" s="6">
        <f>IFERROR(VLOOKUP($B624,Platts!$E$5:$M$4994,MATCH(C$3,Platts!$F$5:$M$5,0)+1,FALSE),C623)</f>
        <v>47.31</v>
      </c>
      <c r="D624" s="6">
        <f>IFERROR(VLOOKUP($B624,Platts!$E$5:$M$4994,MATCH(D$3,Platts!$F$5:$M$5,0)+1,FALSE),D623)</f>
        <v>53.65</v>
      </c>
      <c r="E624" s="6">
        <f>IFERROR(VLOOKUP($B624,Platts!$E$5:$M$4994,MATCH(E$3,Platts!$F$5:$M$5,0)+1,FALSE),E623)</f>
        <v>47.76</v>
      </c>
      <c r="F624" s="6">
        <f>IFERROR(VLOOKUP($B624,Platts!$E$5:$M$4994,MATCH(F$3,Platts!$F$5:$M$5,0)+1,FALSE),F623)</f>
        <v>54.93</v>
      </c>
      <c r="G624" s="6">
        <f>IFERROR(VLOOKUP($B624,Platts!$E$5:$M$4994,MATCH(G$3,Platts!$F$5:$M$5,0)+1,FALSE),G623)</f>
        <v>54.49</v>
      </c>
      <c r="H624" s="6">
        <f>IFERROR(VLOOKUP($B624,Platts!$E$5:$M$4994,MATCH(H$3,Platts!$F$5:$M$5,0)+1,FALSE),H623)</f>
        <v>48.23</v>
      </c>
      <c r="I624" s="6">
        <f>IFERROR(VLOOKUP($B624,Platts!$E$5:$M$4994,MATCH(I$3,Platts!$F$5:$M$5,0)+1,FALSE),I623)</f>
        <v>53.03</v>
      </c>
      <c r="J624" s="6">
        <f t="shared" si="18"/>
        <v>0.9199999999999946</v>
      </c>
    </row>
    <row r="625" spans="2:10" x14ac:dyDescent="0.25">
      <c r="B625" s="5">
        <f t="shared" si="19"/>
        <v>42991</v>
      </c>
      <c r="C625" s="6">
        <f>IFERROR(VLOOKUP($B625,Platts!$E$5:$M$4994,MATCH(C$3,Platts!$F$5:$M$5,0)+1,FALSE),C624)</f>
        <v>48.31</v>
      </c>
      <c r="D625" s="6">
        <f>IFERROR(VLOOKUP($B625,Platts!$E$5:$M$4994,MATCH(D$3,Platts!$F$5:$M$5,0)+1,FALSE),D624)</f>
        <v>54.64</v>
      </c>
      <c r="E625" s="6">
        <f>IFERROR(VLOOKUP($B625,Platts!$E$5:$M$4994,MATCH(E$3,Platts!$F$5:$M$5,0)+1,FALSE),E624)</f>
        <v>48.63</v>
      </c>
      <c r="F625" s="6">
        <f>IFERROR(VLOOKUP($B625,Platts!$E$5:$M$4994,MATCH(F$3,Platts!$F$5:$M$5,0)+1,FALSE),F624)</f>
        <v>55.9</v>
      </c>
      <c r="G625" s="6">
        <f>IFERROR(VLOOKUP($B625,Platts!$E$5:$M$4994,MATCH(G$3,Platts!$F$5:$M$5,0)+1,FALSE),G624)</f>
        <v>55.15</v>
      </c>
      <c r="H625" s="6">
        <f>IFERROR(VLOOKUP($B625,Platts!$E$5:$M$4994,MATCH(H$3,Platts!$F$5:$M$5,0)+1,FALSE),H624)</f>
        <v>49.3</v>
      </c>
      <c r="I625" s="6">
        <f>IFERROR(VLOOKUP($B625,Platts!$E$5:$M$4994,MATCH(I$3,Platts!$F$5:$M$5,0)+1,FALSE),I624)</f>
        <v>54.1</v>
      </c>
      <c r="J625" s="6">
        <f t="shared" si="18"/>
        <v>0.98999999999999488</v>
      </c>
    </row>
    <row r="626" spans="2:10" x14ac:dyDescent="0.25">
      <c r="B626" s="5">
        <f t="shared" si="19"/>
        <v>42992</v>
      </c>
      <c r="C626" s="6">
        <f>IFERROR(VLOOKUP($B626,Platts!$E$5:$M$4994,MATCH(C$3,Platts!$F$5:$M$5,0)+1,FALSE),C625)</f>
        <v>48.98</v>
      </c>
      <c r="D626" s="6">
        <f>IFERROR(VLOOKUP($B626,Platts!$E$5:$M$4994,MATCH(D$3,Platts!$F$5:$M$5,0)+1,FALSE),D625)</f>
        <v>55.17</v>
      </c>
      <c r="E626" s="6">
        <f>IFERROR(VLOOKUP($B626,Platts!$E$5:$M$4994,MATCH(E$3,Platts!$F$5:$M$5,0)+1,FALSE),E625)</f>
        <v>49.35</v>
      </c>
      <c r="F626" s="6">
        <f>IFERROR(VLOOKUP($B626,Platts!$E$5:$M$4994,MATCH(F$3,Platts!$F$5:$M$5,0)+1,FALSE),F625)</f>
        <v>56.36</v>
      </c>
      <c r="G626" s="6">
        <f>IFERROR(VLOOKUP($B626,Platts!$E$5:$M$4994,MATCH(G$3,Platts!$F$5:$M$5,0)+1,FALSE),G625)</f>
        <v>55.96</v>
      </c>
      <c r="H626" s="6">
        <f>IFERROR(VLOOKUP($B626,Platts!$E$5:$M$4994,MATCH(H$3,Platts!$F$5:$M$5,0)+1,FALSE),H625)</f>
        <v>49.89</v>
      </c>
      <c r="I626" s="6">
        <f>IFERROR(VLOOKUP($B626,Platts!$E$5:$M$4994,MATCH(I$3,Platts!$F$5:$M$5,0)+1,FALSE),I625)</f>
        <v>54.69</v>
      </c>
      <c r="J626" s="6">
        <f t="shared" si="18"/>
        <v>0.91000000000000369</v>
      </c>
    </row>
    <row r="627" spans="2:10" x14ac:dyDescent="0.25">
      <c r="B627" s="5">
        <f t="shared" si="19"/>
        <v>42993</v>
      </c>
      <c r="C627" s="6">
        <f>IFERROR(VLOOKUP($B627,Platts!$E$5:$M$4994,MATCH(C$3,Platts!$F$5:$M$5,0)+1,FALSE),C626)</f>
        <v>48.86</v>
      </c>
      <c r="D627" s="6">
        <f>IFERROR(VLOOKUP($B627,Platts!$E$5:$M$4994,MATCH(D$3,Platts!$F$5:$M$5,0)+1,FALSE),D626)</f>
        <v>55.11</v>
      </c>
      <c r="E627" s="6">
        <f>IFERROR(VLOOKUP($B627,Platts!$E$5:$M$4994,MATCH(E$3,Platts!$F$5:$M$5,0)+1,FALSE),E626)</f>
        <v>49.3</v>
      </c>
      <c r="F627" s="6">
        <f>IFERROR(VLOOKUP($B627,Platts!$E$5:$M$4994,MATCH(F$3,Platts!$F$5:$M$5,0)+1,FALSE),F626)</f>
        <v>56.36</v>
      </c>
      <c r="G627" s="6">
        <f>IFERROR(VLOOKUP($B627,Platts!$E$5:$M$4994,MATCH(G$3,Platts!$F$5:$M$5,0)+1,FALSE),G626)</f>
        <v>55.87</v>
      </c>
      <c r="H627" s="6">
        <f>IFERROR(VLOOKUP($B627,Platts!$E$5:$M$4994,MATCH(H$3,Platts!$F$5:$M$5,0)+1,FALSE),H626)</f>
        <v>49.89</v>
      </c>
      <c r="I627" s="6">
        <f>IFERROR(VLOOKUP($B627,Platts!$E$5:$M$4994,MATCH(I$3,Platts!$F$5:$M$5,0)+1,FALSE),I626)</f>
        <v>54.69</v>
      </c>
      <c r="J627" s="6">
        <f t="shared" si="18"/>
        <v>1.0300000000000011</v>
      </c>
    </row>
    <row r="628" spans="2:10" x14ac:dyDescent="0.25">
      <c r="B628" s="5">
        <f t="shared" si="19"/>
        <v>42994</v>
      </c>
      <c r="C628" s="6">
        <f>IFERROR(VLOOKUP($B628,Platts!$E$5:$M$4994,MATCH(C$3,Platts!$F$5:$M$5,0)+1,FALSE),C627)</f>
        <v>48.86</v>
      </c>
      <c r="D628" s="6">
        <f>IFERROR(VLOOKUP($B628,Platts!$E$5:$M$4994,MATCH(D$3,Platts!$F$5:$M$5,0)+1,FALSE),D627)</f>
        <v>55.11</v>
      </c>
      <c r="E628" s="6">
        <f>IFERROR(VLOOKUP($B628,Platts!$E$5:$M$4994,MATCH(E$3,Platts!$F$5:$M$5,0)+1,FALSE),E627)</f>
        <v>49.3</v>
      </c>
      <c r="F628" s="6">
        <f>IFERROR(VLOOKUP($B628,Platts!$E$5:$M$4994,MATCH(F$3,Platts!$F$5:$M$5,0)+1,FALSE),F627)</f>
        <v>56.36</v>
      </c>
      <c r="G628" s="6">
        <f>IFERROR(VLOOKUP($B628,Platts!$E$5:$M$4994,MATCH(G$3,Platts!$F$5:$M$5,0)+1,FALSE),G627)</f>
        <v>55.87</v>
      </c>
      <c r="H628" s="6">
        <f>IFERROR(VLOOKUP($B628,Platts!$E$5:$M$4994,MATCH(H$3,Platts!$F$5:$M$5,0)+1,FALSE),H627)</f>
        <v>49.89</v>
      </c>
      <c r="I628" s="6">
        <f>IFERROR(VLOOKUP($B628,Platts!$E$5:$M$4994,MATCH(I$3,Platts!$F$5:$M$5,0)+1,FALSE),I627)</f>
        <v>54.69</v>
      </c>
      <c r="J628" s="6">
        <f t="shared" si="18"/>
        <v>1.0300000000000011</v>
      </c>
    </row>
    <row r="629" spans="2:10" x14ac:dyDescent="0.25">
      <c r="B629" s="5">
        <f t="shared" si="19"/>
        <v>42995</v>
      </c>
      <c r="C629" s="6">
        <f>IFERROR(VLOOKUP($B629,Platts!$E$5:$M$4994,MATCH(C$3,Platts!$F$5:$M$5,0)+1,FALSE),C628)</f>
        <v>48.86</v>
      </c>
      <c r="D629" s="6">
        <f>IFERROR(VLOOKUP($B629,Platts!$E$5:$M$4994,MATCH(D$3,Platts!$F$5:$M$5,0)+1,FALSE),D628)</f>
        <v>55.11</v>
      </c>
      <c r="E629" s="6">
        <f>IFERROR(VLOOKUP($B629,Platts!$E$5:$M$4994,MATCH(E$3,Platts!$F$5:$M$5,0)+1,FALSE),E628)</f>
        <v>49.3</v>
      </c>
      <c r="F629" s="6">
        <f>IFERROR(VLOOKUP($B629,Platts!$E$5:$M$4994,MATCH(F$3,Platts!$F$5:$M$5,0)+1,FALSE),F628)</f>
        <v>56.36</v>
      </c>
      <c r="G629" s="6">
        <f>IFERROR(VLOOKUP($B629,Platts!$E$5:$M$4994,MATCH(G$3,Platts!$F$5:$M$5,0)+1,FALSE),G628)</f>
        <v>55.87</v>
      </c>
      <c r="H629" s="6">
        <f>IFERROR(VLOOKUP($B629,Platts!$E$5:$M$4994,MATCH(H$3,Platts!$F$5:$M$5,0)+1,FALSE),H628)</f>
        <v>49.89</v>
      </c>
      <c r="I629" s="6">
        <f>IFERROR(VLOOKUP($B629,Platts!$E$5:$M$4994,MATCH(I$3,Platts!$F$5:$M$5,0)+1,FALSE),I628)</f>
        <v>54.69</v>
      </c>
      <c r="J629" s="6">
        <f t="shared" si="18"/>
        <v>1.0300000000000011</v>
      </c>
    </row>
    <row r="630" spans="2:10" x14ac:dyDescent="0.25">
      <c r="B630" s="5">
        <f t="shared" si="19"/>
        <v>42996</v>
      </c>
      <c r="C630" s="6">
        <f>IFERROR(VLOOKUP($B630,Platts!$E$5:$M$4994,MATCH(C$3,Platts!$F$5:$M$5,0)+1,FALSE),C629)</f>
        <v>48.26</v>
      </c>
      <c r="D630" s="6">
        <f>IFERROR(VLOOKUP($B630,Platts!$E$5:$M$4994,MATCH(D$3,Platts!$F$5:$M$5,0)+1,FALSE),D629)</f>
        <v>55.38</v>
      </c>
      <c r="E630" s="6">
        <f>IFERROR(VLOOKUP($B630,Platts!$E$5:$M$4994,MATCH(E$3,Platts!$F$5:$M$5,0)+1,FALSE),E629)</f>
        <v>48.79</v>
      </c>
      <c r="F630" s="6">
        <f>IFERROR(VLOOKUP($B630,Platts!$E$5:$M$4994,MATCH(F$3,Platts!$F$5:$M$5,0)+1,FALSE),F629)</f>
        <v>56.54</v>
      </c>
      <c r="G630" s="6">
        <f>IFERROR(VLOOKUP($B630,Platts!$E$5:$M$4994,MATCH(G$3,Platts!$F$5:$M$5,0)+1,FALSE),G629)</f>
        <v>54.95</v>
      </c>
      <c r="H630" s="6">
        <f>IFERROR(VLOOKUP($B630,Platts!$E$5:$M$4994,MATCH(H$3,Platts!$F$5:$M$5,0)+1,FALSE),H629)</f>
        <v>49.91</v>
      </c>
      <c r="I630" s="6">
        <f>IFERROR(VLOOKUP($B630,Platts!$E$5:$M$4994,MATCH(I$3,Platts!$F$5:$M$5,0)+1,FALSE),I629)</f>
        <v>55.26</v>
      </c>
      <c r="J630" s="6">
        <f t="shared" si="18"/>
        <v>1.6499999999999986</v>
      </c>
    </row>
    <row r="631" spans="2:10" x14ac:dyDescent="0.25">
      <c r="B631" s="5">
        <f t="shared" si="19"/>
        <v>42997</v>
      </c>
      <c r="C631" s="6">
        <f>IFERROR(VLOOKUP($B631,Platts!$E$5:$M$4994,MATCH(C$3,Platts!$F$5:$M$5,0)+1,FALSE),C630)</f>
        <v>48.04</v>
      </c>
      <c r="D631" s="6">
        <f>IFERROR(VLOOKUP($B631,Platts!$E$5:$M$4994,MATCH(D$3,Platts!$F$5:$M$5,0)+1,FALSE),D630)</f>
        <v>54.87</v>
      </c>
      <c r="E631" s="6">
        <f>IFERROR(VLOOKUP($B631,Platts!$E$5:$M$4994,MATCH(E$3,Platts!$F$5:$M$5,0)+1,FALSE),E630)</f>
        <v>48.11</v>
      </c>
      <c r="F631" s="6">
        <f>IFERROR(VLOOKUP($B631,Platts!$E$5:$M$4994,MATCH(F$3,Platts!$F$5:$M$5,0)+1,FALSE),F630)</f>
        <v>56.06</v>
      </c>
      <c r="G631" s="6">
        <f>IFERROR(VLOOKUP($B631,Platts!$E$5:$M$4994,MATCH(G$3,Platts!$F$5:$M$5,0)+1,FALSE),G630)</f>
        <v>55.4</v>
      </c>
      <c r="H631" s="6">
        <f>IFERROR(VLOOKUP($B631,Platts!$E$5:$M$4994,MATCH(H$3,Platts!$F$5:$M$5,0)+1,FALSE),H630)</f>
        <v>49.48</v>
      </c>
      <c r="I631" s="6">
        <f>IFERROR(VLOOKUP($B631,Platts!$E$5:$M$4994,MATCH(I$3,Platts!$F$5:$M$5,0)+1,FALSE),I630)</f>
        <v>55.08</v>
      </c>
      <c r="J631" s="6">
        <f t="shared" si="18"/>
        <v>1.4399999999999977</v>
      </c>
    </row>
    <row r="632" spans="2:10" x14ac:dyDescent="0.25">
      <c r="B632" s="5">
        <f t="shared" si="19"/>
        <v>42998</v>
      </c>
      <c r="C632" s="6">
        <f>IFERROR(VLOOKUP($B632,Platts!$E$5:$M$4994,MATCH(C$3,Platts!$F$5:$M$5,0)+1,FALSE),C631)</f>
        <v>48.78</v>
      </c>
      <c r="D632" s="6">
        <f>IFERROR(VLOOKUP($B632,Platts!$E$5:$M$4994,MATCH(D$3,Platts!$F$5:$M$5,0)+1,FALSE),D631)</f>
        <v>55.79</v>
      </c>
      <c r="E632" s="6">
        <f>IFERROR(VLOOKUP($B632,Platts!$E$5:$M$4994,MATCH(E$3,Platts!$F$5:$M$5,0)+1,FALSE),E631)</f>
        <v>48.92</v>
      </c>
      <c r="F632" s="6">
        <f>IFERROR(VLOOKUP($B632,Platts!$E$5:$M$4994,MATCH(F$3,Platts!$F$5:$M$5,0)+1,FALSE),F631)</f>
        <v>56.98</v>
      </c>
      <c r="G632" s="6">
        <f>IFERROR(VLOOKUP($B632,Platts!$E$5:$M$4994,MATCH(G$3,Platts!$F$5:$M$5,0)+1,FALSE),G631)</f>
        <v>56.25</v>
      </c>
      <c r="H632" s="6">
        <f>IFERROR(VLOOKUP($B632,Platts!$E$5:$M$4994,MATCH(H$3,Platts!$F$5:$M$5,0)+1,FALSE),H631)</f>
        <v>50.41</v>
      </c>
      <c r="I632" s="6">
        <f>IFERROR(VLOOKUP($B632,Platts!$E$5:$M$4994,MATCH(I$3,Platts!$F$5:$M$5,0)+1,FALSE),I631)</f>
        <v>55.76</v>
      </c>
      <c r="J632" s="6">
        <f t="shared" si="18"/>
        <v>1.6299999999999955</v>
      </c>
    </row>
    <row r="633" spans="2:10" x14ac:dyDescent="0.25">
      <c r="B633" s="5">
        <f t="shared" si="19"/>
        <v>42999</v>
      </c>
      <c r="C633" s="6">
        <f>IFERROR(VLOOKUP($B633,Platts!$E$5:$M$4994,MATCH(C$3,Platts!$F$5:$M$5,0)+1,FALSE),C632)</f>
        <v>48.65</v>
      </c>
      <c r="D633" s="6">
        <f>IFERROR(VLOOKUP($B633,Platts!$E$5:$M$4994,MATCH(D$3,Platts!$F$5:$M$5,0)+1,FALSE),D632)</f>
        <v>55.72</v>
      </c>
      <c r="E633" s="6">
        <f>IFERROR(VLOOKUP($B633,Platts!$E$5:$M$4994,MATCH(E$3,Platts!$F$5:$M$5,0)+1,FALSE),E632)</f>
        <v>48.77</v>
      </c>
      <c r="F633" s="6">
        <f>IFERROR(VLOOKUP($B633,Platts!$E$5:$M$4994,MATCH(F$3,Platts!$F$5:$M$5,0)+1,FALSE),F632)</f>
        <v>56.96</v>
      </c>
      <c r="G633" s="6">
        <f>IFERROR(VLOOKUP($B633,Platts!$E$5:$M$4994,MATCH(G$3,Platts!$F$5:$M$5,0)+1,FALSE),G632)</f>
        <v>56.32</v>
      </c>
      <c r="H633" s="6">
        <f>IFERROR(VLOOKUP($B633,Platts!$E$5:$M$4994,MATCH(H$3,Platts!$F$5:$M$5,0)+1,FALSE),H632)</f>
        <v>50.2</v>
      </c>
      <c r="I633" s="6">
        <f>IFERROR(VLOOKUP($B633,Platts!$E$5:$M$4994,MATCH(I$3,Platts!$F$5:$M$5,0)+1,FALSE),I632)</f>
        <v>55.8</v>
      </c>
      <c r="J633" s="6">
        <f t="shared" si="18"/>
        <v>1.5500000000000043</v>
      </c>
    </row>
    <row r="634" spans="2:10" x14ac:dyDescent="0.25">
      <c r="B634" s="5">
        <f t="shared" si="19"/>
        <v>43000</v>
      </c>
      <c r="C634" s="6">
        <f>IFERROR(VLOOKUP($B634,Platts!$E$5:$M$4994,MATCH(C$3,Platts!$F$5:$M$5,0)+1,FALSE),C633)</f>
        <v>48.75</v>
      </c>
      <c r="D634" s="6">
        <f>IFERROR(VLOOKUP($B634,Platts!$E$5:$M$4994,MATCH(D$3,Platts!$F$5:$M$5,0)+1,FALSE),D633)</f>
        <v>56.12</v>
      </c>
      <c r="E634" s="6">
        <f>IFERROR(VLOOKUP($B634,Platts!$E$5:$M$4994,MATCH(E$3,Platts!$F$5:$M$5,0)+1,FALSE),E633)</f>
        <v>48.97</v>
      </c>
      <c r="F634" s="6">
        <f>IFERROR(VLOOKUP($B634,Platts!$E$5:$M$4994,MATCH(F$3,Platts!$F$5:$M$5,0)+1,FALSE),F633)</f>
        <v>57.41</v>
      </c>
      <c r="G634" s="6">
        <f>IFERROR(VLOOKUP($B634,Platts!$E$5:$M$4994,MATCH(G$3,Platts!$F$5:$M$5,0)+1,FALSE),G633)</f>
        <v>56.84</v>
      </c>
      <c r="H634" s="6">
        <f>IFERROR(VLOOKUP($B634,Platts!$E$5:$M$4994,MATCH(H$3,Platts!$F$5:$M$5,0)+1,FALSE),H633)</f>
        <v>50.31</v>
      </c>
      <c r="I634" s="6">
        <f>IFERROR(VLOOKUP($B634,Platts!$E$5:$M$4994,MATCH(I$3,Platts!$F$5:$M$5,0)+1,FALSE),I633)</f>
        <v>56.71</v>
      </c>
      <c r="J634" s="6">
        <f t="shared" si="18"/>
        <v>1.5600000000000023</v>
      </c>
    </row>
    <row r="635" spans="2:10" x14ac:dyDescent="0.25">
      <c r="B635" s="5">
        <f t="shared" si="19"/>
        <v>43001</v>
      </c>
      <c r="C635" s="6">
        <f>IFERROR(VLOOKUP($B635,Platts!$E$5:$M$4994,MATCH(C$3,Platts!$F$5:$M$5,0)+1,FALSE),C634)</f>
        <v>48.75</v>
      </c>
      <c r="D635" s="6">
        <f>IFERROR(VLOOKUP($B635,Platts!$E$5:$M$4994,MATCH(D$3,Platts!$F$5:$M$5,0)+1,FALSE),D634)</f>
        <v>56.12</v>
      </c>
      <c r="E635" s="6">
        <f>IFERROR(VLOOKUP($B635,Platts!$E$5:$M$4994,MATCH(E$3,Platts!$F$5:$M$5,0)+1,FALSE),E634)</f>
        <v>48.97</v>
      </c>
      <c r="F635" s="6">
        <f>IFERROR(VLOOKUP($B635,Platts!$E$5:$M$4994,MATCH(F$3,Platts!$F$5:$M$5,0)+1,FALSE),F634)</f>
        <v>57.41</v>
      </c>
      <c r="G635" s="6">
        <f>IFERROR(VLOOKUP($B635,Platts!$E$5:$M$4994,MATCH(G$3,Platts!$F$5:$M$5,0)+1,FALSE),G634)</f>
        <v>56.84</v>
      </c>
      <c r="H635" s="6">
        <f>IFERROR(VLOOKUP($B635,Platts!$E$5:$M$4994,MATCH(H$3,Platts!$F$5:$M$5,0)+1,FALSE),H634)</f>
        <v>50.31</v>
      </c>
      <c r="I635" s="6">
        <f>IFERROR(VLOOKUP($B635,Platts!$E$5:$M$4994,MATCH(I$3,Platts!$F$5:$M$5,0)+1,FALSE),I634)</f>
        <v>56.71</v>
      </c>
      <c r="J635" s="6">
        <f t="shared" si="18"/>
        <v>1.5600000000000023</v>
      </c>
    </row>
    <row r="636" spans="2:10" x14ac:dyDescent="0.25">
      <c r="B636" s="5">
        <f t="shared" si="19"/>
        <v>43002</v>
      </c>
      <c r="C636" s="6">
        <f>IFERROR(VLOOKUP($B636,Platts!$E$5:$M$4994,MATCH(C$3,Platts!$F$5:$M$5,0)+1,FALSE),C635)</f>
        <v>48.75</v>
      </c>
      <c r="D636" s="6">
        <f>IFERROR(VLOOKUP($B636,Platts!$E$5:$M$4994,MATCH(D$3,Platts!$F$5:$M$5,0)+1,FALSE),D635)</f>
        <v>56.12</v>
      </c>
      <c r="E636" s="6">
        <f>IFERROR(VLOOKUP($B636,Platts!$E$5:$M$4994,MATCH(E$3,Platts!$F$5:$M$5,0)+1,FALSE),E635)</f>
        <v>48.97</v>
      </c>
      <c r="F636" s="6">
        <f>IFERROR(VLOOKUP($B636,Platts!$E$5:$M$4994,MATCH(F$3,Platts!$F$5:$M$5,0)+1,FALSE),F635)</f>
        <v>57.41</v>
      </c>
      <c r="G636" s="6">
        <f>IFERROR(VLOOKUP($B636,Platts!$E$5:$M$4994,MATCH(G$3,Platts!$F$5:$M$5,0)+1,FALSE),G635)</f>
        <v>56.84</v>
      </c>
      <c r="H636" s="6">
        <f>IFERROR(VLOOKUP($B636,Platts!$E$5:$M$4994,MATCH(H$3,Platts!$F$5:$M$5,0)+1,FALSE),H635)</f>
        <v>50.31</v>
      </c>
      <c r="I636" s="6">
        <f>IFERROR(VLOOKUP($B636,Platts!$E$5:$M$4994,MATCH(I$3,Platts!$F$5:$M$5,0)+1,FALSE),I635)</f>
        <v>56.71</v>
      </c>
      <c r="J636" s="6">
        <f t="shared" si="18"/>
        <v>1.5600000000000023</v>
      </c>
    </row>
    <row r="637" spans="2:10" x14ac:dyDescent="0.25">
      <c r="B637" s="5">
        <f t="shared" si="19"/>
        <v>43003</v>
      </c>
      <c r="C637" s="6">
        <f>IFERROR(VLOOKUP($B637,Platts!$E$5:$M$4994,MATCH(C$3,Platts!$F$5:$M$5,0)+1,FALSE),C636)</f>
        <v>50.01</v>
      </c>
      <c r="D637" s="6">
        <f>IFERROR(VLOOKUP($B637,Platts!$E$5:$M$4994,MATCH(D$3,Platts!$F$5:$M$5,0)+1,FALSE),D636)</f>
        <v>58.06</v>
      </c>
      <c r="E637" s="6">
        <f>IFERROR(VLOOKUP($B637,Platts!$E$5:$M$4994,MATCH(E$3,Platts!$F$5:$M$5,0)+1,FALSE),E636)</f>
        <v>50.09</v>
      </c>
      <c r="F637" s="6">
        <f>IFERROR(VLOOKUP($B637,Platts!$E$5:$M$4994,MATCH(F$3,Platts!$F$5:$M$5,0)+1,FALSE),F636)</f>
        <v>59.38</v>
      </c>
      <c r="G637" s="6">
        <f>IFERROR(VLOOKUP($B637,Platts!$E$5:$M$4994,MATCH(G$3,Platts!$F$5:$M$5,0)+1,FALSE),G636)</f>
        <v>58.59</v>
      </c>
      <c r="H637" s="6">
        <f>IFERROR(VLOOKUP($B637,Platts!$E$5:$M$4994,MATCH(H$3,Platts!$F$5:$M$5,0)+1,FALSE),H636)</f>
        <v>51.92</v>
      </c>
      <c r="I637" s="6">
        <f>IFERROR(VLOOKUP($B637,Platts!$E$5:$M$4994,MATCH(I$3,Platts!$F$5:$M$5,0)+1,FALSE),I636)</f>
        <v>58.57</v>
      </c>
      <c r="J637" s="6">
        <f t="shared" si="18"/>
        <v>1.9100000000000037</v>
      </c>
    </row>
    <row r="638" spans="2:10" x14ac:dyDescent="0.25">
      <c r="B638" s="5">
        <f t="shared" si="19"/>
        <v>43004</v>
      </c>
      <c r="C638" s="6">
        <f>IFERROR(VLOOKUP($B638,Platts!$E$5:$M$4994,MATCH(C$3,Platts!$F$5:$M$5,0)+1,FALSE),C637)</f>
        <v>49.76</v>
      </c>
      <c r="D638" s="6">
        <f>IFERROR(VLOOKUP($B638,Platts!$E$5:$M$4994,MATCH(D$3,Platts!$F$5:$M$5,0)+1,FALSE),D637)</f>
        <v>57.52</v>
      </c>
      <c r="E638" s="6">
        <f>IFERROR(VLOOKUP($B638,Platts!$E$5:$M$4994,MATCH(E$3,Platts!$F$5:$M$5,0)+1,FALSE),E637)</f>
        <v>50.37</v>
      </c>
      <c r="F638" s="6">
        <f>IFERROR(VLOOKUP($B638,Platts!$E$5:$M$4994,MATCH(F$3,Platts!$F$5:$M$5,0)+1,FALSE),F637)</f>
        <v>58.77</v>
      </c>
      <c r="G638" s="6">
        <f>IFERROR(VLOOKUP($B638,Platts!$E$5:$M$4994,MATCH(G$3,Platts!$F$5:$M$5,0)+1,FALSE),G637)</f>
        <v>58.47</v>
      </c>
      <c r="H638" s="6">
        <f>IFERROR(VLOOKUP($B638,Platts!$E$5:$M$4994,MATCH(H$3,Platts!$F$5:$M$5,0)+1,FALSE),H637)</f>
        <v>51.88</v>
      </c>
      <c r="I638" s="6">
        <f>IFERROR(VLOOKUP($B638,Platts!$E$5:$M$4994,MATCH(I$3,Platts!$F$5:$M$5,0)+1,FALSE),I637)</f>
        <v>57.38</v>
      </c>
      <c r="J638" s="6">
        <f t="shared" si="18"/>
        <v>2.1200000000000045</v>
      </c>
    </row>
    <row r="639" spans="2:10" x14ac:dyDescent="0.25">
      <c r="B639" s="5">
        <f t="shared" si="19"/>
        <v>43005</v>
      </c>
      <c r="C639" s="6">
        <f>IFERROR(VLOOKUP($B639,Platts!$E$5:$M$4994,MATCH(C$3,Platts!$F$5:$M$5,0)+1,FALSE),C638)</f>
        <v>49.8</v>
      </c>
      <c r="D639" s="6">
        <f>IFERROR(VLOOKUP($B639,Platts!$E$5:$M$4994,MATCH(D$3,Platts!$F$5:$M$5,0)+1,FALSE),D638)</f>
        <v>57.58</v>
      </c>
      <c r="E639" s="6">
        <f>IFERROR(VLOOKUP($B639,Platts!$E$5:$M$4994,MATCH(E$3,Platts!$F$5:$M$5,0)+1,FALSE),E638)</f>
        <v>50.43</v>
      </c>
      <c r="F639" s="6">
        <f>IFERROR(VLOOKUP($B639,Platts!$E$5:$M$4994,MATCH(F$3,Platts!$F$5:$M$5,0)+1,FALSE),F638)</f>
        <v>58.78</v>
      </c>
      <c r="G639" s="6">
        <f>IFERROR(VLOOKUP($B639,Platts!$E$5:$M$4994,MATCH(G$3,Platts!$F$5:$M$5,0)+1,FALSE),G638)</f>
        <v>58.07</v>
      </c>
      <c r="H639" s="6">
        <f>IFERROR(VLOOKUP($B639,Platts!$E$5:$M$4994,MATCH(H$3,Platts!$F$5:$M$5,0)+1,FALSE),H638)</f>
        <v>52.14</v>
      </c>
      <c r="I639" s="6">
        <f>IFERROR(VLOOKUP($B639,Platts!$E$5:$M$4994,MATCH(I$3,Platts!$F$5:$M$5,0)+1,FALSE),I638)</f>
        <v>57.54</v>
      </c>
      <c r="J639" s="6">
        <f t="shared" si="18"/>
        <v>2.3400000000000034</v>
      </c>
    </row>
    <row r="640" spans="2:10" x14ac:dyDescent="0.25">
      <c r="B640" s="5">
        <f t="shared" si="19"/>
        <v>43006</v>
      </c>
      <c r="C640" s="6">
        <f>IFERROR(VLOOKUP($B640,Platts!$E$5:$M$4994,MATCH(C$3,Platts!$F$5:$M$5,0)+1,FALSE),C639)</f>
        <v>49.74</v>
      </c>
      <c r="D640" s="6">
        <f>IFERROR(VLOOKUP($B640,Platts!$E$5:$M$4994,MATCH(D$3,Platts!$F$5:$M$5,0)+1,FALSE),D639)</f>
        <v>57.16</v>
      </c>
      <c r="E640" s="6">
        <f>IFERROR(VLOOKUP($B640,Platts!$E$5:$M$4994,MATCH(E$3,Platts!$F$5:$M$5,0)+1,FALSE),E639)</f>
        <v>50.09</v>
      </c>
      <c r="F640" s="6">
        <f>IFERROR(VLOOKUP($B640,Platts!$E$5:$M$4994,MATCH(F$3,Platts!$F$5:$M$5,0)+1,FALSE),F639)</f>
        <v>58.39</v>
      </c>
      <c r="G640" s="6">
        <f>IFERROR(VLOOKUP($B640,Platts!$E$5:$M$4994,MATCH(G$3,Platts!$F$5:$M$5,0)+1,FALSE),G639)</f>
        <v>57.88</v>
      </c>
      <c r="H640" s="6">
        <f>IFERROR(VLOOKUP($B640,Platts!$E$5:$M$4994,MATCH(H$3,Platts!$F$5:$M$5,0)+1,FALSE),H639)</f>
        <v>51.56</v>
      </c>
      <c r="I640" s="6">
        <f>IFERROR(VLOOKUP($B640,Platts!$E$5:$M$4994,MATCH(I$3,Platts!$F$5:$M$5,0)+1,FALSE),I639)</f>
        <v>56.81</v>
      </c>
      <c r="J640" s="6">
        <f t="shared" si="18"/>
        <v>1.8200000000000003</v>
      </c>
    </row>
    <row r="641" spans="2:10" x14ac:dyDescent="0.25">
      <c r="B641" s="5">
        <f t="shared" si="19"/>
        <v>43007</v>
      </c>
      <c r="C641" s="6">
        <f>IFERROR(VLOOKUP($B641,Platts!$E$5:$M$4994,MATCH(C$3,Platts!$F$5:$M$5,0)+1,FALSE),C640)</f>
        <v>49.02</v>
      </c>
      <c r="D641" s="6">
        <f>IFERROR(VLOOKUP($B641,Platts!$E$5:$M$4994,MATCH(D$3,Platts!$F$5:$M$5,0)+1,FALSE),D640)</f>
        <v>56.76</v>
      </c>
      <c r="E641" s="6">
        <f>IFERROR(VLOOKUP($B641,Platts!$E$5:$M$4994,MATCH(E$3,Platts!$F$5:$M$5,0)+1,FALSE),E640)</f>
        <v>49.56</v>
      </c>
      <c r="F641" s="6">
        <f>IFERROR(VLOOKUP($B641,Platts!$E$5:$M$4994,MATCH(F$3,Platts!$F$5:$M$5,0)+1,FALSE),F640)</f>
        <v>57.93</v>
      </c>
      <c r="G641" s="6">
        <f>IFERROR(VLOOKUP($B641,Platts!$E$5:$M$4994,MATCH(G$3,Platts!$F$5:$M$5,0)+1,FALSE),G640)</f>
        <v>57.33</v>
      </c>
      <c r="H641" s="6">
        <f>IFERROR(VLOOKUP($B641,Platts!$E$5:$M$4994,MATCH(H$3,Platts!$F$5:$M$5,0)+1,FALSE),H640)</f>
        <v>51.67</v>
      </c>
      <c r="I641" s="6">
        <f>IFERROR(VLOOKUP($B641,Platts!$E$5:$M$4994,MATCH(I$3,Platts!$F$5:$M$5,0)+1,FALSE),I640)</f>
        <v>56.52</v>
      </c>
      <c r="J641" s="6">
        <f t="shared" si="18"/>
        <v>2.6499999999999986</v>
      </c>
    </row>
    <row r="642" spans="2:10" x14ac:dyDescent="0.25">
      <c r="B642" s="5">
        <f t="shared" si="19"/>
        <v>43008</v>
      </c>
      <c r="C642" s="6">
        <f>IFERROR(VLOOKUP($B642,Platts!$E$5:$M$4994,MATCH(C$3,Platts!$F$5:$M$5,0)+1,FALSE),C641)</f>
        <v>49.02</v>
      </c>
      <c r="D642" s="6">
        <f>IFERROR(VLOOKUP($B642,Platts!$E$5:$M$4994,MATCH(D$3,Platts!$F$5:$M$5,0)+1,FALSE),D641)</f>
        <v>56.76</v>
      </c>
      <c r="E642" s="6">
        <f>IFERROR(VLOOKUP($B642,Platts!$E$5:$M$4994,MATCH(E$3,Platts!$F$5:$M$5,0)+1,FALSE),E641)</f>
        <v>49.56</v>
      </c>
      <c r="F642" s="6">
        <f>IFERROR(VLOOKUP($B642,Platts!$E$5:$M$4994,MATCH(F$3,Platts!$F$5:$M$5,0)+1,FALSE),F641)</f>
        <v>57.93</v>
      </c>
      <c r="G642" s="6">
        <f>IFERROR(VLOOKUP($B642,Platts!$E$5:$M$4994,MATCH(G$3,Platts!$F$5:$M$5,0)+1,FALSE),G641)</f>
        <v>57.33</v>
      </c>
      <c r="H642" s="6">
        <f>IFERROR(VLOOKUP($B642,Platts!$E$5:$M$4994,MATCH(H$3,Platts!$F$5:$M$5,0)+1,FALSE),H641)</f>
        <v>51.67</v>
      </c>
      <c r="I642" s="6">
        <f>IFERROR(VLOOKUP($B642,Platts!$E$5:$M$4994,MATCH(I$3,Platts!$F$5:$M$5,0)+1,FALSE),I641)</f>
        <v>56.52</v>
      </c>
      <c r="J642" s="6">
        <f t="shared" si="18"/>
        <v>2.6499999999999986</v>
      </c>
    </row>
    <row r="643" spans="2:10" x14ac:dyDescent="0.25">
      <c r="B643" s="5">
        <f t="shared" si="19"/>
        <v>43009</v>
      </c>
      <c r="C643" s="6">
        <f>IFERROR(VLOOKUP($B643,Platts!$E$5:$M$4994,MATCH(C$3,Platts!$F$5:$M$5,0)+1,FALSE),C642)</f>
        <v>49.02</v>
      </c>
      <c r="D643" s="6">
        <f>IFERROR(VLOOKUP($B643,Platts!$E$5:$M$4994,MATCH(D$3,Platts!$F$5:$M$5,0)+1,FALSE),D642)</f>
        <v>56.76</v>
      </c>
      <c r="E643" s="6">
        <f>IFERROR(VLOOKUP($B643,Platts!$E$5:$M$4994,MATCH(E$3,Platts!$F$5:$M$5,0)+1,FALSE),E642)</f>
        <v>49.56</v>
      </c>
      <c r="F643" s="6">
        <f>IFERROR(VLOOKUP($B643,Platts!$E$5:$M$4994,MATCH(F$3,Platts!$F$5:$M$5,0)+1,FALSE),F642)</f>
        <v>57.93</v>
      </c>
      <c r="G643" s="6">
        <f>IFERROR(VLOOKUP($B643,Platts!$E$5:$M$4994,MATCH(G$3,Platts!$F$5:$M$5,0)+1,FALSE),G642)</f>
        <v>57.33</v>
      </c>
      <c r="H643" s="6">
        <f>IFERROR(VLOOKUP($B643,Platts!$E$5:$M$4994,MATCH(H$3,Platts!$F$5:$M$5,0)+1,FALSE),H642)</f>
        <v>51.67</v>
      </c>
      <c r="I643" s="6">
        <f>IFERROR(VLOOKUP($B643,Platts!$E$5:$M$4994,MATCH(I$3,Platts!$F$5:$M$5,0)+1,FALSE),I642)</f>
        <v>56.52</v>
      </c>
      <c r="J643" s="6">
        <f t="shared" si="18"/>
        <v>2.6499999999999986</v>
      </c>
    </row>
    <row r="644" spans="2:10" x14ac:dyDescent="0.25">
      <c r="B644" s="5">
        <f t="shared" si="19"/>
        <v>43010</v>
      </c>
      <c r="C644" s="6">
        <f>IFERROR(VLOOKUP($B644,Platts!$E$5:$M$4994,MATCH(C$3,Platts!$F$5:$M$5,0)+1,FALSE),C643)</f>
        <v>47.6</v>
      </c>
      <c r="D644" s="6">
        <f>IFERROR(VLOOKUP($B644,Platts!$E$5:$M$4994,MATCH(D$3,Platts!$F$5:$M$5,0)+1,FALSE),D643)</f>
        <v>54.42</v>
      </c>
      <c r="E644" s="6">
        <f>IFERROR(VLOOKUP($B644,Platts!$E$5:$M$4994,MATCH(E$3,Platts!$F$5:$M$5,0)+1,FALSE),E643)</f>
        <v>47.62</v>
      </c>
      <c r="F644" s="6">
        <f>IFERROR(VLOOKUP($B644,Platts!$E$5:$M$4994,MATCH(F$3,Platts!$F$5:$M$5,0)+1,FALSE),F643)</f>
        <v>57.1</v>
      </c>
      <c r="G644" s="6">
        <f>IFERROR(VLOOKUP($B644,Platts!$E$5:$M$4994,MATCH(G$3,Platts!$F$5:$M$5,0)+1,FALSE),G643)</f>
        <v>55.79</v>
      </c>
      <c r="H644" s="6">
        <f>IFERROR(VLOOKUP($B644,Platts!$E$5:$M$4994,MATCH(H$3,Platts!$F$5:$M$5,0)+1,FALSE),H643)</f>
        <v>50.58</v>
      </c>
      <c r="I644" s="6">
        <f>IFERROR(VLOOKUP($B644,Platts!$E$5:$M$4994,MATCH(I$3,Platts!$F$5:$M$5,0)+1,FALSE),I643)</f>
        <v>55.63</v>
      </c>
      <c r="J644" s="6">
        <f t="shared" ref="J644:J707" si="20">H644-C644</f>
        <v>2.9799999999999969</v>
      </c>
    </row>
    <row r="645" spans="2:10" x14ac:dyDescent="0.25">
      <c r="B645" s="5">
        <f t="shared" si="19"/>
        <v>43011</v>
      </c>
      <c r="C645" s="6">
        <f>IFERROR(VLOOKUP($B645,Platts!$E$5:$M$4994,MATCH(C$3,Platts!$F$5:$M$5,0)+1,FALSE),C644)</f>
        <v>47.42</v>
      </c>
      <c r="D645" s="6">
        <f>IFERROR(VLOOKUP($B645,Platts!$E$5:$M$4994,MATCH(D$3,Platts!$F$5:$M$5,0)+1,FALSE),D644)</f>
        <v>54.31</v>
      </c>
      <c r="E645" s="6">
        <f>IFERROR(VLOOKUP($B645,Platts!$E$5:$M$4994,MATCH(E$3,Platts!$F$5:$M$5,0)+1,FALSE),E644)</f>
        <v>47.34</v>
      </c>
      <c r="F645" s="6">
        <f>IFERROR(VLOOKUP($B645,Platts!$E$5:$M$4994,MATCH(F$3,Platts!$F$5:$M$5,0)+1,FALSE),F644)</f>
        <v>57</v>
      </c>
      <c r="G645" s="6">
        <f>IFERROR(VLOOKUP($B645,Platts!$E$5:$M$4994,MATCH(G$3,Platts!$F$5:$M$5,0)+1,FALSE),G644)</f>
        <v>56.22</v>
      </c>
      <c r="H645" s="6">
        <f>IFERROR(VLOOKUP($B645,Platts!$E$5:$M$4994,MATCH(H$3,Platts!$F$5:$M$5,0)+1,FALSE),H644)</f>
        <v>50.42</v>
      </c>
      <c r="I645" s="6">
        <f>IFERROR(VLOOKUP($B645,Platts!$E$5:$M$4994,MATCH(I$3,Platts!$F$5:$M$5,0)+1,FALSE),I644)</f>
        <v>55.57</v>
      </c>
      <c r="J645" s="6">
        <f t="shared" si="20"/>
        <v>3</v>
      </c>
    </row>
    <row r="646" spans="2:10" x14ac:dyDescent="0.25">
      <c r="B646" s="5">
        <f t="shared" ref="B646:B709" si="21">B645+1</f>
        <v>43012</v>
      </c>
      <c r="C646" s="6">
        <f>IFERROR(VLOOKUP($B646,Platts!$E$5:$M$4994,MATCH(C$3,Platts!$F$5:$M$5,0)+1,FALSE),C645)</f>
        <v>47.34</v>
      </c>
      <c r="D646" s="6">
        <f>IFERROR(VLOOKUP($B646,Platts!$E$5:$M$4994,MATCH(D$3,Platts!$F$5:$M$5,0)+1,FALSE),D645)</f>
        <v>54.2</v>
      </c>
      <c r="E646" s="6">
        <f>IFERROR(VLOOKUP($B646,Platts!$E$5:$M$4994,MATCH(E$3,Platts!$F$5:$M$5,0)+1,FALSE),E645)</f>
        <v>47.47</v>
      </c>
      <c r="F646" s="6">
        <f>IFERROR(VLOOKUP($B646,Platts!$E$5:$M$4994,MATCH(F$3,Platts!$F$5:$M$5,0)+1,FALSE),F645)</f>
        <v>56.87</v>
      </c>
      <c r="G646" s="6">
        <f>IFERROR(VLOOKUP($B646,Platts!$E$5:$M$4994,MATCH(G$3,Platts!$F$5:$M$5,0)+1,FALSE),G645)</f>
        <v>56.14</v>
      </c>
      <c r="H646" s="6">
        <f>IFERROR(VLOOKUP($B646,Platts!$E$5:$M$4994,MATCH(H$3,Platts!$F$5:$M$5,0)+1,FALSE),H645)</f>
        <v>49.98</v>
      </c>
      <c r="I646" s="6">
        <f>IFERROR(VLOOKUP($B646,Platts!$E$5:$M$4994,MATCH(I$3,Platts!$F$5:$M$5,0)+1,FALSE),I645)</f>
        <v>55.18</v>
      </c>
      <c r="J646" s="6">
        <f t="shared" si="20"/>
        <v>2.6399999999999935</v>
      </c>
    </row>
    <row r="647" spans="2:10" x14ac:dyDescent="0.25">
      <c r="B647" s="5">
        <f t="shared" si="21"/>
        <v>43013</v>
      </c>
      <c r="C647" s="6">
        <f>IFERROR(VLOOKUP($B647,Platts!$E$5:$M$4994,MATCH(C$3,Platts!$F$5:$M$5,0)+1,FALSE),C646)</f>
        <v>48.23</v>
      </c>
      <c r="D647" s="6">
        <f>IFERROR(VLOOKUP($B647,Platts!$E$5:$M$4994,MATCH(D$3,Platts!$F$5:$M$5,0)+1,FALSE),D646)</f>
        <v>55.17</v>
      </c>
      <c r="E647" s="6">
        <f>IFERROR(VLOOKUP($B647,Platts!$E$5:$M$4994,MATCH(E$3,Platts!$F$5:$M$5,0)+1,FALSE),E646)</f>
        <v>48.52</v>
      </c>
      <c r="F647" s="6">
        <f>IFERROR(VLOOKUP($B647,Platts!$E$5:$M$4994,MATCH(F$3,Platts!$F$5:$M$5,0)+1,FALSE),F646)</f>
        <v>57.91</v>
      </c>
      <c r="G647" s="6">
        <f>IFERROR(VLOOKUP($B647,Platts!$E$5:$M$4994,MATCH(G$3,Platts!$F$5:$M$5,0)+1,FALSE),G646)</f>
        <v>57.15</v>
      </c>
      <c r="H647" s="6">
        <f>IFERROR(VLOOKUP($B647,Platts!$E$5:$M$4994,MATCH(H$3,Platts!$F$5:$M$5,0)+1,FALSE),H646)</f>
        <v>50.79</v>
      </c>
      <c r="I647" s="6">
        <f>IFERROR(VLOOKUP($B647,Platts!$E$5:$M$4994,MATCH(I$3,Platts!$F$5:$M$5,0)+1,FALSE),I646)</f>
        <v>56.09</v>
      </c>
      <c r="J647" s="6">
        <f t="shared" si="20"/>
        <v>2.5600000000000023</v>
      </c>
    </row>
    <row r="648" spans="2:10" x14ac:dyDescent="0.25">
      <c r="B648" s="5">
        <f t="shared" si="21"/>
        <v>43014</v>
      </c>
      <c r="C648" s="6">
        <f>IFERROR(VLOOKUP($B648,Platts!$E$5:$M$4994,MATCH(C$3,Platts!$F$5:$M$5,0)+1,FALSE),C647)</f>
        <v>47.03</v>
      </c>
      <c r="D648" s="6">
        <f>IFERROR(VLOOKUP($B648,Platts!$E$5:$M$4994,MATCH(D$3,Platts!$F$5:$M$5,0)+1,FALSE),D647)</f>
        <v>53.8</v>
      </c>
      <c r="E648" s="6">
        <f>IFERROR(VLOOKUP($B648,Platts!$E$5:$M$4994,MATCH(E$3,Platts!$F$5:$M$5,0)+1,FALSE),E647)</f>
        <v>47.16</v>
      </c>
      <c r="F648" s="6">
        <f>IFERROR(VLOOKUP($B648,Platts!$E$5:$M$4994,MATCH(F$3,Platts!$F$5:$M$5,0)+1,FALSE),F647)</f>
        <v>56.55</v>
      </c>
      <c r="G648" s="6">
        <f>IFERROR(VLOOKUP($B648,Platts!$E$5:$M$4994,MATCH(G$3,Platts!$F$5:$M$5,0)+1,FALSE),G647)</f>
        <v>55.26</v>
      </c>
      <c r="H648" s="6">
        <f>IFERROR(VLOOKUP($B648,Platts!$E$5:$M$4994,MATCH(H$3,Platts!$F$5:$M$5,0)+1,FALSE),H647)</f>
        <v>49.29</v>
      </c>
      <c r="I648" s="6">
        <f>IFERROR(VLOOKUP($B648,Platts!$E$5:$M$4994,MATCH(I$3,Platts!$F$5:$M$5,0)+1,FALSE),I647)</f>
        <v>54.94</v>
      </c>
      <c r="J648" s="6">
        <f t="shared" si="20"/>
        <v>2.259999999999998</v>
      </c>
    </row>
    <row r="649" spans="2:10" x14ac:dyDescent="0.25">
      <c r="B649" s="5">
        <f t="shared" si="21"/>
        <v>43015</v>
      </c>
      <c r="C649" s="6">
        <f>IFERROR(VLOOKUP($B649,Platts!$E$5:$M$4994,MATCH(C$3,Platts!$F$5:$M$5,0)+1,FALSE),C648)</f>
        <v>47.03</v>
      </c>
      <c r="D649" s="6">
        <f>IFERROR(VLOOKUP($B649,Platts!$E$5:$M$4994,MATCH(D$3,Platts!$F$5:$M$5,0)+1,FALSE),D648)</f>
        <v>53.8</v>
      </c>
      <c r="E649" s="6">
        <f>IFERROR(VLOOKUP($B649,Platts!$E$5:$M$4994,MATCH(E$3,Platts!$F$5:$M$5,0)+1,FALSE),E648)</f>
        <v>47.16</v>
      </c>
      <c r="F649" s="6">
        <f>IFERROR(VLOOKUP($B649,Platts!$E$5:$M$4994,MATCH(F$3,Platts!$F$5:$M$5,0)+1,FALSE),F648)</f>
        <v>56.55</v>
      </c>
      <c r="G649" s="6">
        <f>IFERROR(VLOOKUP($B649,Platts!$E$5:$M$4994,MATCH(G$3,Platts!$F$5:$M$5,0)+1,FALSE),G648)</f>
        <v>55.26</v>
      </c>
      <c r="H649" s="6">
        <f>IFERROR(VLOOKUP($B649,Platts!$E$5:$M$4994,MATCH(H$3,Platts!$F$5:$M$5,0)+1,FALSE),H648)</f>
        <v>49.29</v>
      </c>
      <c r="I649" s="6">
        <f>IFERROR(VLOOKUP($B649,Platts!$E$5:$M$4994,MATCH(I$3,Platts!$F$5:$M$5,0)+1,FALSE),I648)</f>
        <v>54.94</v>
      </c>
      <c r="J649" s="6">
        <f t="shared" si="20"/>
        <v>2.259999999999998</v>
      </c>
    </row>
    <row r="650" spans="2:10" x14ac:dyDescent="0.25">
      <c r="B650" s="5">
        <f t="shared" si="21"/>
        <v>43016</v>
      </c>
      <c r="C650" s="6">
        <f>IFERROR(VLOOKUP($B650,Platts!$E$5:$M$4994,MATCH(C$3,Platts!$F$5:$M$5,0)+1,FALSE),C649)</f>
        <v>47.03</v>
      </c>
      <c r="D650" s="6">
        <f>IFERROR(VLOOKUP($B650,Platts!$E$5:$M$4994,MATCH(D$3,Platts!$F$5:$M$5,0)+1,FALSE),D649)</f>
        <v>53.8</v>
      </c>
      <c r="E650" s="6">
        <f>IFERROR(VLOOKUP($B650,Platts!$E$5:$M$4994,MATCH(E$3,Platts!$F$5:$M$5,0)+1,FALSE),E649)</f>
        <v>47.16</v>
      </c>
      <c r="F650" s="6">
        <f>IFERROR(VLOOKUP($B650,Platts!$E$5:$M$4994,MATCH(F$3,Platts!$F$5:$M$5,0)+1,FALSE),F649)</f>
        <v>56.55</v>
      </c>
      <c r="G650" s="6">
        <f>IFERROR(VLOOKUP($B650,Platts!$E$5:$M$4994,MATCH(G$3,Platts!$F$5:$M$5,0)+1,FALSE),G649)</f>
        <v>55.26</v>
      </c>
      <c r="H650" s="6">
        <f>IFERROR(VLOOKUP($B650,Platts!$E$5:$M$4994,MATCH(H$3,Platts!$F$5:$M$5,0)+1,FALSE),H649)</f>
        <v>49.29</v>
      </c>
      <c r="I650" s="6">
        <f>IFERROR(VLOOKUP($B650,Platts!$E$5:$M$4994,MATCH(I$3,Platts!$F$5:$M$5,0)+1,FALSE),I649)</f>
        <v>54.94</v>
      </c>
      <c r="J650" s="6">
        <f t="shared" si="20"/>
        <v>2.259999999999998</v>
      </c>
    </row>
    <row r="651" spans="2:10" x14ac:dyDescent="0.25">
      <c r="B651" s="5">
        <f t="shared" si="21"/>
        <v>43017</v>
      </c>
      <c r="C651" s="6">
        <f>IFERROR(VLOOKUP($B651,Platts!$E$5:$M$4994,MATCH(C$3,Platts!$F$5:$M$5,0)+1,FALSE),C650)</f>
        <v>47</v>
      </c>
      <c r="D651" s="6">
        <f>IFERROR(VLOOKUP($B651,Platts!$E$5:$M$4994,MATCH(D$3,Platts!$F$5:$M$5,0)+1,FALSE),D650)</f>
        <v>54.04</v>
      </c>
      <c r="E651" s="6">
        <f>IFERROR(VLOOKUP($B651,Platts!$E$5:$M$4994,MATCH(E$3,Platts!$F$5:$M$5,0)+1,FALSE),E650)</f>
        <v>47.33</v>
      </c>
      <c r="F651" s="6">
        <f>IFERROR(VLOOKUP($B651,Platts!$E$5:$M$4994,MATCH(F$3,Platts!$F$5:$M$5,0)+1,FALSE),F650)</f>
        <v>56.73</v>
      </c>
      <c r="G651" s="6">
        <f>IFERROR(VLOOKUP($B651,Platts!$E$5:$M$4994,MATCH(G$3,Platts!$F$5:$M$5,0)+1,FALSE),G650)</f>
        <v>55.59</v>
      </c>
      <c r="H651" s="6">
        <f>IFERROR(VLOOKUP($B651,Platts!$E$5:$M$4994,MATCH(H$3,Platts!$F$5:$M$5,0)+1,FALSE),H650)</f>
        <v>49.58</v>
      </c>
      <c r="I651" s="6">
        <f>IFERROR(VLOOKUP($B651,Platts!$E$5:$M$4994,MATCH(I$3,Platts!$F$5:$M$5,0)+1,FALSE),I650)</f>
        <v>55.28</v>
      </c>
      <c r="J651" s="6">
        <f t="shared" si="20"/>
        <v>2.5799999999999983</v>
      </c>
    </row>
    <row r="652" spans="2:10" x14ac:dyDescent="0.25">
      <c r="B652" s="5">
        <f t="shared" si="21"/>
        <v>43018</v>
      </c>
      <c r="C652" s="6">
        <f>IFERROR(VLOOKUP($B652,Platts!$E$5:$M$4994,MATCH(C$3,Platts!$F$5:$M$5,0)+1,FALSE),C651)</f>
        <v>48.02</v>
      </c>
      <c r="D652" s="6">
        <f>IFERROR(VLOOKUP($B652,Platts!$E$5:$M$4994,MATCH(D$3,Platts!$F$5:$M$5,0)+1,FALSE),D651)</f>
        <v>55.23</v>
      </c>
      <c r="E652" s="6">
        <f>IFERROR(VLOOKUP($B652,Platts!$E$5:$M$4994,MATCH(E$3,Platts!$F$5:$M$5,0)+1,FALSE),E651)</f>
        <v>48.43</v>
      </c>
      <c r="F652" s="6">
        <f>IFERROR(VLOOKUP($B652,Platts!$E$5:$M$4994,MATCH(F$3,Platts!$F$5:$M$5,0)+1,FALSE),F651)</f>
        <v>57.85</v>
      </c>
      <c r="G652" s="6">
        <f>IFERROR(VLOOKUP($B652,Platts!$E$5:$M$4994,MATCH(G$3,Platts!$F$5:$M$5,0)+1,FALSE),G651)</f>
        <v>56.75</v>
      </c>
      <c r="H652" s="6">
        <f>IFERROR(VLOOKUP($B652,Platts!$E$5:$M$4994,MATCH(H$3,Platts!$F$5:$M$5,0)+1,FALSE),H651)</f>
        <v>50.92</v>
      </c>
      <c r="I652" s="6">
        <f>IFERROR(VLOOKUP($B652,Platts!$E$5:$M$4994,MATCH(I$3,Platts!$F$5:$M$5,0)+1,FALSE),I651)</f>
        <v>56.62</v>
      </c>
      <c r="J652" s="6">
        <f t="shared" si="20"/>
        <v>2.8999999999999986</v>
      </c>
    </row>
    <row r="653" spans="2:10" x14ac:dyDescent="0.25">
      <c r="B653" s="5">
        <f t="shared" si="21"/>
        <v>43019</v>
      </c>
      <c r="C653" s="6">
        <f>IFERROR(VLOOKUP($B653,Platts!$E$5:$M$4994,MATCH(C$3,Platts!$F$5:$M$5,0)+1,FALSE),C652)</f>
        <v>48.27</v>
      </c>
      <c r="D653" s="6">
        <f>IFERROR(VLOOKUP($B653,Platts!$E$5:$M$4994,MATCH(D$3,Platts!$F$5:$M$5,0)+1,FALSE),D652)</f>
        <v>55.69</v>
      </c>
      <c r="E653" s="6">
        <f>IFERROR(VLOOKUP($B653,Platts!$E$5:$M$4994,MATCH(E$3,Platts!$F$5:$M$5,0)+1,FALSE),E652)</f>
        <v>49.02</v>
      </c>
      <c r="F653" s="6">
        <f>IFERROR(VLOOKUP($B653,Platts!$E$5:$M$4994,MATCH(F$3,Platts!$F$5:$M$5,0)+1,FALSE),F652)</f>
        <v>58.28</v>
      </c>
      <c r="G653" s="6">
        <f>IFERROR(VLOOKUP($B653,Platts!$E$5:$M$4994,MATCH(G$3,Platts!$F$5:$M$5,0)+1,FALSE),G652)</f>
        <v>56.35</v>
      </c>
      <c r="H653" s="6">
        <f>IFERROR(VLOOKUP($B653,Platts!$E$5:$M$4994,MATCH(H$3,Platts!$F$5:$M$5,0)+1,FALSE),H652)</f>
        <v>51.3</v>
      </c>
      <c r="I653" s="6">
        <f>IFERROR(VLOOKUP($B653,Platts!$E$5:$M$4994,MATCH(I$3,Platts!$F$5:$M$5,0)+1,FALSE),I652)</f>
        <v>56.9</v>
      </c>
      <c r="J653" s="6">
        <f t="shared" si="20"/>
        <v>3.029999999999994</v>
      </c>
    </row>
    <row r="654" spans="2:10" x14ac:dyDescent="0.25">
      <c r="B654" s="5">
        <f t="shared" si="21"/>
        <v>43020</v>
      </c>
      <c r="C654" s="6">
        <f>IFERROR(VLOOKUP($B654,Platts!$E$5:$M$4994,MATCH(C$3,Platts!$F$5:$M$5,0)+1,FALSE),C653)</f>
        <v>47.99</v>
      </c>
      <c r="D654" s="6">
        <f>IFERROR(VLOOKUP($B654,Platts!$E$5:$M$4994,MATCH(D$3,Platts!$F$5:$M$5,0)+1,FALSE),D653)</f>
        <v>54.98</v>
      </c>
      <c r="E654" s="6">
        <f>IFERROR(VLOOKUP($B654,Platts!$E$5:$M$4994,MATCH(E$3,Platts!$F$5:$M$5,0)+1,FALSE),E653)</f>
        <v>48.37</v>
      </c>
      <c r="F654" s="6">
        <f>IFERROR(VLOOKUP($B654,Platts!$E$5:$M$4994,MATCH(F$3,Platts!$F$5:$M$5,0)+1,FALSE),F653)</f>
        <v>57.59</v>
      </c>
      <c r="G654" s="6">
        <f>IFERROR(VLOOKUP($B654,Platts!$E$5:$M$4994,MATCH(G$3,Platts!$F$5:$M$5,0)+1,FALSE),G653)</f>
        <v>56.15</v>
      </c>
      <c r="H654" s="6">
        <f>IFERROR(VLOOKUP($B654,Platts!$E$5:$M$4994,MATCH(H$3,Platts!$F$5:$M$5,0)+1,FALSE),H653)</f>
        <v>50.6</v>
      </c>
      <c r="I654" s="6">
        <f>IFERROR(VLOOKUP($B654,Platts!$E$5:$M$4994,MATCH(I$3,Platts!$F$5:$M$5,0)+1,FALSE),I653)</f>
        <v>56.15</v>
      </c>
      <c r="J654" s="6">
        <f t="shared" si="20"/>
        <v>2.6099999999999994</v>
      </c>
    </row>
    <row r="655" spans="2:10" x14ac:dyDescent="0.25">
      <c r="B655" s="5">
        <f t="shared" si="21"/>
        <v>43021</v>
      </c>
      <c r="C655" s="6">
        <f>IFERROR(VLOOKUP($B655,Platts!$E$5:$M$4994,MATCH(C$3,Platts!$F$5:$M$5,0)+1,FALSE),C654)</f>
        <v>48.6</v>
      </c>
      <c r="D655" s="6">
        <f>IFERROR(VLOOKUP($B655,Platts!$E$5:$M$4994,MATCH(D$3,Platts!$F$5:$M$5,0)+1,FALSE),D654)</f>
        <v>55.85</v>
      </c>
      <c r="E655" s="6">
        <f>IFERROR(VLOOKUP($B655,Platts!$E$5:$M$4994,MATCH(E$3,Platts!$F$5:$M$5,0)+1,FALSE),E654)</f>
        <v>49</v>
      </c>
      <c r="F655" s="6">
        <f>IFERROR(VLOOKUP($B655,Platts!$E$5:$M$4994,MATCH(F$3,Platts!$F$5:$M$5,0)+1,FALSE),F654)</f>
        <v>58.46</v>
      </c>
      <c r="G655" s="6">
        <f>IFERROR(VLOOKUP($B655,Platts!$E$5:$M$4994,MATCH(G$3,Platts!$F$5:$M$5,0)+1,FALSE),G654)</f>
        <v>57.18</v>
      </c>
      <c r="H655" s="6">
        <f>IFERROR(VLOOKUP($B655,Platts!$E$5:$M$4994,MATCH(H$3,Platts!$F$5:$M$5,0)+1,FALSE),H654)</f>
        <v>51.45</v>
      </c>
      <c r="I655" s="6">
        <f>IFERROR(VLOOKUP($B655,Platts!$E$5:$M$4994,MATCH(I$3,Platts!$F$5:$M$5,0)+1,FALSE),I654)</f>
        <v>57.3</v>
      </c>
      <c r="J655" s="6">
        <f t="shared" si="20"/>
        <v>2.8500000000000014</v>
      </c>
    </row>
    <row r="656" spans="2:10" x14ac:dyDescent="0.25">
      <c r="B656" s="5">
        <f t="shared" si="21"/>
        <v>43022</v>
      </c>
      <c r="C656" s="6">
        <f>IFERROR(VLOOKUP($B656,Platts!$E$5:$M$4994,MATCH(C$3,Platts!$F$5:$M$5,0)+1,FALSE),C655)</f>
        <v>48.6</v>
      </c>
      <c r="D656" s="6">
        <f>IFERROR(VLOOKUP($B656,Platts!$E$5:$M$4994,MATCH(D$3,Platts!$F$5:$M$5,0)+1,FALSE),D655)</f>
        <v>55.85</v>
      </c>
      <c r="E656" s="6">
        <f>IFERROR(VLOOKUP($B656,Platts!$E$5:$M$4994,MATCH(E$3,Platts!$F$5:$M$5,0)+1,FALSE),E655)</f>
        <v>49</v>
      </c>
      <c r="F656" s="6">
        <f>IFERROR(VLOOKUP($B656,Platts!$E$5:$M$4994,MATCH(F$3,Platts!$F$5:$M$5,0)+1,FALSE),F655)</f>
        <v>58.46</v>
      </c>
      <c r="G656" s="6">
        <f>IFERROR(VLOOKUP($B656,Platts!$E$5:$M$4994,MATCH(G$3,Platts!$F$5:$M$5,0)+1,FALSE),G655)</f>
        <v>57.18</v>
      </c>
      <c r="H656" s="6">
        <f>IFERROR(VLOOKUP($B656,Platts!$E$5:$M$4994,MATCH(H$3,Platts!$F$5:$M$5,0)+1,FALSE),H655)</f>
        <v>51.45</v>
      </c>
      <c r="I656" s="6">
        <f>IFERROR(VLOOKUP($B656,Platts!$E$5:$M$4994,MATCH(I$3,Platts!$F$5:$M$5,0)+1,FALSE),I655)</f>
        <v>57.3</v>
      </c>
      <c r="J656" s="6">
        <f t="shared" si="20"/>
        <v>2.8500000000000014</v>
      </c>
    </row>
    <row r="657" spans="2:10" x14ac:dyDescent="0.25">
      <c r="B657" s="5">
        <f t="shared" si="21"/>
        <v>43023</v>
      </c>
      <c r="C657" s="6">
        <f>IFERROR(VLOOKUP($B657,Platts!$E$5:$M$4994,MATCH(C$3,Platts!$F$5:$M$5,0)+1,FALSE),C656)</f>
        <v>48.6</v>
      </c>
      <c r="D657" s="6">
        <f>IFERROR(VLOOKUP($B657,Platts!$E$5:$M$4994,MATCH(D$3,Platts!$F$5:$M$5,0)+1,FALSE),D656)</f>
        <v>55.85</v>
      </c>
      <c r="E657" s="6">
        <f>IFERROR(VLOOKUP($B657,Platts!$E$5:$M$4994,MATCH(E$3,Platts!$F$5:$M$5,0)+1,FALSE),E656)</f>
        <v>49</v>
      </c>
      <c r="F657" s="6">
        <f>IFERROR(VLOOKUP($B657,Platts!$E$5:$M$4994,MATCH(F$3,Platts!$F$5:$M$5,0)+1,FALSE),F656)</f>
        <v>58.46</v>
      </c>
      <c r="G657" s="6">
        <f>IFERROR(VLOOKUP($B657,Platts!$E$5:$M$4994,MATCH(G$3,Platts!$F$5:$M$5,0)+1,FALSE),G656)</f>
        <v>57.18</v>
      </c>
      <c r="H657" s="6">
        <f>IFERROR(VLOOKUP($B657,Platts!$E$5:$M$4994,MATCH(H$3,Platts!$F$5:$M$5,0)+1,FALSE),H656)</f>
        <v>51.45</v>
      </c>
      <c r="I657" s="6">
        <f>IFERROR(VLOOKUP($B657,Platts!$E$5:$M$4994,MATCH(I$3,Platts!$F$5:$M$5,0)+1,FALSE),I656)</f>
        <v>57.3</v>
      </c>
      <c r="J657" s="6">
        <f t="shared" si="20"/>
        <v>2.8500000000000014</v>
      </c>
    </row>
    <row r="658" spans="2:10" x14ac:dyDescent="0.25">
      <c r="B658" s="5">
        <f t="shared" si="21"/>
        <v>43024</v>
      </c>
      <c r="C658" s="6">
        <f>IFERROR(VLOOKUP($B658,Platts!$E$5:$M$4994,MATCH(C$3,Platts!$F$5:$M$5,0)+1,FALSE),C657)</f>
        <v>49.33</v>
      </c>
      <c r="D658" s="6">
        <f>IFERROR(VLOOKUP($B658,Platts!$E$5:$M$4994,MATCH(D$3,Platts!$F$5:$M$5,0)+1,FALSE),D657)</f>
        <v>56.45</v>
      </c>
      <c r="E658" s="6">
        <f>IFERROR(VLOOKUP($B658,Platts!$E$5:$M$4994,MATCH(E$3,Platts!$F$5:$M$5,0)+1,FALSE),E657)</f>
        <v>49.66</v>
      </c>
      <c r="F658" s="6">
        <f>IFERROR(VLOOKUP($B658,Platts!$E$5:$M$4994,MATCH(F$3,Platts!$F$5:$M$5,0)+1,FALSE),F657)</f>
        <v>59.1</v>
      </c>
      <c r="G658" s="6">
        <f>IFERROR(VLOOKUP($B658,Platts!$E$5:$M$4994,MATCH(G$3,Platts!$F$5:$M$5,0)+1,FALSE),G657)</f>
        <v>57.88</v>
      </c>
      <c r="H658" s="6">
        <f>IFERROR(VLOOKUP($B658,Platts!$E$5:$M$4994,MATCH(H$3,Platts!$F$5:$M$5,0)+1,FALSE),H657)</f>
        <v>51.87</v>
      </c>
      <c r="I658" s="6">
        <f>IFERROR(VLOOKUP($B658,Platts!$E$5:$M$4994,MATCH(I$3,Platts!$F$5:$M$5,0)+1,FALSE),I657)</f>
        <v>57.67</v>
      </c>
      <c r="J658" s="6">
        <f t="shared" si="20"/>
        <v>2.5399999999999991</v>
      </c>
    </row>
    <row r="659" spans="2:10" x14ac:dyDescent="0.25">
      <c r="B659" s="5">
        <f t="shared" si="21"/>
        <v>43025</v>
      </c>
      <c r="C659" s="6">
        <f>IFERROR(VLOOKUP($B659,Platts!$E$5:$M$4994,MATCH(C$3,Platts!$F$5:$M$5,0)+1,FALSE),C658)</f>
        <v>49.25</v>
      </c>
      <c r="D659" s="6">
        <f>IFERROR(VLOOKUP($B659,Platts!$E$5:$M$4994,MATCH(D$3,Platts!$F$5:$M$5,0)+1,FALSE),D658)</f>
        <v>56.6</v>
      </c>
      <c r="E659" s="6">
        <f>IFERROR(VLOOKUP($B659,Platts!$E$5:$M$4994,MATCH(E$3,Platts!$F$5:$M$5,0)+1,FALSE),E658)</f>
        <v>49.83</v>
      </c>
      <c r="F659" s="6">
        <f>IFERROR(VLOOKUP($B659,Platts!$E$5:$M$4994,MATCH(F$3,Platts!$F$5:$M$5,0)+1,FALSE),F658)</f>
        <v>59.28</v>
      </c>
      <c r="G659" s="6">
        <f>IFERROR(VLOOKUP($B659,Platts!$E$5:$M$4994,MATCH(G$3,Platts!$F$5:$M$5,0)+1,FALSE),G658)</f>
        <v>57.61</v>
      </c>
      <c r="H659" s="6">
        <f>IFERROR(VLOOKUP($B659,Platts!$E$5:$M$4994,MATCH(H$3,Platts!$F$5:$M$5,0)+1,FALSE),H658)</f>
        <v>51.88</v>
      </c>
      <c r="I659" s="6">
        <f>IFERROR(VLOOKUP($B659,Platts!$E$5:$M$4994,MATCH(I$3,Platts!$F$5:$M$5,0)+1,FALSE),I658)</f>
        <v>57.83</v>
      </c>
      <c r="J659" s="6">
        <f t="shared" si="20"/>
        <v>2.6300000000000026</v>
      </c>
    </row>
    <row r="660" spans="2:10" x14ac:dyDescent="0.25">
      <c r="B660" s="5">
        <f t="shared" si="21"/>
        <v>43026</v>
      </c>
      <c r="C660" s="6">
        <f>IFERROR(VLOOKUP($B660,Platts!$E$5:$M$4994,MATCH(C$3,Platts!$F$5:$M$5,0)+1,FALSE),C659)</f>
        <v>49.25</v>
      </c>
      <c r="D660" s="6">
        <f>IFERROR(VLOOKUP($B660,Platts!$E$5:$M$4994,MATCH(D$3,Platts!$F$5:$M$5,0)+1,FALSE),D659)</f>
        <v>57.09</v>
      </c>
      <c r="E660" s="6">
        <f>IFERROR(VLOOKUP($B660,Platts!$E$5:$M$4994,MATCH(E$3,Platts!$F$5:$M$5,0)+1,FALSE),E659)</f>
        <v>50.24</v>
      </c>
      <c r="F660" s="6">
        <f>IFERROR(VLOOKUP($B660,Platts!$E$5:$M$4994,MATCH(F$3,Platts!$F$5:$M$5,0)+1,FALSE),F659)</f>
        <v>59.73</v>
      </c>
      <c r="G660" s="6">
        <f>IFERROR(VLOOKUP($B660,Platts!$E$5:$M$4994,MATCH(G$3,Platts!$F$5:$M$5,0)+1,FALSE),G659)</f>
        <v>57.79</v>
      </c>
      <c r="H660" s="6">
        <f>IFERROR(VLOOKUP($B660,Platts!$E$5:$M$4994,MATCH(H$3,Platts!$F$5:$M$5,0)+1,FALSE),H659)</f>
        <v>52.04</v>
      </c>
      <c r="I660" s="6">
        <f>IFERROR(VLOOKUP($B660,Platts!$E$5:$M$4994,MATCH(I$3,Platts!$F$5:$M$5,0)+1,FALSE),I659)</f>
        <v>58.34</v>
      </c>
      <c r="J660" s="6">
        <f t="shared" si="20"/>
        <v>2.7899999999999991</v>
      </c>
    </row>
    <row r="661" spans="2:10" x14ac:dyDescent="0.25">
      <c r="B661" s="5">
        <f t="shared" si="21"/>
        <v>43027</v>
      </c>
      <c r="C661" s="6">
        <f>IFERROR(VLOOKUP($B661,Platts!$E$5:$M$4994,MATCH(C$3,Platts!$F$5:$M$5,0)+1,FALSE),C660)</f>
        <v>48.98</v>
      </c>
      <c r="D661" s="6">
        <f>IFERROR(VLOOKUP($B661,Platts!$E$5:$M$4994,MATCH(D$3,Platts!$F$5:$M$5,0)+1,FALSE),D660)</f>
        <v>56.25</v>
      </c>
      <c r="E661" s="6">
        <f>IFERROR(VLOOKUP($B661,Platts!$E$5:$M$4994,MATCH(E$3,Platts!$F$5:$M$5,0)+1,FALSE),E660)</f>
        <v>49.51</v>
      </c>
      <c r="F661" s="6">
        <f>IFERROR(VLOOKUP($B661,Platts!$E$5:$M$4994,MATCH(F$3,Platts!$F$5:$M$5,0)+1,FALSE),F660)</f>
        <v>58.88</v>
      </c>
      <c r="G661" s="6">
        <f>IFERROR(VLOOKUP($B661,Platts!$E$5:$M$4994,MATCH(G$3,Platts!$F$5:$M$5,0)+1,FALSE),G660)</f>
        <v>57.63</v>
      </c>
      <c r="H661" s="6">
        <f>IFERROR(VLOOKUP($B661,Platts!$E$5:$M$4994,MATCH(H$3,Platts!$F$5:$M$5,0)+1,FALSE),H660)</f>
        <v>51.29</v>
      </c>
      <c r="I661" s="6">
        <f>IFERROR(VLOOKUP($B661,Platts!$E$5:$M$4994,MATCH(I$3,Platts!$F$5:$M$5,0)+1,FALSE),I660)</f>
        <v>57.64</v>
      </c>
      <c r="J661" s="6">
        <f t="shared" si="20"/>
        <v>2.3100000000000023</v>
      </c>
    </row>
    <row r="662" spans="2:10" x14ac:dyDescent="0.25">
      <c r="B662" s="5">
        <f t="shared" si="21"/>
        <v>43028</v>
      </c>
      <c r="C662" s="6">
        <f>IFERROR(VLOOKUP($B662,Platts!$E$5:$M$4994,MATCH(C$3,Platts!$F$5:$M$5,0)+1,FALSE),C661)</f>
        <v>49.11</v>
      </c>
      <c r="D662" s="6">
        <f>IFERROR(VLOOKUP($B662,Platts!$E$5:$M$4994,MATCH(D$3,Platts!$F$5:$M$5,0)+1,FALSE),D661)</f>
        <v>56.46</v>
      </c>
      <c r="E662" s="6">
        <f>IFERROR(VLOOKUP($B662,Platts!$E$5:$M$4994,MATCH(E$3,Platts!$F$5:$M$5,0)+1,FALSE),E661)</f>
        <v>49.63</v>
      </c>
      <c r="F662" s="6">
        <f>IFERROR(VLOOKUP($B662,Platts!$E$5:$M$4994,MATCH(F$3,Platts!$F$5:$M$5,0)+1,FALSE),F661)</f>
        <v>59.15</v>
      </c>
      <c r="G662" s="6">
        <f>IFERROR(VLOOKUP($B662,Platts!$E$5:$M$4994,MATCH(G$3,Platts!$F$5:$M$5,0)+1,FALSE),G661)</f>
        <v>57.73</v>
      </c>
      <c r="H662" s="6">
        <f>IFERROR(VLOOKUP($B662,Platts!$E$5:$M$4994,MATCH(H$3,Platts!$F$5:$M$5,0)+1,FALSE),H661)</f>
        <v>51.47</v>
      </c>
      <c r="I662" s="6">
        <f>IFERROR(VLOOKUP($B662,Platts!$E$5:$M$4994,MATCH(I$3,Platts!$F$5:$M$5,0)+1,FALSE),I661)</f>
        <v>57.87</v>
      </c>
      <c r="J662" s="6">
        <f t="shared" si="20"/>
        <v>2.3599999999999994</v>
      </c>
    </row>
    <row r="663" spans="2:10" x14ac:dyDescent="0.25">
      <c r="B663" s="5">
        <f t="shared" si="21"/>
        <v>43029</v>
      </c>
      <c r="C663" s="6">
        <f>IFERROR(VLOOKUP($B663,Platts!$E$5:$M$4994,MATCH(C$3,Platts!$F$5:$M$5,0)+1,FALSE),C662)</f>
        <v>49.11</v>
      </c>
      <c r="D663" s="6">
        <f>IFERROR(VLOOKUP($B663,Platts!$E$5:$M$4994,MATCH(D$3,Platts!$F$5:$M$5,0)+1,FALSE),D662)</f>
        <v>56.46</v>
      </c>
      <c r="E663" s="6">
        <f>IFERROR(VLOOKUP($B663,Platts!$E$5:$M$4994,MATCH(E$3,Platts!$F$5:$M$5,0)+1,FALSE),E662)</f>
        <v>49.63</v>
      </c>
      <c r="F663" s="6">
        <f>IFERROR(VLOOKUP($B663,Platts!$E$5:$M$4994,MATCH(F$3,Platts!$F$5:$M$5,0)+1,FALSE),F662)</f>
        <v>59.15</v>
      </c>
      <c r="G663" s="6">
        <f>IFERROR(VLOOKUP($B663,Platts!$E$5:$M$4994,MATCH(G$3,Platts!$F$5:$M$5,0)+1,FALSE),G662)</f>
        <v>57.73</v>
      </c>
      <c r="H663" s="6">
        <f>IFERROR(VLOOKUP($B663,Platts!$E$5:$M$4994,MATCH(H$3,Platts!$F$5:$M$5,0)+1,FALSE),H662)</f>
        <v>51.47</v>
      </c>
      <c r="I663" s="6">
        <f>IFERROR(VLOOKUP($B663,Platts!$E$5:$M$4994,MATCH(I$3,Platts!$F$5:$M$5,0)+1,FALSE),I662)</f>
        <v>57.87</v>
      </c>
      <c r="J663" s="6">
        <f t="shared" si="20"/>
        <v>2.3599999999999994</v>
      </c>
    </row>
    <row r="664" spans="2:10" x14ac:dyDescent="0.25">
      <c r="B664" s="5">
        <f t="shared" si="21"/>
        <v>43030</v>
      </c>
      <c r="C664" s="6">
        <f>IFERROR(VLOOKUP($B664,Platts!$E$5:$M$4994,MATCH(C$3,Platts!$F$5:$M$5,0)+1,FALSE),C663)</f>
        <v>49.11</v>
      </c>
      <c r="D664" s="6">
        <f>IFERROR(VLOOKUP($B664,Platts!$E$5:$M$4994,MATCH(D$3,Platts!$F$5:$M$5,0)+1,FALSE),D663)</f>
        <v>56.46</v>
      </c>
      <c r="E664" s="6">
        <f>IFERROR(VLOOKUP($B664,Platts!$E$5:$M$4994,MATCH(E$3,Platts!$F$5:$M$5,0)+1,FALSE),E663)</f>
        <v>49.63</v>
      </c>
      <c r="F664" s="6">
        <f>IFERROR(VLOOKUP($B664,Platts!$E$5:$M$4994,MATCH(F$3,Platts!$F$5:$M$5,0)+1,FALSE),F663)</f>
        <v>59.15</v>
      </c>
      <c r="G664" s="6">
        <f>IFERROR(VLOOKUP($B664,Platts!$E$5:$M$4994,MATCH(G$3,Platts!$F$5:$M$5,0)+1,FALSE),G663)</f>
        <v>57.73</v>
      </c>
      <c r="H664" s="6">
        <f>IFERROR(VLOOKUP($B664,Platts!$E$5:$M$4994,MATCH(H$3,Platts!$F$5:$M$5,0)+1,FALSE),H663)</f>
        <v>51.47</v>
      </c>
      <c r="I664" s="6">
        <f>IFERROR(VLOOKUP($B664,Platts!$E$5:$M$4994,MATCH(I$3,Platts!$F$5:$M$5,0)+1,FALSE),I663)</f>
        <v>57.87</v>
      </c>
      <c r="J664" s="6">
        <f t="shared" si="20"/>
        <v>2.3599999999999994</v>
      </c>
    </row>
    <row r="665" spans="2:10" x14ac:dyDescent="0.25">
      <c r="B665" s="5">
        <f t="shared" si="21"/>
        <v>43031</v>
      </c>
      <c r="C665" s="6">
        <f>IFERROR(VLOOKUP($B665,Platts!$E$5:$M$4994,MATCH(C$3,Platts!$F$5:$M$5,0)+1,FALSE),C664)</f>
        <v>49.31</v>
      </c>
      <c r="D665" s="6">
        <f>IFERROR(VLOOKUP($B665,Platts!$E$5:$M$4994,MATCH(D$3,Platts!$F$5:$M$5,0)+1,FALSE),D664)</f>
        <v>56.46</v>
      </c>
      <c r="E665" s="6">
        <f>IFERROR(VLOOKUP($B665,Platts!$E$5:$M$4994,MATCH(E$3,Platts!$F$5:$M$5,0)+1,FALSE),E664)</f>
        <v>49.47</v>
      </c>
      <c r="F665" s="6">
        <f>IFERROR(VLOOKUP($B665,Platts!$E$5:$M$4994,MATCH(F$3,Platts!$F$5:$M$5,0)+1,FALSE),F664)</f>
        <v>59.02</v>
      </c>
      <c r="G665" s="6">
        <f>IFERROR(VLOOKUP($B665,Platts!$E$5:$M$4994,MATCH(G$3,Platts!$F$5:$M$5,0)+1,FALSE),G664)</f>
        <v>57.6</v>
      </c>
      <c r="H665" s="6">
        <f>IFERROR(VLOOKUP($B665,Platts!$E$5:$M$4994,MATCH(H$3,Platts!$F$5:$M$5,0)+1,FALSE),H664)</f>
        <v>51.72</v>
      </c>
      <c r="I665" s="6">
        <f>IFERROR(VLOOKUP($B665,Platts!$E$5:$M$4994,MATCH(I$3,Platts!$F$5:$M$5,0)+1,FALSE),I664)</f>
        <v>58.17</v>
      </c>
      <c r="J665" s="6">
        <f t="shared" si="20"/>
        <v>2.4099999999999966</v>
      </c>
    </row>
    <row r="666" spans="2:10" x14ac:dyDescent="0.25">
      <c r="B666" s="5">
        <f t="shared" si="21"/>
        <v>43032</v>
      </c>
      <c r="C666" s="6">
        <f>IFERROR(VLOOKUP($B666,Platts!$E$5:$M$4994,MATCH(C$3,Platts!$F$5:$M$5,0)+1,FALSE),C665)</f>
        <v>49.36</v>
      </c>
      <c r="D666" s="6">
        <f>IFERROR(VLOOKUP($B666,Platts!$E$5:$M$4994,MATCH(D$3,Platts!$F$5:$M$5,0)+1,FALSE),D665)</f>
        <v>56.85</v>
      </c>
      <c r="E666" s="6">
        <f>IFERROR(VLOOKUP($B666,Platts!$E$5:$M$4994,MATCH(E$3,Platts!$F$5:$M$5,0)+1,FALSE),E665)</f>
        <v>49.9</v>
      </c>
      <c r="F666" s="6">
        <f>IFERROR(VLOOKUP($B666,Platts!$E$5:$M$4994,MATCH(F$3,Platts!$F$5:$M$5,0)+1,FALSE),F665)</f>
        <v>59.46</v>
      </c>
      <c r="G666" s="6">
        <f>IFERROR(VLOOKUP($B666,Platts!$E$5:$M$4994,MATCH(G$3,Platts!$F$5:$M$5,0)+1,FALSE),G665)</f>
        <v>57.82</v>
      </c>
      <c r="H666" s="6">
        <f>IFERROR(VLOOKUP($B666,Platts!$E$5:$M$4994,MATCH(H$3,Platts!$F$5:$M$5,0)+1,FALSE),H665)</f>
        <v>52.27</v>
      </c>
      <c r="I666" s="6">
        <f>IFERROR(VLOOKUP($B666,Platts!$E$5:$M$4994,MATCH(I$3,Platts!$F$5:$M$5,0)+1,FALSE),I665)</f>
        <v>58.82</v>
      </c>
      <c r="J666" s="6">
        <f t="shared" si="20"/>
        <v>2.9100000000000037</v>
      </c>
    </row>
    <row r="667" spans="2:10" x14ac:dyDescent="0.25">
      <c r="B667" s="5">
        <f t="shared" si="21"/>
        <v>43033</v>
      </c>
      <c r="C667" s="6">
        <f>IFERROR(VLOOKUP($B667,Platts!$E$5:$M$4994,MATCH(C$3,Platts!$F$5:$M$5,0)+1,FALSE),C666)</f>
        <v>49.64</v>
      </c>
      <c r="D667" s="6">
        <f>IFERROR(VLOOKUP($B667,Platts!$E$5:$M$4994,MATCH(D$3,Platts!$F$5:$M$5,0)+1,FALSE),D666)</f>
        <v>56.67</v>
      </c>
      <c r="E667" s="6">
        <f>IFERROR(VLOOKUP($B667,Platts!$E$5:$M$4994,MATCH(E$3,Platts!$F$5:$M$5,0)+1,FALSE),E666)</f>
        <v>49.96</v>
      </c>
      <c r="F667" s="6">
        <f>IFERROR(VLOOKUP($B667,Platts!$E$5:$M$4994,MATCH(F$3,Platts!$F$5:$M$5,0)+1,FALSE),F666)</f>
        <v>59.34</v>
      </c>
      <c r="G667" s="6">
        <f>IFERROR(VLOOKUP($B667,Platts!$E$5:$M$4994,MATCH(G$3,Platts!$F$5:$M$5,0)+1,FALSE),G666)</f>
        <v>58.28</v>
      </c>
      <c r="H667" s="6">
        <f>IFERROR(VLOOKUP($B667,Platts!$E$5:$M$4994,MATCH(H$3,Platts!$F$5:$M$5,0)+1,FALSE),H666)</f>
        <v>51.87</v>
      </c>
      <c r="I667" s="6">
        <f>IFERROR(VLOOKUP($B667,Platts!$E$5:$M$4994,MATCH(I$3,Platts!$F$5:$M$5,0)+1,FALSE),I666)</f>
        <v>58.32</v>
      </c>
      <c r="J667" s="6">
        <f t="shared" si="20"/>
        <v>2.2299999999999969</v>
      </c>
    </row>
    <row r="668" spans="2:10" x14ac:dyDescent="0.25">
      <c r="B668" s="5">
        <f t="shared" si="21"/>
        <v>43034</v>
      </c>
      <c r="C668" s="6">
        <f>IFERROR(VLOOKUP($B668,Platts!$E$5:$M$4994,MATCH(C$3,Platts!$F$5:$M$5,0)+1,FALSE),C667)</f>
        <v>50.15</v>
      </c>
      <c r="D668" s="6">
        <f>IFERROR(VLOOKUP($B668,Platts!$E$5:$M$4994,MATCH(D$3,Platts!$F$5:$M$5,0)+1,FALSE),D667)</f>
        <v>57.3</v>
      </c>
      <c r="E668" s="6">
        <f>IFERROR(VLOOKUP($B668,Platts!$E$5:$M$4994,MATCH(E$3,Platts!$F$5:$M$5,0)+1,FALSE),E667)</f>
        <v>50.81</v>
      </c>
      <c r="F668" s="6">
        <f>IFERROR(VLOOKUP($B668,Platts!$E$5:$M$4994,MATCH(F$3,Platts!$F$5:$M$5,0)+1,FALSE),F667)</f>
        <v>60.01</v>
      </c>
      <c r="G668" s="6">
        <f>IFERROR(VLOOKUP($B668,Platts!$E$5:$M$4994,MATCH(G$3,Platts!$F$5:$M$5,0)+1,FALSE),G667)</f>
        <v>58.7</v>
      </c>
      <c r="H668" s="6">
        <f>IFERROR(VLOOKUP($B668,Platts!$E$5:$M$4994,MATCH(H$3,Platts!$F$5:$M$5,0)+1,FALSE),H667)</f>
        <v>52.64</v>
      </c>
      <c r="I668" s="6">
        <f>IFERROR(VLOOKUP($B668,Platts!$E$5:$M$4994,MATCH(I$3,Platts!$F$5:$M$5,0)+1,FALSE),I667)</f>
        <v>58.59</v>
      </c>
      <c r="J668" s="6">
        <f t="shared" si="20"/>
        <v>2.490000000000002</v>
      </c>
    </row>
    <row r="669" spans="2:10" x14ac:dyDescent="0.25">
      <c r="B669" s="5">
        <f t="shared" si="21"/>
        <v>43035</v>
      </c>
      <c r="C669" s="6">
        <f>IFERROR(VLOOKUP($B669,Platts!$E$5:$M$4994,MATCH(C$3,Platts!$F$5:$M$5,0)+1,FALSE),C668)</f>
        <v>51.56</v>
      </c>
      <c r="D669" s="6">
        <f>IFERROR(VLOOKUP($B669,Platts!$E$5:$M$4994,MATCH(D$3,Platts!$F$5:$M$5,0)+1,FALSE),D668)</f>
        <v>58.76</v>
      </c>
      <c r="E669" s="6">
        <f>IFERROR(VLOOKUP($B669,Platts!$E$5:$M$4994,MATCH(E$3,Platts!$F$5:$M$5,0)+1,FALSE),E668)</f>
        <v>52.14</v>
      </c>
      <c r="F669" s="6">
        <f>IFERROR(VLOOKUP($B669,Platts!$E$5:$M$4994,MATCH(F$3,Platts!$F$5:$M$5,0)+1,FALSE),F668)</f>
        <v>61.41</v>
      </c>
      <c r="G669" s="6">
        <f>IFERROR(VLOOKUP($B669,Platts!$E$5:$M$4994,MATCH(G$3,Platts!$F$5:$M$5,0)+1,FALSE),G668)</f>
        <v>60.34</v>
      </c>
      <c r="H669" s="6">
        <f>IFERROR(VLOOKUP($B669,Platts!$E$5:$M$4994,MATCH(H$3,Platts!$F$5:$M$5,0)+1,FALSE),H668)</f>
        <v>53.9</v>
      </c>
      <c r="I669" s="6">
        <f>IFERROR(VLOOKUP($B669,Platts!$E$5:$M$4994,MATCH(I$3,Platts!$F$5:$M$5,0)+1,FALSE),I668)</f>
        <v>59.95</v>
      </c>
      <c r="J669" s="6">
        <f t="shared" si="20"/>
        <v>2.3399999999999963</v>
      </c>
    </row>
    <row r="670" spans="2:10" x14ac:dyDescent="0.25">
      <c r="B670" s="5">
        <f t="shared" si="21"/>
        <v>43036</v>
      </c>
      <c r="C670" s="6">
        <f>IFERROR(VLOOKUP($B670,Platts!$E$5:$M$4994,MATCH(C$3,Platts!$F$5:$M$5,0)+1,FALSE),C669)</f>
        <v>51.56</v>
      </c>
      <c r="D670" s="6">
        <f>IFERROR(VLOOKUP($B670,Platts!$E$5:$M$4994,MATCH(D$3,Platts!$F$5:$M$5,0)+1,FALSE),D669)</f>
        <v>58.76</v>
      </c>
      <c r="E670" s="6">
        <f>IFERROR(VLOOKUP($B670,Platts!$E$5:$M$4994,MATCH(E$3,Platts!$F$5:$M$5,0)+1,FALSE),E669)</f>
        <v>52.14</v>
      </c>
      <c r="F670" s="6">
        <f>IFERROR(VLOOKUP($B670,Platts!$E$5:$M$4994,MATCH(F$3,Platts!$F$5:$M$5,0)+1,FALSE),F669)</f>
        <v>61.41</v>
      </c>
      <c r="G670" s="6">
        <f>IFERROR(VLOOKUP($B670,Platts!$E$5:$M$4994,MATCH(G$3,Platts!$F$5:$M$5,0)+1,FALSE),G669)</f>
        <v>60.34</v>
      </c>
      <c r="H670" s="6">
        <f>IFERROR(VLOOKUP($B670,Platts!$E$5:$M$4994,MATCH(H$3,Platts!$F$5:$M$5,0)+1,FALSE),H669)</f>
        <v>53.9</v>
      </c>
      <c r="I670" s="6">
        <f>IFERROR(VLOOKUP($B670,Platts!$E$5:$M$4994,MATCH(I$3,Platts!$F$5:$M$5,0)+1,FALSE),I669)</f>
        <v>59.95</v>
      </c>
      <c r="J670" s="6">
        <f t="shared" si="20"/>
        <v>2.3399999999999963</v>
      </c>
    </row>
    <row r="671" spans="2:10" x14ac:dyDescent="0.25">
      <c r="B671" s="5">
        <f t="shared" si="21"/>
        <v>43037</v>
      </c>
      <c r="C671" s="6">
        <f>IFERROR(VLOOKUP($B671,Platts!$E$5:$M$4994,MATCH(C$3,Platts!$F$5:$M$5,0)+1,FALSE),C670)</f>
        <v>51.56</v>
      </c>
      <c r="D671" s="6">
        <f>IFERROR(VLOOKUP($B671,Platts!$E$5:$M$4994,MATCH(D$3,Platts!$F$5:$M$5,0)+1,FALSE),D670)</f>
        <v>58.76</v>
      </c>
      <c r="E671" s="6">
        <f>IFERROR(VLOOKUP($B671,Platts!$E$5:$M$4994,MATCH(E$3,Platts!$F$5:$M$5,0)+1,FALSE),E670)</f>
        <v>52.14</v>
      </c>
      <c r="F671" s="6">
        <f>IFERROR(VLOOKUP($B671,Platts!$E$5:$M$4994,MATCH(F$3,Platts!$F$5:$M$5,0)+1,FALSE),F670)</f>
        <v>61.41</v>
      </c>
      <c r="G671" s="6">
        <f>IFERROR(VLOOKUP($B671,Platts!$E$5:$M$4994,MATCH(G$3,Platts!$F$5:$M$5,0)+1,FALSE),G670)</f>
        <v>60.34</v>
      </c>
      <c r="H671" s="6">
        <f>IFERROR(VLOOKUP($B671,Platts!$E$5:$M$4994,MATCH(H$3,Platts!$F$5:$M$5,0)+1,FALSE),H670)</f>
        <v>53.9</v>
      </c>
      <c r="I671" s="6">
        <f>IFERROR(VLOOKUP($B671,Platts!$E$5:$M$4994,MATCH(I$3,Platts!$F$5:$M$5,0)+1,FALSE),I670)</f>
        <v>59.95</v>
      </c>
      <c r="J671" s="6">
        <f t="shared" si="20"/>
        <v>2.3399999999999963</v>
      </c>
    </row>
    <row r="672" spans="2:10" x14ac:dyDescent="0.25">
      <c r="B672" s="5">
        <f t="shared" si="21"/>
        <v>43038</v>
      </c>
      <c r="C672" s="6">
        <f>IFERROR(VLOOKUP($B672,Platts!$E$5:$M$4994,MATCH(C$3,Platts!$F$5:$M$5,0)+1,FALSE),C671)</f>
        <v>52.12</v>
      </c>
      <c r="D672" s="6">
        <f>IFERROR(VLOOKUP($B672,Platts!$E$5:$M$4994,MATCH(D$3,Platts!$F$5:$M$5,0)+1,FALSE),D671)</f>
        <v>59.1</v>
      </c>
      <c r="E672" s="6">
        <f>IFERROR(VLOOKUP($B672,Platts!$E$5:$M$4994,MATCH(E$3,Platts!$F$5:$M$5,0)+1,FALSE),E671)</f>
        <v>52.65</v>
      </c>
      <c r="F672" s="6">
        <f>IFERROR(VLOOKUP($B672,Platts!$E$5:$M$4994,MATCH(F$3,Platts!$F$5:$M$5,0)+1,FALSE),F671)</f>
        <v>61.76</v>
      </c>
      <c r="G672" s="6">
        <f>IFERROR(VLOOKUP($B672,Platts!$E$5:$M$4994,MATCH(G$3,Platts!$F$5:$M$5,0)+1,FALSE),G671)</f>
        <v>60.5</v>
      </c>
      <c r="H672" s="6">
        <f>IFERROR(VLOOKUP($B672,Platts!$E$5:$M$4994,MATCH(H$3,Platts!$F$5:$M$5,0)+1,FALSE),H671)</f>
        <v>54.15</v>
      </c>
      <c r="I672" s="6">
        <f>IFERROR(VLOOKUP($B672,Platts!$E$5:$M$4994,MATCH(I$3,Platts!$F$5:$M$5,0)+1,FALSE),I671)</f>
        <v>60.25</v>
      </c>
      <c r="J672" s="6">
        <f t="shared" si="20"/>
        <v>2.0300000000000011</v>
      </c>
    </row>
    <row r="673" spans="2:10" x14ac:dyDescent="0.25">
      <c r="B673" s="5">
        <f t="shared" si="21"/>
        <v>43039</v>
      </c>
      <c r="C673" s="6">
        <f>IFERROR(VLOOKUP($B673,Platts!$E$5:$M$4994,MATCH(C$3,Platts!$F$5:$M$5,0)+1,FALSE),C672)</f>
        <v>52.72</v>
      </c>
      <c r="D673" s="6">
        <f>IFERROR(VLOOKUP($B673,Platts!$E$5:$M$4994,MATCH(D$3,Platts!$F$5:$M$5,0)+1,FALSE),D672)</f>
        <v>59.36</v>
      </c>
      <c r="E673" s="6">
        <f>IFERROR(VLOOKUP($B673,Platts!$E$5:$M$4994,MATCH(E$3,Platts!$F$5:$M$5,0)+1,FALSE),E672)</f>
        <v>53.31</v>
      </c>
      <c r="F673" s="6">
        <f>IFERROR(VLOOKUP($B673,Platts!$E$5:$M$4994,MATCH(F$3,Platts!$F$5:$M$5,0)+1,FALSE),F672)</f>
        <v>62.01</v>
      </c>
      <c r="G673" s="6">
        <f>IFERROR(VLOOKUP($B673,Platts!$E$5:$M$4994,MATCH(G$3,Platts!$F$5:$M$5,0)+1,FALSE),G672)</f>
        <v>61.1</v>
      </c>
      <c r="H673" s="6">
        <f>IFERROR(VLOOKUP($B673,Platts!$E$5:$M$4994,MATCH(H$3,Platts!$F$5:$M$5,0)+1,FALSE),H672)</f>
        <v>54.38</v>
      </c>
      <c r="I673" s="6">
        <f>IFERROR(VLOOKUP($B673,Platts!$E$5:$M$4994,MATCH(I$3,Platts!$F$5:$M$5,0)+1,FALSE),I672)</f>
        <v>60.63</v>
      </c>
      <c r="J673" s="6">
        <f t="shared" si="20"/>
        <v>1.6600000000000037</v>
      </c>
    </row>
    <row r="674" spans="2:10" x14ac:dyDescent="0.25">
      <c r="B674" s="5">
        <f t="shared" si="21"/>
        <v>43040</v>
      </c>
      <c r="C674" s="6">
        <f>IFERROR(VLOOKUP($B674,Platts!$E$5:$M$4994,MATCH(C$3,Platts!$F$5:$M$5,0)+1,FALSE),C673)</f>
        <v>52.21</v>
      </c>
      <c r="D674" s="6">
        <f>IFERROR(VLOOKUP($B674,Platts!$E$5:$M$4994,MATCH(D$3,Platts!$F$5:$M$5,0)+1,FALSE),D673)</f>
        <v>59.19</v>
      </c>
      <c r="E674" s="6">
        <f>IFERROR(VLOOKUP($B674,Platts!$E$5:$M$4994,MATCH(E$3,Platts!$F$5:$M$5,0)+1,FALSE),E673)</f>
        <v>52.91</v>
      </c>
      <c r="F674" s="6">
        <f>IFERROR(VLOOKUP($B674,Platts!$E$5:$M$4994,MATCH(F$3,Platts!$F$5:$M$5,0)+1,FALSE),F673)</f>
        <v>61.82</v>
      </c>
      <c r="G674" s="6">
        <f>IFERROR(VLOOKUP($B674,Platts!$E$5:$M$4994,MATCH(G$3,Platts!$F$5:$M$5,0)+1,FALSE),G673)</f>
        <v>60.81</v>
      </c>
      <c r="H674" s="6">
        <f>IFERROR(VLOOKUP($B674,Platts!$E$5:$M$4994,MATCH(H$3,Platts!$F$5:$M$5,0)+1,FALSE),H673)</f>
        <v>54.3</v>
      </c>
      <c r="I674" s="6">
        <f>IFERROR(VLOOKUP($B674,Platts!$E$5:$M$4994,MATCH(I$3,Platts!$F$5:$M$5,0)+1,FALSE),I673)</f>
        <v>60.45</v>
      </c>
      <c r="J674" s="6">
        <f t="shared" si="20"/>
        <v>2.0899999999999963</v>
      </c>
    </row>
    <row r="675" spans="2:10" x14ac:dyDescent="0.25">
      <c r="B675" s="5">
        <f t="shared" si="21"/>
        <v>43041</v>
      </c>
      <c r="C675" s="6">
        <f>IFERROR(VLOOKUP($B675,Platts!$E$5:$M$4994,MATCH(C$3,Platts!$F$5:$M$5,0)+1,FALSE),C674)</f>
        <v>51.92</v>
      </c>
      <c r="D675" s="6">
        <f>IFERROR(VLOOKUP($B675,Platts!$E$5:$M$4994,MATCH(D$3,Platts!$F$5:$M$5,0)+1,FALSE),D674)</f>
        <v>59.26</v>
      </c>
      <c r="E675" s="6">
        <f>IFERROR(VLOOKUP($B675,Platts!$E$5:$M$4994,MATCH(E$3,Platts!$F$5:$M$5,0)+1,FALSE),E674)</f>
        <v>53.11</v>
      </c>
      <c r="F675" s="6">
        <f>IFERROR(VLOOKUP($B675,Platts!$E$5:$M$4994,MATCH(F$3,Platts!$F$5:$M$5,0)+1,FALSE),F674)</f>
        <v>61.9</v>
      </c>
      <c r="G675" s="6">
        <f>IFERROR(VLOOKUP($B675,Platts!$E$5:$M$4994,MATCH(G$3,Platts!$F$5:$M$5,0)+1,FALSE),G674)</f>
        <v>60.36</v>
      </c>
      <c r="H675" s="6">
        <f>IFERROR(VLOOKUP($B675,Platts!$E$5:$M$4994,MATCH(H$3,Platts!$F$5:$M$5,0)+1,FALSE),H674)</f>
        <v>54.54</v>
      </c>
      <c r="I675" s="6">
        <f>IFERROR(VLOOKUP($B675,Platts!$E$5:$M$4994,MATCH(I$3,Platts!$F$5:$M$5,0)+1,FALSE),I674)</f>
        <v>60.34</v>
      </c>
      <c r="J675" s="6">
        <f t="shared" si="20"/>
        <v>2.6199999999999974</v>
      </c>
    </row>
    <row r="676" spans="2:10" x14ac:dyDescent="0.25">
      <c r="B676" s="5">
        <f t="shared" si="21"/>
        <v>43042</v>
      </c>
      <c r="C676" s="6">
        <f>IFERROR(VLOOKUP($B676,Platts!$E$5:$M$4994,MATCH(C$3,Platts!$F$5:$M$5,0)+1,FALSE),C675)</f>
        <v>52.74</v>
      </c>
      <c r="D676" s="6">
        <f>IFERROR(VLOOKUP($B676,Platts!$E$5:$M$4994,MATCH(D$3,Platts!$F$5:$M$5,0)+1,FALSE),D675)</f>
        <v>60.44</v>
      </c>
      <c r="E676" s="6">
        <f>IFERROR(VLOOKUP($B676,Platts!$E$5:$M$4994,MATCH(E$3,Platts!$F$5:$M$5,0)+1,FALSE),E675)</f>
        <v>54.47</v>
      </c>
      <c r="F676" s="6">
        <f>IFERROR(VLOOKUP($B676,Platts!$E$5:$M$4994,MATCH(F$3,Platts!$F$5:$M$5,0)+1,FALSE),F675)</f>
        <v>63.14</v>
      </c>
      <c r="G676" s="6">
        <f>IFERROR(VLOOKUP($B676,Platts!$E$5:$M$4994,MATCH(G$3,Platts!$F$5:$M$5,0)+1,FALSE),G675)</f>
        <v>61.24</v>
      </c>
      <c r="H676" s="6">
        <f>IFERROR(VLOOKUP($B676,Platts!$E$5:$M$4994,MATCH(H$3,Platts!$F$5:$M$5,0)+1,FALSE),H675)</f>
        <v>55.64</v>
      </c>
      <c r="I676" s="6">
        <f>IFERROR(VLOOKUP($B676,Platts!$E$5:$M$4994,MATCH(I$3,Platts!$F$5:$M$5,0)+1,FALSE),I675)</f>
        <v>61.49</v>
      </c>
      <c r="J676" s="6">
        <f t="shared" si="20"/>
        <v>2.8999999999999986</v>
      </c>
    </row>
    <row r="677" spans="2:10" x14ac:dyDescent="0.25">
      <c r="B677" s="5">
        <f t="shared" si="21"/>
        <v>43043</v>
      </c>
      <c r="C677" s="6">
        <f>IFERROR(VLOOKUP($B677,Platts!$E$5:$M$4994,MATCH(C$3,Platts!$F$5:$M$5,0)+1,FALSE),C676)</f>
        <v>52.74</v>
      </c>
      <c r="D677" s="6">
        <f>IFERROR(VLOOKUP($B677,Platts!$E$5:$M$4994,MATCH(D$3,Platts!$F$5:$M$5,0)+1,FALSE),D676)</f>
        <v>60.44</v>
      </c>
      <c r="E677" s="6">
        <f>IFERROR(VLOOKUP($B677,Platts!$E$5:$M$4994,MATCH(E$3,Platts!$F$5:$M$5,0)+1,FALSE),E676)</f>
        <v>54.47</v>
      </c>
      <c r="F677" s="6">
        <f>IFERROR(VLOOKUP($B677,Platts!$E$5:$M$4994,MATCH(F$3,Platts!$F$5:$M$5,0)+1,FALSE),F676)</f>
        <v>63.14</v>
      </c>
      <c r="G677" s="6">
        <f>IFERROR(VLOOKUP($B677,Platts!$E$5:$M$4994,MATCH(G$3,Platts!$F$5:$M$5,0)+1,FALSE),G676)</f>
        <v>61.24</v>
      </c>
      <c r="H677" s="6">
        <f>IFERROR(VLOOKUP($B677,Platts!$E$5:$M$4994,MATCH(H$3,Platts!$F$5:$M$5,0)+1,FALSE),H676)</f>
        <v>55.64</v>
      </c>
      <c r="I677" s="6">
        <f>IFERROR(VLOOKUP($B677,Platts!$E$5:$M$4994,MATCH(I$3,Platts!$F$5:$M$5,0)+1,FALSE),I676)</f>
        <v>61.49</v>
      </c>
      <c r="J677" s="6">
        <f t="shared" si="20"/>
        <v>2.8999999999999986</v>
      </c>
    </row>
    <row r="678" spans="2:10" x14ac:dyDescent="0.25">
      <c r="B678" s="5">
        <f t="shared" si="21"/>
        <v>43044</v>
      </c>
      <c r="C678" s="6">
        <f>IFERROR(VLOOKUP($B678,Platts!$E$5:$M$4994,MATCH(C$3,Platts!$F$5:$M$5,0)+1,FALSE),C677)</f>
        <v>52.74</v>
      </c>
      <c r="D678" s="6">
        <f>IFERROR(VLOOKUP($B678,Platts!$E$5:$M$4994,MATCH(D$3,Platts!$F$5:$M$5,0)+1,FALSE),D677)</f>
        <v>60.44</v>
      </c>
      <c r="E678" s="6">
        <f>IFERROR(VLOOKUP($B678,Platts!$E$5:$M$4994,MATCH(E$3,Platts!$F$5:$M$5,0)+1,FALSE),E677)</f>
        <v>54.47</v>
      </c>
      <c r="F678" s="6">
        <f>IFERROR(VLOOKUP($B678,Platts!$E$5:$M$4994,MATCH(F$3,Platts!$F$5:$M$5,0)+1,FALSE),F677)</f>
        <v>63.14</v>
      </c>
      <c r="G678" s="6">
        <f>IFERROR(VLOOKUP($B678,Platts!$E$5:$M$4994,MATCH(G$3,Platts!$F$5:$M$5,0)+1,FALSE),G677)</f>
        <v>61.24</v>
      </c>
      <c r="H678" s="6">
        <f>IFERROR(VLOOKUP($B678,Platts!$E$5:$M$4994,MATCH(H$3,Platts!$F$5:$M$5,0)+1,FALSE),H677)</f>
        <v>55.64</v>
      </c>
      <c r="I678" s="6">
        <f>IFERROR(VLOOKUP($B678,Platts!$E$5:$M$4994,MATCH(I$3,Platts!$F$5:$M$5,0)+1,FALSE),I677)</f>
        <v>61.49</v>
      </c>
      <c r="J678" s="6">
        <f t="shared" si="20"/>
        <v>2.8999999999999986</v>
      </c>
    </row>
    <row r="679" spans="2:10" x14ac:dyDescent="0.25">
      <c r="B679" s="5">
        <f t="shared" si="21"/>
        <v>43045</v>
      </c>
      <c r="C679" s="6">
        <f>IFERROR(VLOOKUP($B679,Platts!$E$5:$M$4994,MATCH(C$3,Platts!$F$5:$M$5,0)+1,FALSE),C678)</f>
        <v>54.68</v>
      </c>
      <c r="D679" s="6">
        <f>IFERROR(VLOOKUP($B679,Platts!$E$5:$M$4994,MATCH(D$3,Platts!$F$5:$M$5,0)+1,FALSE),D678)</f>
        <v>62.33</v>
      </c>
      <c r="E679" s="6">
        <f>IFERROR(VLOOKUP($B679,Platts!$E$5:$M$4994,MATCH(E$3,Platts!$F$5:$M$5,0)+1,FALSE),E678)</f>
        <v>56.4</v>
      </c>
      <c r="F679" s="6">
        <f>IFERROR(VLOOKUP($B679,Platts!$E$5:$M$4994,MATCH(F$3,Platts!$F$5:$M$5,0)+1,FALSE),F678)</f>
        <v>65.06</v>
      </c>
      <c r="G679" s="6">
        <f>IFERROR(VLOOKUP($B679,Platts!$E$5:$M$4994,MATCH(G$3,Platts!$F$5:$M$5,0)+1,FALSE),G678)</f>
        <v>63.71</v>
      </c>
      <c r="H679" s="6">
        <f>IFERROR(VLOOKUP($B679,Platts!$E$5:$M$4994,MATCH(H$3,Platts!$F$5:$M$5,0)+1,FALSE),H678)</f>
        <v>57.35</v>
      </c>
      <c r="I679" s="6">
        <f>IFERROR(VLOOKUP($B679,Platts!$E$5:$M$4994,MATCH(I$3,Platts!$F$5:$M$5,0)+1,FALSE),I678)</f>
        <v>63.45</v>
      </c>
      <c r="J679" s="6">
        <f t="shared" si="20"/>
        <v>2.6700000000000017</v>
      </c>
    </row>
    <row r="680" spans="2:10" x14ac:dyDescent="0.25">
      <c r="B680" s="5">
        <f t="shared" si="21"/>
        <v>43046</v>
      </c>
      <c r="C680" s="6">
        <f>IFERROR(VLOOKUP($B680,Platts!$E$5:$M$4994,MATCH(C$3,Platts!$F$5:$M$5,0)+1,FALSE),C679)</f>
        <v>54.71</v>
      </c>
      <c r="D680" s="6">
        <f>IFERROR(VLOOKUP($B680,Platts!$E$5:$M$4994,MATCH(D$3,Platts!$F$5:$M$5,0)+1,FALSE),D679)</f>
        <v>62.05</v>
      </c>
      <c r="E680" s="6">
        <f>IFERROR(VLOOKUP($B680,Platts!$E$5:$M$4994,MATCH(E$3,Platts!$F$5:$M$5,0)+1,FALSE),E679)</f>
        <v>55.88</v>
      </c>
      <c r="F680" s="6">
        <f>IFERROR(VLOOKUP($B680,Platts!$E$5:$M$4994,MATCH(F$3,Platts!$F$5:$M$5,0)+1,FALSE),F679)</f>
        <v>64.760000000000005</v>
      </c>
      <c r="G680" s="6">
        <f>IFERROR(VLOOKUP($B680,Platts!$E$5:$M$4994,MATCH(G$3,Platts!$F$5:$M$5,0)+1,FALSE),G679)</f>
        <v>63.79</v>
      </c>
      <c r="H680" s="6">
        <f>IFERROR(VLOOKUP($B680,Platts!$E$5:$M$4994,MATCH(H$3,Platts!$F$5:$M$5,0)+1,FALSE),H679)</f>
        <v>57.2</v>
      </c>
      <c r="I680" s="6">
        <f>IFERROR(VLOOKUP($B680,Platts!$E$5:$M$4994,MATCH(I$3,Platts!$F$5:$M$5,0)+1,FALSE),I679)</f>
        <v>62.9</v>
      </c>
      <c r="J680" s="6">
        <f t="shared" si="20"/>
        <v>2.490000000000002</v>
      </c>
    </row>
    <row r="681" spans="2:10" x14ac:dyDescent="0.25">
      <c r="B681" s="5">
        <f t="shared" si="21"/>
        <v>43047</v>
      </c>
      <c r="C681" s="6">
        <f>IFERROR(VLOOKUP($B681,Platts!$E$5:$M$4994,MATCH(C$3,Platts!$F$5:$M$5,0)+1,FALSE),C680)</f>
        <v>54.53</v>
      </c>
      <c r="D681" s="6">
        <f>IFERROR(VLOOKUP($B681,Platts!$E$5:$M$4994,MATCH(D$3,Platts!$F$5:$M$5,0)+1,FALSE),D680)</f>
        <v>61.44</v>
      </c>
      <c r="E681" s="6">
        <f>IFERROR(VLOOKUP($B681,Platts!$E$5:$M$4994,MATCH(E$3,Platts!$F$5:$M$5,0)+1,FALSE),E680)</f>
        <v>55.63</v>
      </c>
      <c r="F681" s="6">
        <f>IFERROR(VLOOKUP($B681,Platts!$E$5:$M$4994,MATCH(F$3,Platts!$F$5:$M$5,0)+1,FALSE),F680)</f>
        <v>64.180000000000007</v>
      </c>
      <c r="G681" s="6">
        <f>IFERROR(VLOOKUP($B681,Platts!$E$5:$M$4994,MATCH(G$3,Platts!$F$5:$M$5,0)+1,FALSE),G680)</f>
        <v>63.69</v>
      </c>
      <c r="H681" s="6">
        <f>IFERROR(VLOOKUP($B681,Platts!$E$5:$M$4994,MATCH(H$3,Platts!$F$5:$M$5,0)+1,FALSE),H680)</f>
        <v>56.81</v>
      </c>
      <c r="I681" s="6">
        <f>IFERROR(VLOOKUP($B681,Platts!$E$5:$M$4994,MATCH(I$3,Platts!$F$5:$M$5,0)+1,FALSE),I680)</f>
        <v>62.41</v>
      </c>
      <c r="J681" s="6">
        <f t="shared" si="20"/>
        <v>2.2800000000000011</v>
      </c>
    </row>
    <row r="682" spans="2:10" x14ac:dyDescent="0.25">
      <c r="B682" s="5">
        <f t="shared" si="21"/>
        <v>43048</v>
      </c>
      <c r="C682" s="6">
        <f>IFERROR(VLOOKUP($B682,Platts!$E$5:$M$4994,MATCH(C$3,Platts!$F$5:$M$5,0)+1,FALSE),C681)</f>
        <v>54.82</v>
      </c>
      <c r="D682" s="6">
        <f>IFERROR(VLOOKUP($B682,Platts!$E$5:$M$4994,MATCH(D$3,Platts!$F$5:$M$5,0)+1,FALSE),D681)</f>
        <v>61.9</v>
      </c>
      <c r="E682" s="6">
        <f>IFERROR(VLOOKUP($B682,Platts!$E$5:$M$4994,MATCH(E$3,Platts!$F$5:$M$5,0)+1,FALSE),E681)</f>
        <v>55.97</v>
      </c>
      <c r="F682" s="6">
        <f>IFERROR(VLOOKUP($B682,Platts!$E$5:$M$4994,MATCH(F$3,Platts!$F$5:$M$5,0)+1,FALSE),F681)</f>
        <v>64.61</v>
      </c>
      <c r="G682" s="6">
        <f>IFERROR(VLOOKUP($B682,Platts!$E$5:$M$4994,MATCH(G$3,Platts!$F$5:$M$5,0)+1,FALSE),G681)</f>
        <v>64.19</v>
      </c>
      <c r="H682" s="6">
        <f>IFERROR(VLOOKUP($B682,Platts!$E$5:$M$4994,MATCH(H$3,Platts!$F$5:$M$5,0)+1,FALSE),H681)</f>
        <v>57.17</v>
      </c>
      <c r="I682" s="6">
        <f>IFERROR(VLOOKUP($B682,Platts!$E$5:$M$4994,MATCH(I$3,Platts!$F$5:$M$5,0)+1,FALSE),I681)</f>
        <v>62.77</v>
      </c>
      <c r="J682" s="6">
        <f t="shared" si="20"/>
        <v>2.3500000000000014</v>
      </c>
    </row>
    <row r="683" spans="2:10" x14ac:dyDescent="0.25">
      <c r="B683" s="5">
        <f t="shared" si="21"/>
        <v>43049</v>
      </c>
      <c r="C683" s="6">
        <f>IFERROR(VLOOKUP($B683,Platts!$E$5:$M$4994,MATCH(C$3,Platts!$F$5:$M$5,0)+1,FALSE),C682)</f>
        <v>54.66</v>
      </c>
      <c r="D683" s="6">
        <f>IFERROR(VLOOKUP($B683,Platts!$E$5:$M$4994,MATCH(D$3,Platts!$F$5:$M$5,0)+1,FALSE),D682)</f>
        <v>61.58</v>
      </c>
      <c r="E683" s="6">
        <f>IFERROR(VLOOKUP($B683,Platts!$E$5:$M$4994,MATCH(E$3,Platts!$F$5:$M$5,0)+1,FALSE),E682)</f>
        <v>55.35</v>
      </c>
      <c r="F683" s="6">
        <f>IFERROR(VLOOKUP($B683,Platts!$E$5:$M$4994,MATCH(F$3,Platts!$F$5:$M$5,0)+1,FALSE),F682)</f>
        <v>64.319999999999993</v>
      </c>
      <c r="G683" s="6">
        <f>IFERROR(VLOOKUP($B683,Platts!$E$5:$M$4994,MATCH(G$3,Platts!$F$5:$M$5,0)+1,FALSE),G682)</f>
        <v>64.180000000000007</v>
      </c>
      <c r="H683" s="6">
        <f>IFERROR(VLOOKUP($B683,Platts!$E$5:$M$4994,MATCH(H$3,Platts!$F$5:$M$5,0)+1,FALSE),H682)</f>
        <v>56.74</v>
      </c>
      <c r="I683" s="6">
        <f>IFERROR(VLOOKUP($B683,Platts!$E$5:$M$4994,MATCH(I$3,Platts!$F$5:$M$5,0)+1,FALSE),I682)</f>
        <v>62.59</v>
      </c>
      <c r="J683" s="6">
        <f t="shared" si="20"/>
        <v>2.0800000000000054</v>
      </c>
    </row>
    <row r="684" spans="2:10" x14ac:dyDescent="0.25">
      <c r="B684" s="5">
        <f t="shared" si="21"/>
        <v>43050</v>
      </c>
      <c r="C684" s="6">
        <f>IFERROR(VLOOKUP($B684,Platts!$E$5:$M$4994,MATCH(C$3,Platts!$F$5:$M$5,0)+1,FALSE),C683)</f>
        <v>54.66</v>
      </c>
      <c r="D684" s="6">
        <f>IFERROR(VLOOKUP($B684,Platts!$E$5:$M$4994,MATCH(D$3,Platts!$F$5:$M$5,0)+1,FALSE),D683)</f>
        <v>61.58</v>
      </c>
      <c r="E684" s="6">
        <f>IFERROR(VLOOKUP($B684,Platts!$E$5:$M$4994,MATCH(E$3,Platts!$F$5:$M$5,0)+1,FALSE),E683)</f>
        <v>55.35</v>
      </c>
      <c r="F684" s="6">
        <f>IFERROR(VLOOKUP($B684,Platts!$E$5:$M$4994,MATCH(F$3,Platts!$F$5:$M$5,0)+1,FALSE),F683)</f>
        <v>64.319999999999993</v>
      </c>
      <c r="G684" s="6">
        <f>IFERROR(VLOOKUP($B684,Platts!$E$5:$M$4994,MATCH(G$3,Platts!$F$5:$M$5,0)+1,FALSE),G683)</f>
        <v>64.180000000000007</v>
      </c>
      <c r="H684" s="6">
        <f>IFERROR(VLOOKUP($B684,Platts!$E$5:$M$4994,MATCH(H$3,Platts!$F$5:$M$5,0)+1,FALSE),H683)</f>
        <v>56.74</v>
      </c>
      <c r="I684" s="6">
        <f>IFERROR(VLOOKUP($B684,Platts!$E$5:$M$4994,MATCH(I$3,Platts!$F$5:$M$5,0)+1,FALSE),I683)</f>
        <v>62.59</v>
      </c>
      <c r="J684" s="6">
        <f t="shared" si="20"/>
        <v>2.0800000000000054</v>
      </c>
    </row>
    <row r="685" spans="2:10" x14ac:dyDescent="0.25">
      <c r="B685" s="5">
        <f t="shared" si="21"/>
        <v>43051</v>
      </c>
      <c r="C685" s="6">
        <f>IFERROR(VLOOKUP($B685,Platts!$E$5:$M$4994,MATCH(C$3,Platts!$F$5:$M$5,0)+1,FALSE),C684)</f>
        <v>54.66</v>
      </c>
      <c r="D685" s="6">
        <f>IFERROR(VLOOKUP($B685,Platts!$E$5:$M$4994,MATCH(D$3,Platts!$F$5:$M$5,0)+1,FALSE),D684)</f>
        <v>61.58</v>
      </c>
      <c r="E685" s="6">
        <f>IFERROR(VLOOKUP($B685,Platts!$E$5:$M$4994,MATCH(E$3,Platts!$F$5:$M$5,0)+1,FALSE),E684)</f>
        <v>55.35</v>
      </c>
      <c r="F685" s="6">
        <f>IFERROR(VLOOKUP($B685,Platts!$E$5:$M$4994,MATCH(F$3,Platts!$F$5:$M$5,0)+1,FALSE),F684)</f>
        <v>64.319999999999993</v>
      </c>
      <c r="G685" s="6">
        <f>IFERROR(VLOOKUP($B685,Platts!$E$5:$M$4994,MATCH(G$3,Platts!$F$5:$M$5,0)+1,FALSE),G684)</f>
        <v>64.180000000000007</v>
      </c>
      <c r="H685" s="6">
        <f>IFERROR(VLOOKUP($B685,Platts!$E$5:$M$4994,MATCH(H$3,Platts!$F$5:$M$5,0)+1,FALSE),H684)</f>
        <v>56.74</v>
      </c>
      <c r="I685" s="6">
        <f>IFERROR(VLOOKUP($B685,Platts!$E$5:$M$4994,MATCH(I$3,Platts!$F$5:$M$5,0)+1,FALSE),I684)</f>
        <v>62.59</v>
      </c>
      <c r="J685" s="6">
        <f t="shared" si="20"/>
        <v>2.0800000000000054</v>
      </c>
    </row>
    <row r="686" spans="2:10" x14ac:dyDescent="0.25">
      <c r="B686" s="5">
        <f t="shared" si="21"/>
        <v>43052</v>
      </c>
      <c r="C686" s="6">
        <f>IFERROR(VLOOKUP($B686,Platts!$E$5:$M$4994,MATCH(C$3,Platts!$F$5:$M$5,0)+1,FALSE),C685)</f>
        <v>54.03</v>
      </c>
      <c r="D686" s="6">
        <f>IFERROR(VLOOKUP($B686,Platts!$E$5:$M$4994,MATCH(D$3,Platts!$F$5:$M$5,0)+1,FALSE),D685)</f>
        <v>61.48</v>
      </c>
      <c r="E686" s="6">
        <f>IFERROR(VLOOKUP($B686,Platts!$E$5:$M$4994,MATCH(E$3,Platts!$F$5:$M$5,0)+1,FALSE),E685)</f>
        <v>55.21</v>
      </c>
      <c r="F686" s="6">
        <f>IFERROR(VLOOKUP($B686,Platts!$E$5:$M$4994,MATCH(F$3,Platts!$F$5:$M$5,0)+1,FALSE),F685)</f>
        <v>64.12</v>
      </c>
      <c r="G686" s="6">
        <f>IFERROR(VLOOKUP($B686,Platts!$E$5:$M$4994,MATCH(G$3,Platts!$F$5:$M$5,0)+1,FALSE),G685)</f>
        <v>63.47</v>
      </c>
      <c r="H686" s="6">
        <f>IFERROR(VLOOKUP($B686,Platts!$E$5:$M$4994,MATCH(H$3,Platts!$F$5:$M$5,0)+1,FALSE),H685)</f>
        <v>56.76</v>
      </c>
      <c r="I686" s="6">
        <f>IFERROR(VLOOKUP($B686,Platts!$E$5:$M$4994,MATCH(I$3,Platts!$F$5:$M$5,0)+1,FALSE),I685)</f>
        <v>62.56</v>
      </c>
      <c r="J686" s="6">
        <f t="shared" si="20"/>
        <v>2.7299999999999969</v>
      </c>
    </row>
    <row r="687" spans="2:10" x14ac:dyDescent="0.25">
      <c r="B687" s="5">
        <f t="shared" si="21"/>
        <v>43053</v>
      </c>
      <c r="C687" s="6">
        <f>IFERROR(VLOOKUP($B687,Platts!$E$5:$M$4994,MATCH(C$3,Platts!$F$5:$M$5,0)+1,FALSE),C686)</f>
        <v>52.74</v>
      </c>
      <c r="D687" s="6">
        <f>IFERROR(VLOOKUP($B687,Platts!$E$5:$M$4994,MATCH(D$3,Platts!$F$5:$M$5,0)+1,FALSE),D686)</f>
        <v>60.3</v>
      </c>
      <c r="E687" s="6">
        <f>IFERROR(VLOOKUP($B687,Platts!$E$5:$M$4994,MATCH(E$3,Platts!$F$5:$M$5,0)+1,FALSE),E686)</f>
        <v>54.12</v>
      </c>
      <c r="F687" s="6">
        <f>IFERROR(VLOOKUP($B687,Platts!$E$5:$M$4994,MATCH(F$3,Platts!$F$5:$M$5,0)+1,FALSE),F686)</f>
        <v>62.94</v>
      </c>
      <c r="G687" s="6">
        <f>IFERROR(VLOOKUP($B687,Platts!$E$5:$M$4994,MATCH(G$3,Platts!$F$5:$M$5,0)+1,FALSE),G686)</f>
        <v>61.57</v>
      </c>
      <c r="H687" s="6">
        <f>IFERROR(VLOOKUP($B687,Platts!$E$5:$M$4994,MATCH(H$3,Platts!$F$5:$M$5,0)+1,FALSE),H686)</f>
        <v>55.7</v>
      </c>
      <c r="I687" s="6">
        <f>IFERROR(VLOOKUP($B687,Platts!$E$5:$M$4994,MATCH(I$3,Platts!$F$5:$M$5,0)+1,FALSE),I686)</f>
        <v>61.4</v>
      </c>
      <c r="J687" s="6">
        <f t="shared" si="20"/>
        <v>2.9600000000000009</v>
      </c>
    </row>
    <row r="688" spans="2:10" x14ac:dyDescent="0.25">
      <c r="B688" s="5">
        <f t="shared" si="21"/>
        <v>43054</v>
      </c>
      <c r="C688" s="6">
        <f>IFERROR(VLOOKUP($B688,Platts!$E$5:$M$4994,MATCH(C$3,Platts!$F$5:$M$5,0)+1,FALSE),C687)</f>
        <v>52.62</v>
      </c>
      <c r="D688" s="6">
        <f>IFERROR(VLOOKUP($B688,Platts!$E$5:$M$4994,MATCH(D$3,Platts!$F$5:$M$5,0)+1,FALSE),D687)</f>
        <v>60.07</v>
      </c>
      <c r="E688" s="6">
        <f>IFERROR(VLOOKUP($B688,Platts!$E$5:$M$4994,MATCH(E$3,Platts!$F$5:$M$5,0)+1,FALSE),E687)</f>
        <v>53.85</v>
      </c>
      <c r="F688" s="6">
        <f>IFERROR(VLOOKUP($B688,Platts!$E$5:$M$4994,MATCH(F$3,Platts!$F$5:$M$5,0)+1,FALSE),F687)</f>
        <v>62.72</v>
      </c>
      <c r="G688" s="6">
        <f>IFERROR(VLOOKUP($B688,Platts!$E$5:$M$4994,MATCH(G$3,Platts!$F$5:$M$5,0)+1,FALSE),G687)</f>
        <v>62.03</v>
      </c>
      <c r="H688" s="6">
        <f>IFERROR(VLOOKUP($B688,Platts!$E$5:$M$4994,MATCH(H$3,Platts!$F$5:$M$5,0)+1,FALSE),H687)</f>
        <v>55.33</v>
      </c>
      <c r="I688" s="6">
        <f>IFERROR(VLOOKUP($B688,Platts!$E$5:$M$4994,MATCH(I$3,Platts!$F$5:$M$5,0)+1,FALSE),I687)</f>
        <v>61.18</v>
      </c>
      <c r="J688" s="6">
        <f t="shared" si="20"/>
        <v>2.7100000000000009</v>
      </c>
    </row>
    <row r="689" spans="2:10" x14ac:dyDescent="0.25">
      <c r="B689" s="5">
        <f t="shared" si="21"/>
        <v>43055</v>
      </c>
      <c r="C689" s="6">
        <f>IFERROR(VLOOKUP($B689,Platts!$E$5:$M$4994,MATCH(C$3,Platts!$F$5:$M$5,0)+1,FALSE),C688)</f>
        <v>52.51</v>
      </c>
      <c r="D689" s="6">
        <f>IFERROR(VLOOKUP($B689,Platts!$E$5:$M$4994,MATCH(D$3,Platts!$F$5:$M$5,0)+1,FALSE),D688)</f>
        <v>59.97</v>
      </c>
      <c r="E689" s="6">
        <f>IFERROR(VLOOKUP($B689,Platts!$E$5:$M$4994,MATCH(E$3,Platts!$F$5:$M$5,0)+1,FALSE),E688)</f>
        <v>53.49</v>
      </c>
      <c r="F689" s="6">
        <f>IFERROR(VLOOKUP($B689,Platts!$E$5:$M$4994,MATCH(F$3,Platts!$F$5:$M$5,0)+1,FALSE),F688)</f>
        <v>62.57</v>
      </c>
      <c r="G689" s="6">
        <f>IFERROR(VLOOKUP($B689,Platts!$E$5:$M$4994,MATCH(G$3,Platts!$F$5:$M$5,0)+1,FALSE),G688)</f>
        <v>61.81</v>
      </c>
      <c r="H689" s="6">
        <f>IFERROR(VLOOKUP($B689,Platts!$E$5:$M$4994,MATCH(H$3,Platts!$F$5:$M$5,0)+1,FALSE),H688)</f>
        <v>55.14</v>
      </c>
      <c r="I689" s="6">
        <f>IFERROR(VLOOKUP($B689,Platts!$E$5:$M$4994,MATCH(I$3,Platts!$F$5:$M$5,0)+1,FALSE),I688)</f>
        <v>61.24</v>
      </c>
      <c r="J689" s="6">
        <f t="shared" si="20"/>
        <v>2.6300000000000026</v>
      </c>
    </row>
    <row r="690" spans="2:10" x14ac:dyDescent="0.25">
      <c r="B690" s="5">
        <f t="shared" si="21"/>
        <v>43056</v>
      </c>
      <c r="C690" s="6">
        <f>IFERROR(VLOOKUP($B690,Platts!$E$5:$M$4994,MATCH(C$3,Platts!$F$5:$M$5,0)+1,FALSE),C689)</f>
        <v>53.19</v>
      </c>
      <c r="D690" s="6">
        <f>IFERROR(VLOOKUP($B690,Platts!$E$5:$M$4994,MATCH(D$3,Platts!$F$5:$M$5,0)+1,FALSE),D689)</f>
        <v>61.34</v>
      </c>
      <c r="E690" s="6">
        <f>IFERROR(VLOOKUP($B690,Platts!$E$5:$M$4994,MATCH(E$3,Platts!$F$5:$M$5,0)+1,FALSE),E689)</f>
        <v>54.61</v>
      </c>
      <c r="F690" s="6">
        <f>IFERROR(VLOOKUP($B690,Platts!$E$5:$M$4994,MATCH(F$3,Platts!$F$5:$M$5,0)+1,FALSE),F689)</f>
        <v>63.93</v>
      </c>
      <c r="G690" s="6">
        <f>IFERROR(VLOOKUP($B690,Platts!$E$5:$M$4994,MATCH(G$3,Platts!$F$5:$M$5,0)+1,FALSE),G689)</f>
        <v>62.41</v>
      </c>
      <c r="H690" s="6">
        <f>IFERROR(VLOOKUP($B690,Platts!$E$5:$M$4994,MATCH(H$3,Platts!$F$5:$M$5,0)+1,FALSE),H689)</f>
        <v>56.55</v>
      </c>
      <c r="I690" s="6">
        <f>IFERROR(VLOOKUP($B690,Platts!$E$5:$M$4994,MATCH(I$3,Platts!$F$5:$M$5,0)+1,FALSE),I689)</f>
        <v>62.55</v>
      </c>
      <c r="J690" s="6">
        <f t="shared" si="20"/>
        <v>3.3599999999999994</v>
      </c>
    </row>
    <row r="691" spans="2:10" x14ac:dyDescent="0.25">
      <c r="B691" s="5">
        <f t="shared" si="21"/>
        <v>43057</v>
      </c>
      <c r="C691" s="6">
        <f>IFERROR(VLOOKUP($B691,Platts!$E$5:$M$4994,MATCH(C$3,Platts!$F$5:$M$5,0)+1,FALSE),C690)</f>
        <v>53.19</v>
      </c>
      <c r="D691" s="6">
        <f>IFERROR(VLOOKUP($B691,Platts!$E$5:$M$4994,MATCH(D$3,Platts!$F$5:$M$5,0)+1,FALSE),D690)</f>
        <v>61.34</v>
      </c>
      <c r="E691" s="6">
        <f>IFERROR(VLOOKUP($B691,Platts!$E$5:$M$4994,MATCH(E$3,Platts!$F$5:$M$5,0)+1,FALSE),E690)</f>
        <v>54.61</v>
      </c>
      <c r="F691" s="6">
        <f>IFERROR(VLOOKUP($B691,Platts!$E$5:$M$4994,MATCH(F$3,Platts!$F$5:$M$5,0)+1,FALSE),F690)</f>
        <v>63.93</v>
      </c>
      <c r="G691" s="6">
        <f>IFERROR(VLOOKUP($B691,Platts!$E$5:$M$4994,MATCH(G$3,Platts!$F$5:$M$5,0)+1,FALSE),G690)</f>
        <v>62.41</v>
      </c>
      <c r="H691" s="6">
        <f>IFERROR(VLOOKUP($B691,Platts!$E$5:$M$4994,MATCH(H$3,Platts!$F$5:$M$5,0)+1,FALSE),H690)</f>
        <v>56.55</v>
      </c>
      <c r="I691" s="6">
        <f>IFERROR(VLOOKUP($B691,Platts!$E$5:$M$4994,MATCH(I$3,Platts!$F$5:$M$5,0)+1,FALSE),I690)</f>
        <v>62.55</v>
      </c>
      <c r="J691" s="6">
        <f t="shared" si="20"/>
        <v>3.3599999999999994</v>
      </c>
    </row>
    <row r="692" spans="2:10" x14ac:dyDescent="0.25">
      <c r="B692" s="5">
        <f t="shared" si="21"/>
        <v>43058</v>
      </c>
      <c r="C692" s="6">
        <f>IFERROR(VLOOKUP($B692,Platts!$E$5:$M$4994,MATCH(C$3,Platts!$F$5:$M$5,0)+1,FALSE),C691)</f>
        <v>53.19</v>
      </c>
      <c r="D692" s="6">
        <f>IFERROR(VLOOKUP($B692,Platts!$E$5:$M$4994,MATCH(D$3,Platts!$F$5:$M$5,0)+1,FALSE),D691)</f>
        <v>61.34</v>
      </c>
      <c r="E692" s="6">
        <f>IFERROR(VLOOKUP($B692,Platts!$E$5:$M$4994,MATCH(E$3,Platts!$F$5:$M$5,0)+1,FALSE),E691)</f>
        <v>54.61</v>
      </c>
      <c r="F692" s="6">
        <f>IFERROR(VLOOKUP($B692,Platts!$E$5:$M$4994,MATCH(F$3,Platts!$F$5:$M$5,0)+1,FALSE),F691)</f>
        <v>63.93</v>
      </c>
      <c r="G692" s="6">
        <f>IFERROR(VLOOKUP($B692,Platts!$E$5:$M$4994,MATCH(G$3,Platts!$F$5:$M$5,0)+1,FALSE),G691)</f>
        <v>62.41</v>
      </c>
      <c r="H692" s="6">
        <f>IFERROR(VLOOKUP($B692,Platts!$E$5:$M$4994,MATCH(H$3,Platts!$F$5:$M$5,0)+1,FALSE),H691)</f>
        <v>56.55</v>
      </c>
      <c r="I692" s="6">
        <f>IFERROR(VLOOKUP($B692,Platts!$E$5:$M$4994,MATCH(I$3,Platts!$F$5:$M$5,0)+1,FALSE),I691)</f>
        <v>62.55</v>
      </c>
      <c r="J692" s="6">
        <f t="shared" si="20"/>
        <v>3.3599999999999994</v>
      </c>
    </row>
    <row r="693" spans="2:10" x14ac:dyDescent="0.25">
      <c r="B693" s="5">
        <f t="shared" si="21"/>
        <v>43059</v>
      </c>
      <c r="C693" s="6">
        <f>IFERROR(VLOOKUP($B693,Platts!$E$5:$M$4994,MATCH(C$3,Platts!$F$5:$M$5,0)+1,FALSE),C692)</f>
        <v>52.87</v>
      </c>
      <c r="D693" s="6">
        <f>IFERROR(VLOOKUP($B693,Platts!$E$5:$M$4994,MATCH(D$3,Platts!$F$5:$M$5,0)+1,FALSE),D692)</f>
        <v>60.72</v>
      </c>
      <c r="E693" s="6">
        <f>IFERROR(VLOOKUP($B693,Platts!$E$5:$M$4994,MATCH(E$3,Platts!$F$5:$M$5,0)+1,FALSE),E692)</f>
        <v>54.23</v>
      </c>
      <c r="F693" s="6">
        <f>IFERROR(VLOOKUP($B693,Platts!$E$5:$M$4994,MATCH(F$3,Platts!$F$5:$M$5,0)+1,FALSE),F692)</f>
        <v>63.34</v>
      </c>
      <c r="G693" s="6">
        <f>IFERROR(VLOOKUP($B693,Platts!$E$5:$M$4994,MATCH(G$3,Platts!$F$5:$M$5,0)+1,FALSE),G692)</f>
        <v>61.95</v>
      </c>
      <c r="H693" s="6">
        <f>IFERROR(VLOOKUP($B693,Platts!$E$5:$M$4994,MATCH(H$3,Platts!$F$5:$M$5,0)+1,FALSE),H692)</f>
        <v>56.09</v>
      </c>
      <c r="I693" s="6">
        <f>IFERROR(VLOOKUP($B693,Platts!$E$5:$M$4994,MATCH(I$3,Platts!$F$5:$M$5,0)+1,FALSE),I692)</f>
        <v>62.14</v>
      </c>
      <c r="J693" s="6">
        <f t="shared" si="20"/>
        <v>3.220000000000006</v>
      </c>
    </row>
    <row r="694" spans="2:10" x14ac:dyDescent="0.25">
      <c r="B694" s="5">
        <f t="shared" si="21"/>
        <v>43060</v>
      </c>
      <c r="C694" s="6">
        <f>IFERROR(VLOOKUP($B694,Platts!$E$5:$M$4994,MATCH(C$3,Platts!$F$5:$M$5,0)+1,FALSE),C693)</f>
        <v>53.12</v>
      </c>
      <c r="D694" s="6">
        <f>IFERROR(VLOOKUP($B694,Platts!$E$5:$M$4994,MATCH(D$3,Platts!$F$5:$M$5,0)+1,FALSE),D693)</f>
        <v>61.47</v>
      </c>
      <c r="E694" s="6">
        <f>IFERROR(VLOOKUP($B694,Platts!$E$5:$M$4994,MATCH(E$3,Platts!$F$5:$M$5,0)+1,FALSE),E693)</f>
        <v>54.62</v>
      </c>
      <c r="F694" s="6">
        <f>IFERROR(VLOOKUP($B694,Platts!$E$5:$M$4994,MATCH(F$3,Platts!$F$5:$M$5,0)+1,FALSE),F693)</f>
        <v>64.02</v>
      </c>
      <c r="G694" s="6">
        <f>IFERROR(VLOOKUP($B694,Platts!$E$5:$M$4994,MATCH(G$3,Platts!$F$5:$M$5,0)+1,FALSE),G693)</f>
        <v>62.43</v>
      </c>
      <c r="H694" s="6">
        <f>IFERROR(VLOOKUP($B694,Platts!$E$5:$M$4994,MATCH(H$3,Platts!$F$5:$M$5,0)+1,FALSE),H693)</f>
        <v>56.72</v>
      </c>
      <c r="I694" s="6">
        <f>IFERROR(VLOOKUP($B694,Platts!$E$5:$M$4994,MATCH(I$3,Platts!$F$5:$M$5,0)+1,FALSE),I693)</f>
        <v>63.07</v>
      </c>
      <c r="J694" s="6">
        <f t="shared" si="20"/>
        <v>3.6000000000000014</v>
      </c>
    </row>
    <row r="695" spans="2:10" x14ac:dyDescent="0.25">
      <c r="B695" s="5">
        <f t="shared" si="21"/>
        <v>43061</v>
      </c>
      <c r="C695" s="6">
        <f>IFERROR(VLOOKUP($B695,Platts!$E$5:$M$4994,MATCH(C$3,Platts!$F$5:$M$5,0)+1,FALSE),C694)</f>
        <v>53.62</v>
      </c>
      <c r="D695" s="6">
        <f>IFERROR(VLOOKUP($B695,Platts!$E$5:$M$4994,MATCH(D$3,Platts!$F$5:$M$5,0)+1,FALSE),D694)</f>
        <v>62.48</v>
      </c>
      <c r="E695" s="6">
        <f>IFERROR(VLOOKUP($B695,Platts!$E$5:$M$4994,MATCH(E$3,Platts!$F$5:$M$5,0)+1,FALSE),E694)</f>
        <v>55.2</v>
      </c>
      <c r="F695" s="6">
        <f>IFERROR(VLOOKUP($B695,Platts!$E$5:$M$4994,MATCH(F$3,Platts!$F$5:$M$5,0)+1,FALSE),F694)</f>
        <v>65</v>
      </c>
      <c r="G695" s="6">
        <f>IFERROR(VLOOKUP($B695,Platts!$E$5:$M$4994,MATCH(G$3,Platts!$F$5:$M$5,0)+1,FALSE),G694)</f>
        <v>62.99</v>
      </c>
      <c r="H695" s="6">
        <f>IFERROR(VLOOKUP($B695,Platts!$E$5:$M$4994,MATCH(H$3,Platts!$F$5:$M$5,0)+1,FALSE),H694)</f>
        <v>57.95</v>
      </c>
      <c r="I695" s="6">
        <f>IFERROR(VLOOKUP($B695,Platts!$E$5:$M$4994,MATCH(I$3,Platts!$F$5:$M$5,0)+1,FALSE),I694)</f>
        <v>63.95</v>
      </c>
      <c r="J695" s="6">
        <f t="shared" si="20"/>
        <v>4.3300000000000054</v>
      </c>
    </row>
    <row r="696" spans="2:10" x14ac:dyDescent="0.25">
      <c r="B696" s="5">
        <f t="shared" si="21"/>
        <v>43062</v>
      </c>
      <c r="C696" s="6">
        <f>IFERROR(VLOOKUP($B696,Platts!$E$5:$M$4994,MATCH(C$3,Platts!$F$5:$M$5,0)+1,FALSE),C695)</f>
        <v>53.62</v>
      </c>
      <c r="D696" s="6">
        <f>IFERROR(VLOOKUP($B696,Platts!$E$5:$M$4994,MATCH(D$3,Platts!$F$5:$M$5,0)+1,FALSE),D695)</f>
        <v>62.48</v>
      </c>
      <c r="E696" s="6">
        <f>IFERROR(VLOOKUP($B696,Platts!$E$5:$M$4994,MATCH(E$3,Platts!$F$5:$M$5,0)+1,FALSE),E695)</f>
        <v>55.2</v>
      </c>
      <c r="F696" s="6">
        <f>IFERROR(VLOOKUP($B696,Platts!$E$5:$M$4994,MATCH(F$3,Platts!$F$5:$M$5,0)+1,FALSE),F695)</f>
        <v>65</v>
      </c>
      <c r="G696" s="6">
        <f>IFERROR(VLOOKUP($B696,Platts!$E$5:$M$4994,MATCH(G$3,Platts!$F$5:$M$5,0)+1,FALSE),G695)</f>
        <v>63.38</v>
      </c>
      <c r="H696" s="6">
        <f>IFERROR(VLOOKUP($B696,Platts!$E$5:$M$4994,MATCH(H$3,Platts!$F$5:$M$5,0)+1,FALSE),H695)</f>
        <v>57.95</v>
      </c>
      <c r="I696" s="6">
        <f>IFERROR(VLOOKUP($B696,Platts!$E$5:$M$4994,MATCH(I$3,Platts!$F$5:$M$5,0)+1,FALSE),I695)</f>
        <v>63.95</v>
      </c>
      <c r="J696" s="6">
        <f t="shared" si="20"/>
        <v>4.3300000000000054</v>
      </c>
    </row>
    <row r="697" spans="2:10" x14ac:dyDescent="0.25">
      <c r="B697" s="5">
        <f t="shared" si="21"/>
        <v>43063</v>
      </c>
      <c r="C697" s="6">
        <f>IFERROR(VLOOKUP($B697,Platts!$E$5:$M$4994,MATCH(C$3,Platts!$F$5:$M$5,0)+1,FALSE),C696)</f>
        <v>53.62</v>
      </c>
      <c r="D697" s="6">
        <f>IFERROR(VLOOKUP($B697,Platts!$E$5:$M$4994,MATCH(D$3,Platts!$F$5:$M$5,0)+1,FALSE),D696)</f>
        <v>63.1</v>
      </c>
      <c r="E697" s="6">
        <f>IFERROR(VLOOKUP($B697,Platts!$E$5:$M$4994,MATCH(E$3,Platts!$F$5:$M$5,0)+1,FALSE),E696)</f>
        <v>55.6</v>
      </c>
      <c r="F697" s="6">
        <f>IFERROR(VLOOKUP($B697,Platts!$E$5:$M$4994,MATCH(F$3,Platts!$F$5:$M$5,0)+1,FALSE),F696)</f>
        <v>65.58</v>
      </c>
      <c r="G697" s="6">
        <f>IFERROR(VLOOKUP($B697,Platts!$E$5:$M$4994,MATCH(G$3,Platts!$F$5:$M$5,0)+1,FALSE),G696)</f>
        <v>63.6</v>
      </c>
      <c r="H697" s="6">
        <f>IFERROR(VLOOKUP($B697,Platts!$E$5:$M$4994,MATCH(H$3,Platts!$F$5:$M$5,0)+1,FALSE),H696)</f>
        <v>57.95</v>
      </c>
      <c r="I697" s="6">
        <f>IFERROR(VLOOKUP($B697,Platts!$E$5:$M$4994,MATCH(I$3,Platts!$F$5:$M$5,0)+1,FALSE),I696)</f>
        <v>63.95</v>
      </c>
      <c r="J697" s="6">
        <f t="shared" si="20"/>
        <v>4.3300000000000054</v>
      </c>
    </row>
    <row r="698" spans="2:10" x14ac:dyDescent="0.25">
      <c r="B698" s="5">
        <f t="shared" si="21"/>
        <v>43064</v>
      </c>
      <c r="C698" s="6">
        <f>IFERROR(VLOOKUP($B698,Platts!$E$5:$M$4994,MATCH(C$3,Platts!$F$5:$M$5,0)+1,FALSE),C697)</f>
        <v>53.62</v>
      </c>
      <c r="D698" s="6">
        <f>IFERROR(VLOOKUP($B698,Platts!$E$5:$M$4994,MATCH(D$3,Platts!$F$5:$M$5,0)+1,FALSE),D697)</f>
        <v>63.1</v>
      </c>
      <c r="E698" s="6">
        <f>IFERROR(VLOOKUP($B698,Platts!$E$5:$M$4994,MATCH(E$3,Platts!$F$5:$M$5,0)+1,FALSE),E697)</f>
        <v>55.6</v>
      </c>
      <c r="F698" s="6">
        <f>IFERROR(VLOOKUP($B698,Platts!$E$5:$M$4994,MATCH(F$3,Platts!$F$5:$M$5,0)+1,FALSE),F697)</f>
        <v>65.58</v>
      </c>
      <c r="G698" s="6">
        <f>IFERROR(VLOOKUP($B698,Platts!$E$5:$M$4994,MATCH(G$3,Platts!$F$5:$M$5,0)+1,FALSE),G697)</f>
        <v>63.6</v>
      </c>
      <c r="H698" s="6">
        <f>IFERROR(VLOOKUP($B698,Platts!$E$5:$M$4994,MATCH(H$3,Platts!$F$5:$M$5,0)+1,FALSE),H697)</f>
        <v>57.95</v>
      </c>
      <c r="I698" s="6">
        <f>IFERROR(VLOOKUP($B698,Platts!$E$5:$M$4994,MATCH(I$3,Platts!$F$5:$M$5,0)+1,FALSE),I697)</f>
        <v>63.95</v>
      </c>
      <c r="J698" s="6">
        <f t="shared" si="20"/>
        <v>4.3300000000000054</v>
      </c>
    </row>
    <row r="699" spans="2:10" x14ac:dyDescent="0.25">
      <c r="B699" s="5">
        <f t="shared" si="21"/>
        <v>43065</v>
      </c>
      <c r="C699" s="6">
        <f>IFERROR(VLOOKUP($B699,Platts!$E$5:$M$4994,MATCH(C$3,Platts!$F$5:$M$5,0)+1,FALSE),C698)</f>
        <v>53.62</v>
      </c>
      <c r="D699" s="6">
        <f>IFERROR(VLOOKUP($B699,Platts!$E$5:$M$4994,MATCH(D$3,Platts!$F$5:$M$5,0)+1,FALSE),D698)</f>
        <v>63.1</v>
      </c>
      <c r="E699" s="6">
        <f>IFERROR(VLOOKUP($B699,Platts!$E$5:$M$4994,MATCH(E$3,Platts!$F$5:$M$5,0)+1,FALSE),E698)</f>
        <v>55.6</v>
      </c>
      <c r="F699" s="6">
        <f>IFERROR(VLOOKUP($B699,Platts!$E$5:$M$4994,MATCH(F$3,Platts!$F$5:$M$5,0)+1,FALSE),F698)</f>
        <v>65.58</v>
      </c>
      <c r="G699" s="6">
        <f>IFERROR(VLOOKUP($B699,Platts!$E$5:$M$4994,MATCH(G$3,Platts!$F$5:$M$5,0)+1,FALSE),G698)</f>
        <v>63.6</v>
      </c>
      <c r="H699" s="6">
        <f>IFERROR(VLOOKUP($B699,Platts!$E$5:$M$4994,MATCH(H$3,Platts!$F$5:$M$5,0)+1,FALSE),H698)</f>
        <v>57.95</v>
      </c>
      <c r="I699" s="6">
        <f>IFERROR(VLOOKUP($B699,Platts!$E$5:$M$4994,MATCH(I$3,Platts!$F$5:$M$5,0)+1,FALSE),I698)</f>
        <v>63.95</v>
      </c>
      <c r="J699" s="6">
        <f t="shared" si="20"/>
        <v>4.3300000000000054</v>
      </c>
    </row>
    <row r="700" spans="2:10" x14ac:dyDescent="0.25">
      <c r="B700" s="5">
        <f t="shared" si="21"/>
        <v>43066</v>
      </c>
      <c r="C700" s="6">
        <f>IFERROR(VLOOKUP($B700,Platts!$E$5:$M$4994,MATCH(C$3,Platts!$F$5:$M$5,0)+1,FALSE),C699)</f>
        <v>53.86</v>
      </c>
      <c r="D700" s="6">
        <f>IFERROR(VLOOKUP($B700,Platts!$E$5:$M$4994,MATCH(D$3,Platts!$F$5:$M$5,0)+1,FALSE),D699)</f>
        <v>62.44</v>
      </c>
      <c r="E700" s="6">
        <f>IFERROR(VLOOKUP($B700,Platts!$E$5:$M$4994,MATCH(E$3,Platts!$F$5:$M$5,0)+1,FALSE),E699)</f>
        <v>55.51</v>
      </c>
      <c r="F700" s="6">
        <f>IFERROR(VLOOKUP($B700,Platts!$E$5:$M$4994,MATCH(F$3,Platts!$F$5:$M$5,0)+1,FALSE),F699)</f>
        <v>65.05</v>
      </c>
      <c r="G700" s="6">
        <f>IFERROR(VLOOKUP($B700,Platts!$E$5:$M$4994,MATCH(G$3,Platts!$F$5:$M$5,0)+1,FALSE),G699)</f>
        <v>63.3</v>
      </c>
      <c r="H700" s="6">
        <f>IFERROR(VLOOKUP($B700,Platts!$E$5:$M$4994,MATCH(H$3,Platts!$F$5:$M$5,0)+1,FALSE),H699)</f>
        <v>58.11</v>
      </c>
      <c r="I700" s="6">
        <f>IFERROR(VLOOKUP($B700,Platts!$E$5:$M$4994,MATCH(I$3,Platts!$F$5:$M$5,0)+1,FALSE),I699)</f>
        <v>63.61</v>
      </c>
      <c r="J700" s="6">
        <f t="shared" si="20"/>
        <v>4.25</v>
      </c>
    </row>
    <row r="701" spans="2:10" x14ac:dyDescent="0.25">
      <c r="B701" s="5">
        <f t="shared" si="21"/>
        <v>43067</v>
      </c>
      <c r="C701" s="6">
        <f>IFERROR(VLOOKUP($B701,Platts!$E$5:$M$4994,MATCH(C$3,Platts!$F$5:$M$5,0)+1,FALSE),C700)</f>
        <v>53.91</v>
      </c>
      <c r="D701" s="6">
        <f>IFERROR(VLOOKUP($B701,Platts!$E$5:$M$4994,MATCH(D$3,Platts!$F$5:$M$5,0)+1,FALSE),D700)</f>
        <v>62.42</v>
      </c>
      <c r="E701" s="6">
        <f>IFERROR(VLOOKUP($B701,Platts!$E$5:$M$4994,MATCH(E$3,Platts!$F$5:$M$5,0)+1,FALSE),E700)</f>
        <v>55.45</v>
      </c>
      <c r="F701" s="6">
        <f>IFERROR(VLOOKUP($B701,Platts!$E$5:$M$4994,MATCH(F$3,Platts!$F$5:$M$5,0)+1,FALSE),F700)</f>
        <v>64.97</v>
      </c>
      <c r="G701" s="6">
        <f>IFERROR(VLOOKUP($B701,Platts!$E$5:$M$4994,MATCH(G$3,Platts!$F$5:$M$5,0)+1,FALSE),G700)</f>
        <v>63.58</v>
      </c>
      <c r="H701" s="6">
        <f>IFERROR(VLOOKUP($B701,Platts!$E$5:$M$4994,MATCH(H$3,Platts!$F$5:$M$5,0)+1,FALSE),H700)</f>
        <v>57.99</v>
      </c>
      <c r="I701" s="6">
        <f>IFERROR(VLOOKUP($B701,Platts!$E$5:$M$4994,MATCH(I$3,Platts!$F$5:$M$5,0)+1,FALSE),I700)</f>
        <v>63.54</v>
      </c>
      <c r="J701" s="6">
        <f t="shared" si="20"/>
        <v>4.0800000000000054</v>
      </c>
    </row>
    <row r="702" spans="2:10" x14ac:dyDescent="0.25">
      <c r="B702" s="5">
        <f t="shared" si="21"/>
        <v>43068</v>
      </c>
      <c r="C702" s="6">
        <f>IFERROR(VLOOKUP($B702,Platts!$E$5:$M$4994,MATCH(C$3,Platts!$F$5:$M$5,0)+1,FALSE),C701)</f>
        <v>53.53</v>
      </c>
      <c r="D702" s="6">
        <f>IFERROR(VLOOKUP($B702,Platts!$E$5:$M$4994,MATCH(D$3,Platts!$F$5:$M$5,0)+1,FALSE),D701)</f>
        <v>61.81</v>
      </c>
      <c r="E702" s="6">
        <f>IFERROR(VLOOKUP($B702,Platts!$E$5:$M$4994,MATCH(E$3,Platts!$F$5:$M$5,0)+1,FALSE),E701)</f>
        <v>54.9</v>
      </c>
      <c r="F702" s="6">
        <f>IFERROR(VLOOKUP($B702,Platts!$E$5:$M$4994,MATCH(F$3,Platts!$F$5:$M$5,0)+1,FALSE),F701)</f>
        <v>64.39</v>
      </c>
      <c r="G702" s="6">
        <f>IFERROR(VLOOKUP($B702,Platts!$E$5:$M$4994,MATCH(G$3,Platts!$F$5:$M$5,0)+1,FALSE),G701)</f>
        <v>63.26</v>
      </c>
      <c r="H702" s="6">
        <f>IFERROR(VLOOKUP($B702,Platts!$E$5:$M$4994,MATCH(H$3,Platts!$F$5:$M$5,0)+1,FALSE),H701)</f>
        <v>57.3</v>
      </c>
      <c r="I702" s="6">
        <f>IFERROR(VLOOKUP($B702,Platts!$E$5:$M$4994,MATCH(I$3,Platts!$F$5:$M$5,0)+1,FALSE),I701)</f>
        <v>62.8</v>
      </c>
      <c r="J702" s="6">
        <f t="shared" si="20"/>
        <v>3.769999999999996</v>
      </c>
    </row>
    <row r="703" spans="2:10" x14ac:dyDescent="0.25">
      <c r="B703" s="5">
        <f t="shared" si="21"/>
        <v>43069</v>
      </c>
      <c r="C703" s="6">
        <f>IFERROR(VLOOKUP($B703,Platts!$E$5:$M$4994,MATCH(C$3,Platts!$F$5:$M$5,0)+1,FALSE),C702)</f>
        <v>53.59</v>
      </c>
      <c r="D703" s="6">
        <f>IFERROR(VLOOKUP($B703,Platts!$E$5:$M$4994,MATCH(D$3,Platts!$F$5:$M$5,0)+1,FALSE),D702)</f>
        <v>61.99</v>
      </c>
      <c r="E703" s="6">
        <f>IFERROR(VLOOKUP($B703,Platts!$E$5:$M$4994,MATCH(E$3,Platts!$F$5:$M$5,0)+1,FALSE),E702)</f>
        <v>54.88</v>
      </c>
      <c r="F703" s="6">
        <f>IFERROR(VLOOKUP($B703,Platts!$E$5:$M$4994,MATCH(F$3,Platts!$F$5:$M$5,0)+1,FALSE),F702)</f>
        <v>64.510000000000005</v>
      </c>
      <c r="G703" s="6">
        <f>IFERROR(VLOOKUP($B703,Platts!$E$5:$M$4994,MATCH(G$3,Platts!$F$5:$M$5,0)+1,FALSE),G702)</f>
        <v>63.52</v>
      </c>
      <c r="H703" s="6">
        <f>IFERROR(VLOOKUP($B703,Platts!$E$5:$M$4994,MATCH(H$3,Platts!$F$5:$M$5,0)+1,FALSE),H702)</f>
        <v>57.4</v>
      </c>
      <c r="I703" s="6">
        <f>IFERROR(VLOOKUP($B703,Platts!$E$5:$M$4994,MATCH(I$3,Platts!$F$5:$M$5,0)+1,FALSE),I702)</f>
        <v>63.1</v>
      </c>
      <c r="J703" s="6">
        <f t="shared" si="20"/>
        <v>3.8099999999999952</v>
      </c>
    </row>
    <row r="704" spans="2:10" x14ac:dyDescent="0.25">
      <c r="B704" s="5">
        <f t="shared" si="21"/>
        <v>43070</v>
      </c>
      <c r="C704" s="6">
        <f>IFERROR(VLOOKUP($B704,Platts!$E$5:$M$4994,MATCH(C$3,Platts!$F$5:$M$5,0)+1,FALSE),C703)</f>
        <v>54.4</v>
      </c>
      <c r="D704" s="6">
        <f>IFERROR(VLOOKUP($B704,Platts!$E$5:$M$4994,MATCH(D$3,Platts!$F$5:$M$5,0)+1,FALSE),D703)</f>
        <v>62.94</v>
      </c>
      <c r="E704" s="6">
        <f>IFERROR(VLOOKUP($B704,Platts!$E$5:$M$4994,MATCH(E$3,Platts!$F$5:$M$5,0)+1,FALSE),E703)</f>
        <v>55.97</v>
      </c>
      <c r="F704" s="6">
        <f>IFERROR(VLOOKUP($B704,Platts!$E$5:$M$4994,MATCH(F$3,Platts!$F$5:$M$5,0)+1,FALSE),F703)</f>
        <v>65.459999999999994</v>
      </c>
      <c r="G704" s="6">
        <f>IFERROR(VLOOKUP($B704,Platts!$E$5:$M$4994,MATCH(G$3,Platts!$F$5:$M$5,0)+1,FALSE),G703)</f>
        <v>64.12</v>
      </c>
      <c r="H704" s="6">
        <f>IFERROR(VLOOKUP($B704,Platts!$E$5:$M$4994,MATCH(H$3,Platts!$F$5:$M$5,0)+1,FALSE),H703)</f>
        <v>58.36</v>
      </c>
      <c r="I704" s="6">
        <f>IFERROR(VLOOKUP($B704,Platts!$E$5:$M$4994,MATCH(I$3,Platts!$F$5:$M$5,0)+1,FALSE),I703)</f>
        <v>64.11</v>
      </c>
      <c r="J704" s="6">
        <f t="shared" si="20"/>
        <v>3.9600000000000009</v>
      </c>
    </row>
    <row r="705" spans="2:10" x14ac:dyDescent="0.25">
      <c r="B705" s="5">
        <f t="shared" si="21"/>
        <v>43071</v>
      </c>
      <c r="C705" s="6">
        <f>IFERROR(VLOOKUP($B705,Platts!$E$5:$M$4994,MATCH(C$3,Platts!$F$5:$M$5,0)+1,FALSE),C704)</f>
        <v>54.4</v>
      </c>
      <c r="D705" s="6">
        <f>IFERROR(VLOOKUP($B705,Platts!$E$5:$M$4994,MATCH(D$3,Platts!$F$5:$M$5,0)+1,FALSE),D704)</f>
        <v>62.94</v>
      </c>
      <c r="E705" s="6">
        <f>IFERROR(VLOOKUP($B705,Platts!$E$5:$M$4994,MATCH(E$3,Platts!$F$5:$M$5,0)+1,FALSE),E704)</f>
        <v>55.97</v>
      </c>
      <c r="F705" s="6">
        <f>IFERROR(VLOOKUP($B705,Platts!$E$5:$M$4994,MATCH(F$3,Platts!$F$5:$M$5,0)+1,FALSE),F704)</f>
        <v>65.459999999999994</v>
      </c>
      <c r="G705" s="6">
        <f>IFERROR(VLOOKUP($B705,Platts!$E$5:$M$4994,MATCH(G$3,Platts!$F$5:$M$5,0)+1,FALSE),G704)</f>
        <v>64.12</v>
      </c>
      <c r="H705" s="6">
        <f>IFERROR(VLOOKUP($B705,Platts!$E$5:$M$4994,MATCH(H$3,Platts!$F$5:$M$5,0)+1,FALSE),H704)</f>
        <v>58.36</v>
      </c>
      <c r="I705" s="6">
        <f>IFERROR(VLOOKUP($B705,Platts!$E$5:$M$4994,MATCH(I$3,Platts!$F$5:$M$5,0)+1,FALSE),I704)</f>
        <v>64.11</v>
      </c>
      <c r="J705" s="6">
        <f t="shared" si="20"/>
        <v>3.9600000000000009</v>
      </c>
    </row>
    <row r="706" spans="2:10" x14ac:dyDescent="0.25">
      <c r="B706" s="5">
        <f t="shared" si="21"/>
        <v>43072</v>
      </c>
      <c r="C706" s="6">
        <f>IFERROR(VLOOKUP($B706,Platts!$E$5:$M$4994,MATCH(C$3,Platts!$F$5:$M$5,0)+1,FALSE),C705)</f>
        <v>54.4</v>
      </c>
      <c r="D706" s="6">
        <f>IFERROR(VLOOKUP($B706,Platts!$E$5:$M$4994,MATCH(D$3,Platts!$F$5:$M$5,0)+1,FALSE),D705)</f>
        <v>62.94</v>
      </c>
      <c r="E706" s="6">
        <f>IFERROR(VLOOKUP($B706,Platts!$E$5:$M$4994,MATCH(E$3,Platts!$F$5:$M$5,0)+1,FALSE),E705)</f>
        <v>55.97</v>
      </c>
      <c r="F706" s="6">
        <f>IFERROR(VLOOKUP($B706,Platts!$E$5:$M$4994,MATCH(F$3,Platts!$F$5:$M$5,0)+1,FALSE),F705)</f>
        <v>65.459999999999994</v>
      </c>
      <c r="G706" s="6">
        <f>IFERROR(VLOOKUP($B706,Platts!$E$5:$M$4994,MATCH(G$3,Platts!$F$5:$M$5,0)+1,FALSE),G705)</f>
        <v>64.12</v>
      </c>
      <c r="H706" s="6">
        <f>IFERROR(VLOOKUP($B706,Platts!$E$5:$M$4994,MATCH(H$3,Platts!$F$5:$M$5,0)+1,FALSE),H705)</f>
        <v>58.36</v>
      </c>
      <c r="I706" s="6">
        <f>IFERROR(VLOOKUP($B706,Platts!$E$5:$M$4994,MATCH(I$3,Platts!$F$5:$M$5,0)+1,FALSE),I705)</f>
        <v>64.11</v>
      </c>
      <c r="J706" s="6">
        <f t="shared" si="20"/>
        <v>3.9600000000000009</v>
      </c>
    </row>
    <row r="707" spans="2:10" x14ac:dyDescent="0.25">
      <c r="B707" s="5">
        <f t="shared" si="21"/>
        <v>43073</v>
      </c>
      <c r="C707" s="6">
        <f>IFERROR(VLOOKUP($B707,Platts!$E$5:$M$4994,MATCH(C$3,Platts!$F$5:$M$5,0)+1,FALSE),C706)</f>
        <v>53.42</v>
      </c>
      <c r="D707" s="6">
        <f>IFERROR(VLOOKUP($B707,Platts!$E$5:$M$4994,MATCH(D$3,Platts!$F$5:$M$5,0)+1,FALSE),D706)</f>
        <v>61.9</v>
      </c>
      <c r="E707" s="6">
        <f>IFERROR(VLOOKUP($B707,Platts!$E$5:$M$4994,MATCH(E$3,Platts!$F$5:$M$5,0)+1,FALSE),E706)</f>
        <v>54.65</v>
      </c>
      <c r="F707" s="6">
        <f>IFERROR(VLOOKUP($B707,Platts!$E$5:$M$4994,MATCH(F$3,Platts!$F$5:$M$5,0)+1,FALSE),F706)</f>
        <v>64.39</v>
      </c>
      <c r="G707" s="6">
        <f>IFERROR(VLOOKUP($B707,Platts!$E$5:$M$4994,MATCH(G$3,Platts!$F$5:$M$5,0)+1,FALSE),G706)</f>
        <v>62.94</v>
      </c>
      <c r="H707" s="6">
        <f>IFERROR(VLOOKUP($B707,Platts!$E$5:$M$4994,MATCH(H$3,Platts!$F$5:$M$5,0)+1,FALSE),H706)</f>
        <v>57.47</v>
      </c>
      <c r="I707" s="6">
        <f>IFERROR(VLOOKUP($B707,Platts!$E$5:$M$4994,MATCH(I$3,Platts!$F$5:$M$5,0)+1,FALSE),I706)</f>
        <v>63.12</v>
      </c>
      <c r="J707" s="6">
        <f t="shared" si="20"/>
        <v>4.0499999999999972</v>
      </c>
    </row>
    <row r="708" spans="2:10" x14ac:dyDescent="0.25">
      <c r="B708" s="5">
        <f t="shared" si="21"/>
        <v>43074</v>
      </c>
      <c r="C708" s="6">
        <f>IFERROR(VLOOKUP($B708,Platts!$E$5:$M$4994,MATCH(C$3,Platts!$F$5:$M$5,0)+1,FALSE),C707)</f>
        <v>53.24</v>
      </c>
      <c r="D708" s="6">
        <f>IFERROR(VLOOKUP($B708,Platts!$E$5:$M$4994,MATCH(D$3,Platts!$F$5:$M$5,0)+1,FALSE),D707)</f>
        <v>62.08</v>
      </c>
      <c r="E708" s="6">
        <f>IFERROR(VLOOKUP($B708,Platts!$E$5:$M$4994,MATCH(E$3,Platts!$F$5:$M$5,0)+1,FALSE),E707)</f>
        <v>54.85</v>
      </c>
      <c r="F708" s="6">
        <f>IFERROR(VLOOKUP($B708,Platts!$E$5:$M$4994,MATCH(F$3,Platts!$F$5:$M$5,0)+1,FALSE),F707)</f>
        <v>64.62</v>
      </c>
      <c r="G708" s="6">
        <f>IFERROR(VLOOKUP($B708,Platts!$E$5:$M$4994,MATCH(G$3,Platts!$F$5:$M$5,0)+1,FALSE),G707)</f>
        <v>62.81</v>
      </c>
      <c r="H708" s="6">
        <f>IFERROR(VLOOKUP($B708,Platts!$E$5:$M$4994,MATCH(H$3,Platts!$F$5:$M$5,0)+1,FALSE),H707)</f>
        <v>57.62</v>
      </c>
      <c r="I708" s="6">
        <f>IFERROR(VLOOKUP($B708,Platts!$E$5:$M$4994,MATCH(I$3,Platts!$F$5:$M$5,0)+1,FALSE),I707)</f>
        <v>63.32</v>
      </c>
      <c r="J708" s="6">
        <f t="shared" ref="J708:J771" si="22">H708-C708</f>
        <v>4.3799999999999955</v>
      </c>
    </row>
    <row r="709" spans="2:10" x14ac:dyDescent="0.25">
      <c r="B709" s="5">
        <f t="shared" si="21"/>
        <v>43075</v>
      </c>
      <c r="C709" s="6">
        <f>IFERROR(VLOOKUP($B709,Platts!$E$5:$M$4994,MATCH(C$3,Platts!$F$5:$M$5,0)+1,FALSE),C708)</f>
        <v>51.84</v>
      </c>
      <c r="D709" s="6">
        <f>IFERROR(VLOOKUP($B709,Platts!$E$5:$M$4994,MATCH(D$3,Platts!$F$5:$M$5,0)+1,FALSE),D708)</f>
        <v>60.43</v>
      </c>
      <c r="E709" s="6">
        <f>IFERROR(VLOOKUP($B709,Platts!$E$5:$M$4994,MATCH(E$3,Platts!$F$5:$M$5,0)+1,FALSE),E708)</f>
        <v>53.13</v>
      </c>
      <c r="F709" s="6">
        <f>IFERROR(VLOOKUP($B709,Platts!$E$5:$M$4994,MATCH(F$3,Platts!$F$5:$M$5,0)+1,FALSE),F708)</f>
        <v>62.99</v>
      </c>
      <c r="G709" s="6">
        <f>IFERROR(VLOOKUP($B709,Platts!$E$5:$M$4994,MATCH(G$3,Platts!$F$5:$M$5,0)+1,FALSE),G708)</f>
        <v>61.69</v>
      </c>
      <c r="H709" s="6">
        <f>IFERROR(VLOOKUP($B709,Platts!$E$5:$M$4994,MATCH(H$3,Platts!$F$5:$M$5,0)+1,FALSE),H708)</f>
        <v>55.96</v>
      </c>
      <c r="I709" s="6">
        <f>IFERROR(VLOOKUP($B709,Platts!$E$5:$M$4994,MATCH(I$3,Platts!$F$5:$M$5,0)+1,FALSE),I708)</f>
        <v>61.56</v>
      </c>
      <c r="J709" s="6">
        <f t="shared" si="22"/>
        <v>4.1199999999999974</v>
      </c>
    </row>
    <row r="710" spans="2:10" x14ac:dyDescent="0.25">
      <c r="B710" s="5">
        <f t="shared" ref="B710:B773" si="23">B709+1</f>
        <v>43076</v>
      </c>
      <c r="C710" s="6">
        <f>IFERROR(VLOOKUP($B710,Platts!$E$5:$M$4994,MATCH(C$3,Platts!$F$5:$M$5,0)+1,FALSE),C709)</f>
        <v>52.13</v>
      </c>
      <c r="D710" s="6">
        <f>IFERROR(VLOOKUP($B710,Platts!$E$5:$M$4994,MATCH(D$3,Platts!$F$5:$M$5,0)+1,FALSE),D709)</f>
        <v>61.21</v>
      </c>
      <c r="E710" s="6">
        <f>IFERROR(VLOOKUP($B710,Platts!$E$5:$M$4994,MATCH(E$3,Platts!$F$5:$M$5,0)+1,FALSE),E709)</f>
        <v>53.9</v>
      </c>
      <c r="F710" s="6">
        <f>IFERROR(VLOOKUP($B710,Platts!$E$5:$M$4994,MATCH(F$3,Platts!$F$5:$M$5,0)+1,FALSE),F709)</f>
        <v>63.81</v>
      </c>
      <c r="G710" s="6">
        <f>IFERROR(VLOOKUP($B710,Platts!$E$5:$M$4994,MATCH(G$3,Platts!$F$5:$M$5,0)+1,FALSE),G709)</f>
        <v>62.03</v>
      </c>
      <c r="H710" s="6">
        <f>IFERROR(VLOOKUP($B710,Platts!$E$5:$M$4994,MATCH(H$3,Platts!$F$5:$M$5,0)+1,FALSE),H709)</f>
        <v>56.69</v>
      </c>
      <c r="I710" s="6">
        <f>IFERROR(VLOOKUP($B710,Platts!$E$5:$M$4994,MATCH(I$3,Platts!$F$5:$M$5,0)+1,FALSE),I709)</f>
        <v>62.44</v>
      </c>
      <c r="J710" s="6">
        <f t="shared" si="22"/>
        <v>4.5599999999999952</v>
      </c>
    </row>
    <row r="711" spans="2:10" x14ac:dyDescent="0.25">
      <c r="B711" s="5">
        <f t="shared" si="23"/>
        <v>43077</v>
      </c>
      <c r="C711" s="6">
        <f>IFERROR(VLOOKUP($B711,Platts!$E$5:$M$4994,MATCH(C$3,Platts!$F$5:$M$5,0)+1,FALSE),C710)</f>
        <v>53.19</v>
      </c>
      <c r="D711" s="6">
        <f>IFERROR(VLOOKUP($B711,Platts!$E$5:$M$4994,MATCH(D$3,Platts!$F$5:$M$5,0)+1,FALSE),D710)</f>
        <v>62.1</v>
      </c>
      <c r="E711" s="6">
        <f>IFERROR(VLOOKUP($B711,Platts!$E$5:$M$4994,MATCH(E$3,Platts!$F$5:$M$5,0)+1,FALSE),E710)</f>
        <v>54.69</v>
      </c>
      <c r="F711" s="6">
        <f>IFERROR(VLOOKUP($B711,Platts!$E$5:$M$4994,MATCH(F$3,Platts!$F$5:$M$5,0)+1,FALSE),F710)</f>
        <v>64.77</v>
      </c>
      <c r="G711" s="6">
        <f>IFERROR(VLOOKUP($B711,Platts!$E$5:$M$4994,MATCH(G$3,Platts!$F$5:$M$5,0)+1,FALSE),G710)</f>
        <v>63.33</v>
      </c>
      <c r="H711" s="6">
        <f>IFERROR(VLOOKUP($B711,Platts!$E$5:$M$4994,MATCH(H$3,Platts!$F$5:$M$5,0)+1,FALSE),H710)</f>
        <v>57.36</v>
      </c>
      <c r="I711" s="6">
        <f>IFERROR(VLOOKUP($B711,Platts!$E$5:$M$4994,MATCH(I$3,Platts!$F$5:$M$5,0)+1,FALSE),I710)</f>
        <v>63.21</v>
      </c>
      <c r="J711" s="6">
        <f t="shared" si="22"/>
        <v>4.1700000000000017</v>
      </c>
    </row>
    <row r="712" spans="2:10" x14ac:dyDescent="0.25">
      <c r="B712" s="5">
        <f t="shared" si="23"/>
        <v>43078</v>
      </c>
      <c r="C712" s="6">
        <f>IFERROR(VLOOKUP($B712,Platts!$E$5:$M$4994,MATCH(C$3,Platts!$F$5:$M$5,0)+1,FALSE),C711)</f>
        <v>53.19</v>
      </c>
      <c r="D712" s="6">
        <f>IFERROR(VLOOKUP($B712,Platts!$E$5:$M$4994,MATCH(D$3,Platts!$F$5:$M$5,0)+1,FALSE),D711)</f>
        <v>62.1</v>
      </c>
      <c r="E712" s="6">
        <f>IFERROR(VLOOKUP($B712,Platts!$E$5:$M$4994,MATCH(E$3,Platts!$F$5:$M$5,0)+1,FALSE),E711)</f>
        <v>54.69</v>
      </c>
      <c r="F712" s="6">
        <f>IFERROR(VLOOKUP($B712,Platts!$E$5:$M$4994,MATCH(F$3,Platts!$F$5:$M$5,0)+1,FALSE),F711)</f>
        <v>64.77</v>
      </c>
      <c r="G712" s="6">
        <f>IFERROR(VLOOKUP($B712,Platts!$E$5:$M$4994,MATCH(G$3,Platts!$F$5:$M$5,0)+1,FALSE),G711)</f>
        <v>63.33</v>
      </c>
      <c r="H712" s="6">
        <f>IFERROR(VLOOKUP($B712,Platts!$E$5:$M$4994,MATCH(H$3,Platts!$F$5:$M$5,0)+1,FALSE),H711)</f>
        <v>57.36</v>
      </c>
      <c r="I712" s="6">
        <f>IFERROR(VLOOKUP($B712,Platts!$E$5:$M$4994,MATCH(I$3,Platts!$F$5:$M$5,0)+1,FALSE),I711)</f>
        <v>63.21</v>
      </c>
      <c r="J712" s="6">
        <f t="shared" si="22"/>
        <v>4.1700000000000017</v>
      </c>
    </row>
    <row r="713" spans="2:10" x14ac:dyDescent="0.25">
      <c r="B713" s="5">
        <f t="shared" si="23"/>
        <v>43079</v>
      </c>
      <c r="C713" s="6">
        <f>IFERROR(VLOOKUP($B713,Platts!$E$5:$M$4994,MATCH(C$3,Platts!$F$5:$M$5,0)+1,FALSE),C712)</f>
        <v>53.19</v>
      </c>
      <c r="D713" s="6">
        <f>IFERROR(VLOOKUP($B713,Platts!$E$5:$M$4994,MATCH(D$3,Platts!$F$5:$M$5,0)+1,FALSE),D712)</f>
        <v>62.1</v>
      </c>
      <c r="E713" s="6">
        <f>IFERROR(VLOOKUP($B713,Platts!$E$5:$M$4994,MATCH(E$3,Platts!$F$5:$M$5,0)+1,FALSE),E712)</f>
        <v>54.69</v>
      </c>
      <c r="F713" s="6">
        <f>IFERROR(VLOOKUP($B713,Platts!$E$5:$M$4994,MATCH(F$3,Platts!$F$5:$M$5,0)+1,FALSE),F712)</f>
        <v>64.77</v>
      </c>
      <c r="G713" s="6">
        <f>IFERROR(VLOOKUP($B713,Platts!$E$5:$M$4994,MATCH(G$3,Platts!$F$5:$M$5,0)+1,FALSE),G712)</f>
        <v>63.33</v>
      </c>
      <c r="H713" s="6">
        <f>IFERROR(VLOOKUP($B713,Platts!$E$5:$M$4994,MATCH(H$3,Platts!$F$5:$M$5,0)+1,FALSE),H712)</f>
        <v>57.36</v>
      </c>
      <c r="I713" s="6">
        <f>IFERROR(VLOOKUP($B713,Platts!$E$5:$M$4994,MATCH(I$3,Platts!$F$5:$M$5,0)+1,FALSE),I712)</f>
        <v>63.21</v>
      </c>
      <c r="J713" s="6">
        <f t="shared" si="22"/>
        <v>4.1700000000000017</v>
      </c>
    </row>
    <row r="714" spans="2:10" x14ac:dyDescent="0.25">
      <c r="B714" s="5">
        <f t="shared" si="23"/>
        <v>43080</v>
      </c>
      <c r="C714" s="6">
        <f>IFERROR(VLOOKUP($B714,Platts!$E$5:$M$4994,MATCH(C$3,Platts!$F$5:$M$5,0)+1,FALSE),C713)</f>
        <v>54.25</v>
      </c>
      <c r="D714" s="6">
        <f>IFERROR(VLOOKUP($B714,Platts!$E$5:$M$4994,MATCH(D$3,Platts!$F$5:$M$5,0)+1,FALSE),D713)</f>
        <v>63.06</v>
      </c>
      <c r="E714" s="6">
        <f>IFERROR(VLOOKUP($B714,Platts!$E$5:$M$4994,MATCH(E$3,Platts!$F$5:$M$5,0)+1,FALSE),E713)</f>
        <v>55.71</v>
      </c>
      <c r="F714" s="6">
        <f>IFERROR(VLOOKUP($B714,Platts!$E$5:$M$4994,MATCH(F$3,Platts!$F$5:$M$5,0)+1,FALSE),F713)</f>
        <v>65.8</v>
      </c>
      <c r="G714" s="6">
        <f>IFERROR(VLOOKUP($B714,Platts!$E$5:$M$4994,MATCH(G$3,Platts!$F$5:$M$5,0)+1,FALSE),G713)</f>
        <v>64.56</v>
      </c>
      <c r="H714" s="6">
        <f>IFERROR(VLOOKUP($B714,Platts!$E$5:$M$4994,MATCH(H$3,Platts!$F$5:$M$5,0)+1,FALSE),H713)</f>
        <v>57.99</v>
      </c>
      <c r="I714" s="6">
        <f>IFERROR(VLOOKUP($B714,Platts!$E$5:$M$4994,MATCH(I$3,Platts!$F$5:$M$5,0)+1,FALSE),I713)</f>
        <v>64.14</v>
      </c>
      <c r="J714" s="6">
        <f t="shared" si="22"/>
        <v>3.740000000000002</v>
      </c>
    </row>
    <row r="715" spans="2:10" x14ac:dyDescent="0.25">
      <c r="B715" s="5">
        <f t="shared" si="23"/>
        <v>43081</v>
      </c>
      <c r="C715" s="6">
        <f>IFERROR(VLOOKUP($B715,Platts!$E$5:$M$4994,MATCH(C$3,Platts!$F$5:$M$5,0)+1,FALSE),C714)</f>
        <v>53.69</v>
      </c>
      <c r="D715" s="6">
        <f>IFERROR(VLOOKUP($B715,Platts!$E$5:$M$4994,MATCH(D$3,Platts!$F$5:$M$5,0)+1,FALSE),D714)</f>
        <v>62.39</v>
      </c>
      <c r="E715" s="6">
        <f>IFERROR(VLOOKUP($B715,Platts!$E$5:$M$4994,MATCH(E$3,Platts!$F$5:$M$5,0)+1,FALSE),E714)</f>
        <v>54.84</v>
      </c>
      <c r="F715" s="6">
        <f>IFERROR(VLOOKUP($B715,Platts!$E$5:$M$4994,MATCH(F$3,Platts!$F$5:$M$5,0)+1,FALSE),F714)</f>
        <v>65.16</v>
      </c>
      <c r="G715" s="6">
        <f>IFERROR(VLOOKUP($B715,Platts!$E$5:$M$4994,MATCH(G$3,Platts!$F$5:$M$5,0)+1,FALSE),G714)</f>
        <v>64.010000000000005</v>
      </c>
      <c r="H715" s="6">
        <f>IFERROR(VLOOKUP($B715,Platts!$E$5:$M$4994,MATCH(H$3,Platts!$F$5:$M$5,0)+1,FALSE),H714)</f>
        <v>57.14</v>
      </c>
      <c r="I715" s="6">
        <f>IFERROR(VLOOKUP($B715,Platts!$E$5:$M$4994,MATCH(I$3,Platts!$F$5:$M$5,0)+1,FALSE),I714)</f>
        <v>63.24</v>
      </c>
      <c r="J715" s="6">
        <f t="shared" si="22"/>
        <v>3.4500000000000028</v>
      </c>
    </row>
    <row r="716" spans="2:10" x14ac:dyDescent="0.25">
      <c r="B716" s="5">
        <f t="shared" si="23"/>
        <v>43082</v>
      </c>
      <c r="C716" s="6">
        <f>IFERROR(VLOOKUP($B716,Platts!$E$5:$M$4994,MATCH(C$3,Platts!$F$5:$M$5,0)+1,FALSE),C715)</f>
        <v>52.74</v>
      </c>
      <c r="D716" s="6">
        <f>IFERROR(VLOOKUP($B716,Platts!$E$5:$M$4994,MATCH(D$3,Platts!$F$5:$M$5,0)+1,FALSE),D715)</f>
        <v>61.37</v>
      </c>
      <c r="E716" s="6">
        <f>IFERROR(VLOOKUP($B716,Platts!$E$5:$M$4994,MATCH(E$3,Platts!$F$5:$M$5,0)+1,FALSE),E715)</f>
        <v>54.02</v>
      </c>
      <c r="F716" s="6">
        <f>IFERROR(VLOOKUP($B716,Platts!$E$5:$M$4994,MATCH(F$3,Platts!$F$5:$M$5,0)+1,FALSE),F715)</f>
        <v>64.069999999999993</v>
      </c>
      <c r="G716" s="6">
        <f>IFERROR(VLOOKUP($B716,Platts!$E$5:$M$4994,MATCH(G$3,Platts!$F$5:$M$5,0)+1,FALSE),G715)</f>
        <v>62.78</v>
      </c>
      <c r="H716" s="6">
        <f>IFERROR(VLOOKUP($B716,Platts!$E$5:$M$4994,MATCH(H$3,Platts!$F$5:$M$5,0)+1,FALSE),H715)</f>
        <v>56.6</v>
      </c>
      <c r="I716" s="6">
        <f>IFERROR(VLOOKUP($B716,Platts!$E$5:$M$4994,MATCH(I$3,Platts!$F$5:$M$5,0)+1,FALSE),I715)</f>
        <v>62.15</v>
      </c>
      <c r="J716" s="6">
        <f t="shared" si="22"/>
        <v>3.8599999999999994</v>
      </c>
    </row>
    <row r="717" spans="2:10" x14ac:dyDescent="0.25">
      <c r="B717" s="5">
        <f t="shared" si="23"/>
        <v>43083</v>
      </c>
      <c r="C717" s="6">
        <f>IFERROR(VLOOKUP($B717,Platts!$E$5:$M$4994,MATCH(C$3,Platts!$F$5:$M$5,0)+1,FALSE),C716)</f>
        <v>53.07</v>
      </c>
      <c r="D717" s="6">
        <f>IFERROR(VLOOKUP($B717,Platts!$E$5:$M$4994,MATCH(D$3,Platts!$F$5:$M$5,0)+1,FALSE),D716)</f>
        <v>61.72</v>
      </c>
      <c r="E717" s="6">
        <f>IFERROR(VLOOKUP($B717,Platts!$E$5:$M$4994,MATCH(E$3,Platts!$F$5:$M$5,0)+1,FALSE),E716)</f>
        <v>54.57</v>
      </c>
      <c r="F717" s="6">
        <f>IFERROR(VLOOKUP($B717,Platts!$E$5:$M$4994,MATCH(F$3,Platts!$F$5:$M$5,0)+1,FALSE),F716)</f>
        <v>64.510000000000005</v>
      </c>
      <c r="G717" s="6">
        <f>IFERROR(VLOOKUP($B717,Platts!$E$5:$M$4994,MATCH(G$3,Platts!$F$5:$M$5,0)+1,FALSE),G716)</f>
        <v>63.23</v>
      </c>
      <c r="H717" s="6">
        <f>IFERROR(VLOOKUP($B717,Platts!$E$5:$M$4994,MATCH(H$3,Platts!$F$5:$M$5,0)+1,FALSE),H716)</f>
        <v>57.04</v>
      </c>
      <c r="I717" s="6">
        <f>IFERROR(VLOOKUP($B717,Platts!$E$5:$M$4994,MATCH(I$3,Platts!$F$5:$M$5,0)+1,FALSE),I716)</f>
        <v>62.54</v>
      </c>
      <c r="J717" s="6">
        <f t="shared" si="22"/>
        <v>3.9699999999999989</v>
      </c>
    </row>
    <row r="718" spans="2:10" x14ac:dyDescent="0.25">
      <c r="B718" s="5">
        <f t="shared" si="23"/>
        <v>43084</v>
      </c>
      <c r="C718" s="6">
        <f>IFERROR(VLOOKUP($B718,Platts!$E$5:$M$4994,MATCH(C$3,Platts!$F$5:$M$5,0)+1,FALSE),C717)</f>
        <v>53.17</v>
      </c>
      <c r="D718" s="6">
        <f>IFERROR(VLOOKUP($B718,Platts!$E$5:$M$4994,MATCH(D$3,Platts!$F$5:$M$5,0)+1,FALSE),D717)</f>
        <v>61.58</v>
      </c>
      <c r="E718" s="6">
        <f>IFERROR(VLOOKUP($B718,Platts!$E$5:$M$4994,MATCH(E$3,Platts!$F$5:$M$5,0)+1,FALSE),E717)</f>
        <v>54.27</v>
      </c>
      <c r="F718" s="6">
        <f>IFERROR(VLOOKUP($B718,Platts!$E$5:$M$4994,MATCH(F$3,Platts!$F$5:$M$5,0)+1,FALSE),F717)</f>
        <v>64.36</v>
      </c>
      <c r="G718" s="6">
        <f>IFERROR(VLOOKUP($B718,Platts!$E$5:$M$4994,MATCH(G$3,Platts!$F$5:$M$5,0)+1,FALSE),G717)</f>
        <v>63.48</v>
      </c>
      <c r="H718" s="6">
        <f>IFERROR(VLOOKUP($B718,Platts!$E$5:$M$4994,MATCH(H$3,Platts!$F$5:$M$5,0)+1,FALSE),H717)</f>
        <v>57.3</v>
      </c>
      <c r="I718" s="6">
        <f>IFERROR(VLOOKUP($B718,Platts!$E$5:$M$4994,MATCH(I$3,Platts!$F$5:$M$5,0)+1,FALSE),I717)</f>
        <v>62.1</v>
      </c>
      <c r="J718" s="6">
        <f t="shared" si="22"/>
        <v>4.1299999999999955</v>
      </c>
    </row>
    <row r="719" spans="2:10" x14ac:dyDescent="0.25">
      <c r="B719" s="5">
        <f t="shared" si="23"/>
        <v>43085</v>
      </c>
      <c r="C719" s="6">
        <f>IFERROR(VLOOKUP($B719,Platts!$E$5:$M$4994,MATCH(C$3,Platts!$F$5:$M$5,0)+1,FALSE),C718)</f>
        <v>53.17</v>
      </c>
      <c r="D719" s="6">
        <f>IFERROR(VLOOKUP($B719,Platts!$E$5:$M$4994,MATCH(D$3,Platts!$F$5:$M$5,0)+1,FALSE),D718)</f>
        <v>61.58</v>
      </c>
      <c r="E719" s="6">
        <f>IFERROR(VLOOKUP($B719,Platts!$E$5:$M$4994,MATCH(E$3,Platts!$F$5:$M$5,0)+1,FALSE),E718)</f>
        <v>54.27</v>
      </c>
      <c r="F719" s="6">
        <f>IFERROR(VLOOKUP($B719,Platts!$E$5:$M$4994,MATCH(F$3,Platts!$F$5:$M$5,0)+1,FALSE),F718)</f>
        <v>64.36</v>
      </c>
      <c r="G719" s="6">
        <f>IFERROR(VLOOKUP($B719,Platts!$E$5:$M$4994,MATCH(G$3,Platts!$F$5:$M$5,0)+1,FALSE),G718)</f>
        <v>63.48</v>
      </c>
      <c r="H719" s="6">
        <f>IFERROR(VLOOKUP($B719,Platts!$E$5:$M$4994,MATCH(H$3,Platts!$F$5:$M$5,0)+1,FALSE),H718)</f>
        <v>57.3</v>
      </c>
      <c r="I719" s="6">
        <f>IFERROR(VLOOKUP($B719,Platts!$E$5:$M$4994,MATCH(I$3,Platts!$F$5:$M$5,0)+1,FALSE),I718)</f>
        <v>62.1</v>
      </c>
      <c r="J719" s="6">
        <f t="shared" si="22"/>
        <v>4.1299999999999955</v>
      </c>
    </row>
    <row r="720" spans="2:10" x14ac:dyDescent="0.25">
      <c r="B720" s="5">
        <f t="shared" si="23"/>
        <v>43086</v>
      </c>
      <c r="C720" s="6">
        <f>IFERROR(VLOOKUP($B720,Platts!$E$5:$M$4994,MATCH(C$3,Platts!$F$5:$M$5,0)+1,FALSE),C719)</f>
        <v>53.17</v>
      </c>
      <c r="D720" s="6">
        <f>IFERROR(VLOOKUP($B720,Platts!$E$5:$M$4994,MATCH(D$3,Platts!$F$5:$M$5,0)+1,FALSE),D719)</f>
        <v>61.58</v>
      </c>
      <c r="E720" s="6">
        <f>IFERROR(VLOOKUP($B720,Platts!$E$5:$M$4994,MATCH(E$3,Platts!$F$5:$M$5,0)+1,FALSE),E719)</f>
        <v>54.27</v>
      </c>
      <c r="F720" s="6">
        <f>IFERROR(VLOOKUP($B720,Platts!$E$5:$M$4994,MATCH(F$3,Platts!$F$5:$M$5,0)+1,FALSE),F719)</f>
        <v>64.36</v>
      </c>
      <c r="G720" s="6">
        <f>IFERROR(VLOOKUP($B720,Platts!$E$5:$M$4994,MATCH(G$3,Platts!$F$5:$M$5,0)+1,FALSE),G719)</f>
        <v>63.48</v>
      </c>
      <c r="H720" s="6">
        <f>IFERROR(VLOOKUP($B720,Platts!$E$5:$M$4994,MATCH(H$3,Platts!$F$5:$M$5,0)+1,FALSE),H719)</f>
        <v>57.3</v>
      </c>
      <c r="I720" s="6">
        <f>IFERROR(VLOOKUP($B720,Platts!$E$5:$M$4994,MATCH(I$3,Platts!$F$5:$M$5,0)+1,FALSE),I719)</f>
        <v>62.1</v>
      </c>
      <c r="J720" s="6">
        <f t="shared" si="22"/>
        <v>4.1299999999999955</v>
      </c>
    </row>
    <row r="721" spans="2:10" x14ac:dyDescent="0.25">
      <c r="B721" s="5">
        <f t="shared" si="23"/>
        <v>43087</v>
      </c>
      <c r="C721" s="6">
        <f>IFERROR(VLOOKUP($B721,Platts!$E$5:$M$4994,MATCH(C$3,Platts!$F$5:$M$5,0)+1,FALSE),C720)</f>
        <v>53.38</v>
      </c>
      <c r="D721" s="6">
        <f>IFERROR(VLOOKUP($B721,Platts!$E$5:$M$4994,MATCH(D$3,Platts!$F$5:$M$5,0)+1,FALSE),D720)</f>
        <v>61.38</v>
      </c>
      <c r="E721" s="6">
        <f>IFERROR(VLOOKUP($B721,Platts!$E$5:$M$4994,MATCH(E$3,Platts!$F$5:$M$5,0)+1,FALSE),E720)</f>
        <v>54.36</v>
      </c>
      <c r="F721" s="6">
        <f>IFERROR(VLOOKUP($B721,Platts!$E$5:$M$4994,MATCH(F$3,Platts!$F$5:$M$5,0)+1,FALSE),F720)</f>
        <v>64.14</v>
      </c>
      <c r="G721" s="6">
        <f>IFERROR(VLOOKUP($B721,Platts!$E$5:$M$4994,MATCH(G$3,Platts!$F$5:$M$5,0)+1,FALSE),G720)</f>
        <v>63.68</v>
      </c>
      <c r="H721" s="6">
        <f>IFERROR(VLOOKUP($B721,Platts!$E$5:$M$4994,MATCH(H$3,Platts!$F$5:$M$5,0)+1,FALSE),H720)</f>
        <v>57.16</v>
      </c>
      <c r="I721" s="6">
        <f>IFERROR(VLOOKUP($B721,Platts!$E$5:$M$4994,MATCH(I$3,Platts!$F$5:$M$5,0)+1,FALSE),I720)</f>
        <v>61.96</v>
      </c>
      <c r="J721" s="6">
        <f t="shared" si="22"/>
        <v>3.779999999999994</v>
      </c>
    </row>
    <row r="722" spans="2:10" x14ac:dyDescent="0.25">
      <c r="B722" s="5">
        <f t="shared" si="23"/>
        <v>43088</v>
      </c>
      <c r="C722" s="6">
        <f>IFERROR(VLOOKUP($B722,Platts!$E$5:$M$4994,MATCH(C$3,Platts!$F$5:$M$5,0)+1,FALSE),C721)</f>
        <v>53.57</v>
      </c>
      <c r="D722" s="6">
        <f>IFERROR(VLOOKUP($B722,Platts!$E$5:$M$4994,MATCH(D$3,Platts!$F$5:$M$5,0)+1,FALSE),D721)</f>
        <v>61.89</v>
      </c>
      <c r="E722" s="6">
        <f>IFERROR(VLOOKUP($B722,Platts!$E$5:$M$4994,MATCH(E$3,Platts!$F$5:$M$5,0)+1,FALSE),E721)</f>
        <v>54.76</v>
      </c>
      <c r="F722" s="6">
        <f>IFERROR(VLOOKUP($B722,Platts!$E$5:$M$4994,MATCH(F$3,Platts!$F$5:$M$5,0)+1,FALSE),F721)</f>
        <v>64.64</v>
      </c>
      <c r="G722" s="6">
        <f>IFERROR(VLOOKUP($B722,Platts!$E$5:$M$4994,MATCH(G$3,Platts!$F$5:$M$5,0)+1,FALSE),G721)</f>
        <v>63.52</v>
      </c>
      <c r="H722" s="6">
        <f>IFERROR(VLOOKUP($B722,Platts!$E$5:$M$4994,MATCH(H$3,Platts!$F$5:$M$5,0)+1,FALSE),H721)</f>
        <v>57.46</v>
      </c>
      <c r="I722" s="6">
        <f>IFERROR(VLOOKUP($B722,Platts!$E$5:$M$4994,MATCH(I$3,Platts!$F$5:$M$5,0)+1,FALSE),I721)</f>
        <v>62.46</v>
      </c>
      <c r="J722" s="6">
        <f t="shared" si="22"/>
        <v>3.8900000000000006</v>
      </c>
    </row>
    <row r="723" spans="2:10" x14ac:dyDescent="0.25">
      <c r="B723" s="5">
        <f t="shared" si="23"/>
        <v>43089</v>
      </c>
      <c r="C723" s="6">
        <f>IFERROR(VLOOKUP($B723,Platts!$E$5:$M$4994,MATCH(C$3,Platts!$F$5:$M$5,0)+1,FALSE),C722)</f>
        <v>54.43</v>
      </c>
      <c r="D723" s="6">
        <f>IFERROR(VLOOKUP($B723,Platts!$E$5:$M$4994,MATCH(D$3,Platts!$F$5:$M$5,0)+1,FALSE),D722)</f>
        <v>62.53</v>
      </c>
      <c r="E723" s="6">
        <f>IFERROR(VLOOKUP($B723,Platts!$E$5:$M$4994,MATCH(E$3,Platts!$F$5:$M$5,0)+1,FALSE),E722)</f>
        <v>55.34</v>
      </c>
      <c r="F723" s="6">
        <f>IFERROR(VLOOKUP($B723,Platts!$E$5:$M$4994,MATCH(F$3,Platts!$F$5:$M$5,0)+1,FALSE),F722)</f>
        <v>65.25</v>
      </c>
      <c r="G723" s="6">
        <f>IFERROR(VLOOKUP($B723,Platts!$E$5:$M$4994,MATCH(G$3,Platts!$F$5:$M$5,0)+1,FALSE),G722)</f>
        <v>64.47</v>
      </c>
      <c r="H723" s="6">
        <f>IFERROR(VLOOKUP($B723,Platts!$E$5:$M$4994,MATCH(H$3,Platts!$F$5:$M$5,0)+1,FALSE),H722)</f>
        <v>58.02</v>
      </c>
      <c r="I723" s="6">
        <f>IFERROR(VLOOKUP($B723,Platts!$E$5:$M$4994,MATCH(I$3,Platts!$F$5:$M$5,0)+1,FALSE),I722)</f>
        <v>63.17</v>
      </c>
      <c r="J723" s="6">
        <f t="shared" si="22"/>
        <v>3.5900000000000034</v>
      </c>
    </row>
    <row r="724" spans="2:10" x14ac:dyDescent="0.25">
      <c r="B724" s="5">
        <f t="shared" si="23"/>
        <v>43090</v>
      </c>
      <c r="C724" s="6">
        <f>IFERROR(VLOOKUP($B724,Platts!$E$5:$M$4994,MATCH(C$3,Platts!$F$5:$M$5,0)+1,FALSE),C723)</f>
        <v>54.71</v>
      </c>
      <c r="D724" s="6">
        <f>IFERROR(VLOOKUP($B724,Platts!$E$5:$M$4994,MATCH(D$3,Platts!$F$5:$M$5,0)+1,FALSE),D723)</f>
        <v>62.89</v>
      </c>
      <c r="E724" s="6">
        <f>IFERROR(VLOOKUP($B724,Platts!$E$5:$M$4994,MATCH(E$3,Platts!$F$5:$M$5,0)+1,FALSE),E723)</f>
        <v>55.86</v>
      </c>
      <c r="F724" s="6">
        <f>IFERROR(VLOOKUP($B724,Platts!$E$5:$M$4994,MATCH(F$3,Platts!$F$5:$M$5,0)+1,FALSE),F723)</f>
        <v>65.599999999999994</v>
      </c>
      <c r="G724" s="6">
        <f>IFERROR(VLOOKUP($B724,Platts!$E$5:$M$4994,MATCH(G$3,Platts!$F$5:$M$5,0)+1,FALSE),G723)</f>
        <v>64.680000000000007</v>
      </c>
      <c r="H724" s="6">
        <f>IFERROR(VLOOKUP($B724,Platts!$E$5:$M$4994,MATCH(H$3,Platts!$F$5:$M$5,0)+1,FALSE),H723)</f>
        <v>58.33</v>
      </c>
      <c r="I724" s="6">
        <f>IFERROR(VLOOKUP($B724,Platts!$E$5:$M$4994,MATCH(I$3,Platts!$F$5:$M$5,0)+1,FALSE),I723)</f>
        <v>63.28</v>
      </c>
      <c r="J724" s="6">
        <f t="shared" si="22"/>
        <v>3.6199999999999974</v>
      </c>
    </row>
    <row r="725" spans="2:10" x14ac:dyDescent="0.25">
      <c r="B725" s="5">
        <f t="shared" si="23"/>
        <v>43091</v>
      </c>
      <c r="C725" s="6">
        <f>IFERROR(VLOOKUP($B725,Platts!$E$5:$M$4994,MATCH(C$3,Platts!$F$5:$M$5,0)+1,FALSE),C724)</f>
        <v>54.6</v>
      </c>
      <c r="D725" s="6">
        <f>IFERROR(VLOOKUP($B725,Platts!$E$5:$M$4994,MATCH(D$3,Platts!$F$5:$M$5,0)+1,FALSE),D724)</f>
        <v>63.16</v>
      </c>
      <c r="E725" s="6">
        <f>IFERROR(VLOOKUP($B725,Platts!$E$5:$M$4994,MATCH(E$3,Platts!$F$5:$M$5,0)+1,FALSE),E724)</f>
        <v>56.09</v>
      </c>
      <c r="F725" s="6">
        <f>IFERROR(VLOOKUP($B725,Platts!$E$5:$M$4994,MATCH(F$3,Platts!$F$5:$M$5,0)+1,FALSE),F724)</f>
        <v>65.86</v>
      </c>
      <c r="G725" s="6">
        <f>IFERROR(VLOOKUP($B725,Platts!$E$5:$M$4994,MATCH(G$3,Platts!$F$5:$M$5,0)+1,FALSE),G724)</f>
        <v>64.52</v>
      </c>
      <c r="H725" s="6">
        <f>IFERROR(VLOOKUP($B725,Platts!$E$5:$M$4994,MATCH(H$3,Platts!$F$5:$M$5,0)+1,FALSE),H724)</f>
        <v>58.42</v>
      </c>
      <c r="I725" s="6">
        <f>IFERROR(VLOOKUP($B725,Platts!$E$5:$M$4994,MATCH(I$3,Platts!$F$5:$M$5,0)+1,FALSE),I724)</f>
        <v>63.27</v>
      </c>
      <c r="J725" s="6">
        <f t="shared" si="22"/>
        <v>3.8200000000000003</v>
      </c>
    </row>
    <row r="726" spans="2:10" x14ac:dyDescent="0.25">
      <c r="B726" s="5">
        <f t="shared" si="23"/>
        <v>43092</v>
      </c>
      <c r="C726" s="6">
        <f>IFERROR(VLOOKUP($B726,Platts!$E$5:$M$4994,MATCH(C$3,Platts!$F$5:$M$5,0)+1,FALSE),C725)</f>
        <v>54.6</v>
      </c>
      <c r="D726" s="6">
        <f>IFERROR(VLOOKUP($B726,Platts!$E$5:$M$4994,MATCH(D$3,Platts!$F$5:$M$5,0)+1,FALSE),D725)</f>
        <v>63.16</v>
      </c>
      <c r="E726" s="6">
        <f>IFERROR(VLOOKUP($B726,Platts!$E$5:$M$4994,MATCH(E$3,Platts!$F$5:$M$5,0)+1,FALSE),E725)</f>
        <v>56.09</v>
      </c>
      <c r="F726" s="6">
        <f>IFERROR(VLOOKUP($B726,Platts!$E$5:$M$4994,MATCH(F$3,Platts!$F$5:$M$5,0)+1,FALSE),F725)</f>
        <v>65.86</v>
      </c>
      <c r="G726" s="6">
        <f>IFERROR(VLOOKUP($B726,Platts!$E$5:$M$4994,MATCH(G$3,Platts!$F$5:$M$5,0)+1,FALSE),G725)</f>
        <v>64.52</v>
      </c>
      <c r="H726" s="6">
        <f>IFERROR(VLOOKUP($B726,Platts!$E$5:$M$4994,MATCH(H$3,Platts!$F$5:$M$5,0)+1,FALSE),H725)</f>
        <v>58.42</v>
      </c>
      <c r="I726" s="6">
        <f>IFERROR(VLOOKUP($B726,Platts!$E$5:$M$4994,MATCH(I$3,Platts!$F$5:$M$5,0)+1,FALSE),I725)</f>
        <v>63.27</v>
      </c>
      <c r="J726" s="6">
        <f t="shared" si="22"/>
        <v>3.8200000000000003</v>
      </c>
    </row>
    <row r="727" spans="2:10" x14ac:dyDescent="0.25">
      <c r="B727" s="5">
        <f t="shared" si="23"/>
        <v>43093</v>
      </c>
      <c r="C727" s="6">
        <f>IFERROR(VLOOKUP($B727,Platts!$E$5:$M$4994,MATCH(C$3,Platts!$F$5:$M$5,0)+1,FALSE),C726)</f>
        <v>54.6</v>
      </c>
      <c r="D727" s="6">
        <f>IFERROR(VLOOKUP($B727,Platts!$E$5:$M$4994,MATCH(D$3,Platts!$F$5:$M$5,0)+1,FALSE),D726)</f>
        <v>63.16</v>
      </c>
      <c r="E727" s="6">
        <f>IFERROR(VLOOKUP($B727,Platts!$E$5:$M$4994,MATCH(E$3,Platts!$F$5:$M$5,0)+1,FALSE),E726)</f>
        <v>56.09</v>
      </c>
      <c r="F727" s="6">
        <f>IFERROR(VLOOKUP($B727,Platts!$E$5:$M$4994,MATCH(F$3,Platts!$F$5:$M$5,0)+1,FALSE),F726)</f>
        <v>65.86</v>
      </c>
      <c r="G727" s="6">
        <f>IFERROR(VLOOKUP($B727,Platts!$E$5:$M$4994,MATCH(G$3,Platts!$F$5:$M$5,0)+1,FALSE),G726)</f>
        <v>64.52</v>
      </c>
      <c r="H727" s="6">
        <f>IFERROR(VLOOKUP($B727,Platts!$E$5:$M$4994,MATCH(H$3,Platts!$F$5:$M$5,0)+1,FALSE),H726)</f>
        <v>58.42</v>
      </c>
      <c r="I727" s="6">
        <f>IFERROR(VLOOKUP($B727,Platts!$E$5:$M$4994,MATCH(I$3,Platts!$F$5:$M$5,0)+1,FALSE),I726)</f>
        <v>63.27</v>
      </c>
      <c r="J727" s="6">
        <f t="shared" si="22"/>
        <v>3.8200000000000003</v>
      </c>
    </row>
    <row r="728" spans="2:10" x14ac:dyDescent="0.25">
      <c r="B728" s="5">
        <f t="shared" si="23"/>
        <v>43094</v>
      </c>
      <c r="C728" s="6">
        <f>IFERROR(VLOOKUP($B728,Platts!$E$5:$M$4994,MATCH(C$3,Platts!$F$5:$M$5,0)+1,FALSE),C727)</f>
        <v>54.6</v>
      </c>
      <c r="D728" s="6">
        <f>IFERROR(VLOOKUP($B728,Platts!$E$5:$M$4994,MATCH(D$3,Platts!$F$5:$M$5,0)+1,FALSE),D727)</f>
        <v>63.16</v>
      </c>
      <c r="E728" s="6">
        <f>IFERROR(VLOOKUP($B728,Platts!$E$5:$M$4994,MATCH(E$3,Platts!$F$5:$M$5,0)+1,FALSE),E727)</f>
        <v>56.09</v>
      </c>
      <c r="F728" s="6">
        <f>IFERROR(VLOOKUP($B728,Platts!$E$5:$M$4994,MATCH(F$3,Platts!$F$5:$M$5,0)+1,FALSE),F727)</f>
        <v>65.86</v>
      </c>
      <c r="G728" s="6">
        <f>IFERROR(VLOOKUP($B728,Platts!$E$5:$M$4994,MATCH(G$3,Platts!$F$5:$M$5,0)+1,FALSE),G727)</f>
        <v>64.52</v>
      </c>
      <c r="H728" s="6">
        <f>IFERROR(VLOOKUP($B728,Platts!$E$5:$M$4994,MATCH(H$3,Platts!$F$5:$M$5,0)+1,FALSE),H727)</f>
        <v>58.42</v>
      </c>
      <c r="I728" s="6">
        <f>IFERROR(VLOOKUP($B728,Platts!$E$5:$M$4994,MATCH(I$3,Platts!$F$5:$M$5,0)+1,FALSE),I727)</f>
        <v>63.27</v>
      </c>
      <c r="J728" s="6">
        <f t="shared" si="22"/>
        <v>3.8200000000000003</v>
      </c>
    </row>
    <row r="729" spans="2:10" x14ac:dyDescent="0.25">
      <c r="B729" s="5">
        <f t="shared" si="23"/>
        <v>43095</v>
      </c>
      <c r="C729" s="6">
        <f>IFERROR(VLOOKUP($B729,Platts!$E$5:$M$4994,MATCH(C$3,Platts!$F$5:$M$5,0)+1,FALSE),C728)</f>
        <v>54.6</v>
      </c>
      <c r="D729" s="6">
        <f>IFERROR(VLOOKUP($B729,Platts!$E$5:$M$4994,MATCH(D$3,Platts!$F$5:$M$5,0)+1,FALSE),D728)</f>
        <v>64.14</v>
      </c>
      <c r="E729" s="6">
        <f>IFERROR(VLOOKUP($B729,Platts!$E$5:$M$4994,MATCH(E$3,Platts!$F$5:$M$5,0)+1,FALSE),E728)</f>
        <v>56.58</v>
      </c>
      <c r="F729" s="6">
        <f>IFERROR(VLOOKUP($B729,Platts!$E$5:$M$4994,MATCH(F$3,Platts!$F$5:$M$5,0)+1,FALSE),F728)</f>
        <v>66.959999999999994</v>
      </c>
      <c r="G729" s="6">
        <f>IFERROR(VLOOKUP($B729,Platts!$E$5:$M$4994,MATCH(G$3,Platts!$F$5:$M$5,0)+1,FALSE),G728)</f>
        <v>64.52</v>
      </c>
      <c r="H729" s="6">
        <f>IFERROR(VLOOKUP($B729,Platts!$E$5:$M$4994,MATCH(H$3,Platts!$F$5:$M$5,0)+1,FALSE),H728)</f>
        <v>59.97</v>
      </c>
      <c r="I729" s="6">
        <f>IFERROR(VLOOKUP($B729,Platts!$E$5:$M$4994,MATCH(I$3,Platts!$F$5:$M$5,0)+1,FALSE),I728)</f>
        <v>65.22</v>
      </c>
      <c r="J729" s="6">
        <f t="shared" si="22"/>
        <v>5.3699999999999974</v>
      </c>
    </row>
    <row r="730" spans="2:10" x14ac:dyDescent="0.25">
      <c r="B730" s="5">
        <f t="shared" si="23"/>
        <v>43096</v>
      </c>
      <c r="C730" s="6">
        <f>IFERROR(VLOOKUP($B730,Platts!$E$5:$M$4994,MATCH(C$3,Platts!$F$5:$M$5,0)+1,FALSE),C729)</f>
        <v>55.74</v>
      </c>
      <c r="D730" s="6">
        <f>IFERROR(VLOOKUP($B730,Platts!$E$5:$M$4994,MATCH(D$3,Platts!$F$5:$M$5,0)+1,FALSE),D729)</f>
        <v>64.14</v>
      </c>
      <c r="E730" s="6">
        <f>IFERROR(VLOOKUP($B730,Platts!$E$5:$M$4994,MATCH(E$3,Platts!$F$5:$M$5,0)+1,FALSE),E729)</f>
        <v>57</v>
      </c>
      <c r="F730" s="6">
        <f>IFERROR(VLOOKUP($B730,Platts!$E$5:$M$4994,MATCH(F$3,Platts!$F$5:$M$5,0)+1,FALSE),F729)</f>
        <v>66.87</v>
      </c>
      <c r="G730" s="6">
        <f>IFERROR(VLOOKUP($B730,Platts!$E$5:$M$4994,MATCH(G$3,Platts!$F$5:$M$5,0)+1,FALSE),G729)</f>
        <v>66.42</v>
      </c>
      <c r="H730" s="6">
        <f>IFERROR(VLOOKUP($B730,Platts!$E$5:$M$4994,MATCH(H$3,Platts!$F$5:$M$5,0)+1,FALSE),H729)</f>
        <v>59.64</v>
      </c>
      <c r="I730" s="6">
        <f>IFERROR(VLOOKUP($B730,Platts!$E$5:$M$4994,MATCH(I$3,Platts!$F$5:$M$5,0)+1,FALSE),I729)</f>
        <v>64.89</v>
      </c>
      <c r="J730" s="6">
        <f t="shared" si="22"/>
        <v>3.8999999999999986</v>
      </c>
    </row>
    <row r="731" spans="2:10" x14ac:dyDescent="0.25">
      <c r="B731" s="5">
        <f t="shared" si="23"/>
        <v>43097</v>
      </c>
      <c r="C731" s="6">
        <f>IFERROR(VLOOKUP($B731,Platts!$E$5:$M$4994,MATCH(C$3,Platts!$F$5:$M$5,0)+1,FALSE),C730)</f>
        <v>55.63</v>
      </c>
      <c r="D731" s="6">
        <f>IFERROR(VLOOKUP($B731,Platts!$E$5:$M$4994,MATCH(D$3,Platts!$F$5:$M$5,0)+1,FALSE),D730)</f>
        <v>64.58</v>
      </c>
      <c r="E731" s="6">
        <f>IFERROR(VLOOKUP($B731,Platts!$E$5:$M$4994,MATCH(E$3,Platts!$F$5:$M$5,0)+1,FALSE),E730)</f>
        <v>57.11</v>
      </c>
      <c r="F731" s="6">
        <f>IFERROR(VLOOKUP($B731,Platts!$E$5:$M$4994,MATCH(F$3,Platts!$F$5:$M$5,0)+1,FALSE),F730)</f>
        <v>67.3</v>
      </c>
      <c r="G731" s="6">
        <f>IFERROR(VLOOKUP($B731,Platts!$E$5:$M$4994,MATCH(G$3,Platts!$F$5:$M$5,0)+1,FALSE),G730)</f>
        <v>66.37</v>
      </c>
      <c r="H731" s="6">
        <f>IFERROR(VLOOKUP($B731,Platts!$E$5:$M$4994,MATCH(H$3,Platts!$F$5:$M$5,0)+1,FALSE),H730)</f>
        <v>59.84</v>
      </c>
      <c r="I731" s="6">
        <f>IFERROR(VLOOKUP($B731,Platts!$E$5:$M$4994,MATCH(I$3,Platts!$F$5:$M$5,0)+1,FALSE),I730)</f>
        <v>64.989999999999995</v>
      </c>
      <c r="J731" s="6">
        <f t="shared" si="22"/>
        <v>4.2100000000000009</v>
      </c>
    </row>
    <row r="732" spans="2:10" x14ac:dyDescent="0.25">
      <c r="B732" s="5">
        <f t="shared" si="23"/>
        <v>43098</v>
      </c>
      <c r="C732" s="6">
        <f>IFERROR(VLOOKUP($B732,Platts!$E$5:$M$4994,MATCH(C$3,Platts!$F$5:$M$5,0)+1,FALSE),C731)</f>
        <v>56.19</v>
      </c>
      <c r="D732" s="6">
        <f>IFERROR(VLOOKUP($B732,Platts!$E$5:$M$4994,MATCH(D$3,Platts!$F$5:$M$5,0)+1,FALSE),D731)</f>
        <v>65.06</v>
      </c>
      <c r="E732" s="6">
        <f>IFERROR(VLOOKUP($B732,Platts!$E$5:$M$4994,MATCH(E$3,Platts!$F$5:$M$5,0)+1,FALSE),E731)</f>
        <v>57.44</v>
      </c>
      <c r="F732" s="6">
        <f>IFERROR(VLOOKUP($B732,Platts!$E$5:$M$4994,MATCH(F$3,Platts!$F$5:$M$5,0)+1,FALSE),F731)</f>
        <v>67.760000000000005</v>
      </c>
      <c r="G732" s="6">
        <f>IFERROR(VLOOKUP($B732,Platts!$E$5:$M$4994,MATCH(G$3,Platts!$F$5:$M$5,0)+1,FALSE),G731)</f>
        <v>66.67</v>
      </c>
      <c r="H732" s="6">
        <f>IFERROR(VLOOKUP($B732,Platts!$E$5:$M$4994,MATCH(H$3,Platts!$F$5:$M$5,0)+1,FALSE),H731)</f>
        <v>60.42</v>
      </c>
      <c r="I732" s="6">
        <f>IFERROR(VLOOKUP($B732,Platts!$E$5:$M$4994,MATCH(I$3,Platts!$F$5:$M$5,0)+1,FALSE),I731)</f>
        <v>65.569999999999993</v>
      </c>
      <c r="J732" s="6">
        <f t="shared" si="22"/>
        <v>4.230000000000004</v>
      </c>
    </row>
    <row r="733" spans="2:10" x14ac:dyDescent="0.25">
      <c r="B733" s="5">
        <f t="shared" si="23"/>
        <v>43099</v>
      </c>
      <c r="C733" s="6">
        <f>IFERROR(VLOOKUP($B733,Platts!$E$5:$M$4994,MATCH(C$3,Platts!$F$5:$M$5,0)+1,FALSE),C732)</f>
        <v>56.19</v>
      </c>
      <c r="D733" s="6">
        <f>IFERROR(VLOOKUP($B733,Platts!$E$5:$M$4994,MATCH(D$3,Platts!$F$5:$M$5,0)+1,FALSE),D732)</f>
        <v>65.06</v>
      </c>
      <c r="E733" s="6">
        <f>IFERROR(VLOOKUP($B733,Platts!$E$5:$M$4994,MATCH(E$3,Platts!$F$5:$M$5,0)+1,FALSE),E732)</f>
        <v>57.44</v>
      </c>
      <c r="F733" s="6">
        <f>IFERROR(VLOOKUP($B733,Platts!$E$5:$M$4994,MATCH(F$3,Platts!$F$5:$M$5,0)+1,FALSE),F732)</f>
        <v>67.760000000000005</v>
      </c>
      <c r="G733" s="6">
        <f>IFERROR(VLOOKUP($B733,Platts!$E$5:$M$4994,MATCH(G$3,Platts!$F$5:$M$5,0)+1,FALSE),G732)</f>
        <v>66.67</v>
      </c>
      <c r="H733" s="6">
        <f>IFERROR(VLOOKUP($B733,Platts!$E$5:$M$4994,MATCH(H$3,Platts!$F$5:$M$5,0)+1,FALSE),H732)</f>
        <v>60.42</v>
      </c>
      <c r="I733" s="6">
        <f>IFERROR(VLOOKUP($B733,Platts!$E$5:$M$4994,MATCH(I$3,Platts!$F$5:$M$5,0)+1,FALSE),I732)</f>
        <v>65.569999999999993</v>
      </c>
      <c r="J733" s="6">
        <f t="shared" si="22"/>
        <v>4.230000000000004</v>
      </c>
    </row>
    <row r="734" spans="2:10" x14ac:dyDescent="0.25">
      <c r="B734" s="5">
        <f t="shared" si="23"/>
        <v>43100</v>
      </c>
      <c r="C734" s="6">
        <f>IFERROR(VLOOKUP($B734,Platts!$E$5:$M$4994,MATCH(C$3,Platts!$F$5:$M$5,0)+1,FALSE),C733)</f>
        <v>56.19</v>
      </c>
      <c r="D734" s="6">
        <f>IFERROR(VLOOKUP($B734,Platts!$E$5:$M$4994,MATCH(D$3,Platts!$F$5:$M$5,0)+1,FALSE),D733)</f>
        <v>65.06</v>
      </c>
      <c r="E734" s="6">
        <f>IFERROR(VLOOKUP($B734,Platts!$E$5:$M$4994,MATCH(E$3,Platts!$F$5:$M$5,0)+1,FALSE),E733)</f>
        <v>57.44</v>
      </c>
      <c r="F734" s="6">
        <f>IFERROR(VLOOKUP($B734,Platts!$E$5:$M$4994,MATCH(F$3,Platts!$F$5:$M$5,0)+1,FALSE),F733)</f>
        <v>67.760000000000005</v>
      </c>
      <c r="G734" s="6">
        <f>IFERROR(VLOOKUP($B734,Platts!$E$5:$M$4994,MATCH(G$3,Platts!$F$5:$M$5,0)+1,FALSE),G733)</f>
        <v>66.67</v>
      </c>
      <c r="H734" s="6">
        <f>IFERROR(VLOOKUP($B734,Platts!$E$5:$M$4994,MATCH(H$3,Platts!$F$5:$M$5,0)+1,FALSE),H733)</f>
        <v>60.42</v>
      </c>
      <c r="I734" s="6">
        <f>IFERROR(VLOOKUP($B734,Platts!$E$5:$M$4994,MATCH(I$3,Platts!$F$5:$M$5,0)+1,FALSE),I733)</f>
        <v>65.569999999999993</v>
      </c>
      <c r="J734" s="6">
        <f t="shared" si="22"/>
        <v>4.230000000000004</v>
      </c>
    </row>
    <row r="735" spans="2:10" x14ac:dyDescent="0.25">
      <c r="B735" s="5">
        <f t="shared" si="23"/>
        <v>43101</v>
      </c>
      <c r="C735" s="6">
        <f>IFERROR(VLOOKUP($B735,Platts!$E$5:$M$4994,MATCH(C$3,Platts!$F$5:$M$5,0)+1,FALSE),C734)</f>
        <v>56.19</v>
      </c>
      <c r="D735" s="6">
        <f>IFERROR(VLOOKUP($B735,Platts!$E$5:$M$4994,MATCH(D$3,Platts!$F$5:$M$5,0)+1,FALSE),D734)</f>
        <v>65.06</v>
      </c>
      <c r="E735" s="6">
        <f>IFERROR(VLOOKUP($B735,Platts!$E$5:$M$4994,MATCH(E$3,Platts!$F$5:$M$5,0)+1,FALSE),E734)</f>
        <v>57.44</v>
      </c>
      <c r="F735" s="6">
        <f>IFERROR(VLOOKUP($B735,Platts!$E$5:$M$4994,MATCH(F$3,Platts!$F$5:$M$5,0)+1,FALSE),F734)</f>
        <v>67.760000000000005</v>
      </c>
      <c r="G735" s="6">
        <f>IFERROR(VLOOKUP($B735,Platts!$E$5:$M$4994,MATCH(G$3,Platts!$F$5:$M$5,0)+1,FALSE),G734)</f>
        <v>66.67</v>
      </c>
      <c r="H735" s="6">
        <f>IFERROR(VLOOKUP($B735,Platts!$E$5:$M$4994,MATCH(H$3,Platts!$F$5:$M$5,0)+1,FALSE),H734)</f>
        <v>60.42</v>
      </c>
      <c r="I735" s="6">
        <f>IFERROR(VLOOKUP($B735,Platts!$E$5:$M$4994,MATCH(I$3,Platts!$F$5:$M$5,0)+1,FALSE),I734)</f>
        <v>65.569999999999993</v>
      </c>
      <c r="J735" s="6">
        <f t="shared" si="22"/>
        <v>4.230000000000004</v>
      </c>
    </row>
    <row r="736" spans="2:10" x14ac:dyDescent="0.25">
      <c r="B736" s="5">
        <f t="shared" si="23"/>
        <v>43102</v>
      </c>
      <c r="C736" s="6">
        <f>IFERROR(VLOOKUP($B736,Platts!$E$5:$M$4994,MATCH(C$3,Platts!$F$5:$M$5,0)+1,FALSE),C735)</f>
        <v>56.72</v>
      </c>
      <c r="D736" s="6">
        <f>IFERROR(VLOOKUP($B736,Platts!$E$5:$M$4994,MATCH(D$3,Platts!$F$5:$M$5,0)+1,FALSE),D735)</f>
        <v>65.41</v>
      </c>
      <c r="E736" s="6">
        <f>IFERROR(VLOOKUP($B736,Platts!$E$5:$M$4994,MATCH(E$3,Platts!$F$5:$M$5,0)+1,FALSE),E735)</f>
        <v>57.63</v>
      </c>
      <c r="F736" s="6">
        <f>IFERROR(VLOOKUP($B736,Platts!$E$5:$M$4994,MATCH(F$3,Platts!$F$5:$M$5,0)+1,FALSE),F735)</f>
        <v>67.64</v>
      </c>
      <c r="G736" s="6">
        <f>IFERROR(VLOOKUP($B736,Platts!$E$5:$M$4994,MATCH(G$3,Platts!$F$5:$M$5,0)+1,FALSE),G735)</f>
        <v>66.349999999999994</v>
      </c>
      <c r="H736" s="6">
        <f>IFERROR(VLOOKUP($B736,Platts!$E$5:$M$4994,MATCH(H$3,Platts!$F$5:$M$5,0)+1,FALSE),H735)</f>
        <v>60.37</v>
      </c>
      <c r="I736" s="6">
        <f>IFERROR(VLOOKUP($B736,Platts!$E$5:$M$4994,MATCH(I$3,Platts!$F$5:$M$5,0)+1,FALSE),I735)</f>
        <v>65.37</v>
      </c>
      <c r="J736" s="6">
        <f t="shared" si="22"/>
        <v>3.6499999999999986</v>
      </c>
    </row>
    <row r="737" spans="2:10" x14ac:dyDescent="0.25">
      <c r="B737" s="5">
        <f t="shared" si="23"/>
        <v>43103</v>
      </c>
      <c r="C737" s="6">
        <f>IFERROR(VLOOKUP($B737,Platts!$E$5:$M$4994,MATCH(C$3,Platts!$F$5:$M$5,0)+1,FALSE),C736)</f>
        <v>57.67</v>
      </c>
      <c r="D737" s="6">
        <f>IFERROR(VLOOKUP($B737,Platts!$E$5:$M$4994,MATCH(D$3,Platts!$F$5:$M$5,0)+1,FALSE),D736)</f>
        <v>66.760000000000005</v>
      </c>
      <c r="E737" s="6">
        <f>IFERROR(VLOOKUP($B737,Platts!$E$5:$M$4994,MATCH(E$3,Platts!$F$5:$M$5,0)+1,FALSE),E736)</f>
        <v>58.69</v>
      </c>
      <c r="F737" s="6">
        <f>IFERROR(VLOOKUP($B737,Platts!$E$5:$M$4994,MATCH(F$3,Platts!$F$5:$M$5,0)+1,FALSE),F736)</f>
        <v>69</v>
      </c>
      <c r="G737" s="6">
        <f>IFERROR(VLOOKUP($B737,Platts!$E$5:$M$4994,MATCH(G$3,Platts!$F$5:$M$5,0)+1,FALSE),G736)</f>
        <v>67.56</v>
      </c>
      <c r="H737" s="6">
        <f>IFERROR(VLOOKUP($B737,Platts!$E$5:$M$4994,MATCH(H$3,Platts!$F$5:$M$5,0)+1,FALSE),H736)</f>
        <v>61.63</v>
      </c>
      <c r="I737" s="6">
        <f>IFERROR(VLOOKUP($B737,Platts!$E$5:$M$4994,MATCH(I$3,Platts!$F$5:$M$5,0)+1,FALSE),I736)</f>
        <v>66.53</v>
      </c>
      <c r="J737" s="6">
        <f t="shared" si="22"/>
        <v>3.9600000000000009</v>
      </c>
    </row>
    <row r="738" spans="2:10" x14ac:dyDescent="0.25">
      <c r="B738" s="5">
        <f t="shared" si="23"/>
        <v>43104</v>
      </c>
      <c r="C738" s="6">
        <f>IFERROR(VLOOKUP($B738,Platts!$E$5:$M$4994,MATCH(C$3,Platts!$F$5:$M$5,0)+1,FALSE),C737)</f>
        <v>57.88</v>
      </c>
      <c r="D738" s="6">
        <f>IFERROR(VLOOKUP($B738,Platts!$E$5:$M$4994,MATCH(D$3,Platts!$F$5:$M$5,0)+1,FALSE),D737)</f>
        <v>66.83</v>
      </c>
      <c r="E738" s="6">
        <f>IFERROR(VLOOKUP($B738,Platts!$E$5:$M$4994,MATCH(E$3,Platts!$F$5:$M$5,0)+1,FALSE),E737)</f>
        <v>58.7</v>
      </c>
      <c r="F738" s="6">
        <f>IFERROR(VLOOKUP($B738,Platts!$E$5:$M$4994,MATCH(F$3,Platts!$F$5:$M$5,0)+1,FALSE),F737)</f>
        <v>69.069999999999993</v>
      </c>
      <c r="G738" s="6">
        <f>IFERROR(VLOOKUP($B738,Platts!$E$5:$M$4994,MATCH(G$3,Platts!$F$5:$M$5,0)+1,FALSE),G737)</f>
        <v>68.12</v>
      </c>
      <c r="H738" s="6">
        <f>IFERROR(VLOOKUP($B738,Platts!$E$5:$M$4994,MATCH(H$3,Platts!$F$5:$M$5,0)+1,FALSE),H737)</f>
        <v>62.01</v>
      </c>
      <c r="I738" s="6">
        <f>IFERROR(VLOOKUP($B738,Platts!$E$5:$M$4994,MATCH(I$3,Platts!$F$5:$M$5,0)+1,FALSE),I737)</f>
        <v>66.86</v>
      </c>
      <c r="J738" s="6">
        <f t="shared" si="22"/>
        <v>4.1299999999999955</v>
      </c>
    </row>
    <row r="739" spans="2:10" x14ac:dyDescent="0.25">
      <c r="B739" s="5">
        <f t="shared" si="23"/>
        <v>43105</v>
      </c>
      <c r="C739" s="6">
        <f>IFERROR(VLOOKUP($B739,Platts!$E$5:$M$4994,MATCH(C$3,Platts!$F$5:$M$5,0)+1,FALSE),C738)</f>
        <v>57.31</v>
      </c>
      <c r="D739" s="6">
        <f>IFERROR(VLOOKUP($B739,Platts!$E$5:$M$4994,MATCH(D$3,Platts!$F$5:$M$5,0)+1,FALSE),D738)</f>
        <v>66.38</v>
      </c>
      <c r="E739" s="6">
        <f>IFERROR(VLOOKUP($B739,Platts!$E$5:$M$4994,MATCH(E$3,Platts!$F$5:$M$5,0)+1,FALSE),E738)</f>
        <v>58.2</v>
      </c>
      <c r="F739" s="6">
        <f>IFERROR(VLOOKUP($B739,Platts!$E$5:$M$4994,MATCH(F$3,Platts!$F$5:$M$5,0)+1,FALSE),F738)</f>
        <v>68.650000000000006</v>
      </c>
      <c r="G739" s="6">
        <f>IFERROR(VLOOKUP($B739,Platts!$E$5:$M$4994,MATCH(G$3,Platts!$F$5:$M$5,0)+1,FALSE),G738)</f>
        <v>67.62</v>
      </c>
      <c r="H739" s="6">
        <f>IFERROR(VLOOKUP($B739,Platts!$E$5:$M$4994,MATCH(H$3,Platts!$F$5:$M$5,0)+1,FALSE),H738)</f>
        <v>61.44</v>
      </c>
      <c r="I739" s="6">
        <f>IFERROR(VLOOKUP($B739,Platts!$E$5:$M$4994,MATCH(I$3,Platts!$F$5:$M$5,0)+1,FALSE),I738)</f>
        <v>66.290000000000006</v>
      </c>
      <c r="J739" s="6">
        <f t="shared" si="22"/>
        <v>4.1299999999999955</v>
      </c>
    </row>
    <row r="740" spans="2:10" x14ac:dyDescent="0.25">
      <c r="B740" s="5">
        <f t="shared" si="23"/>
        <v>43106</v>
      </c>
      <c r="C740" s="6">
        <f>IFERROR(VLOOKUP($B740,Platts!$E$5:$M$4994,MATCH(C$3,Platts!$F$5:$M$5,0)+1,FALSE),C739)</f>
        <v>57.31</v>
      </c>
      <c r="D740" s="6">
        <f>IFERROR(VLOOKUP($B740,Platts!$E$5:$M$4994,MATCH(D$3,Platts!$F$5:$M$5,0)+1,FALSE),D739)</f>
        <v>66.38</v>
      </c>
      <c r="E740" s="6">
        <f>IFERROR(VLOOKUP($B740,Platts!$E$5:$M$4994,MATCH(E$3,Platts!$F$5:$M$5,0)+1,FALSE),E739)</f>
        <v>58.2</v>
      </c>
      <c r="F740" s="6">
        <f>IFERROR(VLOOKUP($B740,Platts!$E$5:$M$4994,MATCH(F$3,Platts!$F$5:$M$5,0)+1,FALSE),F739)</f>
        <v>68.650000000000006</v>
      </c>
      <c r="G740" s="6">
        <f>IFERROR(VLOOKUP($B740,Platts!$E$5:$M$4994,MATCH(G$3,Platts!$F$5:$M$5,0)+1,FALSE),G739)</f>
        <v>67.62</v>
      </c>
      <c r="H740" s="6">
        <f>IFERROR(VLOOKUP($B740,Platts!$E$5:$M$4994,MATCH(H$3,Platts!$F$5:$M$5,0)+1,FALSE),H739)</f>
        <v>61.44</v>
      </c>
      <c r="I740" s="6">
        <f>IFERROR(VLOOKUP($B740,Platts!$E$5:$M$4994,MATCH(I$3,Platts!$F$5:$M$5,0)+1,FALSE),I739)</f>
        <v>66.290000000000006</v>
      </c>
      <c r="J740" s="6">
        <f t="shared" si="22"/>
        <v>4.1299999999999955</v>
      </c>
    </row>
    <row r="741" spans="2:10" x14ac:dyDescent="0.25">
      <c r="B741" s="5">
        <f t="shared" si="23"/>
        <v>43107</v>
      </c>
      <c r="C741" s="6">
        <f>IFERROR(VLOOKUP($B741,Platts!$E$5:$M$4994,MATCH(C$3,Platts!$F$5:$M$5,0)+1,FALSE),C740)</f>
        <v>57.31</v>
      </c>
      <c r="D741" s="6">
        <f>IFERROR(VLOOKUP($B741,Platts!$E$5:$M$4994,MATCH(D$3,Platts!$F$5:$M$5,0)+1,FALSE),D740)</f>
        <v>66.38</v>
      </c>
      <c r="E741" s="6">
        <f>IFERROR(VLOOKUP($B741,Platts!$E$5:$M$4994,MATCH(E$3,Platts!$F$5:$M$5,0)+1,FALSE),E740)</f>
        <v>58.2</v>
      </c>
      <c r="F741" s="6">
        <f>IFERROR(VLOOKUP($B741,Platts!$E$5:$M$4994,MATCH(F$3,Platts!$F$5:$M$5,0)+1,FALSE),F740)</f>
        <v>68.650000000000006</v>
      </c>
      <c r="G741" s="6">
        <f>IFERROR(VLOOKUP($B741,Platts!$E$5:$M$4994,MATCH(G$3,Platts!$F$5:$M$5,0)+1,FALSE),G740)</f>
        <v>67.62</v>
      </c>
      <c r="H741" s="6">
        <f>IFERROR(VLOOKUP($B741,Platts!$E$5:$M$4994,MATCH(H$3,Platts!$F$5:$M$5,0)+1,FALSE),H740)</f>
        <v>61.44</v>
      </c>
      <c r="I741" s="6">
        <f>IFERROR(VLOOKUP($B741,Platts!$E$5:$M$4994,MATCH(I$3,Platts!$F$5:$M$5,0)+1,FALSE),I740)</f>
        <v>66.290000000000006</v>
      </c>
      <c r="J741" s="6">
        <f t="shared" si="22"/>
        <v>4.1299999999999955</v>
      </c>
    </row>
    <row r="742" spans="2:10" x14ac:dyDescent="0.25">
      <c r="B742" s="5">
        <f t="shared" si="23"/>
        <v>43108</v>
      </c>
      <c r="C742" s="6">
        <f>IFERROR(VLOOKUP($B742,Platts!$E$5:$M$4994,MATCH(C$3,Platts!$F$5:$M$5,0)+1,FALSE),C741)</f>
        <v>57.5</v>
      </c>
      <c r="D742" s="6">
        <f>IFERROR(VLOOKUP($B742,Platts!$E$5:$M$4994,MATCH(D$3,Platts!$F$5:$M$5,0)+1,FALSE),D741)</f>
        <v>66.55</v>
      </c>
      <c r="E742" s="6">
        <f>IFERROR(VLOOKUP($B742,Platts!$E$5:$M$4994,MATCH(E$3,Platts!$F$5:$M$5,0)+1,FALSE),E741)</f>
        <v>58.41</v>
      </c>
      <c r="F742" s="6">
        <f>IFERROR(VLOOKUP($B742,Platts!$E$5:$M$4994,MATCH(F$3,Platts!$F$5:$M$5,0)+1,FALSE),F741)</f>
        <v>68.81</v>
      </c>
      <c r="G742" s="6">
        <f>IFERROR(VLOOKUP($B742,Platts!$E$5:$M$4994,MATCH(G$3,Platts!$F$5:$M$5,0)+1,FALSE),G741)</f>
        <v>67.709999999999994</v>
      </c>
      <c r="H742" s="6">
        <f>IFERROR(VLOOKUP($B742,Platts!$E$5:$M$4994,MATCH(H$3,Platts!$F$5:$M$5,0)+1,FALSE),H741)</f>
        <v>61.73</v>
      </c>
      <c r="I742" s="6">
        <f>IFERROR(VLOOKUP($B742,Platts!$E$5:$M$4994,MATCH(I$3,Platts!$F$5:$M$5,0)+1,FALSE),I741)</f>
        <v>66.430000000000007</v>
      </c>
      <c r="J742" s="6">
        <f t="shared" si="22"/>
        <v>4.2299999999999969</v>
      </c>
    </row>
    <row r="743" spans="2:10" x14ac:dyDescent="0.25">
      <c r="B743" s="5">
        <f t="shared" si="23"/>
        <v>43109</v>
      </c>
      <c r="C743" s="6">
        <f>IFERROR(VLOOKUP($B743,Platts!$E$5:$M$4994,MATCH(C$3,Platts!$F$5:$M$5,0)+1,FALSE),C742)</f>
        <v>58.18</v>
      </c>
      <c r="D743" s="6">
        <f>IFERROR(VLOOKUP($B743,Platts!$E$5:$M$4994,MATCH(D$3,Platts!$F$5:$M$5,0)+1,FALSE),D742)</f>
        <v>67.67</v>
      </c>
      <c r="E743" s="6">
        <f>IFERROR(VLOOKUP($B743,Platts!$E$5:$M$4994,MATCH(E$3,Platts!$F$5:$M$5,0)+1,FALSE),E742)</f>
        <v>59.27</v>
      </c>
      <c r="F743" s="6">
        <f>IFERROR(VLOOKUP($B743,Platts!$E$5:$M$4994,MATCH(F$3,Platts!$F$5:$M$5,0)+1,FALSE),F742)</f>
        <v>69.900000000000006</v>
      </c>
      <c r="G743" s="6">
        <f>IFERROR(VLOOKUP($B743,Platts!$E$5:$M$4994,MATCH(G$3,Platts!$F$5:$M$5,0)+1,FALSE),G742)</f>
        <v>68.33</v>
      </c>
      <c r="H743" s="6">
        <f>IFERROR(VLOOKUP($B743,Platts!$E$5:$M$4994,MATCH(H$3,Platts!$F$5:$M$5,0)+1,FALSE),H742)</f>
        <v>62.96</v>
      </c>
      <c r="I743" s="6">
        <f>IFERROR(VLOOKUP($B743,Platts!$E$5:$M$4994,MATCH(I$3,Platts!$F$5:$M$5,0)+1,FALSE),I742)</f>
        <v>67.510000000000005</v>
      </c>
      <c r="J743" s="6">
        <f t="shared" si="22"/>
        <v>4.7800000000000011</v>
      </c>
    </row>
    <row r="744" spans="2:10" x14ac:dyDescent="0.25">
      <c r="B744" s="5">
        <f t="shared" si="23"/>
        <v>43110</v>
      </c>
      <c r="C744" s="6">
        <f>IFERROR(VLOOKUP($B744,Platts!$E$5:$M$4994,MATCH(C$3,Platts!$F$5:$M$5,0)+1,FALSE),C743)</f>
        <v>58.68</v>
      </c>
      <c r="D744" s="6">
        <f>IFERROR(VLOOKUP($B744,Platts!$E$5:$M$4994,MATCH(D$3,Platts!$F$5:$M$5,0)+1,FALSE),D743)</f>
        <v>68.290000000000006</v>
      </c>
      <c r="E744" s="6">
        <f>IFERROR(VLOOKUP($B744,Platts!$E$5:$M$4994,MATCH(E$3,Platts!$F$5:$M$5,0)+1,FALSE),E743)</f>
        <v>59.61</v>
      </c>
      <c r="F744" s="6">
        <f>IFERROR(VLOOKUP($B744,Platts!$E$5:$M$4994,MATCH(F$3,Platts!$F$5:$M$5,0)+1,FALSE),F743)</f>
        <v>70.45</v>
      </c>
      <c r="G744" s="6">
        <f>IFERROR(VLOOKUP($B744,Platts!$E$5:$M$4994,MATCH(G$3,Platts!$F$5:$M$5,0)+1,FALSE),G743)</f>
        <v>69.27</v>
      </c>
      <c r="H744" s="6">
        <f>IFERROR(VLOOKUP($B744,Platts!$E$5:$M$4994,MATCH(H$3,Platts!$F$5:$M$5,0)+1,FALSE),H743)</f>
        <v>63.57</v>
      </c>
      <c r="I744" s="6">
        <f>IFERROR(VLOOKUP($B744,Platts!$E$5:$M$4994,MATCH(I$3,Platts!$F$5:$M$5,0)+1,FALSE),I743)</f>
        <v>68.22</v>
      </c>
      <c r="J744" s="6">
        <f t="shared" si="22"/>
        <v>4.8900000000000006</v>
      </c>
    </row>
    <row r="745" spans="2:10" x14ac:dyDescent="0.25">
      <c r="B745" s="5">
        <f t="shared" si="23"/>
        <v>43111</v>
      </c>
      <c r="C745" s="6">
        <f>IFERROR(VLOOKUP($B745,Platts!$E$5:$M$4994,MATCH(C$3,Platts!$F$5:$M$5,0)+1,FALSE),C744)</f>
        <v>59.22</v>
      </c>
      <c r="D745" s="6">
        <f>IFERROR(VLOOKUP($B745,Platts!$E$5:$M$4994,MATCH(D$3,Platts!$F$5:$M$5,0)+1,FALSE),D744)</f>
        <v>68.31</v>
      </c>
      <c r="E745" s="6">
        <f>IFERROR(VLOOKUP($B745,Platts!$E$5:$M$4994,MATCH(E$3,Platts!$F$5:$M$5,0)+1,FALSE),E744)</f>
        <v>59.59</v>
      </c>
      <c r="F745" s="6">
        <f>IFERROR(VLOOKUP($B745,Platts!$E$5:$M$4994,MATCH(F$3,Platts!$F$5:$M$5,0)+1,FALSE),F744)</f>
        <v>70.48</v>
      </c>
      <c r="G745" s="6">
        <f>IFERROR(VLOOKUP($B745,Platts!$E$5:$M$4994,MATCH(G$3,Platts!$F$5:$M$5,0)+1,FALSE),G744)</f>
        <v>70.010000000000005</v>
      </c>
      <c r="H745" s="6">
        <f>IFERROR(VLOOKUP($B745,Platts!$E$5:$M$4994,MATCH(H$3,Platts!$F$5:$M$5,0)+1,FALSE),H744)</f>
        <v>63.8</v>
      </c>
      <c r="I745" s="6">
        <f>IFERROR(VLOOKUP($B745,Platts!$E$5:$M$4994,MATCH(I$3,Platts!$F$5:$M$5,0)+1,FALSE),I744)</f>
        <v>68.349999999999994</v>
      </c>
      <c r="J745" s="6">
        <f t="shared" si="22"/>
        <v>4.5799999999999983</v>
      </c>
    </row>
    <row r="746" spans="2:10" x14ac:dyDescent="0.25">
      <c r="B746" s="5">
        <f t="shared" si="23"/>
        <v>43112</v>
      </c>
      <c r="C746" s="6">
        <f>IFERROR(VLOOKUP($B746,Platts!$E$5:$M$4994,MATCH(C$3,Platts!$F$5:$M$5,0)+1,FALSE),C745)</f>
        <v>59.21</v>
      </c>
      <c r="D746" s="6">
        <f>IFERROR(VLOOKUP($B746,Platts!$E$5:$M$4994,MATCH(D$3,Platts!$F$5:$M$5,0)+1,FALSE),D745)</f>
        <v>68.95</v>
      </c>
      <c r="E746" s="6">
        <f>IFERROR(VLOOKUP($B746,Platts!$E$5:$M$4994,MATCH(E$3,Platts!$F$5:$M$5,0)+1,FALSE),E745)</f>
        <v>60.11</v>
      </c>
      <c r="F746" s="6">
        <f>IFERROR(VLOOKUP($B746,Platts!$E$5:$M$4994,MATCH(F$3,Platts!$F$5:$M$5,0)+1,FALSE),F745)</f>
        <v>71.13</v>
      </c>
      <c r="G746" s="6">
        <f>IFERROR(VLOOKUP($B746,Platts!$E$5:$M$4994,MATCH(G$3,Platts!$F$5:$M$5,0)+1,FALSE),G745)</f>
        <v>69.3</v>
      </c>
      <c r="H746" s="6">
        <f>IFERROR(VLOOKUP($B746,Platts!$E$5:$M$4994,MATCH(H$3,Platts!$F$5:$M$5,0)+1,FALSE),H745)</f>
        <v>64.3</v>
      </c>
      <c r="I746" s="6">
        <f>IFERROR(VLOOKUP($B746,Platts!$E$5:$M$4994,MATCH(I$3,Platts!$F$5:$M$5,0)+1,FALSE),I745)</f>
        <v>69.05</v>
      </c>
      <c r="J746" s="6">
        <f t="shared" si="22"/>
        <v>5.0899999999999963</v>
      </c>
    </row>
    <row r="747" spans="2:10" x14ac:dyDescent="0.25">
      <c r="B747" s="5">
        <f t="shared" si="23"/>
        <v>43113</v>
      </c>
      <c r="C747" s="6">
        <f>IFERROR(VLOOKUP($B747,Platts!$E$5:$M$4994,MATCH(C$3,Platts!$F$5:$M$5,0)+1,FALSE),C746)</f>
        <v>59.21</v>
      </c>
      <c r="D747" s="6">
        <f>IFERROR(VLOOKUP($B747,Platts!$E$5:$M$4994,MATCH(D$3,Platts!$F$5:$M$5,0)+1,FALSE),D746)</f>
        <v>68.95</v>
      </c>
      <c r="E747" s="6">
        <f>IFERROR(VLOOKUP($B747,Platts!$E$5:$M$4994,MATCH(E$3,Platts!$F$5:$M$5,0)+1,FALSE),E746)</f>
        <v>60.11</v>
      </c>
      <c r="F747" s="6">
        <f>IFERROR(VLOOKUP($B747,Platts!$E$5:$M$4994,MATCH(F$3,Platts!$F$5:$M$5,0)+1,FALSE),F746)</f>
        <v>71.13</v>
      </c>
      <c r="G747" s="6">
        <f>IFERROR(VLOOKUP($B747,Platts!$E$5:$M$4994,MATCH(G$3,Platts!$F$5:$M$5,0)+1,FALSE),G746)</f>
        <v>69.3</v>
      </c>
      <c r="H747" s="6">
        <f>IFERROR(VLOOKUP($B747,Platts!$E$5:$M$4994,MATCH(H$3,Platts!$F$5:$M$5,0)+1,FALSE),H746)</f>
        <v>64.3</v>
      </c>
      <c r="I747" s="6">
        <f>IFERROR(VLOOKUP($B747,Platts!$E$5:$M$4994,MATCH(I$3,Platts!$F$5:$M$5,0)+1,FALSE),I746)</f>
        <v>69.05</v>
      </c>
      <c r="J747" s="6">
        <f t="shared" si="22"/>
        <v>5.0899999999999963</v>
      </c>
    </row>
    <row r="748" spans="2:10" x14ac:dyDescent="0.25">
      <c r="B748" s="5">
        <f t="shared" si="23"/>
        <v>43114</v>
      </c>
      <c r="C748" s="6">
        <f>IFERROR(VLOOKUP($B748,Platts!$E$5:$M$4994,MATCH(C$3,Platts!$F$5:$M$5,0)+1,FALSE),C747)</f>
        <v>59.21</v>
      </c>
      <c r="D748" s="6">
        <f>IFERROR(VLOOKUP($B748,Platts!$E$5:$M$4994,MATCH(D$3,Platts!$F$5:$M$5,0)+1,FALSE),D747)</f>
        <v>68.95</v>
      </c>
      <c r="E748" s="6">
        <f>IFERROR(VLOOKUP($B748,Platts!$E$5:$M$4994,MATCH(E$3,Platts!$F$5:$M$5,0)+1,FALSE),E747)</f>
        <v>60.11</v>
      </c>
      <c r="F748" s="6">
        <f>IFERROR(VLOOKUP($B748,Platts!$E$5:$M$4994,MATCH(F$3,Platts!$F$5:$M$5,0)+1,FALSE),F747)</f>
        <v>71.13</v>
      </c>
      <c r="G748" s="6">
        <f>IFERROR(VLOOKUP($B748,Platts!$E$5:$M$4994,MATCH(G$3,Platts!$F$5:$M$5,0)+1,FALSE),G747)</f>
        <v>69.3</v>
      </c>
      <c r="H748" s="6">
        <f>IFERROR(VLOOKUP($B748,Platts!$E$5:$M$4994,MATCH(H$3,Platts!$F$5:$M$5,0)+1,FALSE),H747)</f>
        <v>64.3</v>
      </c>
      <c r="I748" s="6">
        <f>IFERROR(VLOOKUP($B748,Platts!$E$5:$M$4994,MATCH(I$3,Platts!$F$5:$M$5,0)+1,FALSE),I747)</f>
        <v>69.05</v>
      </c>
      <c r="J748" s="6">
        <f t="shared" si="22"/>
        <v>5.0899999999999963</v>
      </c>
    </row>
    <row r="749" spans="2:10" x14ac:dyDescent="0.25">
      <c r="B749" s="5">
        <f t="shared" si="23"/>
        <v>43115</v>
      </c>
      <c r="C749" s="6">
        <f>IFERROR(VLOOKUP($B749,Platts!$E$5:$M$4994,MATCH(C$3,Platts!$F$5:$M$5,0)+1,FALSE),C748)</f>
        <v>59.21</v>
      </c>
      <c r="D749" s="6">
        <f>IFERROR(VLOOKUP($B749,Platts!$E$5:$M$4994,MATCH(D$3,Platts!$F$5:$M$5,0)+1,FALSE),D748)</f>
        <v>68.95</v>
      </c>
      <c r="E749" s="6">
        <f>IFERROR(VLOOKUP($B749,Platts!$E$5:$M$4994,MATCH(E$3,Platts!$F$5:$M$5,0)+1,FALSE),E748)</f>
        <v>60.11</v>
      </c>
      <c r="F749" s="6">
        <f>IFERROR(VLOOKUP($B749,Platts!$E$5:$M$4994,MATCH(F$3,Platts!$F$5:$M$5,0)+1,FALSE),F748)</f>
        <v>71.13</v>
      </c>
      <c r="G749" s="6">
        <f>IFERROR(VLOOKUP($B749,Platts!$E$5:$M$4994,MATCH(G$3,Platts!$F$5:$M$5,0)+1,FALSE),G748)</f>
        <v>70.05</v>
      </c>
      <c r="H749" s="6">
        <f>IFERROR(VLOOKUP($B749,Platts!$E$5:$M$4994,MATCH(H$3,Platts!$F$5:$M$5,0)+1,FALSE),H748)</f>
        <v>64.3</v>
      </c>
      <c r="I749" s="6">
        <f>IFERROR(VLOOKUP($B749,Platts!$E$5:$M$4994,MATCH(I$3,Platts!$F$5:$M$5,0)+1,FALSE),I748)</f>
        <v>69.05</v>
      </c>
      <c r="J749" s="6">
        <f t="shared" si="22"/>
        <v>5.0899999999999963</v>
      </c>
    </row>
    <row r="750" spans="2:10" x14ac:dyDescent="0.25">
      <c r="B750" s="5">
        <f t="shared" si="23"/>
        <v>43116</v>
      </c>
      <c r="C750" s="6">
        <f>IFERROR(VLOOKUP($B750,Platts!$E$5:$M$4994,MATCH(C$3,Platts!$F$5:$M$5,0)+1,FALSE),C749)</f>
        <v>58.6</v>
      </c>
      <c r="D750" s="6">
        <f>IFERROR(VLOOKUP($B750,Platts!$E$5:$M$4994,MATCH(D$3,Platts!$F$5:$M$5,0)+1,FALSE),D749)</f>
        <v>68.489999999999995</v>
      </c>
      <c r="E750" s="6">
        <f>IFERROR(VLOOKUP($B750,Platts!$E$5:$M$4994,MATCH(E$3,Platts!$F$5:$M$5,0)+1,FALSE),E749)</f>
        <v>59.62</v>
      </c>
      <c r="F750" s="6">
        <f>IFERROR(VLOOKUP($B750,Platts!$E$5:$M$4994,MATCH(F$3,Platts!$F$5:$M$5,0)+1,FALSE),F749)</f>
        <v>70.61</v>
      </c>
      <c r="G750" s="6">
        <f>IFERROR(VLOOKUP($B750,Platts!$E$5:$M$4994,MATCH(G$3,Platts!$F$5:$M$5,0)+1,FALSE),G749)</f>
        <v>69.37</v>
      </c>
      <c r="H750" s="6">
        <f>IFERROR(VLOOKUP($B750,Platts!$E$5:$M$4994,MATCH(H$3,Platts!$F$5:$M$5,0)+1,FALSE),H749)</f>
        <v>63.73</v>
      </c>
      <c r="I750" s="6">
        <f>IFERROR(VLOOKUP($B750,Platts!$E$5:$M$4994,MATCH(I$3,Platts!$F$5:$M$5,0)+1,FALSE),I749)</f>
        <v>68.53</v>
      </c>
      <c r="J750" s="6">
        <f t="shared" si="22"/>
        <v>5.1299999999999955</v>
      </c>
    </row>
    <row r="751" spans="2:10" x14ac:dyDescent="0.25">
      <c r="B751" s="5">
        <f t="shared" si="23"/>
        <v>43117</v>
      </c>
      <c r="C751" s="6">
        <f>IFERROR(VLOOKUP($B751,Platts!$E$5:$M$4994,MATCH(C$3,Platts!$F$5:$M$5,0)+1,FALSE),C750)</f>
        <v>58.69</v>
      </c>
      <c r="D751" s="6">
        <f>IFERROR(VLOOKUP($B751,Platts!$E$5:$M$4994,MATCH(D$3,Platts!$F$5:$M$5,0)+1,FALSE),D750)</f>
        <v>68.66</v>
      </c>
      <c r="E751" s="6">
        <f>IFERROR(VLOOKUP($B751,Platts!$E$5:$M$4994,MATCH(E$3,Platts!$F$5:$M$5,0)+1,FALSE),E750)</f>
        <v>59.92</v>
      </c>
      <c r="F751" s="6">
        <f>IFERROR(VLOOKUP($B751,Platts!$E$5:$M$4994,MATCH(F$3,Platts!$F$5:$M$5,0)+1,FALSE),F750)</f>
        <v>70.75</v>
      </c>
      <c r="G751" s="6">
        <f>IFERROR(VLOOKUP($B751,Platts!$E$5:$M$4994,MATCH(G$3,Platts!$F$5:$M$5,0)+1,FALSE),G750)</f>
        <v>69.290000000000006</v>
      </c>
      <c r="H751" s="6">
        <f>IFERROR(VLOOKUP($B751,Platts!$E$5:$M$4994,MATCH(H$3,Platts!$F$5:$M$5,0)+1,FALSE),H750)</f>
        <v>63.97</v>
      </c>
      <c r="I751" s="6">
        <f>IFERROR(VLOOKUP($B751,Platts!$E$5:$M$4994,MATCH(I$3,Platts!$F$5:$M$5,0)+1,FALSE),I750)</f>
        <v>68.67</v>
      </c>
      <c r="J751" s="6">
        <f t="shared" si="22"/>
        <v>5.2800000000000011</v>
      </c>
    </row>
    <row r="752" spans="2:10" x14ac:dyDescent="0.25">
      <c r="B752" s="5">
        <f t="shared" si="23"/>
        <v>43118</v>
      </c>
      <c r="C752" s="6">
        <f>IFERROR(VLOOKUP($B752,Platts!$E$5:$M$4994,MATCH(C$3,Platts!$F$5:$M$5,0)+1,FALSE),C751)</f>
        <v>59.03</v>
      </c>
      <c r="D752" s="6">
        <f>IFERROR(VLOOKUP($B752,Platts!$E$5:$M$4994,MATCH(D$3,Platts!$F$5:$M$5,0)+1,FALSE),D751)</f>
        <v>68.58</v>
      </c>
      <c r="E752" s="6">
        <f>IFERROR(VLOOKUP($B752,Platts!$E$5:$M$4994,MATCH(E$3,Platts!$F$5:$M$5,0)+1,FALSE),E751)</f>
        <v>60</v>
      </c>
      <c r="F752" s="6">
        <f>IFERROR(VLOOKUP($B752,Platts!$E$5:$M$4994,MATCH(F$3,Platts!$F$5:$M$5,0)+1,FALSE),F751)</f>
        <v>70.69</v>
      </c>
      <c r="G752" s="6">
        <f>IFERROR(VLOOKUP($B752,Platts!$E$5:$M$4994,MATCH(G$3,Platts!$F$5:$M$5,0)+1,FALSE),G751)</f>
        <v>69.44</v>
      </c>
      <c r="H752" s="6">
        <f>IFERROR(VLOOKUP($B752,Platts!$E$5:$M$4994,MATCH(H$3,Platts!$F$5:$M$5,0)+1,FALSE),H751)</f>
        <v>63.95</v>
      </c>
      <c r="I752" s="6">
        <f>IFERROR(VLOOKUP($B752,Platts!$E$5:$M$4994,MATCH(I$3,Platts!$F$5:$M$5,0)+1,FALSE),I751)</f>
        <v>68.55</v>
      </c>
      <c r="J752" s="6">
        <f t="shared" si="22"/>
        <v>4.9200000000000017</v>
      </c>
    </row>
    <row r="753" spans="2:10" x14ac:dyDescent="0.25">
      <c r="B753" s="5">
        <f t="shared" si="23"/>
        <v>43119</v>
      </c>
      <c r="C753" s="6">
        <f>IFERROR(VLOOKUP($B753,Platts!$E$5:$M$4994,MATCH(C$3,Platts!$F$5:$M$5,0)+1,FALSE),C752)</f>
        <v>58.39</v>
      </c>
      <c r="D753" s="6">
        <f>IFERROR(VLOOKUP($B753,Platts!$E$5:$M$4994,MATCH(D$3,Platts!$F$5:$M$5,0)+1,FALSE),D752)</f>
        <v>67.790000000000006</v>
      </c>
      <c r="E753" s="6">
        <f>IFERROR(VLOOKUP($B753,Platts!$E$5:$M$4994,MATCH(E$3,Platts!$F$5:$M$5,0)+1,FALSE),E752)</f>
        <v>59.37</v>
      </c>
      <c r="F753" s="6">
        <f>IFERROR(VLOOKUP($B753,Platts!$E$5:$M$4994,MATCH(F$3,Platts!$F$5:$M$5,0)+1,FALSE),F752)</f>
        <v>69.930000000000007</v>
      </c>
      <c r="G753" s="6">
        <f>IFERROR(VLOOKUP($B753,Platts!$E$5:$M$4994,MATCH(G$3,Platts!$F$5:$M$5,0)+1,FALSE),G752)</f>
        <v>68.540000000000006</v>
      </c>
      <c r="H753" s="6">
        <f>IFERROR(VLOOKUP($B753,Platts!$E$5:$M$4994,MATCH(H$3,Platts!$F$5:$M$5,0)+1,FALSE),H752)</f>
        <v>63.37</v>
      </c>
      <c r="I753" s="6">
        <f>IFERROR(VLOOKUP($B753,Platts!$E$5:$M$4994,MATCH(I$3,Platts!$F$5:$M$5,0)+1,FALSE),I752)</f>
        <v>67.72</v>
      </c>
      <c r="J753" s="6">
        <f t="shared" si="22"/>
        <v>4.9799999999999969</v>
      </c>
    </row>
    <row r="754" spans="2:10" x14ac:dyDescent="0.25">
      <c r="B754" s="5">
        <f t="shared" si="23"/>
        <v>43120</v>
      </c>
      <c r="C754" s="6">
        <f>IFERROR(VLOOKUP($B754,Platts!$E$5:$M$4994,MATCH(C$3,Platts!$F$5:$M$5,0)+1,FALSE),C753)</f>
        <v>58.39</v>
      </c>
      <c r="D754" s="6">
        <f>IFERROR(VLOOKUP($B754,Platts!$E$5:$M$4994,MATCH(D$3,Platts!$F$5:$M$5,0)+1,FALSE),D753)</f>
        <v>67.790000000000006</v>
      </c>
      <c r="E754" s="6">
        <f>IFERROR(VLOOKUP($B754,Platts!$E$5:$M$4994,MATCH(E$3,Platts!$F$5:$M$5,0)+1,FALSE),E753)</f>
        <v>59.37</v>
      </c>
      <c r="F754" s="6">
        <f>IFERROR(VLOOKUP($B754,Platts!$E$5:$M$4994,MATCH(F$3,Platts!$F$5:$M$5,0)+1,FALSE),F753)</f>
        <v>69.930000000000007</v>
      </c>
      <c r="G754" s="6">
        <f>IFERROR(VLOOKUP($B754,Platts!$E$5:$M$4994,MATCH(G$3,Platts!$F$5:$M$5,0)+1,FALSE),G753)</f>
        <v>68.540000000000006</v>
      </c>
      <c r="H754" s="6">
        <f>IFERROR(VLOOKUP($B754,Platts!$E$5:$M$4994,MATCH(H$3,Platts!$F$5:$M$5,0)+1,FALSE),H753)</f>
        <v>63.37</v>
      </c>
      <c r="I754" s="6">
        <f>IFERROR(VLOOKUP($B754,Platts!$E$5:$M$4994,MATCH(I$3,Platts!$F$5:$M$5,0)+1,FALSE),I753)</f>
        <v>67.72</v>
      </c>
      <c r="J754" s="6">
        <f t="shared" si="22"/>
        <v>4.9799999999999969</v>
      </c>
    </row>
    <row r="755" spans="2:10" x14ac:dyDescent="0.25">
      <c r="B755" s="5">
        <f t="shared" si="23"/>
        <v>43121</v>
      </c>
      <c r="C755" s="6">
        <f>IFERROR(VLOOKUP($B755,Platts!$E$5:$M$4994,MATCH(C$3,Platts!$F$5:$M$5,0)+1,FALSE),C754)</f>
        <v>58.39</v>
      </c>
      <c r="D755" s="6">
        <f>IFERROR(VLOOKUP($B755,Platts!$E$5:$M$4994,MATCH(D$3,Platts!$F$5:$M$5,0)+1,FALSE),D754)</f>
        <v>67.790000000000006</v>
      </c>
      <c r="E755" s="6">
        <f>IFERROR(VLOOKUP($B755,Platts!$E$5:$M$4994,MATCH(E$3,Platts!$F$5:$M$5,0)+1,FALSE),E754)</f>
        <v>59.37</v>
      </c>
      <c r="F755" s="6">
        <f>IFERROR(VLOOKUP($B755,Platts!$E$5:$M$4994,MATCH(F$3,Platts!$F$5:$M$5,0)+1,FALSE),F754)</f>
        <v>69.930000000000007</v>
      </c>
      <c r="G755" s="6">
        <f>IFERROR(VLOOKUP($B755,Platts!$E$5:$M$4994,MATCH(G$3,Platts!$F$5:$M$5,0)+1,FALSE),G754)</f>
        <v>68.540000000000006</v>
      </c>
      <c r="H755" s="6">
        <f>IFERROR(VLOOKUP($B755,Platts!$E$5:$M$4994,MATCH(H$3,Platts!$F$5:$M$5,0)+1,FALSE),H754)</f>
        <v>63.37</v>
      </c>
      <c r="I755" s="6">
        <f>IFERROR(VLOOKUP($B755,Platts!$E$5:$M$4994,MATCH(I$3,Platts!$F$5:$M$5,0)+1,FALSE),I754)</f>
        <v>67.72</v>
      </c>
      <c r="J755" s="6">
        <f t="shared" si="22"/>
        <v>4.9799999999999969</v>
      </c>
    </row>
    <row r="756" spans="2:10" x14ac:dyDescent="0.25">
      <c r="B756" s="5">
        <f t="shared" si="23"/>
        <v>43122</v>
      </c>
      <c r="C756" s="6">
        <f>IFERROR(VLOOKUP($B756,Platts!$E$5:$M$4994,MATCH(C$3,Platts!$F$5:$M$5,0)+1,FALSE),C755)</f>
        <v>58.47</v>
      </c>
      <c r="D756" s="6">
        <f>IFERROR(VLOOKUP($B756,Platts!$E$5:$M$4994,MATCH(D$3,Platts!$F$5:$M$5,0)+1,FALSE),D755)</f>
        <v>67.900000000000006</v>
      </c>
      <c r="E756" s="6">
        <f>IFERROR(VLOOKUP($B756,Platts!$E$5:$M$4994,MATCH(E$3,Platts!$F$5:$M$5,0)+1,FALSE),E755)</f>
        <v>59.23</v>
      </c>
      <c r="F756" s="6">
        <f>IFERROR(VLOOKUP($B756,Platts!$E$5:$M$4994,MATCH(F$3,Platts!$F$5:$M$5,0)+1,FALSE),F755)</f>
        <v>70.06</v>
      </c>
      <c r="G756" s="6">
        <f>IFERROR(VLOOKUP($B756,Platts!$E$5:$M$4994,MATCH(G$3,Platts!$F$5:$M$5,0)+1,FALSE),G755)</f>
        <v>69.599999999999994</v>
      </c>
      <c r="H756" s="6">
        <f>IFERROR(VLOOKUP($B756,Platts!$E$5:$M$4994,MATCH(H$3,Platts!$F$5:$M$5,0)+1,FALSE),H755)</f>
        <v>63.49</v>
      </c>
      <c r="I756" s="6">
        <f>IFERROR(VLOOKUP($B756,Platts!$E$5:$M$4994,MATCH(I$3,Platts!$F$5:$M$5,0)+1,FALSE),I755)</f>
        <v>67.64</v>
      </c>
      <c r="J756" s="6">
        <f t="shared" si="22"/>
        <v>5.0200000000000031</v>
      </c>
    </row>
    <row r="757" spans="2:10" x14ac:dyDescent="0.25">
      <c r="B757" s="5">
        <f t="shared" si="23"/>
        <v>43123</v>
      </c>
      <c r="C757" s="6">
        <f>IFERROR(VLOOKUP($B757,Platts!$E$5:$M$4994,MATCH(C$3,Platts!$F$5:$M$5,0)+1,FALSE),C756)</f>
        <v>59.09</v>
      </c>
      <c r="D757" s="6">
        <f>IFERROR(VLOOKUP($B757,Platts!$E$5:$M$4994,MATCH(D$3,Platts!$F$5:$M$5,0)+1,FALSE),D756)</f>
        <v>68.95</v>
      </c>
      <c r="E757" s="6">
        <f>IFERROR(VLOOKUP($B757,Platts!$E$5:$M$4994,MATCH(E$3,Platts!$F$5:$M$5,0)+1,FALSE),E756)</f>
        <v>60.08</v>
      </c>
      <c r="F757" s="6">
        <f>IFERROR(VLOOKUP($B757,Platts!$E$5:$M$4994,MATCH(F$3,Platts!$F$5:$M$5,0)+1,FALSE),F756)</f>
        <v>71.099999999999994</v>
      </c>
      <c r="G757" s="6">
        <f>IFERROR(VLOOKUP($B757,Platts!$E$5:$M$4994,MATCH(G$3,Platts!$F$5:$M$5,0)+1,FALSE),G756)</f>
        <v>70.010000000000005</v>
      </c>
      <c r="H757" s="6">
        <f>IFERROR(VLOOKUP($B757,Platts!$E$5:$M$4994,MATCH(H$3,Platts!$F$5:$M$5,0)+1,FALSE),H756)</f>
        <v>64.52</v>
      </c>
      <c r="I757" s="6">
        <f>IFERROR(VLOOKUP($B757,Platts!$E$5:$M$4994,MATCH(I$3,Platts!$F$5:$M$5,0)+1,FALSE),I756)</f>
        <v>68.62</v>
      </c>
      <c r="J757" s="6">
        <f t="shared" si="22"/>
        <v>5.4299999999999926</v>
      </c>
    </row>
    <row r="758" spans="2:10" x14ac:dyDescent="0.25">
      <c r="B758" s="5">
        <f t="shared" si="23"/>
        <v>43124</v>
      </c>
      <c r="C758" s="6">
        <f>IFERROR(VLOOKUP($B758,Platts!$E$5:$M$4994,MATCH(C$3,Platts!$F$5:$M$5,0)+1,FALSE),C757)</f>
        <v>59.58</v>
      </c>
      <c r="D758" s="6">
        <f>IFERROR(VLOOKUP($B758,Platts!$E$5:$M$4994,MATCH(D$3,Platts!$F$5:$M$5,0)+1,FALSE),D757)</f>
        <v>69.819999999999993</v>
      </c>
      <c r="E758" s="6">
        <f>IFERROR(VLOOKUP($B758,Platts!$E$5:$M$4994,MATCH(E$3,Platts!$F$5:$M$5,0)+1,FALSE),E757)</f>
        <v>60.95</v>
      </c>
      <c r="F758" s="6">
        <f>IFERROR(VLOOKUP($B758,Platts!$E$5:$M$4994,MATCH(F$3,Platts!$F$5:$M$5,0)+1,FALSE),F757)</f>
        <v>71.930000000000007</v>
      </c>
      <c r="G758" s="6">
        <f>IFERROR(VLOOKUP($B758,Platts!$E$5:$M$4994,MATCH(G$3,Platts!$F$5:$M$5,0)+1,FALSE),G757)</f>
        <v>69.92</v>
      </c>
      <c r="H758" s="6">
        <f>IFERROR(VLOOKUP($B758,Platts!$E$5:$M$4994,MATCH(H$3,Platts!$F$5:$M$5,0)+1,FALSE),H757)</f>
        <v>65.73</v>
      </c>
      <c r="I758" s="6">
        <f>IFERROR(VLOOKUP($B758,Platts!$E$5:$M$4994,MATCH(I$3,Platts!$F$5:$M$5,0)+1,FALSE),I757)</f>
        <v>69.180000000000007</v>
      </c>
      <c r="J758" s="6">
        <f t="shared" si="22"/>
        <v>6.1500000000000057</v>
      </c>
    </row>
    <row r="759" spans="2:10" x14ac:dyDescent="0.25">
      <c r="B759" s="5">
        <f t="shared" si="23"/>
        <v>43125</v>
      </c>
      <c r="C759" s="6">
        <f>IFERROR(VLOOKUP($B759,Platts!$E$5:$M$4994,MATCH(C$3,Platts!$F$5:$M$5,0)+1,FALSE),C758)</f>
        <v>59.7</v>
      </c>
      <c r="D759" s="6">
        <f>IFERROR(VLOOKUP($B759,Platts!$E$5:$M$4994,MATCH(D$3,Platts!$F$5:$M$5,0)+1,FALSE),D758)</f>
        <v>69.78</v>
      </c>
      <c r="E759" s="6">
        <f>IFERROR(VLOOKUP($B759,Platts!$E$5:$M$4994,MATCH(E$3,Platts!$F$5:$M$5,0)+1,FALSE),E758)</f>
        <v>60.94</v>
      </c>
      <c r="F759" s="6">
        <f>IFERROR(VLOOKUP($B759,Platts!$E$5:$M$4994,MATCH(F$3,Platts!$F$5:$M$5,0)+1,FALSE),F758)</f>
        <v>71.83</v>
      </c>
      <c r="G759" s="6">
        <f>IFERROR(VLOOKUP($B759,Platts!$E$5:$M$4994,MATCH(G$3,Platts!$F$5:$M$5,0)+1,FALSE),G758)</f>
        <v>70.709999999999994</v>
      </c>
      <c r="H759" s="6">
        <f>IFERROR(VLOOKUP($B759,Platts!$E$5:$M$4994,MATCH(H$3,Platts!$F$5:$M$5,0)+1,FALSE),H758)</f>
        <v>65.63</v>
      </c>
      <c r="I759" s="6">
        <f>IFERROR(VLOOKUP($B759,Platts!$E$5:$M$4994,MATCH(I$3,Platts!$F$5:$M$5,0)+1,FALSE),I758)</f>
        <v>67.73</v>
      </c>
      <c r="J759" s="6">
        <f t="shared" si="22"/>
        <v>5.9299999999999926</v>
      </c>
    </row>
    <row r="760" spans="2:10" x14ac:dyDescent="0.25">
      <c r="B760" s="5">
        <f t="shared" si="23"/>
        <v>43126</v>
      </c>
      <c r="C760" s="6">
        <f>IFERROR(VLOOKUP($B760,Platts!$E$5:$M$4994,MATCH(C$3,Platts!$F$5:$M$5,0)+1,FALSE),C759)</f>
        <v>59.75</v>
      </c>
      <c r="D760" s="6">
        <f>IFERROR(VLOOKUP($B760,Platts!$E$5:$M$4994,MATCH(D$3,Platts!$F$5:$M$5,0)+1,FALSE),D759)</f>
        <v>69.489999999999995</v>
      </c>
      <c r="E760" s="6">
        <f>IFERROR(VLOOKUP($B760,Platts!$E$5:$M$4994,MATCH(E$3,Platts!$F$5:$M$5,0)+1,FALSE),E759)</f>
        <v>61.01</v>
      </c>
      <c r="F760" s="6">
        <f>IFERROR(VLOOKUP($B760,Platts!$E$5:$M$4994,MATCH(F$3,Platts!$F$5:$M$5,0)+1,FALSE),F759)</f>
        <v>71.62</v>
      </c>
      <c r="G760" s="6">
        <f>IFERROR(VLOOKUP($B760,Platts!$E$5:$M$4994,MATCH(G$3,Platts!$F$5:$M$5,0)+1,FALSE),G759)</f>
        <v>70.47</v>
      </c>
      <c r="H760" s="6">
        <f>IFERROR(VLOOKUP($B760,Platts!$E$5:$M$4994,MATCH(H$3,Platts!$F$5:$M$5,0)+1,FALSE),H759)</f>
        <v>66.14</v>
      </c>
      <c r="I760" s="6">
        <f>IFERROR(VLOOKUP($B760,Platts!$E$5:$M$4994,MATCH(I$3,Platts!$F$5:$M$5,0)+1,FALSE),I759)</f>
        <v>68.89</v>
      </c>
      <c r="J760" s="6">
        <f t="shared" si="22"/>
        <v>6.3900000000000006</v>
      </c>
    </row>
    <row r="761" spans="2:10" x14ac:dyDescent="0.25">
      <c r="B761" s="5">
        <f t="shared" si="23"/>
        <v>43127</v>
      </c>
      <c r="C761" s="6">
        <f>IFERROR(VLOOKUP($B761,Platts!$E$5:$M$4994,MATCH(C$3,Platts!$F$5:$M$5,0)+1,FALSE),C760)</f>
        <v>59.75</v>
      </c>
      <c r="D761" s="6">
        <f>IFERROR(VLOOKUP($B761,Platts!$E$5:$M$4994,MATCH(D$3,Platts!$F$5:$M$5,0)+1,FALSE),D760)</f>
        <v>69.489999999999995</v>
      </c>
      <c r="E761" s="6">
        <f>IFERROR(VLOOKUP($B761,Platts!$E$5:$M$4994,MATCH(E$3,Platts!$F$5:$M$5,0)+1,FALSE),E760)</f>
        <v>61.01</v>
      </c>
      <c r="F761" s="6">
        <f>IFERROR(VLOOKUP($B761,Platts!$E$5:$M$4994,MATCH(F$3,Platts!$F$5:$M$5,0)+1,FALSE),F760)</f>
        <v>71.62</v>
      </c>
      <c r="G761" s="6">
        <f>IFERROR(VLOOKUP($B761,Platts!$E$5:$M$4994,MATCH(G$3,Platts!$F$5:$M$5,0)+1,FALSE),G760)</f>
        <v>70.47</v>
      </c>
      <c r="H761" s="6">
        <f>IFERROR(VLOOKUP($B761,Platts!$E$5:$M$4994,MATCH(H$3,Platts!$F$5:$M$5,0)+1,FALSE),H760)</f>
        <v>66.14</v>
      </c>
      <c r="I761" s="6">
        <f>IFERROR(VLOOKUP($B761,Platts!$E$5:$M$4994,MATCH(I$3,Platts!$F$5:$M$5,0)+1,FALSE),I760)</f>
        <v>68.89</v>
      </c>
      <c r="J761" s="6">
        <f t="shared" si="22"/>
        <v>6.3900000000000006</v>
      </c>
    </row>
    <row r="762" spans="2:10" x14ac:dyDescent="0.25">
      <c r="B762" s="5">
        <f t="shared" si="23"/>
        <v>43128</v>
      </c>
      <c r="C762" s="6">
        <f>IFERROR(VLOOKUP($B762,Platts!$E$5:$M$4994,MATCH(C$3,Platts!$F$5:$M$5,0)+1,FALSE),C761)</f>
        <v>59.75</v>
      </c>
      <c r="D762" s="6">
        <f>IFERROR(VLOOKUP($B762,Platts!$E$5:$M$4994,MATCH(D$3,Platts!$F$5:$M$5,0)+1,FALSE),D761)</f>
        <v>69.489999999999995</v>
      </c>
      <c r="E762" s="6">
        <f>IFERROR(VLOOKUP($B762,Platts!$E$5:$M$4994,MATCH(E$3,Platts!$F$5:$M$5,0)+1,FALSE),E761)</f>
        <v>61.01</v>
      </c>
      <c r="F762" s="6">
        <f>IFERROR(VLOOKUP($B762,Platts!$E$5:$M$4994,MATCH(F$3,Platts!$F$5:$M$5,0)+1,FALSE),F761)</f>
        <v>71.62</v>
      </c>
      <c r="G762" s="6">
        <f>IFERROR(VLOOKUP($B762,Platts!$E$5:$M$4994,MATCH(G$3,Platts!$F$5:$M$5,0)+1,FALSE),G761)</f>
        <v>70.47</v>
      </c>
      <c r="H762" s="6">
        <f>IFERROR(VLOOKUP($B762,Platts!$E$5:$M$4994,MATCH(H$3,Platts!$F$5:$M$5,0)+1,FALSE),H761)</f>
        <v>66.14</v>
      </c>
      <c r="I762" s="6">
        <f>IFERROR(VLOOKUP($B762,Platts!$E$5:$M$4994,MATCH(I$3,Platts!$F$5:$M$5,0)+1,FALSE),I761)</f>
        <v>68.89</v>
      </c>
      <c r="J762" s="6">
        <f t="shared" si="22"/>
        <v>6.3900000000000006</v>
      </c>
    </row>
    <row r="763" spans="2:10" x14ac:dyDescent="0.25">
      <c r="B763" s="5">
        <f t="shared" si="23"/>
        <v>43129</v>
      </c>
      <c r="C763" s="6">
        <f>IFERROR(VLOOKUP($B763,Platts!$E$5:$M$4994,MATCH(C$3,Platts!$F$5:$M$5,0)+1,FALSE),C762)</f>
        <v>58.99</v>
      </c>
      <c r="D763" s="6">
        <f>IFERROR(VLOOKUP($B763,Platts!$E$5:$M$4994,MATCH(D$3,Platts!$F$5:$M$5,0)+1,FALSE),D762)</f>
        <v>68.61</v>
      </c>
      <c r="E763" s="6">
        <f>IFERROR(VLOOKUP($B763,Platts!$E$5:$M$4994,MATCH(E$3,Platts!$F$5:$M$5,0)+1,FALSE),E762)</f>
        <v>60.29</v>
      </c>
      <c r="F763" s="6">
        <f>IFERROR(VLOOKUP($B763,Platts!$E$5:$M$4994,MATCH(F$3,Platts!$F$5:$M$5,0)+1,FALSE),F762)</f>
        <v>70.709999999999994</v>
      </c>
      <c r="G763" s="6">
        <f>IFERROR(VLOOKUP($B763,Platts!$E$5:$M$4994,MATCH(G$3,Platts!$F$5:$M$5,0)+1,FALSE),G762)</f>
        <v>69.22</v>
      </c>
      <c r="H763" s="6">
        <f>IFERROR(VLOOKUP($B763,Platts!$E$5:$M$4994,MATCH(H$3,Platts!$F$5:$M$5,0)+1,FALSE),H762)</f>
        <v>65.56</v>
      </c>
      <c r="I763" s="6">
        <f>IFERROR(VLOOKUP($B763,Platts!$E$5:$M$4994,MATCH(I$3,Platts!$F$5:$M$5,0)+1,FALSE),I762)</f>
        <v>68.010000000000005</v>
      </c>
      <c r="J763" s="6">
        <f t="shared" si="22"/>
        <v>6.57</v>
      </c>
    </row>
    <row r="764" spans="2:10" x14ac:dyDescent="0.25">
      <c r="B764" s="5">
        <f t="shared" si="23"/>
        <v>43130</v>
      </c>
      <c r="C764" s="6">
        <f>IFERROR(VLOOKUP($B764,Platts!$E$5:$M$4994,MATCH(C$3,Platts!$F$5:$M$5,0)+1,FALSE),C763)</f>
        <v>58.08</v>
      </c>
      <c r="D764" s="6">
        <f>IFERROR(VLOOKUP($B764,Platts!$E$5:$M$4994,MATCH(D$3,Platts!$F$5:$M$5,0)+1,FALSE),D763)</f>
        <v>67.52</v>
      </c>
      <c r="E764" s="6">
        <f>IFERROR(VLOOKUP($B764,Platts!$E$5:$M$4994,MATCH(E$3,Platts!$F$5:$M$5,0)+1,FALSE),E763)</f>
        <v>59.24</v>
      </c>
      <c r="F764" s="6">
        <f>IFERROR(VLOOKUP($B764,Platts!$E$5:$M$4994,MATCH(F$3,Platts!$F$5:$M$5,0)+1,FALSE),F763)</f>
        <v>69.67</v>
      </c>
      <c r="G764" s="6">
        <f>IFERROR(VLOOKUP($B764,Platts!$E$5:$M$4994,MATCH(G$3,Platts!$F$5:$M$5,0)+1,FALSE),G763)</f>
        <v>68.63</v>
      </c>
      <c r="H764" s="6">
        <f>IFERROR(VLOOKUP($B764,Platts!$E$5:$M$4994,MATCH(H$3,Platts!$F$5:$M$5,0)+1,FALSE),H763)</f>
        <v>64.5</v>
      </c>
      <c r="I764" s="6">
        <f>IFERROR(VLOOKUP($B764,Platts!$E$5:$M$4994,MATCH(I$3,Platts!$F$5:$M$5,0)+1,FALSE),I763)</f>
        <v>67.150000000000006</v>
      </c>
      <c r="J764" s="6">
        <f t="shared" si="22"/>
        <v>6.4200000000000017</v>
      </c>
    </row>
    <row r="765" spans="2:10" x14ac:dyDescent="0.25">
      <c r="B765" s="5">
        <f t="shared" si="23"/>
        <v>43131</v>
      </c>
      <c r="C765" s="6">
        <f>IFERROR(VLOOKUP($B765,Platts!$E$5:$M$4994,MATCH(C$3,Platts!$F$5:$M$5,0)+1,FALSE),C764)</f>
        <v>58.39</v>
      </c>
      <c r="D765" s="6">
        <f>IFERROR(VLOOKUP($B765,Platts!$E$5:$M$4994,MATCH(D$3,Platts!$F$5:$M$5,0)+1,FALSE),D764)</f>
        <v>67.83</v>
      </c>
      <c r="E765" s="6">
        <f>IFERROR(VLOOKUP($B765,Platts!$E$5:$M$4994,MATCH(E$3,Platts!$F$5:$M$5,0)+1,FALSE),E764)</f>
        <v>59.68</v>
      </c>
      <c r="F765" s="6">
        <f>IFERROR(VLOOKUP($B765,Platts!$E$5:$M$4994,MATCH(F$3,Platts!$F$5:$M$5,0)+1,FALSE),F764)</f>
        <v>70</v>
      </c>
      <c r="G765" s="6">
        <f>IFERROR(VLOOKUP($B765,Platts!$E$5:$M$4994,MATCH(G$3,Platts!$F$5:$M$5,0)+1,FALSE),G764)</f>
        <v>68.69</v>
      </c>
      <c r="H765" s="6">
        <f>IFERROR(VLOOKUP($B765,Platts!$E$5:$M$4994,MATCH(H$3,Platts!$F$5:$M$5,0)+1,FALSE),H764)</f>
        <v>64.73</v>
      </c>
      <c r="I765" s="6">
        <f>IFERROR(VLOOKUP($B765,Platts!$E$5:$M$4994,MATCH(I$3,Platts!$F$5:$M$5,0)+1,FALSE),I764)</f>
        <v>67.53</v>
      </c>
      <c r="J765" s="6">
        <f t="shared" si="22"/>
        <v>6.3400000000000034</v>
      </c>
    </row>
    <row r="766" spans="2:10" x14ac:dyDescent="0.25">
      <c r="B766" s="5">
        <f t="shared" si="23"/>
        <v>43132</v>
      </c>
      <c r="C766" s="6">
        <f>IFERROR(VLOOKUP($B766,Platts!$E$5:$M$4994,MATCH(C$3,Platts!$F$5:$M$5,0)+1,FALSE),C765)</f>
        <v>59.44</v>
      </c>
      <c r="D766" s="6">
        <f>IFERROR(VLOOKUP($B766,Platts!$E$5:$M$4994,MATCH(D$3,Platts!$F$5:$M$5,0)+1,FALSE),D765)</f>
        <v>69.12</v>
      </c>
      <c r="E766" s="6">
        <f>IFERROR(VLOOKUP($B766,Platts!$E$5:$M$4994,MATCH(E$3,Platts!$F$5:$M$5,0)+1,FALSE),E765)</f>
        <v>60.52</v>
      </c>
      <c r="F766" s="6">
        <f>IFERROR(VLOOKUP($B766,Platts!$E$5:$M$4994,MATCH(F$3,Platts!$F$5:$M$5,0)+1,FALSE),F765)</f>
        <v>71.16</v>
      </c>
      <c r="G766" s="6">
        <f>IFERROR(VLOOKUP($B766,Platts!$E$5:$M$4994,MATCH(G$3,Platts!$F$5:$M$5,0)+1,FALSE),G765)</f>
        <v>69.069999999999993</v>
      </c>
      <c r="H766" s="6">
        <f>IFERROR(VLOOKUP($B766,Platts!$E$5:$M$4994,MATCH(H$3,Platts!$F$5:$M$5,0)+1,FALSE),H765)</f>
        <v>65.8</v>
      </c>
      <c r="I766" s="6">
        <f>IFERROR(VLOOKUP($B766,Platts!$E$5:$M$4994,MATCH(I$3,Platts!$F$5:$M$5,0)+1,FALSE),I765)</f>
        <v>68.75</v>
      </c>
      <c r="J766" s="6">
        <f t="shared" si="22"/>
        <v>6.3599999999999994</v>
      </c>
    </row>
    <row r="767" spans="2:10" x14ac:dyDescent="0.25">
      <c r="B767" s="5">
        <f t="shared" si="23"/>
        <v>43133</v>
      </c>
      <c r="C767" s="6">
        <f>IFERROR(VLOOKUP($B767,Platts!$E$5:$M$4994,MATCH(C$3,Platts!$F$5:$M$5,0)+1,FALSE),C766)</f>
        <v>58.76</v>
      </c>
      <c r="D767" s="6">
        <f>IFERROR(VLOOKUP($B767,Platts!$E$5:$M$4994,MATCH(D$3,Platts!$F$5:$M$5,0)+1,FALSE),D766)</f>
        <v>68.260000000000005</v>
      </c>
      <c r="E767" s="6">
        <f>IFERROR(VLOOKUP($B767,Platts!$E$5:$M$4994,MATCH(E$3,Platts!$F$5:$M$5,0)+1,FALSE),E766)</f>
        <v>59.62</v>
      </c>
      <c r="F767" s="6">
        <f>IFERROR(VLOOKUP($B767,Platts!$E$5:$M$4994,MATCH(F$3,Platts!$F$5:$M$5,0)+1,FALSE),F766)</f>
        <v>70.19</v>
      </c>
      <c r="G767" s="6">
        <f>IFERROR(VLOOKUP($B767,Platts!$E$5:$M$4994,MATCH(G$3,Platts!$F$5:$M$5,0)+1,FALSE),G766)</f>
        <v>68.2</v>
      </c>
      <c r="H767" s="6">
        <f>IFERROR(VLOOKUP($B767,Platts!$E$5:$M$4994,MATCH(H$3,Platts!$F$5:$M$5,0)+1,FALSE),H766)</f>
        <v>65.45</v>
      </c>
      <c r="I767" s="6">
        <f>IFERROR(VLOOKUP($B767,Platts!$E$5:$M$4994,MATCH(I$3,Platts!$F$5:$M$5,0)+1,FALSE),I766)</f>
        <v>68.150000000000006</v>
      </c>
      <c r="J767" s="6">
        <f t="shared" si="22"/>
        <v>6.6900000000000048</v>
      </c>
    </row>
    <row r="768" spans="2:10" x14ac:dyDescent="0.25">
      <c r="B768" s="5">
        <f t="shared" si="23"/>
        <v>43134</v>
      </c>
      <c r="C768" s="6">
        <f>IFERROR(VLOOKUP($B768,Platts!$E$5:$M$4994,MATCH(C$3,Platts!$F$5:$M$5,0)+1,FALSE),C767)</f>
        <v>58.76</v>
      </c>
      <c r="D768" s="6">
        <f>IFERROR(VLOOKUP($B768,Platts!$E$5:$M$4994,MATCH(D$3,Platts!$F$5:$M$5,0)+1,FALSE),D767)</f>
        <v>68.260000000000005</v>
      </c>
      <c r="E768" s="6">
        <f>IFERROR(VLOOKUP($B768,Platts!$E$5:$M$4994,MATCH(E$3,Platts!$F$5:$M$5,0)+1,FALSE),E767)</f>
        <v>59.62</v>
      </c>
      <c r="F768" s="6">
        <f>IFERROR(VLOOKUP($B768,Platts!$E$5:$M$4994,MATCH(F$3,Platts!$F$5:$M$5,0)+1,FALSE),F767)</f>
        <v>70.19</v>
      </c>
      <c r="G768" s="6">
        <f>IFERROR(VLOOKUP($B768,Platts!$E$5:$M$4994,MATCH(G$3,Platts!$F$5:$M$5,0)+1,FALSE),G767)</f>
        <v>68.2</v>
      </c>
      <c r="H768" s="6">
        <f>IFERROR(VLOOKUP($B768,Platts!$E$5:$M$4994,MATCH(H$3,Platts!$F$5:$M$5,0)+1,FALSE),H767)</f>
        <v>65.45</v>
      </c>
      <c r="I768" s="6">
        <f>IFERROR(VLOOKUP($B768,Platts!$E$5:$M$4994,MATCH(I$3,Platts!$F$5:$M$5,0)+1,FALSE),I767)</f>
        <v>68.150000000000006</v>
      </c>
      <c r="J768" s="6">
        <f t="shared" si="22"/>
        <v>6.6900000000000048</v>
      </c>
    </row>
    <row r="769" spans="2:10" x14ac:dyDescent="0.25">
      <c r="B769" s="5">
        <f t="shared" si="23"/>
        <v>43135</v>
      </c>
      <c r="C769" s="6">
        <f>IFERROR(VLOOKUP($B769,Platts!$E$5:$M$4994,MATCH(C$3,Platts!$F$5:$M$5,0)+1,FALSE),C768)</f>
        <v>58.76</v>
      </c>
      <c r="D769" s="6">
        <f>IFERROR(VLOOKUP($B769,Platts!$E$5:$M$4994,MATCH(D$3,Platts!$F$5:$M$5,0)+1,FALSE),D768)</f>
        <v>68.260000000000005</v>
      </c>
      <c r="E769" s="6">
        <f>IFERROR(VLOOKUP($B769,Platts!$E$5:$M$4994,MATCH(E$3,Platts!$F$5:$M$5,0)+1,FALSE),E768)</f>
        <v>59.62</v>
      </c>
      <c r="F769" s="6">
        <f>IFERROR(VLOOKUP($B769,Platts!$E$5:$M$4994,MATCH(F$3,Platts!$F$5:$M$5,0)+1,FALSE),F768)</f>
        <v>70.19</v>
      </c>
      <c r="G769" s="6">
        <f>IFERROR(VLOOKUP($B769,Platts!$E$5:$M$4994,MATCH(G$3,Platts!$F$5:$M$5,0)+1,FALSE),G768)</f>
        <v>68.2</v>
      </c>
      <c r="H769" s="6">
        <f>IFERROR(VLOOKUP($B769,Platts!$E$5:$M$4994,MATCH(H$3,Platts!$F$5:$M$5,0)+1,FALSE),H768)</f>
        <v>65.45</v>
      </c>
      <c r="I769" s="6">
        <f>IFERROR(VLOOKUP($B769,Platts!$E$5:$M$4994,MATCH(I$3,Platts!$F$5:$M$5,0)+1,FALSE),I768)</f>
        <v>68.150000000000006</v>
      </c>
      <c r="J769" s="6">
        <f t="shared" si="22"/>
        <v>6.6900000000000048</v>
      </c>
    </row>
    <row r="770" spans="2:10" x14ac:dyDescent="0.25">
      <c r="B770" s="5">
        <f t="shared" si="23"/>
        <v>43136</v>
      </c>
      <c r="C770" s="6">
        <f>IFERROR(VLOOKUP($B770,Platts!$E$5:$M$4994,MATCH(C$3,Platts!$F$5:$M$5,0)+1,FALSE),C769)</f>
        <v>58.02</v>
      </c>
      <c r="D770" s="6">
        <f>IFERROR(VLOOKUP($B770,Platts!$E$5:$M$4994,MATCH(D$3,Platts!$F$5:$M$5,0)+1,FALSE),D769)</f>
        <v>66.97</v>
      </c>
      <c r="E770" s="6">
        <f>IFERROR(VLOOKUP($B770,Platts!$E$5:$M$4994,MATCH(E$3,Platts!$F$5:$M$5,0)+1,FALSE),E769)</f>
        <v>58.55</v>
      </c>
      <c r="F770" s="6">
        <f>IFERROR(VLOOKUP($B770,Platts!$E$5:$M$4994,MATCH(F$3,Platts!$F$5:$M$5,0)+1,FALSE),F769)</f>
        <v>68.94</v>
      </c>
      <c r="G770" s="6">
        <f>IFERROR(VLOOKUP($B770,Platts!$E$5:$M$4994,MATCH(G$3,Platts!$F$5:$M$5,0)+1,FALSE),G769)</f>
        <v>68.45</v>
      </c>
      <c r="H770" s="6">
        <f>IFERROR(VLOOKUP($B770,Platts!$E$5:$M$4994,MATCH(H$3,Platts!$F$5:$M$5,0)+1,FALSE),H769)</f>
        <v>64.150000000000006</v>
      </c>
      <c r="I770" s="6">
        <f>IFERROR(VLOOKUP($B770,Platts!$E$5:$M$4994,MATCH(I$3,Platts!$F$5:$M$5,0)+1,FALSE),I769)</f>
        <v>66.650000000000006</v>
      </c>
      <c r="J770" s="6">
        <f t="shared" si="22"/>
        <v>6.1300000000000026</v>
      </c>
    </row>
    <row r="771" spans="2:10" x14ac:dyDescent="0.25">
      <c r="B771" s="5">
        <f t="shared" si="23"/>
        <v>43137</v>
      </c>
      <c r="C771" s="6">
        <f>IFERROR(VLOOKUP($B771,Platts!$E$5:$M$4994,MATCH(C$3,Platts!$F$5:$M$5,0)+1,FALSE),C770)</f>
        <v>57.2</v>
      </c>
      <c r="D771" s="6">
        <f>IFERROR(VLOOKUP($B771,Platts!$E$5:$M$4994,MATCH(D$3,Platts!$F$5:$M$5,0)+1,FALSE),D770)</f>
        <v>66.27</v>
      </c>
      <c r="E771" s="6">
        <f>IFERROR(VLOOKUP($B771,Platts!$E$5:$M$4994,MATCH(E$3,Platts!$F$5:$M$5,0)+1,FALSE),E770)</f>
        <v>57.96</v>
      </c>
      <c r="F771" s="6">
        <f>IFERROR(VLOOKUP($B771,Platts!$E$5:$M$4994,MATCH(F$3,Platts!$F$5:$M$5,0)+1,FALSE),F770)</f>
        <v>68.290000000000006</v>
      </c>
      <c r="G771" s="6">
        <f>IFERROR(VLOOKUP($B771,Platts!$E$5:$M$4994,MATCH(G$3,Platts!$F$5:$M$5,0)+1,FALSE),G770)</f>
        <v>66.989999999999995</v>
      </c>
      <c r="H771" s="6">
        <f>IFERROR(VLOOKUP($B771,Platts!$E$5:$M$4994,MATCH(H$3,Platts!$F$5:$M$5,0)+1,FALSE),H770)</f>
        <v>63.39</v>
      </c>
      <c r="I771" s="6">
        <f>IFERROR(VLOOKUP($B771,Platts!$E$5:$M$4994,MATCH(I$3,Platts!$F$5:$M$5,0)+1,FALSE),I770)</f>
        <v>65.69</v>
      </c>
      <c r="J771" s="6">
        <f t="shared" si="22"/>
        <v>6.1899999999999977</v>
      </c>
    </row>
    <row r="772" spans="2:10" x14ac:dyDescent="0.25">
      <c r="B772" s="5">
        <f t="shared" si="23"/>
        <v>43138</v>
      </c>
      <c r="C772" s="6">
        <f>IFERROR(VLOOKUP($B772,Platts!$E$5:$M$4994,MATCH(C$3,Platts!$F$5:$M$5,0)+1,FALSE),C771)</f>
        <v>55.97</v>
      </c>
      <c r="D772" s="6">
        <f>IFERROR(VLOOKUP($B772,Platts!$E$5:$M$4994,MATCH(D$3,Platts!$F$5:$M$5,0)+1,FALSE),D771)</f>
        <v>64.72</v>
      </c>
      <c r="E772" s="6">
        <f>IFERROR(VLOOKUP($B772,Platts!$E$5:$M$4994,MATCH(E$3,Platts!$F$5:$M$5,0)+1,FALSE),E771)</f>
        <v>56.71</v>
      </c>
      <c r="F772" s="6">
        <f>IFERROR(VLOOKUP($B772,Platts!$E$5:$M$4994,MATCH(F$3,Platts!$F$5:$M$5,0)+1,FALSE),F771)</f>
        <v>66.78</v>
      </c>
      <c r="G772" s="6">
        <f>IFERROR(VLOOKUP($B772,Platts!$E$5:$M$4994,MATCH(G$3,Platts!$F$5:$M$5,0)+1,FALSE),G771)</f>
        <v>65.98</v>
      </c>
      <c r="H772" s="6">
        <f>IFERROR(VLOOKUP($B772,Platts!$E$5:$M$4994,MATCH(H$3,Platts!$F$5:$M$5,0)+1,FALSE),H771)</f>
        <v>61.79</v>
      </c>
      <c r="I772" s="6">
        <f>IFERROR(VLOOKUP($B772,Platts!$E$5:$M$4994,MATCH(I$3,Platts!$F$5:$M$5,0)+1,FALSE),I771)</f>
        <v>64.040000000000006</v>
      </c>
      <c r="J772" s="6">
        <f t="shared" ref="J772:J835" si="24">H772-C772</f>
        <v>5.82</v>
      </c>
    </row>
    <row r="773" spans="2:10" x14ac:dyDescent="0.25">
      <c r="B773" s="5">
        <f t="shared" si="23"/>
        <v>43139</v>
      </c>
      <c r="C773" s="6">
        <f>IFERROR(VLOOKUP($B773,Platts!$E$5:$M$4994,MATCH(C$3,Platts!$F$5:$M$5,0)+1,FALSE),C772)</f>
        <v>54.94</v>
      </c>
      <c r="D773" s="6">
        <f>IFERROR(VLOOKUP($B773,Platts!$E$5:$M$4994,MATCH(D$3,Platts!$F$5:$M$5,0)+1,FALSE),D772)</f>
        <v>63.75</v>
      </c>
      <c r="E773" s="6">
        <f>IFERROR(VLOOKUP($B773,Platts!$E$5:$M$4994,MATCH(E$3,Platts!$F$5:$M$5,0)+1,FALSE),E772)</f>
        <v>55.67</v>
      </c>
      <c r="F773" s="6">
        <f>IFERROR(VLOOKUP($B773,Platts!$E$5:$M$4994,MATCH(F$3,Platts!$F$5:$M$5,0)+1,FALSE),F772)</f>
        <v>65.72</v>
      </c>
      <c r="G773" s="6">
        <f>IFERROR(VLOOKUP($B773,Platts!$E$5:$M$4994,MATCH(G$3,Platts!$F$5:$M$5,0)+1,FALSE),G772)</f>
        <v>64.62</v>
      </c>
      <c r="H773" s="6">
        <f>IFERROR(VLOOKUP($B773,Platts!$E$5:$M$4994,MATCH(H$3,Platts!$F$5:$M$5,0)+1,FALSE),H772)</f>
        <v>61.15</v>
      </c>
      <c r="I773" s="6">
        <f>IFERROR(VLOOKUP($B773,Platts!$E$5:$M$4994,MATCH(I$3,Platts!$F$5:$M$5,0)+1,FALSE),I772)</f>
        <v>63.3</v>
      </c>
      <c r="J773" s="6">
        <f t="shared" si="24"/>
        <v>6.2100000000000009</v>
      </c>
    </row>
    <row r="774" spans="2:10" x14ac:dyDescent="0.25">
      <c r="B774" s="5">
        <f t="shared" ref="B774:B837" si="25">B773+1</f>
        <v>43140</v>
      </c>
      <c r="C774" s="6">
        <f>IFERROR(VLOOKUP($B774,Platts!$E$5:$M$4994,MATCH(C$3,Platts!$F$5:$M$5,0)+1,FALSE),C773)</f>
        <v>53.41</v>
      </c>
      <c r="D774" s="6">
        <f>IFERROR(VLOOKUP($B774,Platts!$E$5:$M$4994,MATCH(D$3,Platts!$F$5:$M$5,0)+1,FALSE),D773)</f>
        <v>61.96</v>
      </c>
      <c r="E774" s="6">
        <f>IFERROR(VLOOKUP($B774,Platts!$E$5:$M$4994,MATCH(E$3,Platts!$F$5:$M$5,0)+1,FALSE),E773)</f>
        <v>53.97</v>
      </c>
      <c r="F774" s="6">
        <f>IFERROR(VLOOKUP($B774,Platts!$E$5:$M$4994,MATCH(F$3,Platts!$F$5:$M$5,0)+1,FALSE),F773)</f>
        <v>63.99</v>
      </c>
      <c r="G774" s="6">
        <f>IFERROR(VLOOKUP($B774,Platts!$E$5:$M$4994,MATCH(G$3,Platts!$F$5:$M$5,0)+1,FALSE),G773)</f>
        <v>63.36</v>
      </c>
      <c r="H774" s="6">
        <f>IFERROR(VLOOKUP($B774,Platts!$E$5:$M$4994,MATCH(H$3,Platts!$F$5:$M$5,0)+1,FALSE),H773)</f>
        <v>59.2</v>
      </c>
      <c r="I774" s="6">
        <f>IFERROR(VLOOKUP($B774,Platts!$E$5:$M$4994,MATCH(I$3,Platts!$F$5:$M$5,0)+1,FALSE),I773)</f>
        <v>61.45</v>
      </c>
      <c r="J774" s="6">
        <f t="shared" si="24"/>
        <v>5.7900000000000063</v>
      </c>
    </row>
    <row r="775" spans="2:10" x14ac:dyDescent="0.25">
      <c r="B775" s="5">
        <f t="shared" si="25"/>
        <v>43141</v>
      </c>
      <c r="C775" s="6">
        <f>IFERROR(VLOOKUP($B775,Platts!$E$5:$M$4994,MATCH(C$3,Platts!$F$5:$M$5,0)+1,FALSE),C774)</f>
        <v>53.41</v>
      </c>
      <c r="D775" s="6">
        <f>IFERROR(VLOOKUP($B775,Platts!$E$5:$M$4994,MATCH(D$3,Platts!$F$5:$M$5,0)+1,FALSE),D774)</f>
        <v>61.96</v>
      </c>
      <c r="E775" s="6">
        <f>IFERROR(VLOOKUP($B775,Platts!$E$5:$M$4994,MATCH(E$3,Platts!$F$5:$M$5,0)+1,FALSE),E774)</f>
        <v>53.97</v>
      </c>
      <c r="F775" s="6">
        <f>IFERROR(VLOOKUP($B775,Platts!$E$5:$M$4994,MATCH(F$3,Platts!$F$5:$M$5,0)+1,FALSE),F774)</f>
        <v>63.99</v>
      </c>
      <c r="G775" s="6">
        <f>IFERROR(VLOOKUP($B775,Platts!$E$5:$M$4994,MATCH(G$3,Platts!$F$5:$M$5,0)+1,FALSE),G774)</f>
        <v>63.36</v>
      </c>
      <c r="H775" s="6">
        <f>IFERROR(VLOOKUP($B775,Platts!$E$5:$M$4994,MATCH(H$3,Platts!$F$5:$M$5,0)+1,FALSE),H774)</f>
        <v>59.2</v>
      </c>
      <c r="I775" s="6">
        <f>IFERROR(VLOOKUP($B775,Platts!$E$5:$M$4994,MATCH(I$3,Platts!$F$5:$M$5,0)+1,FALSE),I774)</f>
        <v>61.45</v>
      </c>
      <c r="J775" s="6">
        <f t="shared" si="24"/>
        <v>5.7900000000000063</v>
      </c>
    </row>
    <row r="776" spans="2:10" x14ac:dyDescent="0.25">
      <c r="B776" s="5">
        <f t="shared" si="25"/>
        <v>43142</v>
      </c>
      <c r="C776" s="6">
        <f>IFERROR(VLOOKUP($B776,Platts!$E$5:$M$4994,MATCH(C$3,Platts!$F$5:$M$5,0)+1,FALSE),C775)</f>
        <v>53.41</v>
      </c>
      <c r="D776" s="6">
        <f>IFERROR(VLOOKUP($B776,Platts!$E$5:$M$4994,MATCH(D$3,Platts!$F$5:$M$5,0)+1,FALSE),D775)</f>
        <v>61.96</v>
      </c>
      <c r="E776" s="6">
        <f>IFERROR(VLOOKUP($B776,Platts!$E$5:$M$4994,MATCH(E$3,Platts!$F$5:$M$5,0)+1,FALSE),E775)</f>
        <v>53.97</v>
      </c>
      <c r="F776" s="6">
        <f>IFERROR(VLOOKUP($B776,Platts!$E$5:$M$4994,MATCH(F$3,Platts!$F$5:$M$5,0)+1,FALSE),F775)</f>
        <v>63.99</v>
      </c>
      <c r="G776" s="6">
        <f>IFERROR(VLOOKUP($B776,Platts!$E$5:$M$4994,MATCH(G$3,Platts!$F$5:$M$5,0)+1,FALSE),G775)</f>
        <v>63.36</v>
      </c>
      <c r="H776" s="6">
        <f>IFERROR(VLOOKUP($B776,Platts!$E$5:$M$4994,MATCH(H$3,Platts!$F$5:$M$5,0)+1,FALSE),H775)</f>
        <v>59.2</v>
      </c>
      <c r="I776" s="6">
        <f>IFERROR(VLOOKUP($B776,Platts!$E$5:$M$4994,MATCH(I$3,Platts!$F$5:$M$5,0)+1,FALSE),I775)</f>
        <v>61.45</v>
      </c>
      <c r="J776" s="6">
        <f t="shared" si="24"/>
        <v>5.7900000000000063</v>
      </c>
    </row>
    <row r="777" spans="2:10" x14ac:dyDescent="0.25">
      <c r="B777" s="5">
        <f t="shared" si="25"/>
        <v>43143</v>
      </c>
      <c r="C777" s="6">
        <f>IFERROR(VLOOKUP($B777,Platts!$E$5:$M$4994,MATCH(C$3,Platts!$F$5:$M$5,0)+1,FALSE),C776)</f>
        <v>53.46</v>
      </c>
      <c r="D777" s="6">
        <f>IFERROR(VLOOKUP($B777,Platts!$E$5:$M$4994,MATCH(D$3,Platts!$F$5:$M$5,0)+1,FALSE),D776)</f>
        <v>61.9</v>
      </c>
      <c r="E777" s="6">
        <f>IFERROR(VLOOKUP($B777,Platts!$E$5:$M$4994,MATCH(E$3,Platts!$F$5:$M$5,0)+1,FALSE),E776)</f>
        <v>54.14</v>
      </c>
      <c r="F777" s="6">
        <f>IFERROR(VLOOKUP($B777,Platts!$E$5:$M$4994,MATCH(F$3,Platts!$F$5:$M$5,0)+1,FALSE),F776)</f>
        <v>63.91</v>
      </c>
      <c r="G777" s="6">
        <f>IFERROR(VLOOKUP($B777,Platts!$E$5:$M$4994,MATCH(G$3,Platts!$F$5:$M$5,0)+1,FALSE),G776)</f>
        <v>63.17</v>
      </c>
      <c r="H777" s="6">
        <f>IFERROR(VLOOKUP($B777,Platts!$E$5:$M$4994,MATCH(H$3,Platts!$F$5:$M$5,0)+1,FALSE),H776)</f>
        <v>59.29</v>
      </c>
      <c r="I777" s="6">
        <f>IFERROR(VLOOKUP($B777,Platts!$E$5:$M$4994,MATCH(I$3,Platts!$F$5:$M$5,0)+1,FALSE),I776)</f>
        <v>61.44</v>
      </c>
      <c r="J777" s="6">
        <f t="shared" si="24"/>
        <v>5.8299999999999983</v>
      </c>
    </row>
    <row r="778" spans="2:10" x14ac:dyDescent="0.25">
      <c r="B778" s="5">
        <f t="shared" si="25"/>
        <v>43144</v>
      </c>
      <c r="C778" s="6">
        <f>IFERROR(VLOOKUP($B778,Platts!$E$5:$M$4994,MATCH(C$3,Platts!$F$5:$M$5,0)+1,FALSE),C777)</f>
        <v>53.2</v>
      </c>
      <c r="D778" s="6">
        <f>IFERROR(VLOOKUP($B778,Platts!$E$5:$M$4994,MATCH(D$3,Platts!$F$5:$M$5,0)+1,FALSE),D777)</f>
        <v>61.75</v>
      </c>
      <c r="E778" s="6">
        <f>IFERROR(VLOOKUP($B778,Platts!$E$5:$M$4994,MATCH(E$3,Platts!$F$5:$M$5,0)+1,FALSE),E777)</f>
        <v>54.32</v>
      </c>
      <c r="F778" s="6">
        <f>IFERROR(VLOOKUP($B778,Platts!$E$5:$M$4994,MATCH(F$3,Platts!$F$5:$M$5,0)+1,FALSE),F777)</f>
        <v>63.79</v>
      </c>
      <c r="G778" s="6">
        <f>IFERROR(VLOOKUP($B778,Platts!$E$5:$M$4994,MATCH(G$3,Platts!$F$5:$M$5,0)+1,FALSE),G777)</f>
        <v>62.2</v>
      </c>
      <c r="H778" s="6">
        <f>IFERROR(VLOOKUP($B778,Platts!$E$5:$M$4994,MATCH(H$3,Platts!$F$5:$M$5,0)+1,FALSE),H777)</f>
        <v>59.19</v>
      </c>
      <c r="I778" s="6">
        <f>IFERROR(VLOOKUP($B778,Platts!$E$5:$M$4994,MATCH(I$3,Platts!$F$5:$M$5,0)+1,FALSE),I777)</f>
        <v>61.29</v>
      </c>
      <c r="J778" s="6">
        <f t="shared" si="24"/>
        <v>5.9899999999999949</v>
      </c>
    </row>
    <row r="779" spans="2:10" x14ac:dyDescent="0.25">
      <c r="B779" s="5">
        <f t="shared" si="25"/>
        <v>43145</v>
      </c>
      <c r="C779" s="6">
        <f>IFERROR(VLOOKUP($B779,Platts!$E$5:$M$4994,MATCH(C$3,Platts!$F$5:$M$5,0)+1,FALSE),C778)</f>
        <v>54.03</v>
      </c>
      <c r="D779" s="6">
        <f>IFERROR(VLOOKUP($B779,Platts!$E$5:$M$4994,MATCH(D$3,Platts!$F$5:$M$5,0)+1,FALSE),D778)</f>
        <v>63.27</v>
      </c>
      <c r="E779" s="6">
        <f>IFERROR(VLOOKUP($B779,Platts!$E$5:$M$4994,MATCH(E$3,Platts!$F$5:$M$5,0)+1,FALSE),E778)</f>
        <v>55.41</v>
      </c>
      <c r="F779" s="6">
        <f>IFERROR(VLOOKUP($B779,Platts!$E$5:$M$4994,MATCH(F$3,Platts!$F$5:$M$5,0)+1,FALSE),F778)</f>
        <v>65.36</v>
      </c>
      <c r="G779" s="6">
        <f>IFERROR(VLOOKUP($B779,Platts!$E$5:$M$4994,MATCH(G$3,Platts!$F$5:$M$5,0)+1,FALSE),G778)</f>
        <v>63.17</v>
      </c>
      <c r="H779" s="6">
        <f>IFERROR(VLOOKUP($B779,Platts!$E$5:$M$4994,MATCH(H$3,Platts!$F$5:$M$5,0)+1,FALSE),H778)</f>
        <v>60.6</v>
      </c>
      <c r="I779" s="6">
        <f>IFERROR(VLOOKUP($B779,Platts!$E$5:$M$4994,MATCH(I$3,Platts!$F$5:$M$5,0)+1,FALSE),I778)</f>
        <v>62.8</v>
      </c>
      <c r="J779" s="6">
        <f t="shared" si="24"/>
        <v>6.57</v>
      </c>
    </row>
    <row r="780" spans="2:10" x14ac:dyDescent="0.25">
      <c r="B780" s="5">
        <f t="shared" si="25"/>
        <v>43146</v>
      </c>
      <c r="C780" s="6">
        <f>IFERROR(VLOOKUP($B780,Platts!$E$5:$M$4994,MATCH(C$3,Platts!$F$5:$M$5,0)+1,FALSE),C779)</f>
        <v>54.74</v>
      </c>
      <c r="D780" s="6">
        <f>IFERROR(VLOOKUP($B780,Platts!$E$5:$M$4994,MATCH(D$3,Platts!$F$5:$M$5,0)+1,FALSE),D779)</f>
        <v>63.92</v>
      </c>
      <c r="E780" s="6">
        <f>IFERROR(VLOOKUP($B780,Platts!$E$5:$M$4994,MATCH(E$3,Platts!$F$5:$M$5,0)+1,FALSE),E779)</f>
        <v>55.93</v>
      </c>
      <c r="F780" s="6">
        <f>IFERROR(VLOOKUP($B780,Platts!$E$5:$M$4994,MATCH(F$3,Platts!$F$5:$M$5,0)+1,FALSE),F779)</f>
        <v>65.930000000000007</v>
      </c>
      <c r="G780" s="6">
        <f>IFERROR(VLOOKUP($B780,Platts!$E$5:$M$4994,MATCH(G$3,Platts!$F$5:$M$5,0)+1,FALSE),G779)</f>
        <v>63.71</v>
      </c>
      <c r="H780" s="6">
        <f>IFERROR(VLOOKUP($B780,Platts!$E$5:$M$4994,MATCH(H$3,Platts!$F$5:$M$5,0)+1,FALSE),H779)</f>
        <v>61.34</v>
      </c>
      <c r="I780" s="6">
        <f>IFERROR(VLOOKUP($B780,Platts!$E$5:$M$4994,MATCH(I$3,Platts!$F$5:$M$5,0)+1,FALSE),I779)</f>
        <v>63.54</v>
      </c>
      <c r="J780" s="6">
        <f t="shared" si="24"/>
        <v>6.6000000000000014</v>
      </c>
    </row>
    <row r="781" spans="2:10" x14ac:dyDescent="0.25">
      <c r="B781" s="5">
        <f t="shared" si="25"/>
        <v>43147</v>
      </c>
      <c r="C781" s="6">
        <f>IFERROR(VLOOKUP($B781,Platts!$E$5:$M$4994,MATCH(C$3,Platts!$F$5:$M$5,0)+1,FALSE),C780)</f>
        <v>54.74</v>
      </c>
      <c r="D781" s="6">
        <f>IFERROR(VLOOKUP($B781,Platts!$E$5:$M$4994,MATCH(D$3,Platts!$F$5:$M$5,0)+1,FALSE),D780)</f>
        <v>64.28</v>
      </c>
      <c r="E781" s="6">
        <f>IFERROR(VLOOKUP($B781,Platts!$E$5:$M$4994,MATCH(E$3,Platts!$F$5:$M$5,0)+1,FALSE),E780)</f>
        <v>56.15</v>
      </c>
      <c r="F781" s="6">
        <f>IFERROR(VLOOKUP($B781,Platts!$E$5:$M$4994,MATCH(F$3,Platts!$F$5:$M$5,0)+1,FALSE),F780)</f>
        <v>66.28</v>
      </c>
      <c r="G781" s="6">
        <f>IFERROR(VLOOKUP($B781,Platts!$E$5:$M$4994,MATCH(G$3,Platts!$F$5:$M$5,0)+1,FALSE),G780)</f>
        <v>64.97</v>
      </c>
      <c r="H781" s="6">
        <f>IFERROR(VLOOKUP($B781,Platts!$E$5:$M$4994,MATCH(H$3,Platts!$F$5:$M$5,0)+1,FALSE),H780)</f>
        <v>61.68</v>
      </c>
      <c r="I781" s="6">
        <f>IFERROR(VLOOKUP($B781,Platts!$E$5:$M$4994,MATCH(I$3,Platts!$F$5:$M$5,0)+1,FALSE),I780)</f>
        <v>63.83</v>
      </c>
      <c r="J781" s="6">
        <f t="shared" si="24"/>
        <v>6.9399999999999977</v>
      </c>
    </row>
    <row r="782" spans="2:10" x14ac:dyDescent="0.25">
      <c r="B782" s="5">
        <f t="shared" si="25"/>
        <v>43148</v>
      </c>
      <c r="C782" s="6">
        <f>IFERROR(VLOOKUP($B782,Platts!$E$5:$M$4994,MATCH(C$3,Platts!$F$5:$M$5,0)+1,FALSE),C781)</f>
        <v>54.74</v>
      </c>
      <c r="D782" s="6">
        <f>IFERROR(VLOOKUP($B782,Platts!$E$5:$M$4994,MATCH(D$3,Platts!$F$5:$M$5,0)+1,FALSE),D781)</f>
        <v>64.28</v>
      </c>
      <c r="E782" s="6">
        <f>IFERROR(VLOOKUP($B782,Platts!$E$5:$M$4994,MATCH(E$3,Platts!$F$5:$M$5,0)+1,FALSE),E781)</f>
        <v>56.15</v>
      </c>
      <c r="F782" s="6">
        <f>IFERROR(VLOOKUP($B782,Platts!$E$5:$M$4994,MATCH(F$3,Platts!$F$5:$M$5,0)+1,FALSE),F781)</f>
        <v>66.28</v>
      </c>
      <c r="G782" s="6">
        <f>IFERROR(VLOOKUP($B782,Platts!$E$5:$M$4994,MATCH(G$3,Platts!$F$5:$M$5,0)+1,FALSE),G781)</f>
        <v>64.97</v>
      </c>
      <c r="H782" s="6">
        <f>IFERROR(VLOOKUP($B782,Platts!$E$5:$M$4994,MATCH(H$3,Platts!$F$5:$M$5,0)+1,FALSE),H781)</f>
        <v>61.68</v>
      </c>
      <c r="I782" s="6">
        <f>IFERROR(VLOOKUP($B782,Platts!$E$5:$M$4994,MATCH(I$3,Platts!$F$5:$M$5,0)+1,FALSE),I781)</f>
        <v>63.83</v>
      </c>
      <c r="J782" s="6">
        <f t="shared" si="24"/>
        <v>6.9399999999999977</v>
      </c>
    </row>
    <row r="783" spans="2:10" x14ac:dyDescent="0.25">
      <c r="B783" s="5">
        <f t="shared" si="25"/>
        <v>43149</v>
      </c>
      <c r="C783" s="6">
        <f>IFERROR(VLOOKUP($B783,Platts!$E$5:$M$4994,MATCH(C$3,Platts!$F$5:$M$5,0)+1,FALSE),C782)</f>
        <v>54.74</v>
      </c>
      <c r="D783" s="6">
        <f>IFERROR(VLOOKUP($B783,Platts!$E$5:$M$4994,MATCH(D$3,Platts!$F$5:$M$5,0)+1,FALSE),D782)</f>
        <v>64.28</v>
      </c>
      <c r="E783" s="6">
        <f>IFERROR(VLOOKUP($B783,Platts!$E$5:$M$4994,MATCH(E$3,Platts!$F$5:$M$5,0)+1,FALSE),E782)</f>
        <v>56.15</v>
      </c>
      <c r="F783" s="6">
        <f>IFERROR(VLOOKUP($B783,Platts!$E$5:$M$4994,MATCH(F$3,Platts!$F$5:$M$5,0)+1,FALSE),F782)</f>
        <v>66.28</v>
      </c>
      <c r="G783" s="6">
        <f>IFERROR(VLOOKUP($B783,Platts!$E$5:$M$4994,MATCH(G$3,Platts!$F$5:$M$5,0)+1,FALSE),G782)</f>
        <v>64.97</v>
      </c>
      <c r="H783" s="6">
        <f>IFERROR(VLOOKUP($B783,Platts!$E$5:$M$4994,MATCH(H$3,Platts!$F$5:$M$5,0)+1,FALSE),H782)</f>
        <v>61.68</v>
      </c>
      <c r="I783" s="6">
        <f>IFERROR(VLOOKUP($B783,Platts!$E$5:$M$4994,MATCH(I$3,Platts!$F$5:$M$5,0)+1,FALSE),I782)</f>
        <v>63.83</v>
      </c>
      <c r="J783" s="6">
        <f t="shared" si="24"/>
        <v>6.9399999999999977</v>
      </c>
    </row>
    <row r="784" spans="2:10" x14ac:dyDescent="0.25">
      <c r="B784" s="5">
        <f t="shared" si="25"/>
        <v>43150</v>
      </c>
      <c r="C784" s="6">
        <f>IFERROR(VLOOKUP($B784,Platts!$E$5:$M$4994,MATCH(C$3,Platts!$F$5:$M$5,0)+1,FALSE),C783)</f>
        <v>54.74</v>
      </c>
      <c r="D784" s="6">
        <f>IFERROR(VLOOKUP($B784,Platts!$E$5:$M$4994,MATCH(D$3,Platts!$F$5:$M$5,0)+1,FALSE),D783)</f>
        <v>64.28</v>
      </c>
      <c r="E784" s="6">
        <f>IFERROR(VLOOKUP($B784,Platts!$E$5:$M$4994,MATCH(E$3,Platts!$F$5:$M$5,0)+1,FALSE),E783)</f>
        <v>56.15</v>
      </c>
      <c r="F784" s="6">
        <f>IFERROR(VLOOKUP($B784,Platts!$E$5:$M$4994,MATCH(F$3,Platts!$F$5:$M$5,0)+1,FALSE),F783)</f>
        <v>66.28</v>
      </c>
      <c r="G784" s="6">
        <f>IFERROR(VLOOKUP($B784,Platts!$E$5:$M$4994,MATCH(G$3,Platts!$F$5:$M$5,0)+1,FALSE),G783)</f>
        <v>65.650000000000006</v>
      </c>
      <c r="H784" s="6">
        <f>IFERROR(VLOOKUP($B784,Platts!$E$5:$M$4994,MATCH(H$3,Platts!$F$5:$M$5,0)+1,FALSE),H783)</f>
        <v>61.68</v>
      </c>
      <c r="I784" s="6">
        <f>IFERROR(VLOOKUP($B784,Platts!$E$5:$M$4994,MATCH(I$3,Platts!$F$5:$M$5,0)+1,FALSE),I783)</f>
        <v>63.83</v>
      </c>
      <c r="J784" s="6">
        <f t="shared" si="24"/>
        <v>6.9399999999999977</v>
      </c>
    </row>
    <row r="785" spans="2:10" x14ac:dyDescent="0.25">
      <c r="B785" s="5">
        <f t="shared" si="25"/>
        <v>43151</v>
      </c>
      <c r="C785" s="6">
        <f>IFERROR(VLOOKUP($B785,Platts!$E$5:$M$4994,MATCH(C$3,Platts!$F$5:$M$5,0)+1,FALSE),C784)</f>
        <v>55.47</v>
      </c>
      <c r="D785" s="6">
        <f>IFERROR(VLOOKUP($B785,Platts!$E$5:$M$4994,MATCH(D$3,Platts!$F$5:$M$5,0)+1,FALSE),D784)</f>
        <v>64.52</v>
      </c>
      <c r="E785" s="6">
        <f>IFERROR(VLOOKUP($B785,Platts!$E$5:$M$4994,MATCH(E$3,Platts!$F$5:$M$5,0)+1,FALSE),E784)</f>
        <v>56.53</v>
      </c>
      <c r="F785" s="6">
        <f>IFERROR(VLOOKUP($B785,Platts!$E$5:$M$4994,MATCH(F$3,Platts!$F$5:$M$5,0)+1,FALSE),F784)</f>
        <v>66.489999999999995</v>
      </c>
      <c r="G785" s="6">
        <f>IFERROR(VLOOKUP($B785,Platts!$E$5:$M$4994,MATCH(G$3,Platts!$F$5:$M$5,0)+1,FALSE),G784)</f>
        <v>65.069999999999993</v>
      </c>
      <c r="H785" s="6">
        <f>IFERROR(VLOOKUP($B785,Platts!$E$5:$M$4994,MATCH(H$3,Platts!$F$5:$M$5,0)+1,FALSE),H784)</f>
        <v>61.9</v>
      </c>
      <c r="I785" s="6">
        <f>IFERROR(VLOOKUP($B785,Platts!$E$5:$M$4994,MATCH(I$3,Platts!$F$5:$M$5,0)+1,FALSE),I784)</f>
        <v>64.05</v>
      </c>
      <c r="J785" s="6">
        <f t="shared" si="24"/>
        <v>6.43</v>
      </c>
    </row>
    <row r="786" spans="2:10" x14ac:dyDescent="0.25">
      <c r="B786" s="5">
        <f t="shared" si="25"/>
        <v>43152</v>
      </c>
      <c r="C786" s="6">
        <f>IFERROR(VLOOKUP($B786,Platts!$E$5:$M$4994,MATCH(C$3,Platts!$F$5:$M$5,0)+1,FALSE),C785)</f>
        <v>55.4</v>
      </c>
      <c r="D786" s="6">
        <f>IFERROR(VLOOKUP($B786,Platts!$E$5:$M$4994,MATCH(D$3,Platts!$F$5:$M$5,0)+1,FALSE),D785)</f>
        <v>64.17</v>
      </c>
      <c r="E786" s="6">
        <f>IFERROR(VLOOKUP($B786,Platts!$E$5:$M$4994,MATCH(E$3,Platts!$F$5:$M$5,0)+1,FALSE),E785)</f>
        <v>56.29</v>
      </c>
      <c r="F786" s="6">
        <f>IFERROR(VLOOKUP($B786,Platts!$E$5:$M$4994,MATCH(F$3,Platts!$F$5:$M$5,0)+1,FALSE),F785)</f>
        <v>66.17</v>
      </c>
      <c r="G786" s="6">
        <f>IFERROR(VLOOKUP($B786,Platts!$E$5:$M$4994,MATCH(G$3,Platts!$F$5:$M$5,0)+1,FALSE),G785)</f>
        <v>65.260000000000005</v>
      </c>
      <c r="H786" s="6">
        <f>IFERROR(VLOOKUP($B786,Platts!$E$5:$M$4994,MATCH(H$3,Platts!$F$5:$M$5,0)+1,FALSE),H785)</f>
        <v>61.63</v>
      </c>
      <c r="I786" s="6">
        <f>IFERROR(VLOOKUP($B786,Platts!$E$5:$M$4994,MATCH(I$3,Platts!$F$5:$M$5,0)+1,FALSE),I785)</f>
        <v>63.78</v>
      </c>
      <c r="J786" s="6">
        <f t="shared" si="24"/>
        <v>6.230000000000004</v>
      </c>
    </row>
    <row r="787" spans="2:10" x14ac:dyDescent="0.25">
      <c r="B787" s="5">
        <f t="shared" si="25"/>
        <v>43153</v>
      </c>
      <c r="C787" s="6">
        <f>IFERROR(VLOOKUP($B787,Platts!$E$5:$M$4994,MATCH(C$3,Platts!$F$5:$M$5,0)+1,FALSE),C786)</f>
        <v>56.21</v>
      </c>
      <c r="D787" s="6">
        <f>IFERROR(VLOOKUP($B787,Platts!$E$5:$M$4994,MATCH(D$3,Platts!$F$5:$M$5,0)+1,FALSE),D786)</f>
        <v>65.39</v>
      </c>
      <c r="E787" s="6">
        <f>IFERROR(VLOOKUP($B787,Platts!$E$5:$M$4994,MATCH(E$3,Platts!$F$5:$M$5,0)+1,FALSE),E786)</f>
        <v>57.09</v>
      </c>
      <c r="F787" s="6">
        <f>IFERROR(VLOOKUP($B787,Platts!$E$5:$M$4994,MATCH(F$3,Platts!$F$5:$M$5,0)+1,FALSE),F786)</f>
        <v>67.42</v>
      </c>
      <c r="G787" s="6">
        <f>IFERROR(VLOOKUP($B787,Platts!$E$5:$M$4994,MATCH(G$3,Platts!$F$5:$M$5,0)+1,FALSE),G786)</f>
        <v>66.349999999999994</v>
      </c>
      <c r="H787" s="6">
        <f>IFERROR(VLOOKUP($B787,Platts!$E$5:$M$4994,MATCH(H$3,Platts!$F$5:$M$5,0)+1,FALSE),H786)</f>
        <v>62.72</v>
      </c>
      <c r="I787" s="6">
        <f>IFERROR(VLOOKUP($B787,Platts!$E$5:$M$4994,MATCH(I$3,Platts!$F$5:$M$5,0)+1,FALSE),I786)</f>
        <v>64.97</v>
      </c>
      <c r="J787" s="6">
        <f t="shared" si="24"/>
        <v>6.509999999999998</v>
      </c>
    </row>
    <row r="788" spans="2:10" x14ac:dyDescent="0.25">
      <c r="B788" s="5">
        <f t="shared" si="25"/>
        <v>43154</v>
      </c>
      <c r="C788" s="6">
        <f>IFERROR(VLOOKUP($B788,Platts!$E$5:$M$4994,MATCH(C$3,Platts!$F$5:$M$5,0)+1,FALSE),C787)</f>
        <v>56.89</v>
      </c>
      <c r="D788" s="6">
        <f>IFERROR(VLOOKUP($B788,Platts!$E$5:$M$4994,MATCH(D$3,Platts!$F$5:$M$5,0)+1,FALSE),D787)</f>
        <v>66.33</v>
      </c>
      <c r="E788" s="6">
        <f>IFERROR(VLOOKUP($B788,Platts!$E$5:$M$4994,MATCH(E$3,Platts!$F$5:$M$5,0)+1,FALSE),E787)</f>
        <v>57.84</v>
      </c>
      <c r="F788" s="6">
        <f>IFERROR(VLOOKUP($B788,Platts!$E$5:$M$4994,MATCH(F$3,Platts!$F$5:$M$5,0)+1,FALSE),F787)</f>
        <v>68.37</v>
      </c>
      <c r="G788" s="6">
        <f>IFERROR(VLOOKUP($B788,Platts!$E$5:$M$4994,MATCH(G$3,Platts!$F$5:$M$5,0)+1,FALSE),G787)</f>
        <v>67.02</v>
      </c>
      <c r="H788" s="6">
        <f>IFERROR(VLOOKUP($B788,Platts!$E$5:$M$4994,MATCH(H$3,Platts!$F$5:$M$5,0)+1,FALSE),H787)</f>
        <v>63.5</v>
      </c>
      <c r="I788" s="6">
        <f>IFERROR(VLOOKUP($B788,Platts!$E$5:$M$4994,MATCH(I$3,Platts!$F$5:$M$5,0)+1,FALSE),I787)</f>
        <v>66</v>
      </c>
      <c r="J788" s="6">
        <f t="shared" si="24"/>
        <v>6.6099999999999994</v>
      </c>
    </row>
    <row r="789" spans="2:10" x14ac:dyDescent="0.25">
      <c r="B789" s="5">
        <f t="shared" si="25"/>
        <v>43155</v>
      </c>
      <c r="C789" s="6">
        <f>IFERROR(VLOOKUP($B789,Platts!$E$5:$M$4994,MATCH(C$3,Platts!$F$5:$M$5,0)+1,FALSE),C788)</f>
        <v>56.89</v>
      </c>
      <c r="D789" s="6">
        <f>IFERROR(VLOOKUP($B789,Platts!$E$5:$M$4994,MATCH(D$3,Platts!$F$5:$M$5,0)+1,FALSE),D788)</f>
        <v>66.33</v>
      </c>
      <c r="E789" s="6">
        <f>IFERROR(VLOOKUP($B789,Platts!$E$5:$M$4994,MATCH(E$3,Platts!$F$5:$M$5,0)+1,FALSE),E788)</f>
        <v>57.84</v>
      </c>
      <c r="F789" s="6">
        <f>IFERROR(VLOOKUP($B789,Platts!$E$5:$M$4994,MATCH(F$3,Platts!$F$5:$M$5,0)+1,FALSE),F788)</f>
        <v>68.37</v>
      </c>
      <c r="G789" s="6">
        <f>IFERROR(VLOOKUP($B789,Platts!$E$5:$M$4994,MATCH(G$3,Platts!$F$5:$M$5,0)+1,FALSE),G788)</f>
        <v>67.02</v>
      </c>
      <c r="H789" s="6">
        <f>IFERROR(VLOOKUP($B789,Platts!$E$5:$M$4994,MATCH(H$3,Platts!$F$5:$M$5,0)+1,FALSE),H788)</f>
        <v>63.5</v>
      </c>
      <c r="I789" s="6">
        <f>IFERROR(VLOOKUP($B789,Platts!$E$5:$M$4994,MATCH(I$3,Platts!$F$5:$M$5,0)+1,FALSE),I788)</f>
        <v>66</v>
      </c>
      <c r="J789" s="6">
        <f t="shared" si="24"/>
        <v>6.6099999999999994</v>
      </c>
    </row>
    <row r="790" spans="2:10" x14ac:dyDescent="0.25">
      <c r="B790" s="5">
        <f t="shared" si="25"/>
        <v>43156</v>
      </c>
      <c r="C790" s="6">
        <f>IFERROR(VLOOKUP($B790,Platts!$E$5:$M$4994,MATCH(C$3,Platts!$F$5:$M$5,0)+1,FALSE),C789)</f>
        <v>56.89</v>
      </c>
      <c r="D790" s="6">
        <f>IFERROR(VLOOKUP($B790,Platts!$E$5:$M$4994,MATCH(D$3,Platts!$F$5:$M$5,0)+1,FALSE),D789)</f>
        <v>66.33</v>
      </c>
      <c r="E790" s="6">
        <f>IFERROR(VLOOKUP($B790,Platts!$E$5:$M$4994,MATCH(E$3,Platts!$F$5:$M$5,0)+1,FALSE),E789)</f>
        <v>57.84</v>
      </c>
      <c r="F790" s="6">
        <f>IFERROR(VLOOKUP($B790,Platts!$E$5:$M$4994,MATCH(F$3,Platts!$F$5:$M$5,0)+1,FALSE),F789)</f>
        <v>68.37</v>
      </c>
      <c r="G790" s="6">
        <f>IFERROR(VLOOKUP($B790,Platts!$E$5:$M$4994,MATCH(G$3,Platts!$F$5:$M$5,0)+1,FALSE),G789)</f>
        <v>67.02</v>
      </c>
      <c r="H790" s="6">
        <f>IFERROR(VLOOKUP($B790,Platts!$E$5:$M$4994,MATCH(H$3,Platts!$F$5:$M$5,0)+1,FALSE),H789)</f>
        <v>63.5</v>
      </c>
      <c r="I790" s="6">
        <f>IFERROR(VLOOKUP($B790,Platts!$E$5:$M$4994,MATCH(I$3,Platts!$F$5:$M$5,0)+1,FALSE),I789)</f>
        <v>66</v>
      </c>
      <c r="J790" s="6">
        <f t="shared" si="24"/>
        <v>6.6099999999999994</v>
      </c>
    </row>
    <row r="791" spans="2:10" x14ac:dyDescent="0.25">
      <c r="B791" s="5">
        <f t="shared" si="25"/>
        <v>43157</v>
      </c>
      <c r="C791" s="6">
        <f>IFERROR(VLOOKUP($B791,Platts!$E$5:$M$4994,MATCH(C$3,Platts!$F$5:$M$5,0)+1,FALSE),C790)</f>
        <v>57.48</v>
      </c>
      <c r="D791" s="6">
        <f>IFERROR(VLOOKUP($B791,Platts!$E$5:$M$4994,MATCH(D$3,Platts!$F$5:$M$5,0)+1,FALSE),D790)</f>
        <v>66.56</v>
      </c>
      <c r="E791" s="6">
        <f>IFERROR(VLOOKUP($B791,Platts!$E$5:$M$4994,MATCH(E$3,Platts!$F$5:$M$5,0)+1,FALSE),E790)</f>
        <v>58.11</v>
      </c>
      <c r="F791" s="6">
        <f>IFERROR(VLOOKUP($B791,Platts!$E$5:$M$4994,MATCH(F$3,Platts!$F$5:$M$5,0)+1,FALSE),F790)</f>
        <v>68.599999999999994</v>
      </c>
      <c r="G791" s="6">
        <f>IFERROR(VLOOKUP($B791,Platts!$E$5:$M$4994,MATCH(G$3,Platts!$F$5:$M$5,0)+1,FALSE),G790)</f>
        <v>67.69</v>
      </c>
      <c r="H791" s="6">
        <f>IFERROR(VLOOKUP($B791,Platts!$E$5:$M$4994,MATCH(H$3,Platts!$F$5:$M$5,0)+1,FALSE),H790)</f>
        <v>63.91</v>
      </c>
      <c r="I791" s="6">
        <f>IFERROR(VLOOKUP($B791,Platts!$E$5:$M$4994,MATCH(I$3,Platts!$F$5:$M$5,0)+1,FALSE),I790)</f>
        <v>66.11</v>
      </c>
      <c r="J791" s="6">
        <f t="shared" si="24"/>
        <v>6.43</v>
      </c>
    </row>
    <row r="792" spans="2:10" x14ac:dyDescent="0.25">
      <c r="B792" s="5">
        <f t="shared" si="25"/>
        <v>43158</v>
      </c>
      <c r="C792" s="6">
        <f>IFERROR(VLOOKUP($B792,Platts!$E$5:$M$4994,MATCH(C$3,Platts!$F$5:$M$5,0)+1,FALSE),C791)</f>
        <v>56.84</v>
      </c>
      <c r="D792" s="6">
        <f>IFERROR(VLOOKUP($B792,Platts!$E$5:$M$4994,MATCH(D$3,Platts!$F$5:$M$5,0)+1,FALSE),D791)</f>
        <v>65.849999999999994</v>
      </c>
      <c r="E792" s="6">
        <f>IFERROR(VLOOKUP($B792,Platts!$E$5:$M$4994,MATCH(E$3,Platts!$F$5:$M$5,0)+1,FALSE),E791)</f>
        <v>57.41</v>
      </c>
      <c r="F792" s="6">
        <f>IFERROR(VLOOKUP($B792,Platts!$E$5:$M$4994,MATCH(F$3,Platts!$F$5:$M$5,0)+1,FALSE),F791)</f>
        <v>67.849999999999994</v>
      </c>
      <c r="G792" s="6">
        <f>IFERROR(VLOOKUP($B792,Platts!$E$5:$M$4994,MATCH(G$3,Platts!$F$5:$M$5,0)+1,FALSE),G791)</f>
        <v>66.900000000000006</v>
      </c>
      <c r="H792" s="6">
        <f>IFERROR(VLOOKUP($B792,Platts!$E$5:$M$4994,MATCH(H$3,Platts!$F$5:$M$5,0)+1,FALSE),H791)</f>
        <v>63.04</v>
      </c>
      <c r="I792" s="6">
        <f>IFERROR(VLOOKUP($B792,Platts!$E$5:$M$4994,MATCH(I$3,Platts!$F$5:$M$5,0)+1,FALSE),I791)</f>
        <v>65.34</v>
      </c>
      <c r="J792" s="6">
        <f t="shared" si="24"/>
        <v>6.1999999999999957</v>
      </c>
    </row>
    <row r="793" spans="2:10" x14ac:dyDescent="0.25">
      <c r="B793" s="5">
        <f t="shared" si="25"/>
        <v>43159</v>
      </c>
      <c r="C793" s="6">
        <f>IFERROR(VLOOKUP($B793,Platts!$E$5:$M$4994,MATCH(C$3,Platts!$F$5:$M$5,0)+1,FALSE),C792)</f>
        <v>55.59</v>
      </c>
      <c r="D793" s="6">
        <f>IFERROR(VLOOKUP($B793,Platts!$E$5:$M$4994,MATCH(D$3,Platts!$F$5:$M$5,0)+1,FALSE),D792)</f>
        <v>64.42</v>
      </c>
      <c r="E793" s="6">
        <f>IFERROR(VLOOKUP($B793,Platts!$E$5:$M$4994,MATCH(E$3,Platts!$F$5:$M$5,0)+1,FALSE),E792)</f>
        <v>56.11</v>
      </c>
      <c r="F793" s="6">
        <f>IFERROR(VLOOKUP($B793,Platts!$E$5:$M$4994,MATCH(F$3,Platts!$F$5:$M$5,0)+1,FALSE),F792)</f>
        <v>66.33</v>
      </c>
      <c r="G793" s="6">
        <f>IFERROR(VLOOKUP($B793,Platts!$E$5:$M$4994,MATCH(G$3,Platts!$F$5:$M$5,0)+1,FALSE),G792)</f>
        <v>65.459999999999994</v>
      </c>
      <c r="H793" s="6">
        <f>IFERROR(VLOOKUP($B793,Platts!$E$5:$M$4994,MATCH(H$3,Platts!$F$5:$M$5,0)+1,FALSE),H792)</f>
        <v>61.64</v>
      </c>
      <c r="I793" s="6">
        <f>IFERROR(VLOOKUP($B793,Platts!$E$5:$M$4994,MATCH(I$3,Platts!$F$5:$M$5,0)+1,FALSE),I792)</f>
        <v>63.94</v>
      </c>
      <c r="J793" s="6">
        <f t="shared" si="24"/>
        <v>6.0499999999999972</v>
      </c>
    </row>
    <row r="794" spans="2:10" x14ac:dyDescent="0.25">
      <c r="B794" s="5">
        <f t="shared" si="25"/>
        <v>43160</v>
      </c>
      <c r="C794" s="6">
        <f>IFERROR(VLOOKUP($B794,Platts!$E$5:$M$4994,MATCH(C$3,Platts!$F$5:$M$5,0)+1,FALSE),C793)</f>
        <v>54.12</v>
      </c>
      <c r="D794" s="6">
        <f>IFERROR(VLOOKUP($B794,Platts!$E$5:$M$4994,MATCH(D$3,Platts!$F$5:$M$5,0)+1,FALSE),D793)</f>
        <v>63.84</v>
      </c>
      <c r="E794" s="6">
        <f>IFERROR(VLOOKUP($B794,Platts!$E$5:$M$4994,MATCH(E$3,Platts!$F$5:$M$5,0)+1,FALSE),E793)</f>
        <v>55.16</v>
      </c>
      <c r="F794" s="6">
        <f>IFERROR(VLOOKUP($B794,Platts!$E$5:$M$4994,MATCH(F$3,Platts!$F$5:$M$5,0)+1,FALSE),F793)</f>
        <v>65.8</v>
      </c>
      <c r="G794" s="6">
        <f>IFERROR(VLOOKUP($B794,Platts!$E$5:$M$4994,MATCH(G$3,Platts!$F$5:$M$5,0)+1,FALSE),G793)</f>
        <v>63.77</v>
      </c>
      <c r="H794" s="6">
        <f>IFERROR(VLOOKUP($B794,Platts!$E$5:$M$4994,MATCH(H$3,Platts!$F$5:$M$5,0)+1,FALSE),H793)</f>
        <v>61.02</v>
      </c>
      <c r="I794" s="6">
        <f>IFERROR(VLOOKUP($B794,Platts!$E$5:$M$4994,MATCH(I$3,Platts!$F$5:$M$5,0)+1,FALSE),I793)</f>
        <v>63.27</v>
      </c>
      <c r="J794" s="6">
        <f t="shared" si="24"/>
        <v>6.9000000000000057</v>
      </c>
    </row>
    <row r="795" spans="2:10" x14ac:dyDescent="0.25">
      <c r="B795" s="5">
        <f t="shared" si="25"/>
        <v>43161</v>
      </c>
      <c r="C795" s="6">
        <f>IFERROR(VLOOKUP($B795,Platts!$E$5:$M$4994,MATCH(C$3,Platts!$F$5:$M$5,0)+1,FALSE),C794)</f>
        <v>54.22</v>
      </c>
      <c r="D795" s="6">
        <f>IFERROR(VLOOKUP($B795,Platts!$E$5:$M$4994,MATCH(D$3,Platts!$F$5:$M$5,0)+1,FALSE),D794)</f>
        <v>63.89</v>
      </c>
      <c r="E795" s="6">
        <f>IFERROR(VLOOKUP($B795,Platts!$E$5:$M$4994,MATCH(E$3,Platts!$F$5:$M$5,0)+1,FALSE),E794)</f>
        <v>55.3</v>
      </c>
      <c r="F795" s="6">
        <f>IFERROR(VLOOKUP($B795,Platts!$E$5:$M$4994,MATCH(F$3,Platts!$F$5:$M$5,0)+1,FALSE),F794)</f>
        <v>65.89</v>
      </c>
      <c r="G795" s="6">
        <f>IFERROR(VLOOKUP($B795,Platts!$E$5:$M$4994,MATCH(G$3,Platts!$F$5:$M$5,0)+1,FALSE),G794)</f>
        <v>63.92</v>
      </c>
      <c r="H795" s="6">
        <f>IFERROR(VLOOKUP($B795,Platts!$E$5:$M$4994,MATCH(H$3,Platts!$F$5:$M$5,0)+1,FALSE),H794)</f>
        <v>61.28</v>
      </c>
      <c r="I795" s="6">
        <f>IFERROR(VLOOKUP($B795,Platts!$E$5:$M$4994,MATCH(I$3,Platts!$F$5:$M$5,0)+1,FALSE),I794)</f>
        <v>63.38</v>
      </c>
      <c r="J795" s="6">
        <f t="shared" si="24"/>
        <v>7.0600000000000023</v>
      </c>
    </row>
    <row r="796" spans="2:10" x14ac:dyDescent="0.25">
      <c r="B796" s="5">
        <f t="shared" si="25"/>
        <v>43162</v>
      </c>
      <c r="C796" s="6">
        <f>IFERROR(VLOOKUP($B796,Platts!$E$5:$M$4994,MATCH(C$3,Platts!$F$5:$M$5,0)+1,FALSE),C795)</f>
        <v>54.22</v>
      </c>
      <c r="D796" s="6">
        <f>IFERROR(VLOOKUP($B796,Platts!$E$5:$M$4994,MATCH(D$3,Platts!$F$5:$M$5,0)+1,FALSE),D795)</f>
        <v>63.89</v>
      </c>
      <c r="E796" s="6">
        <f>IFERROR(VLOOKUP($B796,Platts!$E$5:$M$4994,MATCH(E$3,Platts!$F$5:$M$5,0)+1,FALSE),E795)</f>
        <v>55.3</v>
      </c>
      <c r="F796" s="6">
        <f>IFERROR(VLOOKUP($B796,Platts!$E$5:$M$4994,MATCH(F$3,Platts!$F$5:$M$5,0)+1,FALSE),F795)</f>
        <v>65.89</v>
      </c>
      <c r="G796" s="6">
        <f>IFERROR(VLOOKUP($B796,Platts!$E$5:$M$4994,MATCH(G$3,Platts!$F$5:$M$5,0)+1,FALSE),G795)</f>
        <v>63.92</v>
      </c>
      <c r="H796" s="6">
        <f>IFERROR(VLOOKUP($B796,Platts!$E$5:$M$4994,MATCH(H$3,Platts!$F$5:$M$5,0)+1,FALSE),H795)</f>
        <v>61.28</v>
      </c>
      <c r="I796" s="6">
        <f>IFERROR(VLOOKUP($B796,Platts!$E$5:$M$4994,MATCH(I$3,Platts!$F$5:$M$5,0)+1,FALSE),I795)</f>
        <v>63.38</v>
      </c>
      <c r="J796" s="6">
        <f t="shared" si="24"/>
        <v>7.0600000000000023</v>
      </c>
    </row>
    <row r="797" spans="2:10" x14ac:dyDescent="0.25">
      <c r="B797" s="5">
        <f t="shared" si="25"/>
        <v>43163</v>
      </c>
      <c r="C797" s="6">
        <f>IFERROR(VLOOKUP($B797,Platts!$E$5:$M$4994,MATCH(C$3,Platts!$F$5:$M$5,0)+1,FALSE),C796)</f>
        <v>54.22</v>
      </c>
      <c r="D797" s="6">
        <f>IFERROR(VLOOKUP($B797,Platts!$E$5:$M$4994,MATCH(D$3,Platts!$F$5:$M$5,0)+1,FALSE),D796)</f>
        <v>63.89</v>
      </c>
      <c r="E797" s="6">
        <f>IFERROR(VLOOKUP($B797,Platts!$E$5:$M$4994,MATCH(E$3,Platts!$F$5:$M$5,0)+1,FALSE),E796)</f>
        <v>55.3</v>
      </c>
      <c r="F797" s="6">
        <f>IFERROR(VLOOKUP($B797,Platts!$E$5:$M$4994,MATCH(F$3,Platts!$F$5:$M$5,0)+1,FALSE),F796)</f>
        <v>65.89</v>
      </c>
      <c r="G797" s="6">
        <f>IFERROR(VLOOKUP($B797,Platts!$E$5:$M$4994,MATCH(G$3,Platts!$F$5:$M$5,0)+1,FALSE),G796)</f>
        <v>63.92</v>
      </c>
      <c r="H797" s="6">
        <f>IFERROR(VLOOKUP($B797,Platts!$E$5:$M$4994,MATCH(H$3,Platts!$F$5:$M$5,0)+1,FALSE),H796)</f>
        <v>61.28</v>
      </c>
      <c r="I797" s="6">
        <f>IFERROR(VLOOKUP($B797,Platts!$E$5:$M$4994,MATCH(I$3,Platts!$F$5:$M$5,0)+1,FALSE),I796)</f>
        <v>63.38</v>
      </c>
      <c r="J797" s="6">
        <f t="shared" si="24"/>
        <v>7.0600000000000023</v>
      </c>
    </row>
    <row r="798" spans="2:10" x14ac:dyDescent="0.25">
      <c r="B798" s="5">
        <f t="shared" si="25"/>
        <v>43164</v>
      </c>
      <c r="C798" s="6">
        <f>IFERROR(VLOOKUP($B798,Platts!$E$5:$M$4994,MATCH(C$3,Platts!$F$5:$M$5,0)+1,FALSE),C797)</f>
        <v>55.46</v>
      </c>
      <c r="D798" s="6">
        <f>IFERROR(VLOOKUP($B798,Platts!$E$5:$M$4994,MATCH(D$3,Platts!$F$5:$M$5,0)+1,FALSE),D797)</f>
        <v>65.27</v>
      </c>
      <c r="E798" s="6">
        <f>IFERROR(VLOOKUP($B798,Platts!$E$5:$M$4994,MATCH(E$3,Platts!$F$5:$M$5,0)+1,FALSE),E797)</f>
        <v>56.75</v>
      </c>
      <c r="F798" s="6">
        <f>IFERROR(VLOOKUP($B798,Platts!$E$5:$M$4994,MATCH(F$3,Platts!$F$5:$M$5,0)+1,FALSE),F797)</f>
        <v>67.23</v>
      </c>
      <c r="G798" s="6">
        <f>IFERROR(VLOOKUP($B798,Platts!$E$5:$M$4994,MATCH(G$3,Platts!$F$5:$M$5,0)+1,FALSE),G797)</f>
        <v>65.59</v>
      </c>
      <c r="H798" s="6">
        <f>IFERROR(VLOOKUP($B798,Platts!$E$5:$M$4994,MATCH(H$3,Platts!$F$5:$M$5,0)+1,FALSE),H797)</f>
        <v>62.58</v>
      </c>
      <c r="I798" s="6">
        <f>IFERROR(VLOOKUP($B798,Platts!$E$5:$M$4994,MATCH(I$3,Platts!$F$5:$M$5,0)+1,FALSE),I797)</f>
        <v>64.73</v>
      </c>
      <c r="J798" s="6">
        <f t="shared" si="24"/>
        <v>7.1199999999999974</v>
      </c>
    </row>
    <row r="799" spans="2:10" x14ac:dyDescent="0.25">
      <c r="B799" s="5">
        <f t="shared" si="25"/>
        <v>43165</v>
      </c>
      <c r="C799" s="6">
        <f>IFERROR(VLOOKUP($B799,Platts!$E$5:$M$4994,MATCH(C$3,Platts!$F$5:$M$5,0)+1,FALSE),C798)</f>
        <v>55.68</v>
      </c>
      <c r="D799" s="6">
        <f>IFERROR(VLOOKUP($B799,Platts!$E$5:$M$4994,MATCH(D$3,Platts!$F$5:$M$5,0)+1,FALSE),D798)</f>
        <v>65.459999999999994</v>
      </c>
      <c r="E799" s="6">
        <f>IFERROR(VLOOKUP($B799,Platts!$E$5:$M$4994,MATCH(E$3,Platts!$F$5:$M$5,0)+1,FALSE),E798)</f>
        <v>57</v>
      </c>
      <c r="F799" s="6">
        <f>IFERROR(VLOOKUP($B799,Platts!$E$5:$M$4994,MATCH(F$3,Platts!$F$5:$M$5,0)+1,FALSE),F798)</f>
        <v>67.39</v>
      </c>
      <c r="G799" s="6">
        <f>IFERROR(VLOOKUP($B799,Platts!$E$5:$M$4994,MATCH(G$3,Platts!$F$5:$M$5,0)+1,FALSE),G798)</f>
        <v>65.47</v>
      </c>
      <c r="H799" s="6">
        <f>IFERROR(VLOOKUP($B799,Platts!$E$5:$M$4994,MATCH(H$3,Platts!$F$5:$M$5,0)+1,FALSE),H798)</f>
        <v>62.61</v>
      </c>
      <c r="I799" s="6">
        <f>IFERROR(VLOOKUP($B799,Platts!$E$5:$M$4994,MATCH(I$3,Platts!$F$5:$M$5,0)+1,FALSE),I798)</f>
        <v>64.86</v>
      </c>
      <c r="J799" s="6">
        <f t="shared" si="24"/>
        <v>6.93</v>
      </c>
    </row>
    <row r="800" spans="2:10" x14ac:dyDescent="0.25">
      <c r="B800" s="5">
        <f t="shared" si="25"/>
        <v>43166</v>
      </c>
      <c r="C800" s="6">
        <f>IFERROR(VLOOKUP($B800,Platts!$E$5:$M$4994,MATCH(C$3,Platts!$F$5:$M$5,0)+1,FALSE),C799)</f>
        <v>54.89</v>
      </c>
      <c r="D800" s="6">
        <f>IFERROR(VLOOKUP($B800,Platts!$E$5:$M$4994,MATCH(D$3,Platts!$F$5:$M$5,0)+1,FALSE),D799)</f>
        <v>64.040000000000006</v>
      </c>
      <c r="E800" s="6">
        <f>IFERROR(VLOOKUP($B800,Platts!$E$5:$M$4994,MATCH(E$3,Platts!$F$5:$M$5,0)+1,FALSE),E799)</f>
        <v>55.73</v>
      </c>
      <c r="F800" s="6">
        <f>IFERROR(VLOOKUP($B800,Platts!$E$5:$M$4994,MATCH(F$3,Platts!$F$5:$M$5,0)+1,FALSE),F799)</f>
        <v>66.010000000000005</v>
      </c>
      <c r="G800" s="6">
        <f>IFERROR(VLOOKUP($B800,Platts!$E$5:$M$4994,MATCH(G$3,Platts!$F$5:$M$5,0)+1,FALSE),G799)</f>
        <v>65.33</v>
      </c>
      <c r="H800" s="6">
        <f>IFERROR(VLOOKUP($B800,Platts!$E$5:$M$4994,MATCH(H$3,Platts!$F$5:$M$5,0)+1,FALSE),H799)</f>
        <v>61.17</v>
      </c>
      <c r="I800" s="6">
        <f>IFERROR(VLOOKUP($B800,Platts!$E$5:$M$4994,MATCH(I$3,Platts!$F$5:$M$5,0)+1,FALSE),I799)</f>
        <v>63.42</v>
      </c>
      <c r="J800" s="6">
        <f t="shared" si="24"/>
        <v>6.2800000000000011</v>
      </c>
    </row>
    <row r="801" spans="2:10" x14ac:dyDescent="0.25">
      <c r="B801" s="5">
        <f t="shared" si="25"/>
        <v>43167</v>
      </c>
      <c r="C801" s="6">
        <f>IFERROR(VLOOKUP($B801,Platts!$E$5:$M$4994,MATCH(C$3,Platts!$F$5:$M$5,0)+1,FALSE),C800)</f>
        <v>53.94</v>
      </c>
      <c r="D801" s="6">
        <f>IFERROR(VLOOKUP($B801,Platts!$E$5:$M$4994,MATCH(D$3,Platts!$F$5:$M$5,0)+1,FALSE),D800)</f>
        <v>63.04</v>
      </c>
      <c r="E801" s="6">
        <f>IFERROR(VLOOKUP($B801,Platts!$E$5:$M$4994,MATCH(E$3,Platts!$F$5:$M$5,0)+1,FALSE),E800)</f>
        <v>54.83</v>
      </c>
      <c r="F801" s="6">
        <f>IFERROR(VLOOKUP($B801,Platts!$E$5:$M$4994,MATCH(F$3,Platts!$F$5:$M$5,0)+1,FALSE),F800)</f>
        <v>65.040000000000006</v>
      </c>
      <c r="G801" s="6">
        <f>IFERROR(VLOOKUP($B801,Platts!$E$5:$M$4994,MATCH(G$3,Platts!$F$5:$M$5,0)+1,FALSE),G800)</f>
        <v>64.09</v>
      </c>
      <c r="H801" s="6">
        <f>IFERROR(VLOOKUP($B801,Platts!$E$5:$M$4994,MATCH(H$3,Platts!$F$5:$M$5,0)+1,FALSE),H800)</f>
        <v>60.15</v>
      </c>
      <c r="I801" s="6">
        <f>IFERROR(VLOOKUP($B801,Platts!$E$5:$M$4994,MATCH(I$3,Platts!$F$5:$M$5,0)+1,FALSE),I800)</f>
        <v>62.4</v>
      </c>
      <c r="J801" s="6">
        <f t="shared" si="24"/>
        <v>6.2100000000000009</v>
      </c>
    </row>
    <row r="802" spans="2:10" x14ac:dyDescent="0.25">
      <c r="B802" s="5">
        <f t="shared" si="25"/>
        <v>43168</v>
      </c>
      <c r="C802" s="6">
        <f>IFERROR(VLOOKUP($B802,Platts!$E$5:$M$4994,MATCH(C$3,Platts!$F$5:$M$5,0)+1,FALSE),C801)</f>
        <v>55.15</v>
      </c>
      <c r="D802" s="6">
        <f>IFERROR(VLOOKUP($B802,Platts!$E$5:$M$4994,MATCH(D$3,Platts!$F$5:$M$5,0)+1,FALSE),D801)</f>
        <v>64.819999999999993</v>
      </c>
      <c r="E802" s="6">
        <f>IFERROR(VLOOKUP($B802,Platts!$E$5:$M$4994,MATCH(E$3,Platts!$F$5:$M$5,0)+1,FALSE),E801)</f>
        <v>56.55</v>
      </c>
      <c r="F802" s="6">
        <f>IFERROR(VLOOKUP($B802,Platts!$E$5:$M$4994,MATCH(F$3,Platts!$F$5:$M$5,0)+1,FALSE),F801)</f>
        <v>66.81</v>
      </c>
      <c r="G802" s="6">
        <f>IFERROR(VLOOKUP($B802,Platts!$E$5:$M$4994,MATCH(G$3,Platts!$F$5:$M$5,0)+1,FALSE),G801)</f>
        <v>65.41</v>
      </c>
      <c r="H802" s="6">
        <f>IFERROR(VLOOKUP($B802,Platts!$E$5:$M$4994,MATCH(H$3,Platts!$F$5:$M$5,0)+1,FALSE),H801)</f>
        <v>62.04</v>
      </c>
      <c r="I802" s="6">
        <f>IFERROR(VLOOKUP($B802,Platts!$E$5:$M$4994,MATCH(I$3,Platts!$F$5:$M$5,0)+1,FALSE),I801)</f>
        <v>64.39</v>
      </c>
      <c r="J802" s="6">
        <f t="shared" si="24"/>
        <v>6.8900000000000006</v>
      </c>
    </row>
    <row r="803" spans="2:10" x14ac:dyDescent="0.25">
      <c r="B803" s="5">
        <f t="shared" si="25"/>
        <v>43169</v>
      </c>
      <c r="C803" s="6">
        <f>IFERROR(VLOOKUP($B803,Platts!$E$5:$M$4994,MATCH(C$3,Platts!$F$5:$M$5,0)+1,FALSE),C802)</f>
        <v>55.15</v>
      </c>
      <c r="D803" s="6">
        <f>IFERROR(VLOOKUP($B803,Platts!$E$5:$M$4994,MATCH(D$3,Platts!$F$5:$M$5,0)+1,FALSE),D802)</f>
        <v>64.819999999999993</v>
      </c>
      <c r="E803" s="6">
        <f>IFERROR(VLOOKUP($B803,Platts!$E$5:$M$4994,MATCH(E$3,Platts!$F$5:$M$5,0)+1,FALSE),E802)</f>
        <v>56.55</v>
      </c>
      <c r="F803" s="6">
        <f>IFERROR(VLOOKUP($B803,Platts!$E$5:$M$4994,MATCH(F$3,Platts!$F$5:$M$5,0)+1,FALSE),F802)</f>
        <v>66.81</v>
      </c>
      <c r="G803" s="6">
        <f>IFERROR(VLOOKUP($B803,Platts!$E$5:$M$4994,MATCH(G$3,Platts!$F$5:$M$5,0)+1,FALSE),G802)</f>
        <v>65.41</v>
      </c>
      <c r="H803" s="6">
        <f>IFERROR(VLOOKUP($B803,Platts!$E$5:$M$4994,MATCH(H$3,Platts!$F$5:$M$5,0)+1,FALSE),H802)</f>
        <v>62.04</v>
      </c>
      <c r="I803" s="6">
        <f>IFERROR(VLOOKUP($B803,Platts!$E$5:$M$4994,MATCH(I$3,Platts!$F$5:$M$5,0)+1,FALSE),I802)</f>
        <v>64.39</v>
      </c>
      <c r="J803" s="6">
        <f t="shared" si="24"/>
        <v>6.8900000000000006</v>
      </c>
    </row>
    <row r="804" spans="2:10" x14ac:dyDescent="0.25">
      <c r="B804" s="5">
        <f t="shared" si="25"/>
        <v>43170</v>
      </c>
      <c r="C804" s="6">
        <f>IFERROR(VLOOKUP($B804,Platts!$E$5:$M$4994,MATCH(C$3,Platts!$F$5:$M$5,0)+1,FALSE),C803)</f>
        <v>55.15</v>
      </c>
      <c r="D804" s="6">
        <f>IFERROR(VLOOKUP($B804,Platts!$E$5:$M$4994,MATCH(D$3,Platts!$F$5:$M$5,0)+1,FALSE),D803)</f>
        <v>64.819999999999993</v>
      </c>
      <c r="E804" s="6">
        <f>IFERROR(VLOOKUP($B804,Platts!$E$5:$M$4994,MATCH(E$3,Platts!$F$5:$M$5,0)+1,FALSE),E803)</f>
        <v>56.55</v>
      </c>
      <c r="F804" s="6">
        <f>IFERROR(VLOOKUP($B804,Platts!$E$5:$M$4994,MATCH(F$3,Platts!$F$5:$M$5,0)+1,FALSE),F803)</f>
        <v>66.81</v>
      </c>
      <c r="G804" s="6">
        <f>IFERROR(VLOOKUP($B804,Platts!$E$5:$M$4994,MATCH(G$3,Platts!$F$5:$M$5,0)+1,FALSE),G803)</f>
        <v>65.41</v>
      </c>
      <c r="H804" s="6">
        <f>IFERROR(VLOOKUP($B804,Platts!$E$5:$M$4994,MATCH(H$3,Platts!$F$5:$M$5,0)+1,FALSE),H803)</f>
        <v>62.04</v>
      </c>
      <c r="I804" s="6">
        <f>IFERROR(VLOOKUP($B804,Platts!$E$5:$M$4994,MATCH(I$3,Platts!$F$5:$M$5,0)+1,FALSE),I803)</f>
        <v>64.39</v>
      </c>
      <c r="J804" s="6">
        <f t="shared" si="24"/>
        <v>6.8900000000000006</v>
      </c>
    </row>
    <row r="805" spans="2:10" x14ac:dyDescent="0.25">
      <c r="B805" s="5">
        <f t="shared" si="25"/>
        <v>43171</v>
      </c>
      <c r="C805" s="6">
        <f>IFERROR(VLOOKUP($B805,Platts!$E$5:$M$4994,MATCH(C$3,Platts!$F$5:$M$5,0)+1,FALSE),C804)</f>
        <v>54.93</v>
      </c>
      <c r="D805" s="6">
        <f>IFERROR(VLOOKUP($B805,Platts!$E$5:$M$4994,MATCH(D$3,Platts!$F$5:$M$5,0)+1,FALSE),D804)</f>
        <v>64.239999999999995</v>
      </c>
      <c r="E805" s="6">
        <f>IFERROR(VLOOKUP($B805,Platts!$E$5:$M$4994,MATCH(E$3,Platts!$F$5:$M$5,0)+1,FALSE),E804)</f>
        <v>56.2</v>
      </c>
      <c r="F805" s="6">
        <f>IFERROR(VLOOKUP($B805,Platts!$E$5:$M$4994,MATCH(F$3,Platts!$F$5:$M$5,0)+1,FALSE),F804)</f>
        <v>66.239999999999995</v>
      </c>
      <c r="G805" s="6">
        <f>IFERROR(VLOOKUP($B805,Platts!$E$5:$M$4994,MATCH(G$3,Platts!$F$5:$M$5,0)+1,FALSE),G804)</f>
        <v>64.84</v>
      </c>
      <c r="H805" s="6">
        <f>IFERROR(VLOOKUP($B805,Platts!$E$5:$M$4994,MATCH(H$3,Platts!$F$5:$M$5,0)+1,FALSE),H804)</f>
        <v>61.41</v>
      </c>
      <c r="I805" s="6">
        <f>IFERROR(VLOOKUP($B805,Platts!$E$5:$M$4994,MATCH(I$3,Platts!$F$5:$M$5,0)+1,FALSE),I804)</f>
        <v>63.76</v>
      </c>
      <c r="J805" s="6">
        <f t="shared" si="24"/>
        <v>6.4799999999999969</v>
      </c>
    </row>
    <row r="806" spans="2:10" x14ac:dyDescent="0.25">
      <c r="B806" s="5">
        <f t="shared" si="25"/>
        <v>43172</v>
      </c>
      <c r="C806" s="6">
        <f>IFERROR(VLOOKUP($B806,Platts!$E$5:$M$4994,MATCH(C$3,Platts!$F$5:$M$5,0)+1,FALSE),C805)</f>
        <v>54.47</v>
      </c>
      <c r="D806" s="6">
        <f>IFERROR(VLOOKUP($B806,Platts!$E$5:$M$4994,MATCH(D$3,Platts!$F$5:$M$5,0)+1,FALSE),D805)</f>
        <v>63.47</v>
      </c>
      <c r="E806" s="6">
        <f>IFERROR(VLOOKUP($B806,Platts!$E$5:$M$4994,MATCH(E$3,Platts!$F$5:$M$5,0)+1,FALSE),E805)</f>
        <v>55.66</v>
      </c>
      <c r="F806" s="6">
        <f>IFERROR(VLOOKUP($B806,Platts!$E$5:$M$4994,MATCH(F$3,Platts!$F$5:$M$5,0)+1,FALSE),F805)</f>
        <v>65.52</v>
      </c>
      <c r="G806" s="6">
        <f>IFERROR(VLOOKUP($B806,Platts!$E$5:$M$4994,MATCH(G$3,Platts!$F$5:$M$5,0)+1,FALSE),G805)</f>
        <v>64.569999999999993</v>
      </c>
      <c r="H806" s="6">
        <f>IFERROR(VLOOKUP($B806,Platts!$E$5:$M$4994,MATCH(H$3,Platts!$F$5:$M$5,0)+1,FALSE),H805)</f>
        <v>60.73</v>
      </c>
      <c r="I806" s="6">
        <f>IFERROR(VLOOKUP($B806,Platts!$E$5:$M$4994,MATCH(I$3,Platts!$F$5:$M$5,0)+1,FALSE),I805)</f>
        <v>63.18</v>
      </c>
      <c r="J806" s="6">
        <f t="shared" si="24"/>
        <v>6.259999999999998</v>
      </c>
    </row>
    <row r="807" spans="2:10" x14ac:dyDescent="0.25">
      <c r="B807" s="5">
        <f t="shared" si="25"/>
        <v>43173</v>
      </c>
      <c r="C807" s="6">
        <f>IFERROR(VLOOKUP($B807,Platts!$E$5:$M$4994,MATCH(C$3,Platts!$F$5:$M$5,0)+1,FALSE),C806)</f>
        <v>54.46</v>
      </c>
      <c r="D807" s="6">
        <f>IFERROR(VLOOKUP($B807,Platts!$E$5:$M$4994,MATCH(D$3,Platts!$F$5:$M$5,0)+1,FALSE),D806)</f>
        <v>63.95</v>
      </c>
      <c r="E807" s="6">
        <f>IFERROR(VLOOKUP($B807,Platts!$E$5:$M$4994,MATCH(E$3,Platts!$F$5:$M$5,0)+1,FALSE),E806)</f>
        <v>55.73</v>
      </c>
      <c r="F807" s="6">
        <f>IFERROR(VLOOKUP($B807,Platts!$E$5:$M$4994,MATCH(F$3,Platts!$F$5:$M$5,0)+1,FALSE),F806)</f>
        <v>65.97</v>
      </c>
      <c r="G807" s="6">
        <f>IFERROR(VLOOKUP($B807,Platts!$E$5:$M$4994,MATCH(G$3,Platts!$F$5:$M$5,0)+1,FALSE),G806)</f>
        <v>64.62</v>
      </c>
      <c r="H807" s="6">
        <f>IFERROR(VLOOKUP($B807,Platts!$E$5:$M$4994,MATCH(H$3,Platts!$F$5:$M$5,0)+1,FALSE),H806)</f>
        <v>60.97</v>
      </c>
      <c r="I807" s="6">
        <f>IFERROR(VLOOKUP($B807,Platts!$E$5:$M$4994,MATCH(I$3,Platts!$F$5:$M$5,0)+1,FALSE),I806)</f>
        <v>63.42</v>
      </c>
      <c r="J807" s="6">
        <f t="shared" si="24"/>
        <v>6.509999999999998</v>
      </c>
    </row>
    <row r="808" spans="2:10" x14ac:dyDescent="0.25">
      <c r="B808" s="5">
        <f t="shared" si="25"/>
        <v>43174</v>
      </c>
      <c r="C808" s="6">
        <f>IFERROR(VLOOKUP($B808,Platts!$E$5:$M$4994,MATCH(C$3,Platts!$F$5:$M$5,0)+1,FALSE),C807)</f>
        <v>54.65</v>
      </c>
      <c r="D808" s="6">
        <f>IFERROR(VLOOKUP($B808,Platts!$E$5:$M$4994,MATCH(D$3,Platts!$F$5:$M$5,0)+1,FALSE),D807)</f>
        <v>64.14</v>
      </c>
      <c r="E808" s="6">
        <f>IFERROR(VLOOKUP($B808,Platts!$E$5:$M$4994,MATCH(E$3,Platts!$F$5:$M$5,0)+1,FALSE),E807)</f>
        <v>56.02</v>
      </c>
      <c r="F808" s="6">
        <f>IFERROR(VLOOKUP($B808,Platts!$E$5:$M$4994,MATCH(F$3,Platts!$F$5:$M$5,0)+1,FALSE),F807)</f>
        <v>66.13</v>
      </c>
      <c r="G808" s="6">
        <f>IFERROR(VLOOKUP($B808,Platts!$E$5:$M$4994,MATCH(G$3,Platts!$F$5:$M$5,0)+1,FALSE),G807)</f>
        <v>65.11</v>
      </c>
      <c r="H808" s="6">
        <f>IFERROR(VLOOKUP($B808,Platts!$E$5:$M$4994,MATCH(H$3,Platts!$F$5:$M$5,0)+1,FALSE),H807)</f>
        <v>61.22</v>
      </c>
      <c r="I808" s="6">
        <f>IFERROR(VLOOKUP($B808,Platts!$E$5:$M$4994,MATCH(I$3,Platts!$F$5:$M$5,0)+1,FALSE),I807)</f>
        <v>63.77</v>
      </c>
      <c r="J808" s="6">
        <f t="shared" si="24"/>
        <v>6.57</v>
      </c>
    </row>
    <row r="809" spans="2:10" x14ac:dyDescent="0.25">
      <c r="B809" s="5">
        <f t="shared" si="25"/>
        <v>43175</v>
      </c>
      <c r="C809" s="6">
        <f>IFERROR(VLOOKUP($B809,Platts!$E$5:$M$4994,MATCH(C$3,Platts!$F$5:$M$5,0)+1,FALSE),C808)</f>
        <v>54.65</v>
      </c>
      <c r="D809" s="6">
        <f>IFERROR(VLOOKUP($B809,Platts!$E$5:$M$4994,MATCH(D$3,Platts!$F$5:$M$5,0)+1,FALSE),D808)</f>
        <v>65.180000000000007</v>
      </c>
      <c r="E809" s="6">
        <f>IFERROR(VLOOKUP($B809,Platts!$E$5:$M$4994,MATCH(E$3,Platts!$F$5:$M$5,0)+1,FALSE),E808)</f>
        <v>56.83</v>
      </c>
      <c r="F809" s="6">
        <f>IFERROR(VLOOKUP($B809,Platts!$E$5:$M$4994,MATCH(F$3,Platts!$F$5:$M$5,0)+1,FALSE),F808)</f>
        <v>67.16</v>
      </c>
      <c r="G809" s="6">
        <f>IFERROR(VLOOKUP($B809,Platts!$E$5:$M$4994,MATCH(G$3,Platts!$F$5:$M$5,0)+1,FALSE),G808)</f>
        <v>65.97</v>
      </c>
      <c r="H809" s="6">
        <f>IFERROR(VLOOKUP($B809,Platts!$E$5:$M$4994,MATCH(H$3,Platts!$F$5:$M$5,0)+1,FALSE),H808)</f>
        <v>62.36</v>
      </c>
      <c r="I809" s="6">
        <f>IFERROR(VLOOKUP($B809,Platts!$E$5:$M$4994,MATCH(I$3,Platts!$F$5:$M$5,0)+1,FALSE),I808)</f>
        <v>64.81</v>
      </c>
      <c r="J809" s="6">
        <f t="shared" si="24"/>
        <v>7.7100000000000009</v>
      </c>
    </row>
    <row r="810" spans="2:10" x14ac:dyDescent="0.25">
      <c r="B810" s="5">
        <f t="shared" si="25"/>
        <v>43176</v>
      </c>
      <c r="C810" s="6">
        <f>IFERROR(VLOOKUP($B810,Platts!$E$5:$M$4994,MATCH(C$3,Platts!$F$5:$M$5,0)+1,FALSE),C809)</f>
        <v>54.65</v>
      </c>
      <c r="D810" s="6">
        <f>IFERROR(VLOOKUP($B810,Platts!$E$5:$M$4994,MATCH(D$3,Platts!$F$5:$M$5,0)+1,FALSE),D809)</f>
        <v>65.180000000000007</v>
      </c>
      <c r="E810" s="6">
        <f>IFERROR(VLOOKUP($B810,Platts!$E$5:$M$4994,MATCH(E$3,Platts!$F$5:$M$5,0)+1,FALSE),E809)</f>
        <v>56.83</v>
      </c>
      <c r="F810" s="6">
        <f>IFERROR(VLOOKUP($B810,Platts!$E$5:$M$4994,MATCH(F$3,Platts!$F$5:$M$5,0)+1,FALSE),F809)</f>
        <v>67.16</v>
      </c>
      <c r="G810" s="6">
        <f>IFERROR(VLOOKUP($B810,Platts!$E$5:$M$4994,MATCH(G$3,Platts!$F$5:$M$5,0)+1,FALSE),G809)</f>
        <v>65.97</v>
      </c>
      <c r="H810" s="6">
        <f>IFERROR(VLOOKUP($B810,Platts!$E$5:$M$4994,MATCH(H$3,Platts!$F$5:$M$5,0)+1,FALSE),H809)</f>
        <v>62.36</v>
      </c>
      <c r="I810" s="6">
        <f>IFERROR(VLOOKUP($B810,Platts!$E$5:$M$4994,MATCH(I$3,Platts!$F$5:$M$5,0)+1,FALSE),I809)</f>
        <v>64.81</v>
      </c>
      <c r="J810" s="6">
        <f t="shared" si="24"/>
        <v>7.7100000000000009</v>
      </c>
    </row>
    <row r="811" spans="2:10" x14ac:dyDescent="0.25">
      <c r="B811" s="5">
        <f t="shared" si="25"/>
        <v>43177</v>
      </c>
      <c r="C811" s="6">
        <f>IFERROR(VLOOKUP($B811,Platts!$E$5:$M$4994,MATCH(C$3,Platts!$F$5:$M$5,0)+1,FALSE),C810)</f>
        <v>54.65</v>
      </c>
      <c r="D811" s="6">
        <f>IFERROR(VLOOKUP($B811,Platts!$E$5:$M$4994,MATCH(D$3,Platts!$F$5:$M$5,0)+1,FALSE),D810)</f>
        <v>65.180000000000007</v>
      </c>
      <c r="E811" s="6">
        <f>IFERROR(VLOOKUP($B811,Platts!$E$5:$M$4994,MATCH(E$3,Platts!$F$5:$M$5,0)+1,FALSE),E810)</f>
        <v>56.83</v>
      </c>
      <c r="F811" s="6">
        <f>IFERROR(VLOOKUP($B811,Platts!$E$5:$M$4994,MATCH(F$3,Platts!$F$5:$M$5,0)+1,FALSE),F810)</f>
        <v>67.16</v>
      </c>
      <c r="G811" s="6">
        <f>IFERROR(VLOOKUP($B811,Platts!$E$5:$M$4994,MATCH(G$3,Platts!$F$5:$M$5,0)+1,FALSE),G810)</f>
        <v>65.97</v>
      </c>
      <c r="H811" s="6">
        <f>IFERROR(VLOOKUP($B811,Platts!$E$5:$M$4994,MATCH(H$3,Platts!$F$5:$M$5,0)+1,FALSE),H810)</f>
        <v>62.36</v>
      </c>
      <c r="I811" s="6">
        <f>IFERROR(VLOOKUP($B811,Platts!$E$5:$M$4994,MATCH(I$3,Platts!$F$5:$M$5,0)+1,FALSE),I810)</f>
        <v>64.81</v>
      </c>
      <c r="J811" s="6">
        <f t="shared" si="24"/>
        <v>7.7100000000000009</v>
      </c>
    </row>
    <row r="812" spans="2:10" x14ac:dyDescent="0.25">
      <c r="B812" s="5">
        <f t="shared" si="25"/>
        <v>43178</v>
      </c>
      <c r="C812" s="6">
        <f>IFERROR(VLOOKUP($B812,Platts!$E$5:$M$4994,MATCH(C$3,Platts!$F$5:$M$5,0)+1,FALSE),C811)</f>
        <v>55.55</v>
      </c>
      <c r="D812" s="6">
        <f>IFERROR(VLOOKUP($B812,Platts!$E$5:$M$4994,MATCH(D$3,Platts!$F$5:$M$5,0)+1,FALSE),D811)</f>
        <v>64.94</v>
      </c>
      <c r="E812" s="6">
        <f>IFERROR(VLOOKUP($B812,Platts!$E$5:$M$4994,MATCH(E$3,Platts!$F$5:$M$5,0)+1,FALSE),E811)</f>
        <v>56.48</v>
      </c>
      <c r="F812" s="6">
        <f>IFERROR(VLOOKUP($B812,Platts!$E$5:$M$4994,MATCH(F$3,Platts!$F$5:$M$5,0)+1,FALSE),F811)</f>
        <v>66.95</v>
      </c>
      <c r="G812" s="6">
        <f>IFERROR(VLOOKUP($B812,Platts!$E$5:$M$4994,MATCH(G$3,Platts!$F$5:$M$5,0)+1,FALSE),G811)</f>
        <v>66.3</v>
      </c>
      <c r="H812" s="6">
        <f>IFERROR(VLOOKUP($B812,Platts!$E$5:$M$4994,MATCH(H$3,Platts!$F$5:$M$5,0)+1,FALSE),H811)</f>
        <v>62.06</v>
      </c>
      <c r="I812" s="6">
        <f>IFERROR(VLOOKUP($B812,Platts!$E$5:$M$4994,MATCH(I$3,Platts!$F$5:$M$5,0)+1,FALSE),I811)</f>
        <v>64.56</v>
      </c>
      <c r="J812" s="6">
        <f t="shared" si="24"/>
        <v>6.5100000000000051</v>
      </c>
    </row>
    <row r="813" spans="2:10" x14ac:dyDescent="0.25">
      <c r="B813" s="5">
        <f t="shared" si="25"/>
        <v>43179</v>
      </c>
      <c r="C813" s="6">
        <f>IFERROR(VLOOKUP($B813,Platts!$E$5:$M$4994,MATCH(C$3,Platts!$F$5:$M$5,0)+1,FALSE),C812)</f>
        <v>56.27</v>
      </c>
      <c r="D813" s="6">
        <f>IFERROR(VLOOKUP($B813,Platts!$E$5:$M$4994,MATCH(D$3,Platts!$F$5:$M$5,0)+1,FALSE),D812)</f>
        <v>66.09</v>
      </c>
      <c r="E813" s="6">
        <f>IFERROR(VLOOKUP($B813,Platts!$E$5:$M$4994,MATCH(E$3,Platts!$F$5:$M$5,0)+1,FALSE),E812)</f>
        <v>57.46</v>
      </c>
      <c r="F813" s="6">
        <f>IFERROR(VLOOKUP($B813,Platts!$E$5:$M$4994,MATCH(F$3,Platts!$F$5:$M$5,0)+1,FALSE),F812)</f>
        <v>68.12</v>
      </c>
      <c r="G813" s="6">
        <f>IFERROR(VLOOKUP($B813,Platts!$E$5:$M$4994,MATCH(G$3,Platts!$F$5:$M$5,0)+1,FALSE),G812)</f>
        <v>67.319999999999993</v>
      </c>
      <c r="H813" s="6">
        <f>IFERROR(VLOOKUP($B813,Platts!$E$5:$M$4994,MATCH(H$3,Platts!$F$5:$M$5,0)+1,FALSE),H812)</f>
        <v>63.44</v>
      </c>
      <c r="I813" s="6">
        <f>IFERROR(VLOOKUP($B813,Platts!$E$5:$M$4994,MATCH(I$3,Platts!$F$5:$M$5,0)+1,FALSE),I812)</f>
        <v>65.739999999999995</v>
      </c>
      <c r="J813" s="6">
        <f t="shared" si="24"/>
        <v>7.1699999999999946</v>
      </c>
    </row>
    <row r="814" spans="2:10" x14ac:dyDescent="0.25">
      <c r="B814" s="5">
        <f t="shared" si="25"/>
        <v>43180</v>
      </c>
      <c r="C814" s="6">
        <f>IFERROR(VLOOKUP($B814,Platts!$E$5:$M$4994,MATCH(C$3,Platts!$F$5:$M$5,0)+1,FALSE),C813)</f>
        <v>57.69</v>
      </c>
      <c r="D814" s="6">
        <f>IFERROR(VLOOKUP($B814,Platts!$E$5:$M$4994,MATCH(D$3,Platts!$F$5:$M$5,0)+1,FALSE),D813)</f>
        <v>67.900000000000006</v>
      </c>
      <c r="E814" s="6">
        <f>IFERROR(VLOOKUP($B814,Platts!$E$5:$M$4994,MATCH(E$3,Platts!$F$5:$M$5,0)+1,FALSE),E813)</f>
        <v>58.99</v>
      </c>
      <c r="F814" s="6">
        <f>IFERROR(VLOOKUP($B814,Platts!$E$5:$M$4994,MATCH(F$3,Platts!$F$5:$M$5,0)+1,FALSE),F813)</f>
        <v>70.05</v>
      </c>
      <c r="G814" s="6">
        <f>IFERROR(VLOOKUP($B814,Platts!$E$5:$M$4994,MATCH(G$3,Platts!$F$5:$M$5,0)+1,FALSE),G813)</f>
        <v>69.349999999999994</v>
      </c>
      <c r="H814" s="6">
        <f>IFERROR(VLOOKUP($B814,Platts!$E$5:$M$4994,MATCH(H$3,Platts!$F$5:$M$5,0)+1,FALSE),H813)</f>
        <v>65.06</v>
      </c>
      <c r="I814" s="6">
        <f>IFERROR(VLOOKUP($B814,Platts!$E$5:$M$4994,MATCH(I$3,Platts!$F$5:$M$5,0)+1,FALSE),I813)</f>
        <v>67.36</v>
      </c>
      <c r="J814" s="6">
        <f t="shared" si="24"/>
        <v>7.3700000000000045</v>
      </c>
    </row>
    <row r="815" spans="2:10" x14ac:dyDescent="0.25">
      <c r="B815" s="5">
        <f t="shared" si="25"/>
        <v>43181</v>
      </c>
      <c r="C815" s="6">
        <f>IFERROR(VLOOKUP($B815,Platts!$E$5:$M$4994,MATCH(C$3,Platts!$F$5:$M$5,0)+1,FALSE),C814)</f>
        <v>57.44</v>
      </c>
      <c r="D815" s="6">
        <f>IFERROR(VLOOKUP($B815,Platts!$E$5:$M$4994,MATCH(D$3,Platts!$F$5:$M$5,0)+1,FALSE),D814)</f>
        <v>66.790000000000006</v>
      </c>
      <c r="E815" s="6">
        <f>IFERROR(VLOOKUP($B815,Platts!$E$5:$M$4994,MATCH(E$3,Platts!$F$5:$M$5,0)+1,FALSE),E814)</f>
        <v>58.04</v>
      </c>
      <c r="F815" s="6">
        <f>IFERROR(VLOOKUP($B815,Platts!$E$5:$M$4994,MATCH(F$3,Platts!$F$5:$M$5,0)+1,FALSE),F814)</f>
        <v>68.97</v>
      </c>
      <c r="G815" s="6">
        <f>IFERROR(VLOOKUP($B815,Platts!$E$5:$M$4994,MATCH(G$3,Platts!$F$5:$M$5,0)+1,FALSE),G814)</f>
        <v>69.16</v>
      </c>
      <c r="H815" s="6">
        <f>IFERROR(VLOOKUP($B815,Platts!$E$5:$M$4994,MATCH(H$3,Platts!$F$5:$M$5,0)+1,FALSE),H814)</f>
        <v>64.17</v>
      </c>
      <c r="I815" s="6">
        <f>IFERROR(VLOOKUP($B815,Platts!$E$5:$M$4994,MATCH(I$3,Platts!$F$5:$M$5,0)+1,FALSE),I814)</f>
        <v>66.52</v>
      </c>
      <c r="J815" s="6">
        <f t="shared" si="24"/>
        <v>6.730000000000004</v>
      </c>
    </row>
    <row r="816" spans="2:10" x14ac:dyDescent="0.25">
      <c r="B816" s="5">
        <f t="shared" si="25"/>
        <v>43182</v>
      </c>
      <c r="C816" s="6">
        <f>IFERROR(VLOOKUP($B816,Platts!$E$5:$M$4994,MATCH(C$3,Platts!$F$5:$M$5,0)+1,FALSE),C815)</f>
        <v>58.3</v>
      </c>
      <c r="D816" s="6">
        <f>IFERROR(VLOOKUP($B816,Platts!$E$5:$M$4994,MATCH(D$3,Platts!$F$5:$M$5,0)+1,FALSE),D815)</f>
        <v>68.400000000000006</v>
      </c>
      <c r="E816" s="6">
        <f>IFERROR(VLOOKUP($B816,Platts!$E$5:$M$4994,MATCH(E$3,Platts!$F$5:$M$5,0)+1,FALSE),E815)</f>
        <v>59.32</v>
      </c>
      <c r="F816" s="6">
        <f>IFERROR(VLOOKUP($B816,Platts!$E$5:$M$4994,MATCH(F$3,Platts!$F$5:$M$5,0)+1,FALSE),F815)</f>
        <v>70.58</v>
      </c>
      <c r="G816" s="6">
        <f>IFERROR(VLOOKUP($B816,Platts!$E$5:$M$4994,MATCH(G$3,Platts!$F$5:$M$5,0)+1,FALSE),G815)</f>
        <v>70.099999999999994</v>
      </c>
      <c r="H816" s="6">
        <f>IFERROR(VLOOKUP($B816,Platts!$E$5:$M$4994,MATCH(H$3,Platts!$F$5:$M$5,0)+1,FALSE),H815)</f>
        <v>65.849999999999994</v>
      </c>
      <c r="I816" s="6">
        <f>IFERROR(VLOOKUP($B816,Platts!$E$5:$M$4994,MATCH(I$3,Platts!$F$5:$M$5,0)+1,FALSE),I815)</f>
        <v>68.2</v>
      </c>
      <c r="J816" s="6">
        <f t="shared" si="24"/>
        <v>7.5499999999999972</v>
      </c>
    </row>
    <row r="817" spans="2:10" x14ac:dyDescent="0.25">
      <c r="B817" s="5">
        <f t="shared" si="25"/>
        <v>43183</v>
      </c>
      <c r="C817" s="6">
        <f>IFERROR(VLOOKUP($B817,Platts!$E$5:$M$4994,MATCH(C$3,Platts!$F$5:$M$5,0)+1,FALSE),C816)</f>
        <v>58.3</v>
      </c>
      <c r="D817" s="6">
        <f>IFERROR(VLOOKUP($B817,Platts!$E$5:$M$4994,MATCH(D$3,Platts!$F$5:$M$5,0)+1,FALSE),D816)</f>
        <v>68.400000000000006</v>
      </c>
      <c r="E817" s="6">
        <f>IFERROR(VLOOKUP($B817,Platts!$E$5:$M$4994,MATCH(E$3,Platts!$F$5:$M$5,0)+1,FALSE),E816)</f>
        <v>59.32</v>
      </c>
      <c r="F817" s="6">
        <f>IFERROR(VLOOKUP($B817,Platts!$E$5:$M$4994,MATCH(F$3,Platts!$F$5:$M$5,0)+1,FALSE),F816)</f>
        <v>70.58</v>
      </c>
      <c r="G817" s="6">
        <f>IFERROR(VLOOKUP($B817,Platts!$E$5:$M$4994,MATCH(G$3,Platts!$F$5:$M$5,0)+1,FALSE),G816)</f>
        <v>70.099999999999994</v>
      </c>
      <c r="H817" s="6">
        <f>IFERROR(VLOOKUP($B817,Platts!$E$5:$M$4994,MATCH(H$3,Platts!$F$5:$M$5,0)+1,FALSE),H816)</f>
        <v>65.849999999999994</v>
      </c>
      <c r="I817" s="6">
        <f>IFERROR(VLOOKUP($B817,Platts!$E$5:$M$4994,MATCH(I$3,Platts!$F$5:$M$5,0)+1,FALSE),I816)</f>
        <v>68.2</v>
      </c>
      <c r="J817" s="6">
        <f t="shared" si="24"/>
        <v>7.5499999999999972</v>
      </c>
    </row>
    <row r="818" spans="2:10" x14ac:dyDescent="0.25">
      <c r="B818" s="5">
        <f t="shared" si="25"/>
        <v>43184</v>
      </c>
      <c r="C818" s="6">
        <f>IFERROR(VLOOKUP($B818,Platts!$E$5:$M$4994,MATCH(C$3,Platts!$F$5:$M$5,0)+1,FALSE),C817)</f>
        <v>58.3</v>
      </c>
      <c r="D818" s="6">
        <f>IFERROR(VLOOKUP($B818,Platts!$E$5:$M$4994,MATCH(D$3,Platts!$F$5:$M$5,0)+1,FALSE),D817)</f>
        <v>68.400000000000006</v>
      </c>
      <c r="E818" s="6">
        <f>IFERROR(VLOOKUP($B818,Platts!$E$5:$M$4994,MATCH(E$3,Platts!$F$5:$M$5,0)+1,FALSE),E817)</f>
        <v>59.32</v>
      </c>
      <c r="F818" s="6">
        <f>IFERROR(VLOOKUP($B818,Platts!$E$5:$M$4994,MATCH(F$3,Platts!$F$5:$M$5,0)+1,FALSE),F817)</f>
        <v>70.58</v>
      </c>
      <c r="G818" s="6">
        <f>IFERROR(VLOOKUP($B818,Platts!$E$5:$M$4994,MATCH(G$3,Platts!$F$5:$M$5,0)+1,FALSE),G817)</f>
        <v>70.099999999999994</v>
      </c>
      <c r="H818" s="6">
        <f>IFERROR(VLOOKUP($B818,Platts!$E$5:$M$4994,MATCH(H$3,Platts!$F$5:$M$5,0)+1,FALSE),H817)</f>
        <v>65.849999999999994</v>
      </c>
      <c r="I818" s="6">
        <f>IFERROR(VLOOKUP($B818,Platts!$E$5:$M$4994,MATCH(I$3,Platts!$F$5:$M$5,0)+1,FALSE),I817)</f>
        <v>68.2</v>
      </c>
      <c r="J818" s="6">
        <f t="shared" si="24"/>
        <v>7.5499999999999972</v>
      </c>
    </row>
    <row r="819" spans="2:10" x14ac:dyDescent="0.25">
      <c r="B819" s="5">
        <f t="shared" si="25"/>
        <v>43185</v>
      </c>
      <c r="C819" s="6">
        <f>IFERROR(VLOOKUP($B819,Platts!$E$5:$M$4994,MATCH(C$3,Platts!$F$5:$M$5,0)+1,FALSE),C818)</f>
        <v>58.12</v>
      </c>
      <c r="D819" s="6">
        <f>IFERROR(VLOOKUP($B819,Platts!$E$5:$M$4994,MATCH(D$3,Platts!$F$5:$M$5,0)+1,FALSE),D818)</f>
        <v>68.22</v>
      </c>
      <c r="E819" s="6">
        <f>IFERROR(VLOOKUP($B819,Platts!$E$5:$M$4994,MATCH(E$3,Platts!$F$5:$M$5,0)+1,FALSE),E818)</f>
        <v>59.04</v>
      </c>
      <c r="F819" s="6">
        <f>IFERROR(VLOOKUP($B819,Platts!$E$5:$M$4994,MATCH(F$3,Platts!$F$5:$M$5,0)+1,FALSE),F818)</f>
        <v>70.37</v>
      </c>
      <c r="G819" s="6">
        <f>IFERROR(VLOOKUP($B819,Platts!$E$5:$M$4994,MATCH(G$3,Platts!$F$5:$M$5,0)+1,FALSE),G818)</f>
        <v>70.02</v>
      </c>
      <c r="H819" s="6">
        <f>IFERROR(VLOOKUP($B819,Platts!$E$5:$M$4994,MATCH(H$3,Platts!$F$5:$M$5,0)+1,FALSE),H818)</f>
        <v>65.55</v>
      </c>
      <c r="I819" s="6">
        <f>IFERROR(VLOOKUP($B819,Platts!$E$5:$M$4994,MATCH(I$3,Platts!$F$5:$M$5,0)+1,FALSE),I818)</f>
        <v>67.900000000000006</v>
      </c>
      <c r="J819" s="6">
        <f t="shared" si="24"/>
        <v>7.43</v>
      </c>
    </row>
    <row r="820" spans="2:10" x14ac:dyDescent="0.25">
      <c r="B820" s="5">
        <f t="shared" si="25"/>
        <v>43186</v>
      </c>
      <c r="C820" s="6">
        <f>IFERROR(VLOOKUP($B820,Platts!$E$5:$M$4994,MATCH(C$3,Platts!$F$5:$M$5,0)+1,FALSE),C819)</f>
        <v>57.74</v>
      </c>
      <c r="D820" s="6">
        <f>IFERROR(VLOOKUP($B820,Platts!$E$5:$M$4994,MATCH(D$3,Platts!$F$5:$M$5,0)+1,FALSE),D819)</f>
        <v>67.760000000000005</v>
      </c>
      <c r="E820" s="6">
        <f>IFERROR(VLOOKUP($B820,Platts!$E$5:$M$4994,MATCH(E$3,Platts!$F$5:$M$5,0)+1,FALSE),E819)</f>
        <v>58.57</v>
      </c>
      <c r="F820" s="6">
        <f>IFERROR(VLOOKUP($B820,Platts!$E$5:$M$4994,MATCH(F$3,Platts!$F$5:$M$5,0)+1,FALSE),F819)</f>
        <v>69.87</v>
      </c>
      <c r="G820" s="6">
        <f>IFERROR(VLOOKUP($B820,Platts!$E$5:$M$4994,MATCH(G$3,Platts!$F$5:$M$5,0)+1,FALSE),G819)</f>
        <v>70.13</v>
      </c>
      <c r="H820" s="6">
        <f>IFERROR(VLOOKUP($B820,Platts!$E$5:$M$4994,MATCH(H$3,Platts!$F$5:$M$5,0)+1,FALSE),H819)</f>
        <v>65.260000000000005</v>
      </c>
      <c r="I820" s="6">
        <f>IFERROR(VLOOKUP($B820,Platts!$E$5:$M$4994,MATCH(I$3,Platts!$F$5:$M$5,0)+1,FALSE),I819)</f>
        <v>67.81</v>
      </c>
      <c r="J820" s="6">
        <f t="shared" si="24"/>
        <v>7.5200000000000031</v>
      </c>
    </row>
    <row r="821" spans="2:10" x14ac:dyDescent="0.25">
      <c r="B821" s="5">
        <f t="shared" si="25"/>
        <v>43187</v>
      </c>
      <c r="C821" s="6">
        <f>IFERROR(VLOOKUP($B821,Platts!$E$5:$M$4994,MATCH(C$3,Platts!$F$5:$M$5,0)+1,FALSE),C820)</f>
        <v>56.9</v>
      </c>
      <c r="D821" s="6">
        <f>IFERROR(VLOOKUP($B821,Platts!$E$5:$M$4994,MATCH(D$3,Platts!$F$5:$M$5,0)+1,FALSE),D820)</f>
        <v>66.790000000000006</v>
      </c>
      <c r="E821" s="6">
        <f>IFERROR(VLOOKUP($B821,Platts!$E$5:$M$4994,MATCH(E$3,Platts!$F$5:$M$5,0)+1,FALSE),E820)</f>
        <v>57.48</v>
      </c>
      <c r="F821" s="6">
        <f>IFERROR(VLOOKUP($B821,Platts!$E$5:$M$4994,MATCH(F$3,Platts!$F$5:$M$5,0)+1,FALSE),F820)</f>
        <v>69.040000000000006</v>
      </c>
      <c r="G821" s="6">
        <f>IFERROR(VLOOKUP($B821,Platts!$E$5:$M$4994,MATCH(G$3,Platts!$F$5:$M$5,0)+1,FALSE),G820)</f>
        <v>69.930000000000007</v>
      </c>
      <c r="H821" s="6">
        <f>IFERROR(VLOOKUP($B821,Platts!$E$5:$M$4994,MATCH(H$3,Platts!$F$5:$M$5,0)+1,FALSE),H820)</f>
        <v>64.41</v>
      </c>
      <c r="I821" s="6">
        <f>IFERROR(VLOOKUP($B821,Platts!$E$5:$M$4994,MATCH(I$3,Platts!$F$5:$M$5,0)+1,FALSE),I820)</f>
        <v>67.06</v>
      </c>
      <c r="J821" s="6">
        <f t="shared" si="24"/>
        <v>7.509999999999998</v>
      </c>
    </row>
    <row r="822" spans="2:10" x14ac:dyDescent="0.25">
      <c r="B822" s="5">
        <f t="shared" si="25"/>
        <v>43188</v>
      </c>
      <c r="C822" s="6">
        <f>IFERROR(VLOOKUP($B822,Platts!$E$5:$M$4994,MATCH(C$3,Platts!$F$5:$M$5,0)+1,FALSE),C821)</f>
        <v>56.44</v>
      </c>
      <c r="D822" s="6">
        <f>IFERROR(VLOOKUP($B822,Platts!$E$5:$M$4994,MATCH(D$3,Platts!$F$5:$M$5,0)+1,FALSE),D821)</f>
        <v>67.25</v>
      </c>
      <c r="E822" s="6">
        <f>IFERROR(VLOOKUP($B822,Platts!$E$5:$M$4994,MATCH(E$3,Platts!$F$5:$M$5,0)+1,FALSE),E821)</f>
        <v>57.81</v>
      </c>
      <c r="F822" s="6">
        <f>IFERROR(VLOOKUP($B822,Platts!$E$5:$M$4994,MATCH(F$3,Platts!$F$5:$M$5,0)+1,FALSE),F821)</f>
        <v>69.47</v>
      </c>
      <c r="G822" s="6">
        <f>IFERROR(VLOOKUP($B822,Platts!$E$5:$M$4994,MATCH(G$3,Platts!$F$5:$M$5,0)+1,FALSE),G821)</f>
        <v>69.150000000000006</v>
      </c>
      <c r="H822" s="6">
        <f>IFERROR(VLOOKUP($B822,Platts!$E$5:$M$4994,MATCH(H$3,Platts!$F$5:$M$5,0)+1,FALSE),H821)</f>
        <v>64.94</v>
      </c>
      <c r="I822" s="6">
        <f>IFERROR(VLOOKUP($B822,Platts!$E$5:$M$4994,MATCH(I$3,Platts!$F$5:$M$5,0)+1,FALSE),I821)</f>
        <v>67.59</v>
      </c>
      <c r="J822" s="6">
        <f t="shared" si="24"/>
        <v>8.5</v>
      </c>
    </row>
    <row r="823" spans="2:10" x14ac:dyDescent="0.25">
      <c r="B823" s="5">
        <f t="shared" si="25"/>
        <v>43189</v>
      </c>
      <c r="C823" s="6">
        <f>IFERROR(VLOOKUP($B823,Platts!$E$5:$M$4994,MATCH(C$3,Platts!$F$5:$M$5,0)+1,FALSE),C822)</f>
        <v>56.44</v>
      </c>
      <c r="D823" s="6">
        <f>IFERROR(VLOOKUP($B823,Platts!$E$5:$M$4994,MATCH(D$3,Platts!$F$5:$M$5,0)+1,FALSE),D822)</f>
        <v>67.25</v>
      </c>
      <c r="E823" s="6">
        <f>IFERROR(VLOOKUP($B823,Platts!$E$5:$M$4994,MATCH(E$3,Platts!$F$5:$M$5,0)+1,FALSE),E822)</f>
        <v>57.81</v>
      </c>
      <c r="F823" s="6">
        <f>IFERROR(VLOOKUP($B823,Platts!$E$5:$M$4994,MATCH(F$3,Platts!$F$5:$M$5,0)+1,FALSE),F822)</f>
        <v>69.47</v>
      </c>
      <c r="G823" s="6">
        <f>IFERROR(VLOOKUP($B823,Platts!$E$5:$M$4994,MATCH(G$3,Platts!$F$5:$M$5,0)+1,FALSE),G822)</f>
        <v>69.150000000000006</v>
      </c>
      <c r="H823" s="6">
        <f>IFERROR(VLOOKUP($B823,Platts!$E$5:$M$4994,MATCH(H$3,Platts!$F$5:$M$5,0)+1,FALSE),H822)</f>
        <v>64.94</v>
      </c>
      <c r="I823" s="6">
        <f>IFERROR(VLOOKUP($B823,Platts!$E$5:$M$4994,MATCH(I$3,Platts!$F$5:$M$5,0)+1,FALSE),I822)</f>
        <v>67.59</v>
      </c>
      <c r="J823" s="6">
        <f t="shared" si="24"/>
        <v>8.5</v>
      </c>
    </row>
    <row r="824" spans="2:10" x14ac:dyDescent="0.25">
      <c r="B824" s="5">
        <f t="shared" si="25"/>
        <v>43190</v>
      </c>
      <c r="C824" s="6">
        <f>IFERROR(VLOOKUP($B824,Platts!$E$5:$M$4994,MATCH(C$3,Platts!$F$5:$M$5,0)+1,FALSE),C823)</f>
        <v>56.44</v>
      </c>
      <c r="D824" s="6">
        <f>IFERROR(VLOOKUP($B824,Platts!$E$5:$M$4994,MATCH(D$3,Platts!$F$5:$M$5,0)+1,FALSE),D823)</f>
        <v>67.25</v>
      </c>
      <c r="E824" s="6">
        <f>IFERROR(VLOOKUP($B824,Platts!$E$5:$M$4994,MATCH(E$3,Platts!$F$5:$M$5,0)+1,FALSE),E823)</f>
        <v>57.81</v>
      </c>
      <c r="F824" s="6">
        <f>IFERROR(VLOOKUP($B824,Platts!$E$5:$M$4994,MATCH(F$3,Platts!$F$5:$M$5,0)+1,FALSE),F823)</f>
        <v>69.47</v>
      </c>
      <c r="G824" s="6">
        <f>IFERROR(VLOOKUP($B824,Platts!$E$5:$M$4994,MATCH(G$3,Platts!$F$5:$M$5,0)+1,FALSE),G823)</f>
        <v>69.150000000000006</v>
      </c>
      <c r="H824" s="6">
        <f>IFERROR(VLOOKUP($B824,Platts!$E$5:$M$4994,MATCH(H$3,Platts!$F$5:$M$5,0)+1,FALSE),H823)</f>
        <v>64.94</v>
      </c>
      <c r="I824" s="6">
        <f>IFERROR(VLOOKUP($B824,Platts!$E$5:$M$4994,MATCH(I$3,Platts!$F$5:$M$5,0)+1,FALSE),I823)</f>
        <v>67.59</v>
      </c>
      <c r="J824" s="6">
        <f t="shared" si="24"/>
        <v>8.5</v>
      </c>
    </row>
    <row r="825" spans="2:10" x14ac:dyDescent="0.25">
      <c r="B825" s="5">
        <f t="shared" si="25"/>
        <v>43191</v>
      </c>
      <c r="C825" s="6">
        <f>IFERROR(VLOOKUP($B825,Platts!$E$5:$M$4994,MATCH(C$3,Platts!$F$5:$M$5,0)+1,FALSE),C824)</f>
        <v>56.44</v>
      </c>
      <c r="D825" s="6">
        <f>IFERROR(VLOOKUP($B825,Platts!$E$5:$M$4994,MATCH(D$3,Platts!$F$5:$M$5,0)+1,FALSE),D824)</f>
        <v>67.25</v>
      </c>
      <c r="E825" s="6">
        <f>IFERROR(VLOOKUP($B825,Platts!$E$5:$M$4994,MATCH(E$3,Platts!$F$5:$M$5,0)+1,FALSE),E824)</f>
        <v>57.81</v>
      </c>
      <c r="F825" s="6">
        <f>IFERROR(VLOOKUP($B825,Platts!$E$5:$M$4994,MATCH(F$3,Platts!$F$5:$M$5,0)+1,FALSE),F824)</f>
        <v>69.47</v>
      </c>
      <c r="G825" s="6">
        <f>IFERROR(VLOOKUP($B825,Platts!$E$5:$M$4994,MATCH(G$3,Platts!$F$5:$M$5,0)+1,FALSE),G824)</f>
        <v>69.150000000000006</v>
      </c>
      <c r="H825" s="6">
        <f>IFERROR(VLOOKUP($B825,Platts!$E$5:$M$4994,MATCH(H$3,Platts!$F$5:$M$5,0)+1,FALSE),H824)</f>
        <v>64.94</v>
      </c>
      <c r="I825" s="6">
        <f>IFERROR(VLOOKUP($B825,Platts!$E$5:$M$4994,MATCH(I$3,Platts!$F$5:$M$5,0)+1,FALSE),I824)</f>
        <v>67.59</v>
      </c>
      <c r="J825" s="6">
        <f t="shared" si="24"/>
        <v>8.5</v>
      </c>
    </row>
    <row r="826" spans="2:10" x14ac:dyDescent="0.25">
      <c r="B826" s="5">
        <f t="shared" si="25"/>
        <v>43192</v>
      </c>
      <c r="C826" s="6">
        <f>IFERROR(VLOOKUP($B826,Platts!$E$5:$M$4994,MATCH(C$3,Platts!$F$5:$M$5,0)+1,FALSE),C825)</f>
        <v>55.12</v>
      </c>
      <c r="D826" s="6">
        <f>IFERROR(VLOOKUP($B826,Platts!$E$5:$M$4994,MATCH(D$3,Platts!$F$5:$M$5,0)+1,FALSE),D825)</f>
        <v>65.27</v>
      </c>
      <c r="E826" s="6">
        <f>IFERROR(VLOOKUP($B826,Platts!$E$5:$M$4994,MATCH(E$3,Platts!$F$5:$M$5,0)+1,FALSE),E825)</f>
        <v>55.55</v>
      </c>
      <c r="F826" s="6">
        <f>IFERROR(VLOOKUP($B826,Platts!$E$5:$M$4994,MATCH(F$3,Platts!$F$5:$M$5,0)+1,FALSE),F825)</f>
        <v>67.27</v>
      </c>
      <c r="G826" s="6">
        <f>IFERROR(VLOOKUP($B826,Platts!$E$5:$M$4994,MATCH(G$3,Platts!$F$5:$M$5,0)+1,FALSE),G825)</f>
        <v>69.150000000000006</v>
      </c>
      <c r="H826" s="6">
        <f>IFERROR(VLOOKUP($B826,Platts!$E$5:$M$4994,MATCH(H$3,Platts!$F$5:$M$5,0)+1,FALSE),H825)</f>
        <v>63.04</v>
      </c>
      <c r="I826" s="6">
        <f>IFERROR(VLOOKUP($B826,Platts!$E$5:$M$4994,MATCH(I$3,Platts!$F$5:$M$5,0)+1,FALSE),I825)</f>
        <v>65.89</v>
      </c>
      <c r="J826" s="6">
        <f t="shared" si="24"/>
        <v>7.9200000000000017</v>
      </c>
    </row>
    <row r="827" spans="2:10" x14ac:dyDescent="0.25">
      <c r="B827" s="5">
        <f t="shared" si="25"/>
        <v>43193</v>
      </c>
      <c r="C827" s="6">
        <f>IFERROR(VLOOKUP($B827,Platts!$E$5:$M$4994,MATCH(C$3,Platts!$F$5:$M$5,0)+1,FALSE),C826)</f>
        <v>55.25</v>
      </c>
      <c r="D827" s="6">
        <f>IFERROR(VLOOKUP($B827,Platts!$E$5:$M$4994,MATCH(D$3,Platts!$F$5:$M$5,0)+1,FALSE),D826)</f>
        <v>65.48</v>
      </c>
      <c r="E827" s="6">
        <f>IFERROR(VLOOKUP($B827,Platts!$E$5:$M$4994,MATCH(E$3,Platts!$F$5:$M$5,0)+1,FALSE),E826)</f>
        <v>55.34</v>
      </c>
      <c r="F827" s="6">
        <f>IFERROR(VLOOKUP($B827,Platts!$E$5:$M$4994,MATCH(F$3,Platts!$F$5:$M$5,0)+1,FALSE),F826)</f>
        <v>67.56</v>
      </c>
      <c r="G827" s="6">
        <f>IFERROR(VLOOKUP($B827,Platts!$E$5:$M$4994,MATCH(G$3,Platts!$F$5:$M$5,0)+1,FALSE),G826)</f>
        <v>68.19</v>
      </c>
      <c r="H827" s="6">
        <f>IFERROR(VLOOKUP($B827,Platts!$E$5:$M$4994,MATCH(H$3,Platts!$F$5:$M$5,0)+1,FALSE),H826)</f>
        <v>63.51</v>
      </c>
      <c r="I827" s="6">
        <f>IFERROR(VLOOKUP($B827,Platts!$E$5:$M$4994,MATCH(I$3,Platts!$F$5:$M$5,0)+1,FALSE),I826)</f>
        <v>66.31</v>
      </c>
      <c r="J827" s="6">
        <f t="shared" si="24"/>
        <v>8.259999999999998</v>
      </c>
    </row>
    <row r="828" spans="2:10" x14ac:dyDescent="0.25">
      <c r="B828" s="5">
        <f t="shared" si="25"/>
        <v>43194</v>
      </c>
      <c r="C828" s="6">
        <f>IFERROR(VLOOKUP($B828,Platts!$E$5:$M$4994,MATCH(C$3,Platts!$F$5:$M$5,0)+1,FALSE),C827)</f>
        <v>54.98</v>
      </c>
      <c r="D828" s="6">
        <f>IFERROR(VLOOKUP($B828,Platts!$E$5:$M$4994,MATCH(D$3,Platts!$F$5:$M$5,0)+1,FALSE),D827)</f>
        <v>64.849999999999994</v>
      </c>
      <c r="E828" s="6">
        <f>IFERROR(VLOOKUP($B828,Platts!$E$5:$M$4994,MATCH(E$3,Platts!$F$5:$M$5,0)+1,FALSE),E827)</f>
        <v>54.82</v>
      </c>
      <c r="F828" s="6">
        <f>IFERROR(VLOOKUP($B828,Platts!$E$5:$M$4994,MATCH(F$3,Platts!$F$5:$M$5,0)+1,FALSE),F827)</f>
        <v>67.03</v>
      </c>
      <c r="G828" s="6">
        <f>IFERROR(VLOOKUP($B828,Platts!$E$5:$M$4994,MATCH(G$3,Platts!$F$5:$M$5,0)+1,FALSE),G827)</f>
        <v>67.83</v>
      </c>
      <c r="H828" s="6">
        <f>IFERROR(VLOOKUP($B828,Platts!$E$5:$M$4994,MATCH(H$3,Platts!$F$5:$M$5,0)+1,FALSE),H827)</f>
        <v>63.37</v>
      </c>
      <c r="I828" s="6">
        <f>IFERROR(VLOOKUP($B828,Platts!$E$5:$M$4994,MATCH(I$3,Platts!$F$5:$M$5,0)+1,FALSE),I827)</f>
        <v>66.27</v>
      </c>
      <c r="J828" s="6">
        <f t="shared" si="24"/>
        <v>8.39</v>
      </c>
    </row>
    <row r="829" spans="2:10" x14ac:dyDescent="0.25">
      <c r="B829" s="5">
        <f t="shared" si="25"/>
        <v>43195</v>
      </c>
      <c r="C829" s="6">
        <f>IFERROR(VLOOKUP($B829,Platts!$E$5:$M$4994,MATCH(C$3,Platts!$F$5:$M$5,0)+1,FALSE),C828)</f>
        <v>55.39</v>
      </c>
      <c r="D829" s="6">
        <f>IFERROR(VLOOKUP($B829,Platts!$E$5:$M$4994,MATCH(D$3,Platts!$F$5:$M$5,0)+1,FALSE),D828)</f>
        <v>64.95</v>
      </c>
      <c r="E829" s="6">
        <f>IFERROR(VLOOKUP($B829,Platts!$E$5:$M$4994,MATCH(E$3,Platts!$F$5:$M$5,0)+1,FALSE),E828)</f>
        <v>55.04</v>
      </c>
      <c r="F829" s="6">
        <f>IFERROR(VLOOKUP($B829,Platts!$E$5:$M$4994,MATCH(F$3,Platts!$F$5:$M$5,0)+1,FALSE),F828)</f>
        <v>67.17</v>
      </c>
      <c r="G829" s="6">
        <f>IFERROR(VLOOKUP($B829,Platts!$E$5:$M$4994,MATCH(G$3,Platts!$F$5:$M$5,0)+1,FALSE),G828)</f>
        <v>68.3</v>
      </c>
      <c r="H829" s="6">
        <f>IFERROR(VLOOKUP($B829,Platts!$E$5:$M$4994,MATCH(H$3,Platts!$F$5:$M$5,0)+1,FALSE),H828)</f>
        <v>63.57</v>
      </c>
      <c r="I829" s="6">
        <f>IFERROR(VLOOKUP($B829,Platts!$E$5:$M$4994,MATCH(I$3,Platts!$F$5:$M$5,0)+1,FALSE),I828)</f>
        <v>66.42</v>
      </c>
      <c r="J829" s="6">
        <f t="shared" si="24"/>
        <v>8.18</v>
      </c>
    </row>
    <row r="830" spans="2:10" x14ac:dyDescent="0.25">
      <c r="B830" s="5">
        <f t="shared" si="25"/>
        <v>43196</v>
      </c>
      <c r="C830" s="6">
        <f>IFERROR(VLOOKUP($B830,Platts!$E$5:$M$4994,MATCH(C$3,Platts!$F$5:$M$5,0)+1,FALSE),C829)</f>
        <v>54.66</v>
      </c>
      <c r="D830" s="6">
        <f>IFERROR(VLOOKUP($B830,Platts!$E$5:$M$4994,MATCH(D$3,Platts!$F$5:$M$5,0)+1,FALSE),D829)</f>
        <v>63.38</v>
      </c>
      <c r="E830" s="6">
        <f>IFERROR(VLOOKUP($B830,Platts!$E$5:$M$4994,MATCH(E$3,Platts!$F$5:$M$5,0)+1,FALSE),E829)</f>
        <v>53.83</v>
      </c>
      <c r="F830" s="6">
        <f>IFERROR(VLOOKUP($B830,Platts!$E$5:$M$4994,MATCH(F$3,Platts!$F$5:$M$5,0)+1,FALSE),F829)</f>
        <v>65.63</v>
      </c>
      <c r="G830" s="6">
        <f>IFERROR(VLOOKUP($B830,Platts!$E$5:$M$4994,MATCH(G$3,Platts!$F$5:$M$5,0)+1,FALSE),G829)</f>
        <v>67.540000000000006</v>
      </c>
      <c r="H830" s="6">
        <f>IFERROR(VLOOKUP($B830,Platts!$E$5:$M$4994,MATCH(H$3,Platts!$F$5:$M$5,0)+1,FALSE),H829)</f>
        <v>62.08</v>
      </c>
      <c r="I830" s="6">
        <f>IFERROR(VLOOKUP($B830,Platts!$E$5:$M$4994,MATCH(I$3,Platts!$F$5:$M$5,0)+1,FALSE),I829)</f>
        <v>65.13</v>
      </c>
      <c r="J830" s="6">
        <f t="shared" si="24"/>
        <v>7.4200000000000017</v>
      </c>
    </row>
    <row r="831" spans="2:10" x14ac:dyDescent="0.25">
      <c r="B831" s="5">
        <f t="shared" si="25"/>
        <v>43197</v>
      </c>
      <c r="C831" s="6">
        <f>IFERROR(VLOOKUP($B831,Platts!$E$5:$M$4994,MATCH(C$3,Platts!$F$5:$M$5,0)+1,FALSE),C830)</f>
        <v>54.66</v>
      </c>
      <c r="D831" s="6">
        <f>IFERROR(VLOOKUP($B831,Platts!$E$5:$M$4994,MATCH(D$3,Platts!$F$5:$M$5,0)+1,FALSE),D830)</f>
        <v>63.38</v>
      </c>
      <c r="E831" s="6">
        <f>IFERROR(VLOOKUP($B831,Platts!$E$5:$M$4994,MATCH(E$3,Platts!$F$5:$M$5,0)+1,FALSE),E830)</f>
        <v>53.83</v>
      </c>
      <c r="F831" s="6">
        <f>IFERROR(VLOOKUP($B831,Platts!$E$5:$M$4994,MATCH(F$3,Platts!$F$5:$M$5,0)+1,FALSE),F830)</f>
        <v>65.63</v>
      </c>
      <c r="G831" s="6">
        <f>IFERROR(VLOOKUP($B831,Platts!$E$5:$M$4994,MATCH(G$3,Platts!$F$5:$M$5,0)+1,FALSE),G830)</f>
        <v>67.540000000000006</v>
      </c>
      <c r="H831" s="6">
        <f>IFERROR(VLOOKUP($B831,Platts!$E$5:$M$4994,MATCH(H$3,Platts!$F$5:$M$5,0)+1,FALSE),H830)</f>
        <v>62.08</v>
      </c>
      <c r="I831" s="6">
        <f>IFERROR(VLOOKUP($B831,Platts!$E$5:$M$4994,MATCH(I$3,Platts!$F$5:$M$5,0)+1,FALSE),I830)</f>
        <v>65.13</v>
      </c>
      <c r="J831" s="6">
        <f t="shared" si="24"/>
        <v>7.4200000000000017</v>
      </c>
    </row>
    <row r="832" spans="2:10" x14ac:dyDescent="0.25">
      <c r="B832" s="5">
        <f t="shared" si="25"/>
        <v>43198</v>
      </c>
      <c r="C832" s="6">
        <f>IFERROR(VLOOKUP($B832,Platts!$E$5:$M$4994,MATCH(C$3,Platts!$F$5:$M$5,0)+1,FALSE),C831)</f>
        <v>54.66</v>
      </c>
      <c r="D832" s="6">
        <f>IFERROR(VLOOKUP($B832,Platts!$E$5:$M$4994,MATCH(D$3,Platts!$F$5:$M$5,0)+1,FALSE),D831)</f>
        <v>63.38</v>
      </c>
      <c r="E832" s="6">
        <f>IFERROR(VLOOKUP($B832,Platts!$E$5:$M$4994,MATCH(E$3,Platts!$F$5:$M$5,0)+1,FALSE),E831)</f>
        <v>53.83</v>
      </c>
      <c r="F832" s="6">
        <f>IFERROR(VLOOKUP($B832,Platts!$E$5:$M$4994,MATCH(F$3,Platts!$F$5:$M$5,0)+1,FALSE),F831)</f>
        <v>65.63</v>
      </c>
      <c r="G832" s="6">
        <f>IFERROR(VLOOKUP($B832,Platts!$E$5:$M$4994,MATCH(G$3,Platts!$F$5:$M$5,0)+1,FALSE),G831)</f>
        <v>67.540000000000006</v>
      </c>
      <c r="H832" s="6">
        <f>IFERROR(VLOOKUP($B832,Platts!$E$5:$M$4994,MATCH(H$3,Platts!$F$5:$M$5,0)+1,FALSE),H831)</f>
        <v>62.08</v>
      </c>
      <c r="I832" s="6">
        <f>IFERROR(VLOOKUP($B832,Platts!$E$5:$M$4994,MATCH(I$3,Platts!$F$5:$M$5,0)+1,FALSE),I831)</f>
        <v>65.13</v>
      </c>
      <c r="J832" s="6">
        <f t="shared" si="24"/>
        <v>7.4200000000000017</v>
      </c>
    </row>
    <row r="833" spans="2:10" x14ac:dyDescent="0.25">
      <c r="B833" s="5">
        <f t="shared" si="25"/>
        <v>43199</v>
      </c>
      <c r="C833" s="6">
        <f>IFERROR(VLOOKUP($B833,Platts!$E$5:$M$4994,MATCH(C$3,Platts!$F$5:$M$5,0)+1,FALSE),C832)</f>
        <v>55.59</v>
      </c>
      <c r="D833" s="6">
        <f>IFERROR(VLOOKUP($B833,Platts!$E$5:$M$4994,MATCH(D$3,Platts!$F$5:$M$5,0)+1,FALSE),D832)</f>
        <v>64.930000000000007</v>
      </c>
      <c r="E833" s="6">
        <f>IFERROR(VLOOKUP($B833,Platts!$E$5:$M$4994,MATCH(E$3,Platts!$F$5:$M$5,0)+1,FALSE),E832)</f>
        <v>55.15</v>
      </c>
      <c r="F833" s="6">
        <f>IFERROR(VLOOKUP($B833,Platts!$E$5:$M$4994,MATCH(F$3,Platts!$F$5:$M$5,0)+1,FALSE),F832)</f>
        <v>67.2</v>
      </c>
      <c r="G833" s="6">
        <f>IFERROR(VLOOKUP($B833,Platts!$E$5:$M$4994,MATCH(G$3,Platts!$F$5:$M$5,0)+1,FALSE),G832)</f>
        <v>68.69</v>
      </c>
      <c r="H833" s="6">
        <f>IFERROR(VLOOKUP($B833,Platts!$E$5:$M$4994,MATCH(H$3,Platts!$F$5:$M$5,0)+1,FALSE),H832)</f>
        <v>63.42</v>
      </c>
      <c r="I833" s="6">
        <f>IFERROR(VLOOKUP($B833,Platts!$E$5:$M$4994,MATCH(I$3,Platts!$F$5:$M$5,0)+1,FALSE),I832)</f>
        <v>66.52</v>
      </c>
      <c r="J833" s="6">
        <f t="shared" si="24"/>
        <v>7.8299999999999983</v>
      </c>
    </row>
    <row r="834" spans="2:10" x14ac:dyDescent="0.25">
      <c r="B834" s="5">
        <f t="shared" si="25"/>
        <v>43200</v>
      </c>
      <c r="C834" s="6">
        <f>IFERROR(VLOOKUP($B834,Platts!$E$5:$M$4994,MATCH(C$3,Platts!$F$5:$M$5,0)+1,FALSE),C833)</f>
        <v>57.2</v>
      </c>
      <c r="D834" s="6">
        <f>IFERROR(VLOOKUP($B834,Platts!$E$5:$M$4994,MATCH(D$3,Platts!$F$5:$M$5,0)+1,FALSE),D833)</f>
        <v>67.16</v>
      </c>
      <c r="E834" s="6">
        <f>IFERROR(VLOOKUP($B834,Platts!$E$5:$M$4994,MATCH(E$3,Platts!$F$5:$M$5,0)+1,FALSE),E833)</f>
        <v>56.88</v>
      </c>
      <c r="F834" s="6">
        <f>IFERROR(VLOOKUP($B834,Platts!$E$5:$M$4994,MATCH(F$3,Platts!$F$5:$M$5,0)+1,FALSE),F833)</f>
        <v>69.5</v>
      </c>
      <c r="G834" s="6">
        <f>IFERROR(VLOOKUP($B834,Platts!$E$5:$M$4994,MATCH(G$3,Platts!$F$5:$M$5,0)+1,FALSE),G833)</f>
        <v>70.81</v>
      </c>
      <c r="H834" s="6">
        <f>IFERROR(VLOOKUP($B834,Platts!$E$5:$M$4994,MATCH(H$3,Platts!$F$5:$M$5,0)+1,FALSE),H833)</f>
        <v>65.510000000000005</v>
      </c>
      <c r="I834" s="6">
        <f>IFERROR(VLOOKUP($B834,Platts!$E$5:$M$4994,MATCH(I$3,Platts!$F$5:$M$5,0)+1,FALSE),I833)</f>
        <v>68.709999999999994</v>
      </c>
      <c r="J834" s="6">
        <f t="shared" si="24"/>
        <v>8.3100000000000023</v>
      </c>
    </row>
    <row r="835" spans="2:10" x14ac:dyDescent="0.25">
      <c r="B835" s="5">
        <f t="shared" si="25"/>
        <v>43201</v>
      </c>
      <c r="C835" s="6">
        <f>IFERROR(VLOOKUP($B835,Platts!$E$5:$M$4994,MATCH(C$3,Platts!$F$5:$M$5,0)+1,FALSE),C834)</f>
        <v>58.74</v>
      </c>
      <c r="D835" s="6">
        <f>IFERROR(VLOOKUP($B835,Platts!$E$5:$M$4994,MATCH(D$3,Platts!$F$5:$M$5,0)+1,FALSE),D834)</f>
        <v>68.400000000000006</v>
      </c>
      <c r="E835" s="6">
        <f>IFERROR(VLOOKUP($B835,Platts!$E$5:$M$4994,MATCH(E$3,Platts!$F$5:$M$5,0)+1,FALSE),E834)</f>
        <v>57.92</v>
      </c>
      <c r="F835" s="6">
        <f>IFERROR(VLOOKUP($B835,Platts!$E$5:$M$4994,MATCH(F$3,Platts!$F$5:$M$5,0)+1,FALSE),F834)</f>
        <v>70.67</v>
      </c>
      <c r="G835" s="6">
        <f>IFERROR(VLOOKUP($B835,Platts!$E$5:$M$4994,MATCH(G$3,Platts!$F$5:$M$5,0)+1,FALSE),G834)</f>
        <v>72.66</v>
      </c>
      <c r="H835" s="6">
        <f>IFERROR(VLOOKUP($B835,Platts!$E$5:$M$4994,MATCH(H$3,Platts!$F$5:$M$5,0)+1,FALSE),H834)</f>
        <v>66.819999999999993</v>
      </c>
      <c r="I835" s="6">
        <f>IFERROR(VLOOKUP($B835,Platts!$E$5:$M$4994,MATCH(I$3,Platts!$F$5:$M$5,0)+1,FALSE),I834)</f>
        <v>70.12</v>
      </c>
      <c r="J835" s="6">
        <f t="shared" si="24"/>
        <v>8.0799999999999912</v>
      </c>
    </row>
    <row r="836" spans="2:10" x14ac:dyDescent="0.25">
      <c r="B836" s="5">
        <f t="shared" si="25"/>
        <v>43202</v>
      </c>
      <c r="C836" s="6">
        <f>IFERROR(VLOOKUP($B836,Platts!$E$5:$M$4994,MATCH(C$3,Platts!$F$5:$M$5,0)+1,FALSE),C835)</f>
        <v>58.69</v>
      </c>
      <c r="D836" s="6">
        <f>IFERROR(VLOOKUP($B836,Platts!$E$5:$M$4994,MATCH(D$3,Platts!$F$5:$M$5,0)+1,FALSE),D835)</f>
        <v>69.05</v>
      </c>
      <c r="E836" s="6">
        <f>IFERROR(VLOOKUP($B836,Platts!$E$5:$M$4994,MATCH(E$3,Platts!$F$5:$M$5,0)+1,FALSE),E835)</f>
        <v>58.62</v>
      </c>
      <c r="F836" s="6">
        <f>IFERROR(VLOOKUP($B836,Platts!$E$5:$M$4994,MATCH(F$3,Platts!$F$5:$M$5,0)+1,FALSE),F835)</f>
        <v>71.25</v>
      </c>
      <c r="G836" s="6">
        <f>IFERROR(VLOOKUP($B836,Platts!$E$5:$M$4994,MATCH(G$3,Platts!$F$5:$M$5,0)+1,FALSE),G835)</f>
        <v>71.59</v>
      </c>
      <c r="H836" s="6">
        <f>IFERROR(VLOOKUP($B836,Platts!$E$5:$M$4994,MATCH(H$3,Platts!$F$5:$M$5,0)+1,FALSE),H835)</f>
        <v>67.069999999999993</v>
      </c>
      <c r="I836" s="6">
        <f>IFERROR(VLOOKUP($B836,Platts!$E$5:$M$4994,MATCH(I$3,Platts!$F$5:$M$5,0)+1,FALSE),I835)</f>
        <v>70.319999999999993</v>
      </c>
      <c r="J836" s="6">
        <f t="shared" ref="J836:J899" si="26">H836-C836</f>
        <v>8.3799999999999955</v>
      </c>
    </row>
    <row r="837" spans="2:10" x14ac:dyDescent="0.25">
      <c r="B837" s="5">
        <f t="shared" si="25"/>
        <v>43203</v>
      </c>
      <c r="C837" s="6">
        <f>IFERROR(VLOOKUP($B837,Platts!$E$5:$M$4994,MATCH(C$3,Platts!$F$5:$M$5,0)+1,FALSE),C836)</f>
        <v>59.4</v>
      </c>
      <c r="D837" s="6">
        <f>IFERROR(VLOOKUP($B837,Platts!$E$5:$M$4994,MATCH(D$3,Platts!$F$5:$M$5,0)+1,FALSE),D836)</f>
        <v>69.290000000000006</v>
      </c>
      <c r="E837" s="6">
        <f>IFERROR(VLOOKUP($B837,Platts!$E$5:$M$4994,MATCH(E$3,Platts!$F$5:$M$5,0)+1,FALSE),E836)</f>
        <v>58.94</v>
      </c>
      <c r="F837" s="6">
        <f>IFERROR(VLOOKUP($B837,Platts!$E$5:$M$4994,MATCH(F$3,Platts!$F$5:$M$5,0)+1,FALSE),F836)</f>
        <v>71.510000000000005</v>
      </c>
      <c r="G837" s="6">
        <f>IFERROR(VLOOKUP($B837,Platts!$E$5:$M$4994,MATCH(G$3,Platts!$F$5:$M$5,0)+1,FALSE),G836)</f>
        <v>72.739999999999995</v>
      </c>
      <c r="H837" s="6">
        <f>IFERROR(VLOOKUP($B837,Platts!$E$5:$M$4994,MATCH(H$3,Platts!$F$5:$M$5,0)+1,FALSE),H836)</f>
        <v>67.430000000000007</v>
      </c>
      <c r="I837" s="6">
        <f>IFERROR(VLOOKUP($B837,Platts!$E$5:$M$4994,MATCH(I$3,Platts!$F$5:$M$5,0)+1,FALSE),I836)</f>
        <v>70.58</v>
      </c>
      <c r="J837" s="6">
        <f t="shared" si="26"/>
        <v>8.0300000000000082</v>
      </c>
    </row>
    <row r="838" spans="2:10" x14ac:dyDescent="0.25">
      <c r="B838" s="5">
        <f t="shared" ref="B838:B901" si="27">B837+1</f>
        <v>43204</v>
      </c>
      <c r="C838" s="6">
        <f>IFERROR(VLOOKUP($B838,Platts!$E$5:$M$4994,MATCH(C$3,Platts!$F$5:$M$5,0)+1,FALSE),C837)</f>
        <v>59.4</v>
      </c>
      <c r="D838" s="6">
        <f>IFERROR(VLOOKUP($B838,Platts!$E$5:$M$4994,MATCH(D$3,Platts!$F$5:$M$5,0)+1,FALSE),D837)</f>
        <v>69.290000000000006</v>
      </c>
      <c r="E838" s="6">
        <f>IFERROR(VLOOKUP($B838,Platts!$E$5:$M$4994,MATCH(E$3,Platts!$F$5:$M$5,0)+1,FALSE),E837)</f>
        <v>58.94</v>
      </c>
      <c r="F838" s="6">
        <f>IFERROR(VLOOKUP($B838,Platts!$E$5:$M$4994,MATCH(F$3,Platts!$F$5:$M$5,0)+1,FALSE),F837)</f>
        <v>71.510000000000005</v>
      </c>
      <c r="G838" s="6">
        <f>IFERROR(VLOOKUP($B838,Platts!$E$5:$M$4994,MATCH(G$3,Platts!$F$5:$M$5,0)+1,FALSE),G837)</f>
        <v>72.739999999999995</v>
      </c>
      <c r="H838" s="6">
        <f>IFERROR(VLOOKUP($B838,Platts!$E$5:$M$4994,MATCH(H$3,Platts!$F$5:$M$5,0)+1,FALSE),H837)</f>
        <v>67.430000000000007</v>
      </c>
      <c r="I838" s="6">
        <f>IFERROR(VLOOKUP($B838,Platts!$E$5:$M$4994,MATCH(I$3,Platts!$F$5:$M$5,0)+1,FALSE),I837)</f>
        <v>70.58</v>
      </c>
      <c r="J838" s="6">
        <f t="shared" si="26"/>
        <v>8.0300000000000082</v>
      </c>
    </row>
    <row r="839" spans="2:10" x14ac:dyDescent="0.25">
      <c r="B839" s="5">
        <f t="shared" si="27"/>
        <v>43205</v>
      </c>
      <c r="C839" s="6">
        <f>IFERROR(VLOOKUP($B839,Platts!$E$5:$M$4994,MATCH(C$3,Platts!$F$5:$M$5,0)+1,FALSE),C838)</f>
        <v>59.4</v>
      </c>
      <c r="D839" s="6">
        <f>IFERROR(VLOOKUP($B839,Platts!$E$5:$M$4994,MATCH(D$3,Platts!$F$5:$M$5,0)+1,FALSE),D838)</f>
        <v>69.290000000000006</v>
      </c>
      <c r="E839" s="6">
        <f>IFERROR(VLOOKUP($B839,Platts!$E$5:$M$4994,MATCH(E$3,Platts!$F$5:$M$5,0)+1,FALSE),E838)</f>
        <v>58.94</v>
      </c>
      <c r="F839" s="6">
        <f>IFERROR(VLOOKUP($B839,Platts!$E$5:$M$4994,MATCH(F$3,Platts!$F$5:$M$5,0)+1,FALSE),F838)</f>
        <v>71.510000000000005</v>
      </c>
      <c r="G839" s="6">
        <f>IFERROR(VLOOKUP($B839,Platts!$E$5:$M$4994,MATCH(G$3,Platts!$F$5:$M$5,0)+1,FALSE),G838)</f>
        <v>72.739999999999995</v>
      </c>
      <c r="H839" s="6">
        <f>IFERROR(VLOOKUP($B839,Platts!$E$5:$M$4994,MATCH(H$3,Platts!$F$5:$M$5,0)+1,FALSE),H838)</f>
        <v>67.430000000000007</v>
      </c>
      <c r="I839" s="6">
        <f>IFERROR(VLOOKUP($B839,Platts!$E$5:$M$4994,MATCH(I$3,Platts!$F$5:$M$5,0)+1,FALSE),I838)</f>
        <v>70.58</v>
      </c>
      <c r="J839" s="6">
        <f t="shared" si="26"/>
        <v>8.0300000000000082</v>
      </c>
    </row>
    <row r="840" spans="2:10" x14ac:dyDescent="0.25">
      <c r="B840" s="5">
        <f t="shared" si="27"/>
        <v>43206</v>
      </c>
      <c r="C840" s="6">
        <f>IFERROR(VLOOKUP($B840,Platts!$E$5:$M$4994,MATCH(C$3,Platts!$F$5:$M$5,0)+1,FALSE),C839)</f>
        <v>58.52</v>
      </c>
      <c r="D840" s="6">
        <f>IFERROR(VLOOKUP($B840,Platts!$E$5:$M$4994,MATCH(D$3,Platts!$F$5:$M$5,0)+1,FALSE),D839)</f>
        <v>68.53</v>
      </c>
      <c r="E840" s="6">
        <f>IFERROR(VLOOKUP($B840,Platts!$E$5:$M$4994,MATCH(E$3,Platts!$F$5:$M$5,0)+1,FALSE),E839)</f>
        <v>58.34</v>
      </c>
      <c r="F840" s="6">
        <f>IFERROR(VLOOKUP($B840,Platts!$E$5:$M$4994,MATCH(F$3,Platts!$F$5:$M$5,0)+1,FALSE),F839)</f>
        <v>70.73</v>
      </c>
      <c r="G840" s="6">
        <f>IFERROR(VLOOKUP($B840,Platts!$E$5:$M$4994,MATCH(G$3,Platts!$F$5:$M$5,0)+1,FALSE),G839)</f>
        <v>71.69</v>
      </c>
      <c r="H840" s="6">
        <f>IFERROR(VLOOKUP($B840,Platts!$E$5:$M$4994,MATCH(H$3,Platts!$F$5:$M$5,0)+1,FALSE),H839)</f>
        <v>66.22</v>
      </c>
      <c r="I840" s="6">
        <f>IFERROR(VLOOKUP($B840,Platts!$E$5:$M$4994,MATCH(I$3,Platts!$F$5:$M$5,0)+1,FALSE),I839)</f>
        <v>69.37</v>
      </c>
      <c r="J840" s="6">
        <f t="shared" si="26"/>
        <v>7.6999999999999957</v>
      </c>
    </row>
    <row r="841" spans="2:10" x14ac:dyDescent="0.25">
      <c r="B841" s="5">
        <f t="shared" si="27"/>
        <v>43207</v>
      </c>
      <c r="C841" s="6">
        <f>IFERROR(VLOOKUP($B841,Platts!$E$5:$M$4994,MATCH(C$3,Platts!$F$5:$M$5,0)+1,FALSE),C840)</f>
        <v>58.68</v>
      </c>
      <c r="D841" s="6">
        <f>IFERROR(VLOOKUP($B841,Platts!$E$5:$M$4994,MATCH(D$3,Platts!$F$5:$M$5,0)+1,FALSE),D840)</f>
        <v>68.97</v>
      </c>
      <c r="E841" s="6">
        <f>IFERROR(VLOOKUP($B841,Platts!$E$5:$M$4994,MATCH(E$3,Platts!$F$5:$M$5,0)+1,FALSE),E840)</f>
        <v>58.69</v>
      </c>
      <c r="F841" s="6">
        <f>IFERROR(VLOOKUP($B841,Platts!$E$5:$M$4994,MATCH(F$3,Platts!$F$5:$M$5,0)+1,FALSE),F840)</f>
        <v>71.099999999999994</v>
      </c>
      <c r="G841" s="6">
        <f>IFERROR(VLOOKUP($B841,Platts!$E$5:$M$4994,MATCH(G$3,Platts!$F$5:$M$5,0)+1,FALSE),G840)</f>
        <v>71.569999999999993</v>
      </c>
      <c r="H841" s="6">
        <f>IFERROR(VLOOKUP($B841,Platts!$E$5:$M$4994,MATCH(H$3,Platts!$F$5:$M$5,0)+1,FALSE),H840)</f>
        <v>66.52</v>
      </c>
      <c r="I841" s="6">
        <f>IFERROR(VLOOKUP($B841,Platts!$E$5:$M$4994,MATCH(I$3,Platts!$F$5:$M$5,0)+1,FALSE),I840)</f>
        <v>69.52</v>
      </c>
      <c r="J841" s="6">
        <f t="shared" si="26"/>
        <v>7.8399999999999963</v>
      </c>
    </row>
    <row r="842" spans="2:10" x14ac:dyDescent="0.25">
      <c r="B842" s="5">
        <f t="shared" si="27"/>
        <v>43208</v>
      </c>
      <c r="C842" s="6">
        <f>IFERROR(VLOOKUP($B842,Platts!$E$5:$M$4994,MATCH(C$3,Platts!$F$5:$M$5,0)+1,FALSE),C841)</f>
        <v>60.14</v>
      </c>
      <c r="D842" s="6">
        <f>IFERROR(VLOOKUP($B842,Platts!$E$5:$M$4994,MATCH(D$3,Platts!$F$5:$M$5,0)+1,FALSE),D841)</f>
        <v>70.930000000000007</v>
      </c>
      <c r="E842" s="6">
        <f>IFERROR(VLOOKUP($B842,Platts!$E$5:$M$4994,MATCH(E$3,Platts!$F$5:$M$5,0)+1,FALSE),E841)</f>
        <v>60.4</v>
      </c>
      <c r="F842" s="6">
        <f>IFERROR(VLOOKUP($B842,Platts!$E$5:$M$4994,MATCH(F$3,Platts!$F$5:$M$5,0)+1,FALSE),F841)</f>
        <v>73.09</v>
      </c>
      <c r="G842" s="6">
        <f>IFERROR(VLOOKUP($B842,Platts!$E$5:$M$4994,MATCH(G$3,Platts!$F$5:$M$5,0)+1,FALSE),G841)</f>
        <v>73.22</v>
      </c>
      <c r="H842" s="6">
        <f>IFERROR(VLOOKUP($B842,Platts!$E$5:$M$4994,MATCH(H$3,Platts!$F$5:$M$5,0)+1,FALSE),H841)</f>
        <v>68.5</v>
      </c>
      <c r="I842" s="6">
        <f>IFERROR(VLOOKUP($B842,Platts!$E$5:$M$4994,MATCH(I$3,Platts!$F$5:$M$5,0)+1,FALSE),I841)</f>
        <v>71.3</v>
      </c>
      <c r="J842" s="6">
        <f t="shared" si="26"/>
        <v>8.36</v>
      </c>
    </row>
    <row r="843" spans="2:10" x14ac:dyDescent="0.25">
      <c r="B843" s="5">
        <f t="shared" si="27"/>
        <v>43209</v>
      </c>
      <c r="C843" s="6">
        <f>IFERROR(VLOOKUP($B843,Platts!$E$5:$M$4994,MATCH(C$3,Platts!$F$5:$M$5,0)+1,FALSE),C842)</f>
        <v>60.85</v>
      </c>
      <c r="D843" s="6">
        <f>IFERROR(VLOOKUP($B843,Platts!$E$5:$M$4994,MATCH(D$3,Platts!$F$5:$M$5,0)+1,FALSE),D842)</f>
        <v>70.58</v>
      </c>
      <c r="E843" s="6">
        <f>IFERROR(VLOOKUP($B843,Platts!$E$5:$M$4994,MATCH(E$3,Platts!$F$5:$M$5,0)+1,FALSE),E842)</f>
        <v>60.12</v>
      </c>
      <c r="F843" s="6">
        <f>IFERROR(VLOOKUP($B843,Platts!$E$5:$M$4994,MATCH(F$3,Platts!$F$5:$M$5,0)+1,FALSE),F842)</f>
        <v>72.790000000000006</v>
      </c>
      <c r="G843" s="6">
        <f>IFERROR(VLOOKUP($B843,Platts!$E$5:$M$4994,MATCH(G$3,Platts!$F$5:$M$5,0)+1,FALSE),G842)</f>
        <v>74.77</v>
      </c>
      <c r="H843" s="6">
        <f>IFERROR(VLOOKUP($B843,Platts!$E$5:$M$4994,MATCH(H$3,Platts!$F$5:$M$5,0)+1,FALSE),H842)</f>
        <v>68.34</v>
      </c>
      <c r="I843" s="6">
        <f>IFERROR(VLOOKUP($B843,Platts!$E$5:$M$4994,MATCH(I$3,Platts!$F$5:$M$5,0)+1,FALSE),I842)</f>
        <v>71.239999999999995</v>
      </c>
      <c r="J843" s="6">
        <f t="shared" si="26"/>
        <v>7.490000000000002</v>
      </c>
    </row>
    <row r="844" spans="2:10" x14ac:dyDescent="0.25">
      <c r="B844" s="5">
        <f t="shared" si="27"/>
        <v>43210</v>
      </c>
      <c r="C844" s="6">
        <f>IFERROR(VLOOKUP($B844,Platts!$E$5:$M$4994,MATCH(C$3,Platts!$F$5:$M$5,0)+1,FALSE),C843)</f>
        <v>60.12</v>
      </c>
      <c r="D844" s="6">
        <f>IFERROR(VLOOKUP($B844,Platts!$E$5:$M$4994,MATCH(D$3,Platts!$F$5:$M$5,0)+1,FALSE),D843)</f>
        <v>70.58</v>
      </c>
      <c r="E844" s="6">
        <f>IFERROR(VLOOKUP($B844,Platts!$E$5:$M$4994,MATCH(E$3,Platts!$F$5:$M$5,0)+1,FALSE),E843)</f>
        <v>60.14</v>
      </c>
      <c r="F844" s="6">
        <f>IFERROR(VLOOKUP($B844,Platts!$E$5:$M$4994,MATCH(F$3,Platts!$F$5:$M$5,0)+1,FALSE),F843)</f>
        <v>72.819999999999993</v>
      </c>
      <c r="G844" s="6">
        <f>IFERROR(VLOOKUP($B844,Platts!$E$5:$M$4994,MATCH(G$3,Platts!$F$5:$M$5,0)+1,FALSE),G843)</f>
        <v>73.64</v>
      </c>
      <c r="H844" s="6">
        <f>IFERROR(VLOOKUP($B844,Platts!$E$5:$M$4994,MATCH(H$3,Platts!$F$5:$M$5,0)+1,FALSE),H843)</f>
        <v>68.41</v>
      </c>
      <c r="I844" s="6">
        <f>IFERROR(VLOOKUP($B844,Platts!$E$5:$M$4994,MATCH(I$3,Platts!$F$5:$M$5,0)+1,FALSE),I843)</f>
        <v>71.31</v>
      </c>
      <c r="J844" s="6">
        <f t="shared" si="26"/>
        <v>8.2899999999999991</v>
      </c>
    </row>
    <row r="845" spans="2:10" x14ac:dyDescent="0.25">
      <c r="B845" s="5">
        <f t="shared" si="27"/>
        <v>43211</v>
      </c>
      <c r="C845" s="6">
        <f>IFERROR(VLOOKUP($B845,Platts!$E$5:$M$4994,MATCH(C$3,Platts!$F$5:$M$5,0)+1,FALSE),C844)</f>
        <v>60.12</v>
      </c>
      <c r="D845" s="6">
        <f>IFERROR(VLOOKUP($B845,Platts!$E$5:$M$4994,MATCH(D$3,Platts!$F$5:$M$5,0)+1,FALSE),D844)</f>
        <v>70.58</v>
      </c>
      <c r="E845" s="6">
        <f>IFERROR(VLOOKUP($B845,Platts!$E$5:$M$4994,MATCH(E$3,Platts!$F$5:$M$5,0)+1,FALSE),E844)</f>
        <v>60.14</v>
      </c>
      <c r="F845" s="6">
        <f>IFERROR(VLOOKUP($B845,Platts!$E$5:$M$4994,MATCH(F$3,Platts!$F$5:$M$5,0)+1,FALSE),F844)</f>
        <v>72.819999999999993</v>
      </c>
      <c r="G845" s="6">
        <f>IFERROR(VLOOKUP($B845,Platts!$E$5:$M$4994,MATCH(G$3,Platts!$F$5:$M$5,0)+1,FALSE),G844)</f>
        <v>73.64</v>
      </c>
      <c r="H845" s="6">
        <f>IFERROR(VLOOKUP($B845,Platts!$E$5:$M$4994,MATCH(H$3,Platts!$F$5:$M$5,0)+1,FALSE),H844)</f>
        <v>68.41</v>
      </c>
      <c r="I845" s="6">
        <f>IFERROR(VLOOKUP($B845,Platts!$E$5:$M$4994,MATCH(I$3,Platts!$F$5:$M$5,0)+1,FALSE),I844)</f>
        <v>71.31</v>
      </c>
      <c r="J845" s="6">
        <f t="shared" si="26"/>
        <v>8.2899999999999991</v>
      </c>
    </row>
    <row r="846" spans="2:10" x14ac:dyDescent="0.25">
      <c r="B846" s="5">
        <f t="shared" si="27"/>
        <v>43212</v>
      </c>
      <c r="C846" s="6">
        <f>IFERROR(VLOOKUP($B846,Platts!$E$5:$M$4994,MATCH(C$3,Platts!$F$5:$M$5,0)+1,FALSE),C845)</f>
        <v>60.12</v>
      </c>
      <c r="D846" s="6">
        <f>IFERROR(VLOOKUP($B846,Platts!$E$5:$M$4994,MATCH(D$3,Platts!$F$5:$M$5,0)+1,FALSE),D845)</f>
        <v>70.58</v>
      </c>
      <c r="E846" s="6">
        <f>IFERROR(VLOOKUP($B846,Platts!$E$5:$M$4994,MATCH(E$3,Platts!$F$5:$M$5,0)+1,FALSE),E845)</f>
        <v>60.14</v>
      </c>
      <c r="F846" s="6">
        <f>IFERROR(VLOOKUP($B846,Platts!$E$5:$M$4994,MATCH(F$3,Platts!$F$5:$M$5,0)+1,FALSE),F845)</f>
        <v>72.819999999999993</v>
      </c>
      <c r="G846" s="6">
        <f>IFERROR(VLOOKUP($B846,Platts!$E$5:$M$4994,MATCH(G$3,Platts!$F$5:$M$5,0)+1,FALSE),G845)</f>
        <v>73.64</v>
      </c>
      <c r="H846" s="6">
        <f>IFERROR(VLOOKUP($B846,Platts!$E$5:$M$4994,MATCH(H$3,Platts!$F$5:$M$5,0)+1,FALSE),H845)</f>
        <v>68.41</v>
      </c>
      <c r="I846" s="6">
        <f>IFERROR(VLOOKUP($B846,Platts!$E$5:$M$4994,MATCH(I$3,Platts!$F$5:$M$5,0)+1,FALSE),I845)</f>
        <v>71.31</v>
      </c>
      <c r="J846" s="6">
        <f t="shared" si="26"/>
        <v>8.2899999999999991</v>
      </c>
    </row>
    <row r="847" spans="2:10" x14ac:dyDescent="0.25">
      <c r="B847" s="5">
        <f t="shared" si="27"/>
        <v>43213</v>
      </c>
      <c r="C847" s="6">
        <f>IFERROR(VLOOKUP($B847,Platts!$E$5:$M$4994,MATCH(C$3,Platts!$F$5:$M$5,0)+1,FALSE),C846)</f>
        <v>60.33</v>
      </c>
      <c r="D847" s="6">
        <f>IFERROR(VLOOKUP($B847,Platts!$E$5:$M$4994,MATCH(D$3,Platts!$F$5:$M$5,0)+1,FALSE),D846)</f>
        <v>70.41</v>
      </c>
      <c r="E847" s="6">
        <f>IFERROR(VLOOKUP($B847,Platts!$E$5:$M$4994,MATCH(E$3,Platts!$F$5:$M$5,0)+1,FALSE),E846)</f>
        <v>59.86</v>
      </c>
      <c r="F847" s="6">
        <f>IFERROR(VLOOKUP($B847,Platts!$E$5:$M$4994,MATCH(F$3,Platts!$F$5:$M$5,0)+1,FALSE),F846)</f>
        <v>72.77</v>
      </c>
      <c r="G847" s="6">
        <f>IFERROR(VLOOKUP($B847,Platts!$E$5:$M$4994,MATCH(G$3,Platts!$F$5:$M$5,0)+1,FALSE),G846)</f>
        <v>74.150000000000006</v>
      </c>
      <c r="H847" s="6">
        <f>IFERROR(VLOOKUP($B847,Platts!$E$5:$M$4994,MATCH(H$3,Platts!$F$5:$M$5,0)+1,FALSE),H846)</f>
        <v>68.5</v>
      </c>
      <c r="I847" s="6">
        <f>IFERROR(VLOOKUP($B847,Platts!$E$5:$M$4994,MATCH(I$3,Platts!$F$5:$M$5,0)+1,FALSE),I846)</f>
        <v>71.7</v>
      </c>
      <c r="J847" s="6">
        <f t="shared" si="26"/>
        <v>8.1700000000000017</v>
      </c>
    </row>
    <row r="848" spans="2:10" x14ac:dyDescent="0.25">
      <c r="B848" s="5">
        <f t="shared" si="27"/>
        <v>43214</v>
      </c>
      <c r="C848" s="6">
        <f>IFERROR(VLOOKUP($B848,Platts!$E$5:$M$4994,MATCH(C$3,Platts!$F$5:$M$5,0)+1,FALSE),C847)</f>
        <v>60.02</v>
      </c>
      <c r="D848" s="6">
        <f>IFERROR(VLOOKUP($B848,Platts!$E$5:$M$4994,MATCH(D$3,Platts!$F$5:$M$5,0)+1,FALSE),D847)</f>
        <v>68.349999999999994</v>
      </c>
      <c r="E848" s="6">
        <f>IFERROR(VLOOKUP($B848,Platts!$E$5:$M$4994,MATCH(E$3,Platts!$F$5:$M$5,0)+1,FALSE),E847)</f>
        <v>58.38</v>
      </c>
      <c r="F848" s="6">
        <f>IFERROR(VLOOKUP($B848,Platts!$E$5:$M$4994,MATCH(F$3,Platts!$F$5:$M$5,0)+1,FALSE),F847)</f>
        <v>70.87</v>
      </c>
      <c r="G848" s="6">
        <f>IFERROR(VLOOKUP($B848,Platts!$E$5:$M$4994,MATCH(G$3,Platts!$F$5:$M$5,0)+1,FALSE),G847)</f>
        <v>75.11</v>
      </c>
      <c r="H848" s="6">
        <f>IFERROR(VLOOKUP($B848,Platts!$E$5:$M$4994,MATCH(H$3,Platts!$F$5:$M$5,0)+1,FALSE),H847)</f>
        <v>67.66</v>
      </c>
      <c r="I848" s="6">
        <f>IFERROR(VLOOKUP($B848,Platts!$E$5:$M$4994,MATCH(I$3,Platts!$F$5:$M$5,0)+1,FALSE),I847)</f>
        <v>70.86</v>
      </c>
      <c r="J848" s="6">
        <f t="shared" si="26"/>
        <v>7.6399999999999935</v>
      </c>
    </row>
    <row r="849" spans="2:10" x14ac:dyDescent="0.25">
      <c r="B849" s="5">
        <f t="shared" si="27"/>
        <v>43215</v>
      </c>
      <c r="C849" s="6">
        <f>IFERROR(VLOOKUP($B849,Platts!$E$5:$M$4994,MATCH(C$3,Platts!$F$5:$M$5,0)+1,FALSE),C848)</f>
        <v>60.09</v>
      </c>
      <c r="D849" s="6">
        <f>IFERROR(VLOOKUP($B849,Platts!$E$5:$M$4994,MATCH(D$3,Platts!$F$5:$M$5,0)+1,FALSE),D848)</f>
        <v>69.489999999999995</v>
      </c>
      <c r="E849" s="6">
        <f>IFERROR(VLOOKUP($B849,Platts!$E$5:$M$4994,MATCH(E$3,Platts!$F$5:$M$5,0)+1,FALSE),E848)</f>
        <v>59.03</v>
      </c>
      <c r="F849" s="6">
        <f>IFERROR(VLOOKUP($B849,Platts!$E$5:$M$4994,MATCH(F$3,Platts!$F$5:$M$5,0)+1,FALSE),F848)</f>
        <v>71.790000000000006</v>
      </c>
      <c r="G849" s="6">
        <f>IFERROR(VLOOKUP($B849,Platts!$E$5:$M$4994,MATCH(G$3,Platts!$F$5:$M$5,0)+1,FALSE),G848)</f>
        <v>73.900000000000006</v>
      </c>
      <c r="H849" s="6">
        <f>IFERROR(VLOOKUP($B849,Platts!$E$5:$M$4994,MATCH(H$3,Platts!$F$5:$M$5,0)+1,FALSE),H848)</f>
        <v>68.06</v>
      </c>
      <c r="I849" s="6">
        <f>IFERROR(VLOOKUP($B849,Platts!$E$5:$M$4994,MATCH(I$3,Platts!$F$5:$M$5,0)+1,FALSE),I848)</f>
        <v>71.510000000000005</v>
      </c>
      <c r="J849" s="6">
        <f t="shared" si="26"/>
        <v>7.9699999999999989</v>
      </c>
    </row>
    <row r="850" spans="2:10" x14ac:dyDescent="0.25">
      <c r="B850" s="5">
        <f t="shared" si="27"/>
        <v>43216</v>
      </c>
      <c r="C850" s="6">
        <f>IFERROR(VLOOKUP($B850,Platts!$E$5:$M$4994,MATCH(C$3,Platts!$F$5:$M$5,0)+1,FALSE),C849)</f>
        <v>60.7</v>
      </c>
      <c r="D850" s="6">
        <f>IFERROR(VLOOKUP($B850,Platts!$E$5:$M$4994,MATCH(D$3,Platts!$F$5:$M$5,0)+1,FALSE),D849)</f>
        <v>69.97</v>
      </c>
      <c r="E850" s="6">
        <f>IFERROR(VLOOKUP($B850,Platts!$E$5:$M$4994,MATCH(E$3,Platts!$F$5:$M$5,0)+1,FALSE),E849)</f>
        <v>59.81</v>
      </c>
      <c r="F850" s="6">
        <f>IFERROR(VLOOKUP($B850,Platts!$E$5:$M$4994,MATCH(F$3,Platts!$F$5:$M$5,0)+1,FALSE),F849)</f>
        <v>72.33</v>
      </c>
      <c r="G850" s="6">
        <f>IFERROR(VLOOKUP($B850,Platts!$E$5:$M$4994,MATCH(G$3,Platts!$F$5:$M$5,0)+1,FALSE),G849)</f>
        <v>74.709999999999994</v>
      </c>
      <c r="H850" s="6">
        <f>IFERROR(VLOOKUP($B850,Platts!$E$5:$M$4994,MATCH(H$3,Platts!$F$5:$M$5,0)+1,FALSE),H849)</f>
        <v>68.19</v>
      </c>
      <c r="I850" s="6">
        <f>IFERROR(VLOOKUP($B850,Platts!$E$5:$M$4994,MATCH(I$3,Platts!$F$5:$M$5,0)+1,FALSE),I849)</f>
        <v>71.489999999999995</v>
      </c>
      <c r="J850" s="6">
        <f t="shared" si="26"/>
        <v>7.4899999999999949</v>
      </c>
    </row>
    <row r="851" spans="2:10" x14ac:dyDescent="0.25">
      <c r="B851" s="5">
        <f t="shared" si="27"/>
        <v>43217</v>
      </c>
      <c r="C851" s="6">
        <f>IFERROR(VLOOKUP($B851,Platts!$E$5:$M$4994,MATCH(C$3,Platts!$F$5:$M$5,0)+1,FALSE),C850)</f>
        <v>60.89</v>
      </c>
      <c r="D851" s="6">
        <f>IFERROR(VLOOKUP($B851,Platts!$E$5:$M$4994,MATCH(D$3,Platts!$F$5:$M$5,0)+1,FALSE),D850)</f>
        <v>70.02</v>
      </c>
      <c r="E851" s="6">
        <f>IFERROR(VLOOKUP($B851,Platts!$E$5:$M$4994,MATCH(E$3,Platts!$F$5:$M$5,0)+1,FALSE),E850)</f>
        <v>60.2</v>
      </c>
      <c r="F851" s="6">
        <f>IFERROR(VLOOKUP($B851,Platts!$E$5:$M$4994,MATCH(F$3,Platts!$F$5:$M$5,0)+1,FALSE),F850)</f>
        <v>72.33</v>
      </c>
      <c r="G851" s="6">
        <f>IFERROR(VLOOKUP($B851,Platts!$E$5:$M$4994,MATCH(G$3,Platts!$F$5:$M$5,0)+1,FALSE),G850)</f>
        <v>74.64</v>
      </c>
      <c r="H851" s="6">
        <f>IFERROR(VLOOKUP($B851,Platts!$E$5:$M$4994,MATCH(H$3,Platts!$F$5:$M$5,0)+1,FALSE),H850)</f>
        <v>68.099999999999994</v>
      </c>
      <c r="I851" s="6">
        <f>IFERROR(VLOOKUP($B851,Platts!$E$5:$M$4994,MATCH(I$3,Platts!$F$5:$M$5,0)+1,FALSE),I850)</f>
        <v>71.55</v>
      </c>
      <c r="J851" s="6">
        <f t="shared" si="26"/>
        <v>7.2099999999999937</v>
      </c>
    </row>
    <row r="852" spans="2:10" x14ac:dyDescent="0.25">
      <c r="B852" s="5">
        <f t="shared" si="27"/>
        <v>43218</v>
      </c>
      <c r="C852" s="6">
        <f>IFERROR(VLOOKUP($B852,Platts!$E$5:$M$4994,MATCH(C$3,Platts!$F$5:$M$5,0)+1,FALSE),C851)</f>
        <v>60.89</v>
      </c>
      <c r="D852" s="6">
        <f>IFERROR(VLOOKUP($B852,Platts!$E$5:$M$4994,MATCH(D$3,Platts!$F$5:$M$5,0)+1,FALSE),D851)</f>
        <v>70.02</v>
      </c>
      <c r="E852" s="6">
        <f>IFERROR(VLOOKUP($B852,Platts!$E$5:$M$4994,MATCH(E$3,Platts!$F$5:$M$5,0)+1,FALSE),E851)</f>
        <v>60.2</v>
      </c>
      <c r="F852" s="6">
        <f>IFERROR(VLOOKUP($B852,Platts!$E$5:$M$4994,MATCH(F$3,Platts!$F$5:$M$5,0)+1,FALSE),F851)</f>
        <v>72.33</v>
      </c>
      <c r="G852" s="6">
        <f>IFERROR(VLOOKUP($B852,Platts!$E$5:$M$4994,MATCH(G$3,Platts!$F$5:$M$5,0)+1,FALSE),G851)</f>
        <v>74.64</v>
      </c>
      <c r="H852" s="6">
        <f>IFERROR(VLOOKUP($B852,Platts!$E$5:$M$4994,MATCH(H$3,Platts!$F$5:$M$5,0)+1,FALSE),H851)</f>
        <v>68.099999999999994</v>
      </c>
      <c r="I852" s="6">
        <f>IFERROR(VLOOKUP($B852,Platts!$E$5:$M$4994,MATCH(I$3,Platts!$F$5:$M$5,0)+1,FALSE),I851)</f>
        <v>71.55</v>
      </c>
      <c r="J852" s="6">
        <f t="shared" si="26"/>
        <v>7.2099999999999937</v>
      </c>
    </row>
    <row r="853" spans="2:10" x14ac:dyDescent="0.25">
      <c r="B853" s="5">
        <f t="shared" si="27"/>
        <v>43219</v>
      </c>
      <c r="C853" s="6">
        <f>IFERROR(VLOOKUP($B853,Platts!$E$5:$M$4994,MATCH(C$3,Platts!$F$5:$M$5,0)+1,FALSE),C852)</f>
        <v>60.89</v>
      </c>
      <c r="D853" s="6">
        <f>IFERROR(VLOOKUP($B853,Platts!$E$5:$M$4994,MATCH(D$3,Platts!$F$5:$M$5,0)+1,FALSE),D852)</f>
        <v>70.02</v>
      </c>
      <c r="E853" s="6">
        <f>IFERROR(VLOOKUP($B853,Platts!$E$5:$M$4994,MATCH(E$3,Platts!$F$5:$M$5,0)+1,FALSE),E852)</f>
        <v>60.2</v>
      </c>
      <c r="F853" s="6">
        <f>IFERROR(VLOOKUP($B853,Platts!$E$5:$M$4994,MATCH(F$3,Platts!$F$5:$M$5,0)+1,FALSE),F852)</f>
        <v>72.33</v>
      </c>
      <c r="G853" s="6">
        <f>IFERROR(VLOOKUP($B853,Platts!$E$5:$M$4994,MATCH(G$3,Platts!$F$5:$M$5,0)+1,FALSE),G852)</f>
        <v>74.64</v>
      </c>
      <c r="H853" s="6">
        <f>IFERROR(VLOOKUP($B853,Platts!$E$5:$M$4994,MATCH(H$3,Platts!$F$5:$M$5,0)+1,FALSE),H852)</f>
        <v>68.099999999999994</v>
      </c>
      <c r="I853" s="6">
        <f>IFERROR(VLOOKUP($B853,Platts!$E$5:$M$4994,MATCH(I$3,Platts!$F$5:$M$5,0)+1,FALSE),I852)</f>
        <v>71.55</v>
      </c>
      <c r="J853" s="6">
        <f t="shared" si="26"/>
        <v>7.2099999999999937</v>
      </c>
    </row>
    <row r="854" spans="2:10" x14ac:dyDescent="0.25">
      <c r="B854" s="5">
        <f t="shared" si="27"/>
        <v>43220</v>
      </c>
      <c r="C854" s="6">
        <f>IFERROR(VLOOKUP($B854,Platts!$E$5:$M$4994,MATCH(C$3,Platts!$F$5:$M$5,0)+1,FALSE),C853)</f>
        <v>61.35</v>
      </c>
      <c r="D854" s="6">
        <f>IFERROR(VLOOKUP($B854,Platts!$E$5:$M$4994,MATCH(D$3,Platts!$F$5:$M$5,0)+1,FALSE),D853)</f>
        <v>70.73</v>
      </c>
      <c r="E854" s="6">
        <f>IFERROR(VLOOKUP($B854,Platts!$E$5:$M$4994,MATCH(E$3,Platts!$F$5:$M$5,0)+1,FALSE),E853)</f>
        <v>60.69</v>
      </c>
      <c r="F854" s="6">
        <f>IFERROR(VLOOKUP($B854,Platts!$E$5:$M$4994,MATCH(F$3,Platts!$F$5:$M$5,0)+1,FALSE),F853)</f>
        <v>73.06</v>
      </c>
      <c r="G854" s="6">
        <f>IFERROR(VLOOKUP($B854,Platts!$E$5:$M$4994,MATCH(G$3,Platts!$F$5:$M$5,0)+1,FALSE),G853)</f>
        <v>74.900000000000006</v>
      </c>
      <c r="H854" s="6">
        <f>IFERROR(VLOOKUP($B854,Platts!$E$5:$M$4994,MATCH(H$3,Platts!$F$5:$M$5,0)+1,FALSE),H853)</f>
        <v>68.599999999999994</v>
      </c>
      <c r="I854" s="6">
        <f>IFERROR(VLOOKUP($B854,Platts!$E$5:$M$4994,MATCH(I$3,Platts!$F$5:$M$5,0)+1,FALSE),I853)</f>
        <v>72.5</v>
      </c>
      <c r="J854" s="6">
        <f t="shared" si="26"/>
        <v>7.2499999999999929</v>
      </c>
    </row>
    <row r="855" spans="2:10" x14ac:dyDescent="0.25">
      <c r="B855" s="5">
        <f t="shared" si="27"/>
        <v>43221</v>
      </c>
      <c r="C855" s="6">
        <f>IFERROR(VLOOKUP($B855,Platts!$E$5:$M$4994,MATCH(C$3,Platts!$F$5:$M$5,0)+1,FALSE),C854)</f>
        <v>61.21</v>
      </c>
      <c r="D855" s="6">
        <f>IFERROR(VLOOKUP($B855,Platts!$E$5:$M$4994,MATCH(D$3,Platts!$F$5:$M$5,0)+1,FALSE),D854)</f>
        <v>71</v>
      </c>
      <c r="E855" s="6">
        <f>IFERROR(VLOOKUP($B855,Platts!$E$5:$M$4994,MATCH(E$3,Platts!$F$5:$M$5,0)+1,FALSE),E854)</f>
        <v>61.5</v>
      </c>
      <c r="F855" s="6">
        <f>IFERROR(VLOOKUP($B855,Platts!$E$5:$M$4994,MATCH(F$3,Platts!$F$5:$M$5,0)+1,FALSE),F854)</f>
        <v>72.989999999999995</v>
      </c>
      <c r="G855" s="6">
        <f>IFERROR(VLOOKUP($B855,Platts!$E$5:$M$4994,MATCH(G$3,Platts!$F$5:$M$5,0)+1,FALSE),G854)</f>
        <v>73.8</v>
      </c>
      <c r="H855" s="6">
        <f>IFERROR(VLOOKUP($B855,Platts!$E$5:$M$4994,MATCH(H$3,Platts!$F$5:$M$5,0)+1,FALSE),H854)</f>
        <v>67.25</v>
      </c>
      <c r="I855" s="6">
        <f>IFERROR(VLOOKUP($B855,Platts!$E$5:$M$4994,MATCH(I$3,Platts!$F$5:$M$5,0)+1,FALSE),I854)</f>
        <v>71.05</v>
      </c>
      <c r="J855" s="6">
        <f t="shared" si="26"/>
        <v>6.0399999999999991</v>
      </c>
    </row>
    <row r="856" spans="2:10" x14ac:dyDescent="0.25">
      <c r="B856" s="5">
        <f t="shared" si="27"/>
        <v>43222</v>
      </c>
      <c r="C856" s="6">
        <f>IFERROR(VLOOKUP($B856,Platts!$E$5:$M$4994,MATCH(C$3,Platts!$F$5:$M$5,0)+1,FALSE),C855)</f>
        <v>60.19</v>
      </c>
      <c r="D856" s="6">
        <f>IFERROR(VLOOKUP($B856,Platts!$E$5:$M$4994,MATCH(D$3,Platts!$F$5:$M$5,0)+1,FALSE),D855)</f>
        <v>70.209999999999994</v>
      </c>
      <c r="E856" s="6">
        <f>IFERROR(VLOOKUP($B856,Platts!$E$5:$M$4994,MATCH(E$3,Platts!$F$5:$M$5,0)+1,FALSE),E855)</f>
        <v>60.49</v>
      </c>
      <c r="F856" s="6">
        <f>IFERROR(VLOOKUP($B856,Platts!$E$5:$M$4994,MATCH(F$3,Platts!$F$5:$M$5,0)+1,FALSE),F855)</f>
        <v>72.27</v>
      </c>
      <c r="G856" s="6">
        <f>IFERROR(VLOOKUP($B856,Platts!$E$5:$M$4994,MATCH(G$3,Platts!$F$5:$M$5,0)+1,FALSE),G855)</f>
        <v>72.709999999999994</v>
      </c>
      <c r="H856" s="6">
        <f>IFERROR(VLOOKUP($B856,Platts!$E$5:$M$4994,MATCH(H$3,Platts!$F$5:$M$5,0)+1,FALSE),H855)</f>
        <v>67.930000000000007</v>
      </c>
      <c r="I856" s="6">
        <f>IFERROR(VLOOKUP($B856,Platts!$E$5:$M$4994,MATCH(I$3,Platts!$F$5:$M$5,0)+1,FALSE),I855)</f>
        <v>71.53</v>
      </c>
      <c r="J856" s="6">
        <f t="shared" si="26"/>
        <v>7.7400000000000091</v>
      </c>
    </row>
    <row r="857" spans="2:10" x14ac:dyDescent="0.25">
      <c r="B857" s="5">
        <f t="shared" si="27"/>
        <v>43223</v>
      </c>
      <c r="C857" s="6">
        <f>IFERROR(VLOOKUP($B857,Platts!$E$5:$M$4994,MATCH(C$3,Platts!$F$5:$M$5,0)+1,FALSE),C856)</f>
        <v>59.9</v>
      </c>
      <c r="D857" s="6">
        <f>IFERROR(VLOOKUP($B857,Platts!$E$5:$M$4994,MATCH(D$3,Platts!$F$5:$M$5,0)+1,FALSE),D856)</f>
        <v>69.66</v>
      </c>
      <c r="E857" s="6">
        <f>IFERROR(VLOOKUP($B857,Platts!$E$5:$M$4994,MATCH(E$3,Platts!$F$5:$M$5,0)+1,FALSE),E856)</f>
        <v>59.44</v>
      </c>
      <c r="F857" s="6">
        <f>IFERROR(VLOOKUP($B857,Platts!$E$5:$M$4994,MATCH(F$3,Platts!$F$5:$M$5,0)+1,FALSE),F856)</f>
        <v>71.89</v>
      </c>
      <c r="G857" s="6">
        <f>IFERROR(VLOOKUP($B857,Platts!$E$5:$M$4994,MATCH(G$3,Platts!$F$5:$M$5,0)+1,FALSE),G856)</f>
        <v>73.23</v>
      </c>
      <c r="H857" s="6">
        <f>IFERROR(VLOOKUP($B857,Platts!$E$5:$M$4994,MATCH(H$3,Platts!$F$5:$M$5,0)+1,FALSE),H856)</f>
        <v>68.430000000000007</v>
      </c>
      <c r="I857" s="6">
        <f>IFERROR(VLOOKUP($B857,Platts!$E$5:$M$4994,MATCH(I$3,Platts!$F$5:$M$5,0)+1,FALSE),I856)</f>
        <v>72.03</v>
      </c>
      <c r="J857" s="6">
        <f t="shared" si="26"/>
        <v>8.5300000000000082</v>
      </c>
    </row>
    <row r="858" spans="2:10" x14ac:dyDescent="0.25">
      <c r="B858" s="5">
        <f t="shared" si="27"/>
        <v>43224</v>
      </c>
      <c r="C858" s="6">
        <f>IFERROR(VLOOKUP($B858,Platts!$E$5:$M$4994,MATCH(C$3,Platts!$F$5:$M$5,0)+1,FALSE),C857)</f>
        <v>60.64</v>
      </c>
      <c r="D858" s="6">
        <f>IFERROR(VLOOKUP($B858,Platts!$E$5:$M$4994,MATCH(D$3,Platts!$F$5:$M$5,0)+1,FALSE),D857)</f>
        <v>70.72</v>
      </c>
      <c r="E858" s="6">
        <f>IFERROR(VLOOKUP($B858,Platts!$E$5:$M$4994,MATCH(E$3,Platts!$F$5:$M$5,0)+1,FALSE),E857)</f>
        <v>60.64</v>
      </c>
      <c r="F858" s="6">
        <f>IFERROR(VLOOKUP($B858,Platts!$E$5:$M$4994,MATCH(F$3,Platts!$F$5:$M$5,0)+1,FALSE),F857)</f>
        <v>72.989999999999995</v>
      </c>
      <c r="G858" s="6">
        <f>IFERROR(VLOOKUP($B858,Platts!$E$5:$M$4994,MATCH(G$3,Platts!$F$5:$M$5,0)+1,FALSE),G857)</f>
        <v>74.23</v>
      </c>
      <c r="H858" s="6">
        <f>IFERROR(VLOOKUP($B858,Platts!$E$5:$M$4994,MATCH(H$3,Platts!$F$5:$M$5,0)+1,FALSE),H857)</f>
        <v>69.73</v>
      </c>
      <c r="I858" s="6">
        <f>IFERROR(VLOOKUP($B858,Platts!$E$5:$M$4994,MATCH(I$3,Platts!$F$5:$M$5,0)+1,FALSE),I857)</f>
        <v>73.23</v>
      </c>
      <c r="J858" s="6">
        <f t="shared" si="26"/>
        <v>9.0900000000000034</v>
      </c>
    </row>
    <row r="859" spans="2:10" x14ac:dyDescent="0.25">
      <c r="B859" s="5">
        <f t="shared" si="27"/>
        <v>43225</v>
      </c>
      <c r="C859" s="6">
        <f>IFERROR(VLOOKUP($B859,Platts!$E$5:$M$4994,MATCH(C$3,Platts!$F$5:$M$5,0)+1,FALSE),C858)</f>
        <v>60.64</v>
      </c>
      <c r="D859" s="6">
        <f>IFERROR(VLOOKUP($B859,Platts!$E$5:$M$4994,MATCH(D$3,Platts!$F$5:$M$5,0)+1,FALSE),D858)</f>
        <v>70.72</v>
      </c>
      <c r="E859" s="6">
        <f>IFERROR(VLOOKUP($B859,Platts!$E$5:$M$4994,MATCH(E$3,Platts!$F$5:$M$5,0)+1,FALSE),E858)</f>
        <v>60.64</v>
      </c>
      <c r="F859" s="6">
        <f>IFERROR(VLOOKUP($B859,Platts!$E$5:$M$4994,MATCH(F$3,Platts!$F$5:$M$5,0)+1,FALSE),F858)</f>
        <v>72.989999999999995</v>
      </c>
      <c r="G859" s="6">
        <f>IFERROR(VLOOKUP($B859,Platts!$E$5:$M$4994,MATCH(G$3,Platts!$F$5:$M$5,0)+1,FALSE),G858)</f>
        <v>74.23</v>
      </c>
      <c r="H859" s="6">
        <f>IFERROR(VLOOKUP($B859,Platts!$E$5:$M$4994,MATCH(H$3,Platts!$F$5:$M$5,0)+1,FALSE),H858)</f>
        <v>69.73</v>
      </c>
      <c r="I859" s="6">
        <f>IFERROR(VLOOKUP($B859,Platts!$E$5:$M$4994,MATCH(I$3,Platts!$F$5:$M$5,0)+1,FALSE),I858)</f>
        <v>73.23</v>
      </c>
      <c r="J859" s="6">
        <f t="shared" si="26"/>
        <v>9.0900000000000034</v>
      </c>
    </row>
    <row r="860" spans="2:10" x14ac:dyDescent="0.25">
      <c r="B860" s="5">
        <f t="shared" si="27"/>
        <v>43226</v>
      </c>
      <c r="C860" s="6">
        <f>IFERROR(VLOOKUP($B860,Platts!$E$5:$M$4994,MATCH(C$3,Platts!$F$5:$M$5,0)+1,FALSE),C859)</f>
        <v>60.64</v>
      </c>
      <c r="D860" s="6">
        <f>IFERROR(VLOOKUP($B860,Platts!$E$5:$M$4994,MATCH(D$3,Platts!$F$5:$M$5,0)+1,FALSE),D859)</f>
        <v>70.72</v>
      </c>
      <c r="E860" s="6">
        <f>IFERROR(VLOOKUP($B860,Platts!$E$5:$M$4994,MATCH(E$3,Platts!$F$5:$M$5,0)+1,FALSE),E859)</f>
        <v>60.64</v>
      </c>
      <c r="F860" s="6">
        <f>IFERROR(VLOOKUP($B860,Platts!$E$5:$M$4994,MATCH(F$3,Platts!$F$5:$M$5,0)+1,FALSE),F859)</f>
        <v>72.989999999999995</v>
      </c>
      <c r="G860" s="6">
        <f>IFERROR(VLOOKUP($B860,Platts!$E$5:$M$4994,MATCH(G$3,Platts!$F$5:$M$5,0)+1,FALSE),G859)</f>
        <v>74.23</v>
      </c>
      <c r="H860" s="6">
        <f>IFERROR(VLOOKUP($B860,Platts!$E$5:$M$4994,MATCH(H$3,Platts!$F$5:$M$5,0)+1,FALSE),H859)</f>
        <v>69.73</v>
      </c>
      <c r="I860" s="6">
        <f>IFERROR(VLOOKUP($B860,Platts!$E$5:$M$4994,MATCH(I$3,Platts!$F$5:$M$5,0)+1,FALSE),I859)</f>
        <v>73.23</v>
      </c>
      <c r="J860" s="6">
        <f t="shared" si="26"/>
        <v>9.0900000000000034</v>
      </c>
    </row>
    <row r="861" spans="2:10" x14ac:dyDescent="0.25">
      <c r="B861" s="5">
        <f t="shared" si="27"/>
        <v>43227</v>
      </c>
      <c r="C861" s="6">
        <f>IFERROR(VLOOKUP($B861,Platts!$E$5:$M$4994,MATCH(C$3,Platts!$F$5:$M$5,0)+1,FALSE),C860)</f>
        <v>60.64</v>
      </c>
      <c r="D861" s="6">
        <f>IFERROR(VLOOKUP($B861,Platts!$E$5:$M$4994,MATCH(D$3,Platts!$F$5:$M$5,0)+1,FALSE),D860)</f>
        <v>71.44</v>
      </c>
      <c r="E861" s="6">
        <f>IFERROR(VLOOKUP($B861,Platts!$E$5:$M$4994,MATCH(E$3,Platts!$F$5:$M$5,0)+1,FALSE),E860)</f>
        <v>61.29</v>
      </c>
      <c r="F861" s="6">
        <f>IFERROR(VLOOKUP($B861,Platts!$E$5:$M$4994,MATCH(F$3,Platts!$F$5:$M$5,0)+1,FALSE),F860)</f>
        <v>73.66</v>
      </c>
      <c r="G861" s="6">
        <f>IFERROR(VLOOKUP($B861,Platts!$E$5:$M$4994,MATCH(G$3,Platts!$F$5:$M$5,0)+1,FALSE),G860)</f>
        <v>74.23</v>
      </c>
      <c r="H861" s="6">
        <f>IFERROR(VLOOKUP($B861,Platts!$E$5:$M$4994,MATCH(H$3,Platts!$F$5:$M$5,0)+1,FALSE),H860)</f>
        <v>70.73</v>
      </c>
      <c r="I861" s="6">
        <f>IFERROR(VLOOKUP($B861,Platts!$E$5:$M$4994,MATCH(I$3,Platts!$F$5:$M$5,0)+1,FALSE),I860)</f>
        <v>74.28</v>
      </c>
      <c r="J861" s="6">
        <f t="shared" si="26"/>
        <v>10.090000000000003</v>
      </c>
    </row>
    <row r="862" spans="2:10" x14ac:dyDescent="0.25">
      <c r="B862" s="5">
        <f t="shared" si="27"/>
        <v>43228</v>
      </c>
      <c r="C862" s="6">
        <f>IFERROR(VLOOKUP($B862,Platts!$E$5:$M$4994,MATCH(C$3,Platts!$F$5:$M$5,0)+1,FALSE),C861)</f>
        <v>60.88</v>
      </c>
      <c r="D862" s="6">
        <f>IFERROR(VLOOKUP($B862,Platts!$E$5:$M$4994,MATCH(D$3,Platts!$F$5:$M$5,0)+1,FALSE),D861)</f>
        <v>70.42</v>
      </c>
      <c r="E862" s="6">
        <f>IFERROR(VLOOKUP($B862,Platts!$E$5:$M$4994,MATCH(E$3,Platts!$F$5:$M$5,0)+1,FALSE),E861)</f>
        <v>60.7</v>
      </c>
      <c r="F862" s="6">
        <f>IFERROR(VLOOKUP($B862,Platts!$E$5:$M$4994,MATCH(F$3,Platts!$F$5:$M$5,0)+1,FALSE),F861)</f>
        <v>72.86</v>
      </c>
      <c r="G862" s="6">
        <f>IFERROR(VLOOKUP($B862,Platts!$E$5:$M$4994,MATCH(G$3,Platts!$F$5:$M$5,0)+1,FALSE),G861)</f>
        <v>74</v>
      </c>
      <c r="H862" s="6">
        <f>IFERROR(VLOOKUP($B862,Platts!$E$5:$M$4994,MATCH(H$3,Platts!$F$5:$M$5,0)+1,FALSE),H861)</f>
        <v>69.06</v>
      </c>
      <c r="I862" s="6">
        <f>IFERROR(VLOOKUP($B862,Platts!$E$5:$M$4994,MATCH(I$3,Platts!$F$5:$M$5,0)+1,FALSE),I861)</f>
        <v>72.709999999999994</v>
      </c>
      <c r="J862" s="6">
        <f t="shared" si="26"/>
        <v>8.18</v>
      </c>
    </row>
    <row r="863" spans="2:10" x14ac:dyDescent="0.25">
      <c r="B863" s="5">
        <f t="shared" si="27"/>
        <v>43229</v>
      </c>
      <c r="C863" s="6">
        <f>IFERROR(VLOOKUP($B863,Platts!$E$5:$M$4994,MATCH(C$3,Platts!$F$5:$M$5,0)+1,FALSE),C862)</f>
        <v>63.45</v>
      </c>
      <c r="D863" s="6">
        <f>IFERROR(VLOOKUP($B863,Platts!$E$5:$M$4994,MATCH(D$3,Platts!$F$5:$M$5,0)+1,FALSE),D862)</f>
        <v>72.75</v>
      </c>
      <c r="E863" s="6">
        <f>IFERROR(VLOOKUP($B863,Platts!$E$5:$M$4994,MATCH(E$3,Platts!$F$5:$M$5,0)+1,FALSE),E862)</f>
        <v>62.98</v>
      </c>
      <c r="F863" s="6">
        <f>IFERROR(VLOOKUP($B863,Platts!$E$5:$M$4994,MATCH(F$3,Platts!$F$5:$M$5,0)+1,FALSE),F862)</f>
        <v>75.02</v>
      </c>
      <c r="G863" s="6">
        <f>IFERROR(VLOOKUP($B863,Platts!$E$5:$M$4994,MATCH(G$3,Platts!$F$5:$M$5,0)+1,FALSE),G862)</f>
        <v>77.17</v>
      </c>
      <c r="H863" s="6">
        <f>IFERROR(VLOOKUP($B863,Platts!$E$5:$M$4994,MATCH(H$3,Platts!$F$5:$M$5,0)+1,FALSE),H862)</f>
        <v>71.14</v>
      </c>
      <c r="I863" s="6">
        <f>IFERROR(VLOOKUP($B863,Platts!$E$5:$M$4994,MATCH(I$3,Platts!$F$5:$M$5,0)+1,FALSE),I862)</f>
        <v>74.790000000000006</v>
      </c>
      <c r="J863" s="6">
        <f t="shared" si="26"/>
        <v>7.6899999999999977</v>
      </c>
    </row>
    <row r="864" spans="2:10" x14ac:dyDescent="0.25">
      <c r="B864" s="5">
        <f t="shared" si="27"/>
        <v>43230</v>
      </c>
      <c r="C864" s="6">
        <f>IFERROR(VLOOKUP($B864,Platts!$E$5:$M$4994,MATCH(C$3,Platts!$F$5:$M$5,0)+1,FALSE),C863)</f>
        <v>63.76</v>
      </c>
      <c r="D864" s="6">
        <f>IFERROR(VLOOKUP($B864,Platts!$E$5:$M$4994,MATCH(D$3,Platts!$F$5:$M$5,0)+1,FALSE),D863)</f>
        <v>72.66</v>
      </c>
      <c r="E864" s="6">
        <f>IFERROR(VLOOKUP($B864,Platts!$E$5:$M$4994,MATCH(E$3,Platts!$F$5:$M$5,0)+1,FALSE),E863)</f>
        <v>62.9</v>
      </c>
      <c r="F864" s="6">
        <f>IFERROR(VLOOKUP($B864,Platts!$E$5:$M$4994,MATCH(F$3,Platts!$F$5:$M$5,0)+1,FALSE),F863)</f>
        <v>74.97</v>
      </c>
      <c r="G864" s="6">
        <f>IFERROR(VLOOKUP($B864,Platts!$E$5:$M$4994,MATCH(G$3,Platts!$F$5:$M$5,0)+1,FALSE),G863)</f>
        <v>77.19</v>
      </c>
      <c r="H864" s="6">
        <f>IFERROR(VLOOKUP($B864,Platts!$E$5:$M$4994,MATCH(H$3,Platts!$F$5:$M$5,0)+1,FALSE),H863)</f>
        <v>71.36</v>
      </c>
      <c r="I864" s="6">
        <f>IFERROR(VLOOKUP($B864,Platts!$E$5:$M$4994,MATCH(I$3,Platts!$F$5:$M$5,0)+1,FALSE),I863)</f>
        <v>75.010000000000005</v>
      </c>
      <c r="J864" s="6">
        <f t="shared" si="26"/>
        <v>7.6000000000000014</v>
      </c>
    </row>
    <row r="865" spans="2:10" x14ac:dyDescent="0.25">
      <c r="B865" s="5">
        <f t="shared" si="27"/>
        <v>43231</v>
      </c>
      <c r="C865" s="6">
        <f>IFERROR(VLOOKUP($B865,Platts!$E$5:$M$4994,MATCH(C$3,Platts!$F$5:$M$5,0)+1,FALSE),C864)</f>
        <v>63.76</v>
      </c>
      <c r="D865" s="6">
        <f>IFERROR(VLOOKUP($B865,Platts!$E$5:$M$4994,MATCH(D$3,Platts!$F$5:$M$5,0)+1,FALSE),D864)</f>
        <v>72.38</v>
      </c>
      <c r="E865" s="6">
        <f>IFERROR(VLOOKUP($B865,Platts!$E$5:$M$4994,MATCH(E$3,Platts!$F$5:$M$5,0)+1,FALSE),E864)</f>
        <v>63.33</v>
      </c>
      <c r="F865" s="6">
        <f>IFERROR(VLOOKUP($B865,Platts!$E$5:$M$4994,MATCH(F$3,Platts!$F$5:$M$5,0)+1,FALSE),F864)</f>
        <v>74.650000000000006</v>
      </c>
      <c r="G865" s="6">
        <f>IFERROR(VLOOKUP($B865,Platts!$E$5:$M$4994,MATCH(G$3,Platts!$F$5:$M$5,0)+1,FALSE),G864)</f>
        <v>77.510000000000005</v>
      </c>
      <c r="H865" s="6">
        <f>IFERROR(VLOOKUP($B865,Platts!$E$5:$M$4994,MATCH(H$3,Platts!$F$5:$M$5,0)+1,FALSE),H864)</f>
        <v>70.73</v>
      </c>
      <c r="I865" s="6">
        <f>IFERROR(VLOOKUP($B865,Platts!$E$5:$M$4994,MATCH(I$3,Platts!$F$5:$M$5,0)+1,FALSE),I864)</f>
        <v>74.53</v>
      </c>
      <c r="J865" s="6">
        <f t="shared" si="26"/>
        <v>6.970000000000006</v>
      </c>
    </row>
    <row r="866" spans="2:10" x14ac:dyDescent="0.25">
      <c r="B866" s="5">
        <f t="shared" si="27"/>
        <v>43232</v>
      </c>
      <c r="C866" s="6">
        <f>IFERROR(VLOOKUP($B866,Platts!$E$5:$M$4994,MATCH(C$3,Platts!$F$5:$M$5,0)+1,FALSE),C865)</f>
        <v>63.76</v>
      </c>
      <c r="D866" s="6">
        <f>IFERROR(VLOOKUP($B866,Platts!$E$5:$M$4994,MATCH(D$3,Platts!$F$5:$M$5,0)+1,FALSE),D865)</f>
        <v>72.38</v>
      </c>
      <c r="E866" s="6">
        <f>IFERROR(VLOOKUP($B866,Platts!$E$5:$M$4994,MATCH(E$3,Platts!$F$5:$M$5,0)+1,FALSE),E865)</f>
        <v>63.33</v>
      </c>
      <c r="F866" s="6">
        <f>IFERROR(VLOOKUP($B866,Platts!$E$5:$M$4994,MATCH(F$3,Platts!$F$5:$M$5,0)+1,FALSE),F865)</f>
        <v>74.650000000000006</v>
      </c>
      <c r="G866" s="6">
        <f>IFERROR(VLOOKUP($B866,Platts!$E$5:$M$4994,MATCH(G$3,Platts!$F$5:$M$5,0)+1,FALSE),G865)</f>
        <v>77.510000000000005</v>
      </c>
      <c r="H866" s="6">
        <f>IFERROR(VLOOKUP($B866,Platts!$E$5:$M$4994,MATCH(H$3,Platts!$F$5:$M$5,0)+1,FALSE),H865)</f>
        <v>70.73</v>
      </c>
      <c r="I866" s="6">
        <f>IFERROR(VLOOKUP($B866,Platts!$E$5:$M$4994,MATCH(I$3,Platts!$F$5:$M$5,0)+1,FALSE),I865)</f>
        <v>74.53</v>
      </c>
      <c r="J866" s="6">
        <f t="shared" si="26"/>
        <v>6.970000000000006</v>
      </c>
    </row>
    <row r="867" spans="2:10" x14ac:dyDescent="0.25">
      <c r="B867" s="5">
        <f t="shared" si="27"/>
        <v>43233</v>
      </c>
      <c r="C867" s="6">
        <f>IFERROR(VLOOKUP($B867,Platts!$E$5:$M$4994,MATCH(C$3,Platts!$F$5:$M$5,0)+1,FALSE),C866)</f>
        <v>63.76</v>
      </c>
      <c r="D867" s="6">
        <f>IFERROR(VLOOKUP($B867,Platts!$E$5:$M$4994,MATCH(D$3,Platts!$F$5:$M$5,0)+1,FALSE),D866)</f>
        <v>72.38</v>
      </c>
      <c r="E867" s="6">
        <f>IFERROR(VLOOKUP($B867,Platts!$E$5:$M$4994,MATCH(E$3,Platts!$F$5:$M$5,0)+1,FALSE),E866)</f>
        <v>63.33</v>
      </c>
      <c r="F867" s="6">
        <f>IFERROR(VLOOKUP($B867,Platts!$E$5:$M$4994,MATCH(F$3,Platts!$F$5:$M$5,0)+1,FALSE),F866)</f>
        <v>74.650000000000006</v>
      </c>
      <c r="G867" s="6">
        <f>IFERROR(VLOOKUP($B867,Platts!$E$5:$M$4994,MATCH(G$3,Platts!$F$5:$M$5,0)+1,FALSE),G866)</f>
        <v>77.510000000000005</v>
      </c>
      <c r="H867" s="6">
        <f>IFERROR(VLOOKUP($B867,Platts!$E$5:$M$4994,MATCH(H$3,Platts!$F$5:$M$5,0)+1,FALSE),H866)</f>
        <v>70.73</v>
      </c>
      <c r="I867" s="6">
        <f>IFERROR(VLOOKUP($B867,Platts!$E$5:$M$4994,MATCH(I$3,Platts!$F$5:$M$5,0)+1,FALSE),I866)</f>
        <v>74.53</v>
      </c>
      <c r="J867" s="6">
        <f t="shared" si="26"/>
        <v>6.970000000000006</v>
      </c>
    </row>
    <row r="868" spans="2:10" x14ac:dyDescent="0.25">
      <c r="B868" s="5">
        <f t="shared" si="27"/>
        <v>43234</v>
      </c>
      <c r="C868" s="6">
        <f>IFERROR(VLOOKUP($B868,Platts!$E$5:$M$4994,MATCH(C$3,Platts!$F$5:$M$5,0)+1,FALSE),C867)</f>
        <v>64.44</v>
      </c>
      <c r="D868" s="6">
        <f>IFERROR(VLOOKUP($B868,Platts!$E$5:$M$4994,MATCH(D$3,Platts!$F$5:$M$5,0)+1,FALSE),D867)</f>
        <v>72.92</v>
      </c>
      <c r="E868" s="6">
        <f>IFERROR(VLOOKUP($B868,Platts!$E$5:$M$4994,MATCH(E$3,Platts!$F$5:$M$5,0)+1,FALSE),E867)</f>
        <v>63.93</v>
      </c>
      <c r="F868" s="6">
        <f>IFERROR(VLOOKUP($B868,Platts!$E$5:$M$4994,MATCH(F$3,Platts!$F$5:$M$5,0)+1,FALSE),F867)</f>
        <v>75.31</v>
      </c>
      <c r="G868" s="6">
        <f>IFERROR(VLOOKUP($B868,Platts!$E$5:$M$4994,MATCH(G$3,Platts!$F$5:$M$5,0)+1,FALSE),G867)</f>
        <v>77.900000000000006</v>
      </c>
      <c r="H868" s="6">
        <f>IFERROR(VLOOKUP($B868,Platts!$E$5:$M$4994,MATCH(H$3,Platts!$F$5:$M$5,0)+1,FALSE),H867)</f>
        <v>70.989999999999995</v>
      </c>
      <c r="I868" s="6">
        <f>IFERROR(VLOOKUP($B868,Platts!$E$5:$M$4994,MATCH(I$3,Platts!$F$5:$M$5,0)+1,FALSE),I867)</f>
        <v>75.19</v>
      </c>
      <c r="J868" s="6">
        <f t="shared" si="26"/>
        <v>6.5499999999999972</v>
      </c>
    </row>
    <row r="869" spans="2:10" x14ac:dyDescent="0.25">
      <c r="B869" s="5">
        <f t="shared" si="27"/>
        <v>43235</v>
      </c>
      <c r="C869" s="6">
        <f>IFERROR(VLOOKUP($B869,Platts!$E$5:$M$4994,MATCH(C$3,Platts!$F$5:$M$5,0)+1,FALSE),C868)</f>
        <v>65.45</v>
      </c>
      <c r="D869" s="6">
        <f>IFERROR(VLOOKUP($B869,Platts!$E$5:$M$4994,MATCH(D$3,Platts!$F$5:$M$5,0)+1,FALSE),D868)</f>
        <v>74.430000000000007</v>
      </c>
      <c r="E869" s="6">
        <f>IFERROR(VLOOKUP($B869,Platts!$E$5:$M$4994,MATCH(E$3,Platts!$F$5:$M$5,0)+1,FALSE),E868)</f>
        <v>65.260000000000005</v>
      </c>
      <c r="F869" s="6">
        <f>IFERROR(VLOOKUP($B869,Platts!$E$5:$M$4994,MATCH(F$3,Platts!$F$5:$M$5,0)+1,FALSE),F868)</f>
        <v>76.56</v>
      </c>
      <c r="G869" s="6">
        <f>IFERROR(VLOOKUP($B869,Platts!$E$5:$M$4994,MATCH(G$3,Platts!$F$5:$M$5,0)+1,FALSE),G868)</f>
        <v>78.81</v>
      </c>
      <c r="H869" s="6">
        <f>IFERROR(VLOOKUP($B869,Platts!$E$5:$M$4994,MATCH(H$3,Platts!$F$5:$M$5,0)+1,FALSE),H868)</f>
        <v>71.31</v>
      </c>
      <c r="I869" s="6">
        <f>IFERROR(VLOOKUP($B869,Platts!$E$5:$M$4994,MATCH(I$3,Platts!$F$5:$M$5,0)+1,FALSE),I868)</f>
        <v>75.66</v>
      </c>
      <c r="J869" s="6">
        <f t="shared" si="26"/>
        <v>5.8599999999999994</v>
      </c>
    </row>
    <row r="870" spans="2:10" x14ac:dyDescent="0.25">
      <c r="B870" s="5">
        <f t="shared" si="27"/>
        <v>43236</v>
      </c>
      <c r="C870" s="6">
        <f>IFERROR(VLOOKUP($B870,Platts!$E$5:$M$4994,MATCH(C$3,Platts!$F$5:$M$5,0)+1,FALSE),C869)</f>
        <v>66</v>
      </c>
      <c r="D870" s="6">
        <f>IFERROR(VLOOKUP($B870,Platts!$E$5:$M$4994,MATCH(D$3,Platts!$F$5:$M$5,0)+1,FALSE),D869)</f>
        <v>74.599999999999994</v>
      </c>
      <c r="E870" s="6">
        <f>IFERROR(VLOOKUP($B870,Platts!$E$5:$M$4994,MATCH(E$3,Platts!$F$5:$M$5,0)+1,FALSE),E869)</f>
        <v>65.239999999999995</v>
      </c>
      <c r="F870" s="6">
        <f>IFERROR(VLOOKUP($B870,Platts!$E$5:$M$4994,MATCH(F$3,Platts!$F$5:$M$5,0)+1,FALSE),F869)</f>
        <v>76.81</v>
      </c>
      <c r="G870" s="6">
        <f>IFERROR(VLOOKUP($B870,Platts!$E$5:$M$4994,MATCH(G$3,Platts!$F$5:$M$5,0)+1,FALSE),G869)</f>
        <v>78.27</v>
      </c>
      <c r="H870" s="6">
        <f>IFERROR(VLOOKUP($B870,Platts!$E$5:$M$4994,MATCH(H$3,Platts!$F$5:$M$5,0)+1,FALSE),H869)</f>
        <v>71.489999999999995</v>
      </c>
      <c r="I870" s="6">
        <f>IFERROR(VLOOKUP($B870,Platts!$E$5:$M$4994,MATCH(I$3,Platts!$F$5:$M$5,0)+1,FALSE),I869)</f>
        <v>76.489999999999995</v>
      </c>
      <c r="J870" s="6">
        <f t="shared" si="26"/>
        <v>5.4899999999999949</v>
      </c>
    </row>
    <row r="871" spans="2:10" x14ac:dyDescent="0.25">
      <c r="B871" s="5">
        <f t="shared" si="27"/>
        <v>43237</v>
      </c>
      <c r="C871" s="6">
        <f>IFERROR(VLOOKUP($B871,Platts!$E$5:$M$4994,MATCH(C$3,Platts!$F$5:$M$5,0)+1,FALSE),C870)</f>
        <v>67.209999999999994</v>
      </c>
      <c r="D871" s="6">
        <f>IFERROR(VLOOKUP($B871,Platts!$E$5:$M$4994,MATCH(D$3,Platts!$F$5:$M$5,0)+1,FALSE),D870)</f>
        <v>75.55</v>
      </c>
      <c r="E871" s="6">
        <f>IFERROR(VLOOKUP($B871,Platts!$E$5:$M$4994,MATCH(E$3,Platts!$F$5:$M$5,0)+1,FALSE),E870)</f>
        <v>66.45</v>
      </c>
      <c r="F871" s="6">
        <f>IFERROR(VLOOKUP($B871,Platts!$E$5:$M$4994,MATCH(F$3,Platts!$F$5:$M$5,0)+1,FALSE),F870)</f>
        <v>77.680000000000007</v>
      </c>
      <c r="G871" s="6">
        <f>IFERROR(VLOOKUP($B871,Platts!$E$5:$M$4994,MATCH(G$3,Platts!$F$5:$M$5,0)+1,FALSE),G870)</f>
        <v>80.459999999999994</v>
      </c>
      <c r="H871" s="6">
        <f>IFERROR(VLOOKUP($B871,Platts!$E$5:$M$4994,MATCH(H$3,Platts!$F$5:$M$5,0)+1,FALSE),H870)</f>
        <v>71.489999999999995</v>
      </c>
      <c r="I871" s="6">
        <f>IFERROR(VLOOKUP($B871,Platts!$E$5:$M$4994,MATCH(I$3,Platts!$F$5:$M$5,0)+1,FALSE),I870)</f>
        <v>76.989999999999995</v>
      </c>
      <c r="J871" s="6">
        <f t="shared" si="26"/>
        <v>4.2800000000000011</v>
      </c>
    </row>
    <row r="872" spans="2:10" x14ac:dyDescent="0.25">
      <c r="B872" s="5">
        <f t="shared" si="27"/>
        <v>43238</v>
      </c>
      <c r="C872" s="6">
        <f>IFERROR(VLOOKUP($B872,Platts!$E$5:$M$4994,MATCH(C$3,Platts!$F$5:$M$5,0)+1,FALSE),C871)</f>
        <v>66.83</v>
      </c>
      <c r="D872" s="6">
        <f>IFERROR(VLOOKUP($B872,Platts!$E$5:$M$4994,MATCH(D$3,Platts!$F$5:$M$5,0)+1,FALSE),D871)</f>
        <v>75.89</v>
      </c>
      <c r="E872" s="6">
        <f>IFERROR(VLOOKUP($B872,Platts!$E$5:$M$4994,MATCH(E$3,Platts!$F$5:$M$5,0)+1,FALSE),E871)</f>
        <v>67.06</v>
      </c>
      <c r="F872" s="6">
        <f>IFERROR(VLOOKUP($B872,Platts!$E$5:$M$4994,MATCH(F$3,Platts!$F$5:$M$5,0)+1,FALSE),F871)</f>
        <v>77.83</v>
      </c>
      <c r="G872" s="6">
        <f>IFERROR(VLOOKUP($B872,Platts!$E$5:$M$4994,MATCH(G$3,Platts!$F$5:$M$5,0)+1,FALSE),G871)</f>
        <v>79.08</v>
      </c>
      <c r="H872" s="6">
        <f>IFERROR(VLOOKUP($B872,Platts!$E$5:$M$4994,MATCH(H$3,Platts!$F$5:$M$5,0)+1,FALSE),H871)</f>
        <v>71.28</v>
      </c>
      <c r="I872" s="6">
        <f>IFERROR(VLOOKUP($B872,Platts!$E$5:$M$4994,MATCH(I$3,Platts!$F$5:$M$5,0)+1,FALSE),I871)</f>
        <v>77.23</v>
      </c>
      <c r="J872" s="6">
        <f t="shared" si="26"/>
        <v>4.4500000000000028</v>
      </c>
    </row>
    <row r="873" spans="2:10" x14ac:dyDescent="0.25">
      <c r="B873" s="5">
        <f t="shared" si="27"/>
        <v>43239</v>
      </c>
      <c r="C873" s="6">
        <f>IFERROR(VLOOKUP($B873,Platts!$E$5:$M$4994,MATCH(C$3,Platts!$F$5:$M$5,0)+1,FALSE),C872)</f>
        <v>66.83</v>
      </c>
      <c r="D873" s="6">
        <f>IFERROR(VLOOKUP($B873,Platts!$E$5:$M$4994,MATCH(D$3,Platts!$F$5:$M$5,0)+1,FALSE),D872)</f>
        <v>75.89</v>
      </c>
      <c r="E873" s="6">
        <f>IFERROR(VLOOKUP($B873,Platts!$E$5:$M$4994,MATCH(E$3,Platts!$F$5:$M$5,0)+1,FALSE),E872)</f>
        <v>67.06</v>
      </c>
      <c r="F873" s="6">
        <f>IFERROR(VLOOKUP($B873,Platts!$E$5:$M$4994,MATCH(F$3,Platts!$F$5:$M$5,0)+1,FALSE),F872)</f>
        <v>77.83</v>
      </c>
      <c r="G873" s="6">
        <f>IFERROR(VLOOKUP($B873,Platts!$E$5:$M$4994,MATCH(G$3,Platts!$F$5:$M$5,0)+1,FALSE),G872)</f>
        <v>79.08</v>
      </c>
      <c r="H873" s="6">
        <f>IFERROR(VLOOKUP($B873,Platts!$E$5:$M$4994,MATCH(H$3,Platts!$F$5:$M$5,0)+1,FALSE),H872)</f>
        <v>71.28</v>
      </c>
      <c r="I873" s="6">
        <f>IFERROR(VLOOKUP($B873,Platts!$E$5:$M$4994,MATCH(I$3,Platts!$F$5:$M$5,0)+1,FALSE),I872)</f>
        <v>77.23</v>
      </c>
      <c r="J873" s="6">
        <f t="shared" si="26"/>
        <v>4.4500000000000028</v>
      </c>
    </row>
    <row r="874" spans="2:10" x14ac:dyDescent="0.25">
      <c r="B874" s="5">
        <f t="shared" si="27"/>
        <v>43240</v>
      </c>
      <c r="C874" s="6">
        <f>IFERROR(VLOOKUP($B874,Platts!$E$5:$M$4994,MATCH(C$3,Platts!$F$5:$M$5,0)+1,FALSE),C873)</f>
        <v>66.83</v>
      </c>
      <c r="D874" s="6">
        <f>IFERROR(VLOOKUP($B874,Platts!$E$5:$M$4994,MATCH(D$3,Platts!$F$5:$M$5,0)+1,FALSE),D873)</f>
        <v>75.89</v>
      </c>
      <c r="E874" s="6">
        <f>IFERROR(VLOOKUP($B874,Platts!$E$5:$M$4994,MATCH(E$3,Platts!$F$5:$M$5,0)+1,FALSE),E873)</f>
        <v>67.06</v>
      </c>
      <c r="F874" s="6">
        <f>IFERROR(VLOOKUP($B874,Platts!$E$5:$M$4994,MATCH(F$3,Platts!$F$5:$M$5,0)+1,FALSE),F873)</f>
        <v>77.83</v>
      </c>
      <c r="G874" s="6">
        <f>IFERROR(VLOOKUP($B874,Platts!$E$5:$M$4994,MATCH(G$3,Platts!$F$5:$M$5,0)+1,FALSE),G873)</f>
        <v>79.08</v>
      </c>
      <c r="H874" s="6">
        <f>IFERROR(VLOOKUP($B874,Platts!$E$5:$M$4994,MATCH(H$3,Platts!$F$5:$M$5,0)+1,FALSE),H873)</f>
        <v>71.28</v>
      </c>
      <c r="I874" s="6">
        <f>IFERROR(VLOOKUP($B874,Platts!$E$5:$M$4994,MATCH(I$3,Platts!$F$5:$M$5,0)+1,FALSE),I873)</f>
        <v>77.23</v>
      </c>
      <c r="J874" s="6">
        <f t="shared" si="26"/>
        <v>4.4500000000000028</v>
      </c>
    </row>
    <row r="875" spans="2:10" x14ac:dyDescent="0.25">
      <c r="B875" s="5">
        <f t="shared" si="27"/>
        <v>43241</v>
      </c>
      <c r="C875" s="6">
        <f>IFERROR(VLOOKUP($B875,Platts!$E$5:$M$4994,MATCH(C$3,Platts!$F$5:$M$5,0)+1,FALSE),C874)</f>
        <v>67.5</v>
      </c>
      <c r="D875" s="6">
        <f>IFERROR(VLOOKUP($B875,Platts!$E$5:$M$4994,MATCH(D$3,Platts!$F$5:$M$5,0)+1,FALSE),D874)</f>
        <v>77.48</v>
      </c>
      <c r="E875" s="6">
        <f>IFERROR(VLOOKUP($B875,Platts!$E$5:$M$4994,MATCH(E$3,Platts!$F$5:$M$5,0)+1,FALSE),E874)</f>
        <v>68.239999999999995</v>
      </c>
      <c r="F875" s="6">
        <f>IFERROR(VLOOKUP($B875,Platts!$E$5:$M$4994,MATCH(F$3,Platts!$F$5:$M$5,0)+1,FALSE),F874)</f>
        <v>79.290000000000006</v>
      </c>
      <c r="G875" s="6">
        <f>IFERROR(VLOOKUP($B875,Platts!$E$5:$M$4994,MATCH(G$3,Platts!$F$5:$M$5,0)+1,FALSE),G874)</f>
        <v>78.8</v>
      </c>
      <c r="H875" s="6">
        <f>IFERROR(VLOOKUP($B875,Platts!$E$5:$M$4994,MATCH(H$3,Platts!$F$5:$M$5,0)+1,FALSE),H874)</f>
        <v>72.27</v>
      </c>
      <c r="I875" s="6">
        <f>IFERROR(VLOOKUP($B875,Platts!$E$5:$M$4994,MATCH(I$3,Platts!$F$5:$M$5,0)+1,FALSE),I874)</f>
        <v>78.069999999999993</v>
      </c>
      <c r="J875" s="6">
        <f t="shared" si="26"/>
        <v>4.769999999999996</v>
      </c>
    </row>
    <row r="876" spans="2:10" x14ac:dyDescent="0.25">
      <c r="B876" s="5">
        <f t="shared" si="27"/>
        <v>43242</v>
      </c>
      <c r="C876" s="6">
        <f>IFERROR(VLOOKUP($B876,Platts!$E$5:$M$4994,MATCH(C$3,Platts!$F$5:$M$5,0)+1,FALSE),C875)</f>
        <v>68.22</v>
      </c>
      <c r="D876" s="6">
        <f>IFERROR(VLOOKUP($B876,Platts!$E$5:$M$4994,MATCH(D$3,Platts!$F$5:$M$5,0)+1,FALSE),D875)</f>
        <v>77.56</v>
      </c>
      <c r="E876" s="6">
        <f>IFERROR(VLOOKUP($B876,Platts!$E$5:$M$4994,MATCH(E$3,Platts!$F$5:$M$5,0)+1,FALSE),E875)</f>
        <v>68.05</v>
      </c>
      <c r="F876" s="6">
        <f>IFERROR(VLOOKUP($B876,Platts!$E$5:$M$4994,MATCH(F$3,Platts!$F$5:$M$5,0)+1,FALSE),F875)</f>
        <v>79.349999999999994</v>
      </c>
      <c r="G876" s="6">
        <f>IFERROR(VLOOKUP($B876,Platts!$E$5:$M$4994,MATCH(G$3,Platts!$F$5:$M$5,0)+1,FALSE),G875)</f>
        <v>80.28</v>
      </c>
      <c r="H876" s="6">
        <f>IFERROR(VLOOKUP($B876,Platts!$E$5:$M$4994,MATCH(H$3,Platts!$F$5:$M$5,0)+1,FALSE),H875)</f>
        <v>72.17</v>
      </c>
      <c r="I876" s="6">
        <f>IFERROR(VLOOKUP($B876,Platts!$E$5:$M$4994,MATCH(I$3,Platts!$F$5:$M$5,0)+1,FALSE),I875)</f>
        <v>78.42</v>
      </c>
      <c r="J876" s="6">
        <f t="shared" si="26"/>
        <v>3.9500000000000028</v>
      </c>
    </row>
    <row r="877" spans="2:10" x14ac:dyDescent="0.25">
      <c r="B877" s="5">
        <f t="shared" si="27"/>
        <v>43243</v>
      </c>
      <c r="C877" s="6">
        <f>IFERROR(VLOOKUP($B877,Platts!$E$5:$M$4994,MATCH(C$3,Platts!$F$5:$M$5,0)+1,FALSE),C876)</f>
        <v>66.39</v>
      </c>
      <c r="D877" s="6">
        <f>IFERROR(VLOOKUP($B877,Platts!$E$5:$M$4994,MATCH(D$3,Platts!$F$5:$M$5,0)+1,FALSE),D876)</f>
        <v>76.08</v>
      </c>
      <c r="E877" s="6">
        <f>IFERROR(VLOOKUP($B877,Platts!$E$5:$M$4994,MATCH(E$3,Platts!$F$5:$M$5,0)+1,FALSE),E876)</f>
        <v>66.58</v>
      </c>
      <c r="F877" s="6">
        <f>IFERROR(VLOOKUP($B877,Platts!$E$5:$M$4994,MATCH(F$3,Platts!$F$5:$M$5,0)+1,FALSE),F876)</f>
        <v>78.17</v>
      </c>
      <c r="G877" s="6">
        <f>IFERROR(VLOOKUP($B877,Platts!$E$5:$M$4994,MATCH(G$3,Platts!$F$5:$M$5,0)+1,FALSE),G876)</f>
        <v>78.900000000000006</v>
      </c>
      <c r="H877" s="6">
        <f>IFERROR(VLOOKUP($B877,Platts!$E$5:$M$4994,MATCH(H$3,Platts!$F$5:$M$5,0)+1,FALSE),H876)</f>
        <v>71.84</v>
      </c>
      <c r="I877" s="6">
        <f>IFERROR(VLOOKUP($B877,Platts!$E$5:$M$4994,MATCH(I$3,Platts!$F$5:$M$5,0)+1,FALSE),I876)</f>
        <v>78.39</v>
      </c>
      <c r="J877" s="6">
        <f t="shared" si="26"/>
        <v>5.4500000000000028</v>
      </c>
    </row>
    <row r="878" spans="2:10" x14ac:dyDescent="0.25">
      <c r="B878" s="5">
        <f t="shared" si="27"/>
        <v>43244</v>
      </c>
      <c r="C878" s="6">
        <f>IFERROR(VLOOKUP($B878,Platts!$E$5:$M$4994,MATCH(C$3,Platts!$F$5:$M$5,0)+1,FALSE),C877)</f>
        <v>65.930000000000007</v>
      </c>
      <c r="D878" s="6">
        <f>IFERROR(VLOOKUP($B878,Platts!$E$5:$M$4994,MATCH(D$3,Platts!$F$5:$M$5,0)+1,FALSE),D877)</f>
        <v>75.069999999999993</v>
      </c>
      <c r="E878" s="6">
        <f>IFERROR(VLOOKUP($B878,Platts!$E$5:$M$4994,MATCH(E$3,Platts!$F$5:$M$5,0)+1,FALSE),E877)</f>
        <v>64.84</v>
      </c>
      <c r="F878" s="6">
        <f>IFERROR(VLOOKUP($B878,Platts!$E$5:$M$4994,MATCH(F$3,Platts!$F$5:$M$5,0)+1,FALSE),F877)</f>
        <v>77.180000000000007</v>
      </c>
      <c r="G878" s="6">
        <f>IFERROR(VLOOKUP($B878,Platts!$E$5:$M$4994,MATCH(G$3,Platts!$F$5:$M$5,0)+1,FALSE),G877)</f>
        <v>78.98</v>
      </c>
      <c r="H878" s="6">
        <f>IFERROR(VLOOKUP($B878,Platts!$E$5:$M$4994,MATCH(H$3,Platts!$F$5:$M$5,0)+1,FALSE),H877)</f>
        <v>70.739999999999995</v>
      </c>
      <c r="I878" s="6">
        <f>IFERROR(VLOOKUP($B878,Platts!$E$5:$M$4994,MATCH(I$3,Platts!$F$5:$M$5,0)+1,FALSE),I877)</f>
        <v>78.84</v>
      </c>
      <c r="J878" s="6">
        <f t="shared" si="26"/>
        <v>4.8099999999999881</v>
      </c>
    </row>
    <row r="879" spans="2:10" x14ac:dyDescent="0.25">
      <c r="B879" s="5">
        <f t="shared" si="27"/>
        <v>43245</v>
      </c>
      <c r="C879" s="6">
        <f>IFERROR(VLOOKUP($B879,Platts!$E$5:$M$4994,MATCH(C$3,Platts!$F$5:$M$5,0)+1,FALSE),C878)</f>
        <v>62.99</v>
      </c>
      <c r="D879" s="6">
        <f>IFERROR(VLOOKUP($B879,Platts!$E$5:$M$4994,MATCH(D$3,Platts!$F$5:$M$5,0)+1,FALSE),D878)</f>
        <v>71.709999999999994</v>
      </c>
      <c r="E879" s="6">
        <f>IFERROR(VLOOKUP($B879,Platts!$E$5:$M$4994,MATCH(E$3,Platts!$F$5:$M$5,0)+1,FALSE),E878)</f>
        <v>61.92</v>
      </c>
      <c r="F879" s="6">
        <f>IFERROR(VLOOKUP($B879,Platts!$E$5:$M$4994,MATCH(F$3,Platts!$F$5:$M$5,0)+1,FALSE),F878)</f>
        <v>73.989999999999995</v>
      </c>
      <c r="G879" s="6">
        <f>IFERROR(VLOOKUP($B879,Platts!$E$5:$M$4994,MATCH(G$3,Platts!$F$5:$M$5,0)+1,FALSE),G878)</f>
        <v>76.41</v>
      </c>
      <c r="H879" s="6">
        <f>IFERROR(VLOOKUP($B879,Platts!$E$5:$M$4994,MATCH(H$3,Platts!$F$5:$M$5,0)+1,FALSE),H878)</f>
        <v>67.92</v>
      </c>
      <c r="I879" s="6">
        <f>IFERROR(VLOOKUP($B879,Platts!$E$5:$M$4994,MATCH(I$3,Platts!$F$5:$M$5,0)+1,FALSE),I878)</f>
        <v>75.62</v>
      </c>
      <c r="J879" s="6">
        <f t="shared" si="26"/>
        <v>4.93</v>
      </c>
    </row>
    <row r="880" spans="2:10" x14ac:dyDescent="0.25">
      <c r="B880" s="5">
        <f t="shared" si="27"/>
        <v>43246</v>
      </c>
      <c r="C880" s="6">
        <f>IFERROR(VLOOKUP($B880,Platts!$E$5:$M$4994,MATCH(C$3,Platts!$F$5:$M$5,0)+1,FALSE),C879)</f>
        <v>62.99</v>
      </c>
      <c r="D880" s="6">
        <f>IFERROR(VLOOKUP($B880,Platts!$E$5:$M$4994,MATCH(D$3,Platts!$F$5:$M$5,0)+1,FALSE),D879)</f>
        <v>71.709999999999994</v>
      </c>
      <c r="E880" s="6">
        <f>IFERROR(VLOOKUP($B880,Platts!$E$5:$M$4994,MATCH(E$3,Platts!$F$5:$M$5,0)+1,FALSE),E879)</f>
        <v>61.92</v>
      </c>
      <c r="F880" s="6">
        <f>IFERROR(VLOOKUP($B880,Platts!$E$5:$M$4994,MATCH(F$3,Platts!$F$5:$M$5,0)+1,FALSE),F879)</f>
        <v>73.989999999999995</v>
      </c>
      <c r="G880" s="6">
        <f>IFERROR(VLOOKUP($B880,Platts!$E$5:$M$4994,MATCH(G$3,Platts!$F$5:$M$5,0)+1,FALSE),G879)</f>
        <v>76.41</v>
      </c>
      <c r="H880" s="6">
        <f>IFERROR(VLOOKUP($B880,Platts!$E$5:$M$4994,MATCH(H$3,Platts!$F$5:$M$5,0)+1,FALSE),H879)</f>
        <v>67.92</v>
      </c>
      <c r="I880" s="6">
        <f>IFERROR(VLOOKUP($B880,Platts!$E$5:$M$4994,MATCH(I$3,Platts!$F$5:$M$5,0)+1,FALSE),I879)</f>
        <v>75.62</v>
      </c>
      <c r="J880" s="6">
        <f t="shared" si="26"/>
        <v>4.93</v>
      </c>
    </row>
    <row r="881" spans="2:10" x14ac:dyDescent="0.25">
      <c r="B881" s="5">
        <f t="shared" si="27"/>
        <v>43247</v>
      </c>
      <c r="C881" s="6">
        <f>IFERROR(VLOOKUP($B881,Platts!$E$5:$M$4994,MATCH(C$3,Platts!$F$5:$M$5,0)+1,FALSE),C880)</f>
        <v>62.99</v>
      </c>
      <c r="D881" s="6">
        <f>IFERROR(VLOOKUP($B881,Platts!$E$5:$M$4994,MATCH(D$3,Platts!$F$5:$M$5,0)+1,FALSE),D880)</f>
        <v>71.709999999999994</v>
      </c>
      <c r="E881" s="6">
        <f>IFERROR(VLOOKUP($B881,Platts!$E$5:$M$4994,MATCH(E$3,Platts!$F$5:$M$5,0)+1,FALSE),E880)</f>
        <v>61.92</v>
      </c>
      <c r="F881" s="6">
        <f>IFERROR(VLOOKUP($B881,Platts!$E$5:$M$4994,MATCH(F$3,Platts!$F$5:$M$5,0)+1,FALSE),F880)</f>
        <v>73.989999999999995</v>
      </c>
      <c r="G881" s="6">
        <f>IFERROR(VLOOKUP($B881,Platts!$E$5:$M$4994,MATCH(G$3,Platts!$F$5:$M$5,0)+1,FALSE),G880)</f>
        <v>76.41</v>
      </c>
      <c r="H881" s="6">
        <f>IFERROR(VLOOKUP($B881,Platts!$E$5:$M$4994,MATCH(H$3,Platts!$F$5:$M$5,0)+1,FALSE),H880)</f>
        <v>67.92</v>
      </c>
      <c r="I881" s="6">
        <f>IFERROR(VLOOKUP($B881,Platts!$E$5:$M$4994,MATCH(I$3,Platts!$F$5:$M$5,0)+1,FALSE),I880)</f>
        <v>75.62</v>
      </c>
      <c r="J881" s="6">
        <f t="shared" si="26"/>
        <v>4.93</v>
      </c>
    </row>
    <row r="882" spans="2:10" x14ac:dyDescent="0.25">
      <c r="B882" s="5">
        <f t="shared" si="27"/>
        <v>43248</v>
      </c>
      <c r="C882" s="6">
        <f>IFERROR(VLOOKUP($B882,Platts!$E$5:$M$4994,MATCH(C$3,Platts!$F$5:$M$5,0)+1,FALSE),C881)</f>
        <v>62.99</v>
      </c>
      <c r="D882" s="6">
        <f>IFERROR(VLOOKUP($B882,Platts!$E$5:$M$4994,MATCH(D$3,Platts!$F$5:$M$5,0)+1,FALSE),D881)</f>
        <v>71.709999999999994</v>
      </c>
      <c r="E882" s="6">
        <f>IFERROR(VLOOKUP($B882,Platts!$E$5:$M$4994,MATCH(E$3,Platts!$F$5:$M$5,0)+1,FALSE),E881)</f>
        <v>61.92</v>
      </c>
      <c r="F882" s="6">
        <f>IFERROR(VLOOKUP($B882,Platts!$E$5:$M$4994,MATCH(F$3,Platts!$F$5:$M$5,0)+1,FALSE),F881)</f>
        <v>73.989999999999995</v>
      </c>
      <c r="G882" s="6">
        <f>IFERROR(VLOOKUP($B882,Platts!$E$5:$M$4994,MATCH(G$3,Platts!$F$5:$M$5,0)+1,FALSE),G881)</f>
        <v>76.41</v>
      </c>
      <c r="H882" s="6">
        <f>IFERROR(VLOOKUP($B882,Platts!$E$5:$M$4994,MATCH(H$3,Platts!$F$5:$M$5,0)+1,FALSE),H881)</f>
        <v>67.92</v>
      </c>
      <c r="I882" s="6">
        <f>IFERROR(VLOOKUP($B882,Platts!$E$5:$M$4994,MATCH(I$3,Platts!$F$5:$M$5,0)+1,FALSE),I881)</f>
        <v>75.62</v>
      </c>
      <c r="J882" s="6">
        <f t="shared" si="26"/>
        <v>4.93</v>
      </c>
    </row>
    <row r="883" spans="2:10" x14ac:dyDescent="0.25">
      <c r="B883" s="5">
        <f t="shared" si="27"/>
        <v>43249</v>
      </c>
      <c r="C883" s="6">
        <f>IFERROR(VLOOKUP($B883,Platts!$E$5:$M$4994,MATCH(C$3,Platts!$F$5:$M$5,0)+1,FALSE),C882)</f>
        <v>62.99</v>
      </c>
      <c r="D883" s="6">
        <f>IFERROR(VLOOKUP($B883,Platts!$E$5:$M$4994,MATCH(D$3,Platts!$F$5:$M$5,0)+1,FALSE),D882)</f>
        <v>70.430000000000007</v>
      </c>
      <c r="E883" s="6">
        <f>IFERROR(VLOOKUP($B883,Platts!$E$5:$M$4994,MATCH(E$3,Platts!$F$5:$M$5,0)+1,FALSE),E882)</f>
        <v>60.6</v>
      </c>
      <c r="F883" s="6">
        <f>IFERROR(VLOOKUP($B883,Platts!$E$5:$M$4994,MATCH(F$3,Platts!$F$5:$M$5,0)+1,FALSE),F882)</f>
        <v>72.75</v>
      </c>
      <c r="G883" s="6">
        <f>IFERROR(VLOOKUP($B883,Platts!$E$5:$M$4994,MATCH(G$3,Platts!$F$5:$M$5,0)+1,FALSE),G882)</f>
        <v>75.16</v>
      </c>
      <c r="H883" s="6">
        <f>IFERROR(VLOOKUP($B883,Platts!$E$5:$M$4994,MATCH(H$3,Platts!$F$5:$M$5,0)+1,FALSE),H882)</f>
        <v>66.73</v>
      </c>
      <c r="I883" s="6">
        <f>IFERROR(VLOOKUP($B883,Platts!$E$5:$M$4994,MATCH(I$3,Platts!$F$5:$M$5,0)+1,FALSE),I882)</f>
        <v>73.48</v>
      </c>
      <c r="J883" s="6">
        <f t="shared" si="26"/>
        <v>3.740000000000002</v>
      </c>
    </row>
    <row r="884" spans="2:10" x14ac:dyDescent="0.25">
      <c r="B884" s="5">
        <f t="shared" si="27"/>
        <v>43250</v>
      </c>
      <c r="C884" s="6">
        <f>IFERROR(VLOOKUP($B884,Platts!$E$5:$M$4994,MATCH(C$3,Platts!$F$5:$M$5,0)+1,FALSE),C883)</f>
        <v>62.9</v>
      </c>
      <c r="D884" s="6">
        <f>IFERROR(VLOOKUP($B884,Platts!$E$5:$M$4994,MATCH(D$3,Platts!$F$5:$M$5,0)+1,FALSE),D883)</f>
        <v>71.77</v>
      </c>
      <c r="E884" s="6">
        <f>IFERROR(VLOOKUP($B884,Platts!$E$5:$M$4994,MATCH(E$3,Platts!$F$5:$M$5,0)+1,FALSE),E883)</f>
        <v>61.95</v>
      </c>
      <c r="F884" s="6">
        <f>IFERROR(VLOOKUP($B884,Platts!$E$5:$M$4994,MATCH(F$3,Platts!$F$5:$M$5,0)+1,FALSE),F883)</f>
        <v>74.27</v>
      </c>
      <c r="G884" s="6">
        <f>IFERROR(VLOOKUP($B884,Platts!$E$5:$M$4994,MATCH(G$3,Platts!$F$5:$M$5,0)+1,FALSE),G883)</f>
        <v>77.02</v>
      </c>
      <c r="H884" s="6">
        <f>IFERROR(VLOOKUP($B884,Platts!$E$5:$M$4994,MATCH(H$3,Platts!$F$5:$M$5,0)+1,FALSE),H883)</f>
        <v>68.239999999999995</v>
      </c>
      <c r="I884" s="6">
        <f>IFERROR(VLOOKUP($B884,Platts!$E$5:$M$4994,MATCH(I$3,Platts!$F$5:$M$5,0)+1,FALSE),I883)</f>
        <v>75.94</v>
      </c>
      <c r="J884" s="6">
        <f t="shared" si="26"/>
        <v>5.3399999999999963</v>
      </c>
    </row>
    <row r="885" spans="2:10" x14ac:dyDescent="0.25">
      <c r="B885" s="5">
        <f t="shared" si="27"/>
        <v>43251</v>
      </c>
      <c r="C885" s="6">
        <f>IFERROR(VLOOKUP($B885,Platts!$E$5:$M$4994,MATCH(C$3,Platts!$F$5:$M$5,0)+1,FALSE),C884)</f>
        <v>63.48</v>
      </c>
      <c r="D885" s="6">
        <f>IFERROR(VLOOKUP($B885,Platts!$E$5:$M$4994,MATCH(D$3,Platts!$F$5:$M$5,0)+1,FALSE),D884)</f>
        <v>71.86</v>
      </c>
      <c r="E885" s="6">
        <f>IFERROR(VLOOKUP($B885,Platts!$E$5:$M$4994,MATCH(E$3,Platts!$F$5:$M$5,0)+1,FALSE),E884)</f>
        <v>61.96</v>
      </c>
      <c r="F885" s="6">
        <f>IFERROR(VLOOKUP($B885,Platts!$E$5:$M$4994,MATCH(F$3,Platts!$F$5:$M$5,0)+1,FALSE),F884)</f>
        <v>74.319999999999993</v>
      </c>
      <c r="G885" s="6">
        <f>IFERROR(VLOOKUP($B885,Platts!$E$5:$M$4994,MATCH(G$3,Platts!$F$5:$M$5,0)+1,FALSE),G884)</f>
        <v>77.650000000000006</v>
      </c>
      <c r="H885" s="6">
        <f>IFERROR(VLOOKUP($B885,Platts!$E$5:$M$4994,MATCH(H$3,Platts!$F$5:$M$5,0)+1,FALSE),H884)</f>
        <v>67.08</v>
      </c>
      <c r="I885" s="6">
        <f>IFERROR(VLOOKUP($B885,Platts!$E$5:$M$4994,MATCH(I$3,Platts!$F$5:$M$5,0)+1,FALSE),I884)</f>
        <v>76.58</v>
      </c>
      <c r="J885" s="6">
        <f t="shared" si="26"/>
        <v>3.6000000000000014</v>
      </c>
    </row>
    <row r="886" spans="2:10" x14ac:dyDescent="0.25">
      <c r="B886" s="5">
        <f t="shared" si="27"/>
        <v>43252</v>
      </c>
      <c r="C886" s="6">
        <f>IFERROR(VLOOKUP($B886,Platts!$E$5:$M$4994,MATCH(C$3,Platts!$F$5:$M$5,0)+1,FALSE),C885)</f>
        <v>63.97</v>
      </c>
      <c r="D886" s="6">
        <f>IFERROR(VLOOKUP($B886,Platts!$E$5:$M$4994,MATCH(D$3,Platts!$F$5:$M$5,0)+1,FALSE),D885)</f>
        <v>70.069999999999993</v>
      </c>
      <c r="E886" s="6">
        <f>IFERROR(VLOOKUP($B886,Platts!$E$5:$M$4994,MATCH(E$3,Platts!$F$5:$M$5,0)+1,FALSE),E885)</f>
        <v>63.47</v>
      </c>
      <c r="F886" s="6">
        <f>IFERROR(VLOOKUP($B886,Platts!$E$5:$M$4994,MATCH(F$3,Platts!$F$5:$M$5,0)+1,FALSE),F885)</f>
        <v>73.14</v>
      </c>
      <c r="G886" s="6">
        <f>IFERROR(VLOOKUP($B886,Platts!$E$5:$M$4994,MATCH(G$3,Platts!$F$5:$M$5,0)+1,FALSE),G885)</f>
        <v>76.5</v>
      </c>
      <c r="H886" s="6">
        <f>IFERROR(VLOOKUP($B886,Platts!$E$5:$M$4994,MATCH(H$3,Platts!$F$5:$M$5,0)+1,FALSE),H885)</f>
        <v>65.86</v>
      </c>
      <c r="I886" s="6">
        <f>IFERROR(VLOOKUP($B886,Platts!$E$5:$M$4994,MATCH(I$3,Platts!$F$5:$M$5,0)+1,FALSE),I885)</f>
        <v>74.36</v>
      </c>
      <c r="J886" s="6">
        <f t="shared" si="26"/>
        <v>1.8900000000000006</v>
      </c>
    </row>
    <row r="887" spans="2:10" x14ac:dyDescent="0.25">
      <c r="B887" s="5">
        <f t="shared" si="27"/>
        <v>43253</v>
      </c>
      <c r="C887" s="6">
        <f>IFERROR(VLOOKUP($B887,Platts!$E$5:$M$4994,MATCH(C$3,Platts!$F$5:$M$5,0)+1,FALSE),C886)</f>
        <v>63.97</v>
      </c>
      <c r="D887" s="6">
        <f>IFERROR(VLOOKUP($B887,Platts!$E$5:$M$4994,MATCH(D$3,Platts!$F$5:$M$5,0)+1,FALSE),D886)</f>
        <v>70.069999999999993</v>
      </c>
      <c r="E887" s="6">
        <f>IFERROR(VLOOKUP($B887,Platts!$E$5:$M$4994,MATCH(E$3,Platts!$F$5:$M$5,0)+1,FALSE),E886)</f>
        <v>63.47</v>
      </c>
      <c r="F887" s="6">
        <f>IFERROR(VLOOKUP($B887,Platts!$E$5:$M$4994,MATCH(F$3,Platts!$F$5:$M$5,0)+1,FALSE),F886)</f>
        <v>73.14</v>
      </c>
      <c r="G887" s="6">
        <f>IFERROR(VLOOKUP($B887,Platts!$E$5:$M$4994,MATCH(G$3,Platts!$F$5:$M$5,0)+1,FALSE),G886)</f>
        <v>76.5</v>
      </c>
      <c r="H887" s="6">
        <f>IFERROR(VLOOKUP($B887,Platts!$E$5:$M$4994,MATCH(H$3,Platts!$F$5:$M$5,0)+1,FALSE),H886)</f>
        <v>65.86</v>
      </c>
      <c r="I887" s="6">
        <f>IFERROR(VLOOKUP($B887,Platts!$E$5:$M$4994,MATCH(I$3,Platts!$F$5:$M$5,0)+1,FALSE),I886)</f>
        <v>74.36</v>
      </c>
      <c r="J887" s="6">
        <f t="shared" si="26"/>
        <v>1.8900000000000006</v>
      </c>
    </row>
    <row r="888" spans="2:10" x14ac:dyDescent="0.25">
      <c r="B888" s="5">
        <f t="shared" si="27"/>
        <v>43254</v>
      </c>
      <c r="C888" s="6">
        <f>IFERROR(VLOOKUP($B888,Platts!$E$5:$M$4994,MATCH(C$3,Platts!$F$5:$M$5,0)+1,FALSE),C887)</f>
        <v>63.97</v>
      </c>
      <c r="D888" s="6">
        <f>IFERROR(VLOOKUP($B888,Platts!$E$5:$M$4994,MATCH(D$3,Platts!$F$5:$M$5,0)+1,FALSE),D887)</f>
        <v>70.069999999999993</v>
      </c>
      <c r="E888" s="6">
        <f>IFERROR(VLOOKUP($B888,Platts!$E$5:$M$4994,MATCH(E$3,Platts!$F$5:$M$5,0)+1,FALSE),E887)</f>
        <v>63.47</v>
      </c>
      <c r="F888" s="6">
        <f>IFERROR(VLOOKUP($B888,Platts!$E$5:$M$4994,MATCH(F$3,Platts!$F$5:$M$5,0)+1,FALSE),F887)</f>
        <v>73.14</v>
      </c>
      <c r="G888" s="6">
        <f>IFERROR(VLOOKUP($B888,Platts!$E$5:$M$4994,MATCH(G$3,Platts!$F$5:$M$5,0)+1,FALSE),G887)</f>
        <v>76.5</v>
      </c>
      <c r="H888" s="6">
        <f>IFERROR(VLOOKUP($B888,Platts!$E$5:$M$4994,MATCH(H$3,Platts!$F$5:$M$5,0)+1,FALSE),H887)</f>
        <v>65.86</v>
      </c>
      <c r="I888" s="6">
        <f>IFERROR(VLOOKUP($B888,Platts!$E$5:$M$4994,MATCH(I$3,Platts!$F$5:$M$5,0)+1,FALSE),I887)</f>
        <v>74.36</v>
      </c>
      <c r="J888" s="6">
        <f t="shared" si="26"/>
        <v>1.8900000000000006</v>
      </c>
    </row>
    <row r="889" spans="2:10" x14ac:dyDescent="0.25">
      <c r="B889" s="5">
        <f t="shared" si="27"/>
        <v>43255</v>
      </c>
      <c r="C889" s="6">
        <f>IFERROR(VLOOKUP($B889,Platts!$E$5:$M$4994,MATCH(C$3,Platts!$F$5:$M$5,0)+1,FALSE),C888)</f>
        <v>63.17</v>
      </c>
      <c r="D889" s="6">
        <f>IFERROR(VLOOKUP($B889,Platts!$E$5:$M$4994,MATCH(D$3,Platts!$F$5:$M$5,0)+1,FALSE),D888)</f>
        <v>69.239999999999995</v>
      </c>
      <c r="E889" s="6">
        <f>IFERROR(VLOOKUP($B889,Platts!$E$5:$M$4994,MATCH(E$3,Platts!$F$5:$M$5,0)+1,FALSE),E888)</f>
        <v>62.84</v>
      </c>
      <c r="F889" s="6">
        <f>IFERROR(VLOOKUP($B889,Platts!$E$5:$M$4994,MATCH(F$3,Platts!$F$5:$M$5,0)+1,FALSE),F888)</f>
        <v>72.2</v>
      </c>
      <c r="G889" s="6">
        <f>IFERROR(VLOOKUP($B889,Platts!$E$5:$M$4994,MATCH(G$3,Platts!$F$5:$M$5,0)+1,FALSE),G888)</f>
        <v>75.38</v>
      </c>
      <c r="H889" s="6">
        <f>IFERROR(VLOOKUP($B889,Platts!$E$5:$M$4994,MATCH(H$3,Platts!$F$5:$M$5,0)+1,FALSE),H888)</f>
        <v>64.75</v>
      </c>
      <c r="I889" s="6">
        <f>IFERROR(VLOOKUP($B889,Platts!$E$5:$M$4994,MATCH(I$3,Platts!$F$5:$M$5,0)+1,FALSE),I888)</f>
        <v>73.45</v>
      </c>
      <c r="J889" s="6">
        <f t="shared" si="26"/>
        <v>1.5799999999999983</v>
      </c>
    </row>
    <row r="890" spans="2:10" x14ac:dyDescent="0.25">
      <c r="B890" s="5">
        <f t="shared" si="27"/>
        <v>43256</v>
      </c>
      <c r="C890" s="6">
        <f>IFERROR(VLOOKUP($B890,Platts!$E$5:$M$4994,MATCH(C$3,Platts!$F$5:$M$5,0)+1,FALSE),C889)</f>
        <v>63.18</v>
      </c>
      <c r="D890" s="6">
        <f>IFERROR(VLOOKUP($B890,Platts!$E$5:$M$4994,MATCH(D$3,Platts!$F$5:$M$5,0)+1,FALSE),D889)</f>
        <v>69.34</v>
      </c>
      <c r="E890" s="6">
        <f>IFERROR(VLOOKUP($B890,Platts!$E$5:$M$4994,MATCH(E$3,Platts!$F$5:$M$5,0)+1,FALSE),E889)</f>
        <v>63.11</v>
      </c>
      <c r="F890" s="6">
        <f>IFERROR(VLOOKUP($B890,Platts!$E$5:$M$4994,MATCH(F$3,Platts!$F$5:$M$5,0)+1,FALSE),F889)</f>
        <v>72.23</v>
      </c>
      <c r="G890" s="6">
        <f>IFERROR(VLOOKUP($B890,Platts!$E$5:$M$4994,MATCH(G$3,Platts!$F$5:$M$5,0)+1,FALSE),G889)</f>
        <v>74.59</v>
      </c>
      <c r="H890" s="6">
        <f>IFERROR(VLOOKUP($B890,Platts!$E$5:$M$4994,MATCH(H$3,Platts!$F$5:$M$5,0)+1,FALSE),H889)</f>
        <v>65.540000000000006</v>
      </c>
      <c r="I890" s="6">
        <f>IFERROR(VLOOKUP($B890,Platts!$E$5:$M$4994,MATCH(I$3,Platts!$F$5:$M$5,0)+1,FALSE),I889)</f>
        <v>72.790000000000006</v>
      </c>
      <c r="J890" s="6">
        <f t="shared" si="26"/>
        <v>2.3600000000000065</v>
      </c>
    </row>
    <row r="891" spans="2:10" x14ac:dyDescent="0.25">
      <c r="B891" s="5">
        <f t="shared" si="27"/>
        <v>43257</v>
      </c>
      <c r="C891" s="6">
        <f>IFERROR(VLOOKUP($B891,Platts!$E$5:$M$4994,MATCH(C$3,Platts!$F$5:$M$5,0)+1,FALSE),C890)</f>
        <v>63.04</v>
      </c>
      <c r="D891" s="6">
        <f>IFERROR(VLOOKUP($B891,Platts!$E$5:$M$4994,MATCH(D$3,Platts!$F$5:$M$5,0)+1,FALSE),D890)</f>
        <v>69.180000000000007</v>
      </c>
      <c r="E891" s="6">
        <f>IFERROR(VLOOKUP($B891,Platts!$E$5:$M$4994,MATCH(E$3,Platts!$F$5:$M$5,0)+1,FALSE),E890)</f>
        <v>62.75</v>
      </c>
      <c r="F891" s="6">
        <f>IFERROR(VLOOKUP($B891,Platts!$E$5:$M$4994,MATCH(F$3,Platts!$F$5:$M$5,0)+1,FALSE),F890)</f>
        <v>72.23</v>
      </c>
      <c r="G891" s="6">
        <f>IFERROR(VLOOKUP($B891,Platts!$E$5:$M$4994,MATCH(G$3,Platts!$F$5:$M$5,0)+1,FALSE),G890)</f>
        <v>75.05</v>
      </c>
      <c r="H891" s="6">
        <f>IFERROR(VLOOKUP($B891,Platts!$E$5:$M$4994,MATCH(H$3,Platts!$F$5:$M$5,0)+1,FALSE),H890)</f>
        <v>64.790000000000006</v>
      </c>
      <c r="I891" s="6">
        <f>IFERROR(VLOOKUP($B891,Platts!$E$5:$M$4994,MATCH(I$3,Platts!$F$5:$M$5,0)+1,FALSE),I890)</f>
        <v>73.040000000000006</v>
      </c>
      <c r="J891" s="6">
        <f t="shared" si="26"/>
        <v>1.7500000000000071</v>
      </c>
    </row>
    <row r="892" spans="2:10" x14ac:dyDescent="0.25">
      <c r="B892" s="5">
        <f t="shared" si="27"/>
        <v>43258</v>
      </c>
      <c r="C892" s="6">
        <f>IFERROR(VLOOKUP($B892,Platts!$E$5:$M$4994,MATCH(C$3,Platts!$F$5:$M$5,0)+1,FALSE),C891)</f>
        <v>64.900000000000006</v>
      </c>
      <c r="D892" s="6">
        <f>IFERROR(VLOOKUP($B892,Platts!$E$5:$M$4994,MATCH(D$3,Platts!$F$5:$M$5,0)+1,FALSE),D891)</f>
        <v>71.3</v>
      </c>
      <c r="E892" s="6">
        <f>IFERROR(VLOOKUP($B892,Platts!$E$5:$M$4994,MATCH(E$3,Platts!$F$5:$M$5,0)+1,FALSE),E891)</f>
        <v>64.7</v>
      </c>
      <c r="F892" s="6">
        <f>IFERROR(VLOOKUP($B892,Platts!$E$5:$M$4994,MATCH(F$3,Platts!$F$5:$M$5,0)+1,FALSE),F891)</f>
        <v>74.260000000000005</v>
      </c>
      <c r="G892" s="6">
        <f>IFERROR(VLOOKUP($B892,Platts!$E$5:$M$4994,MATCH(G$3,Platts!$F$5:$M$5,0)+1,FALSE),G891)</f>
        <v>77.010000000000005</v>
      </c>
      <c r="H892" s="6">
        <f>IFERROR(VLOOKUP($B892,Platts!$E$5:$M$4994,MATCH(H$3,Platts!$F$5:$M$5,0)+1,FALSE),H891)</f>
        <v>65.95</v>
      </c>
      <c r="I892" s="6">
        <f>IFERROR(VLOOKUP($B892,Platts!$E$5:$M$4994,MATCH(I$3,Platts!$F$5:$M$5,0)+1,FALSE),I891)</f>
        <v>74.95</v>
      </c>
      <c r="J892" s="6">
        <f t="shared" si="26"/>
        <v>1.0499999999999972</v>
      </c>
    </row>
    <row r="893" spans="2:10" x14ac:dyDescent="0.25">
      <c r="B893" s="5">
        <f t="shared" si="27"/>
        <v>43259</v>
      </c>
      <c r="C893" s="6">
        <f>IFERROR(VLOOKUP($B893,Platts!$E$5:$M$4994,MATCH(C$3,Platts!$F$5:$M$5,0)+1,FALSE),C892)</f>
        <v>64.260000000000005</v>
      </c>
      <c r="D893" s="6">
        <f>IFERROR(VLOOKUP($B893,Platts!$E$5:$M$4994,MATCH(D$3,Platts!$F$5:$M$5,0)+1,FALSE),D892)</f>
        <v>70.44</v>
      </c>
      <c r="E893" s="6">
        <f>IFERROR(VLOOKUP($B893,Platts!$E$5:$M$4994,MATCH(E$3,Platts!$F$5:$M$5,0)+1,FALSE),E892)</f>
        <v>64.17</v>
      </c>
      <c r="F893" s="6">
        <f>IFERROR(VLOOKUP($B893,Platts!$E$5:$M$4994,MATCH(F$3,Platts!$F$5:$M$5,0)+1,FALSE),F892)</f>
        <v>73.39</v>
      </c>
      <c r="G893" s="6">
        <f>IFERROR(VLOOKUP($B893,Platts!$E$5:$M$4994,MATCH(G$3,Platts!$F$5:$M$5,0)+1,FALSE),G892)</f>
        <v>76.64</v>
      </c>
      <c r="H893" s="6">
        <f>IFERROR(VLOOKUP($B893,Platts!$E$5:$M$4994,MATCH(H$3,Platts!$F$5:$M$5,0)+1,FALSE),H892)</f>
        <v>65.739999999999995</v>
      </c>
      <c r="I893" s="6">
        <f>IFERROR(VLOOKUP($B893,Platts!$E$5:$M$4994,MATCH(I$3,Platts!$F$5:$M$5,0)+1,FALSE),I892)</f>
        <v>74.44</v>
      </c>
      <c r="J893" s="6">
        <f t="shared" si="26"/>
        <v>1.4799999999999898</v>
      </c>
    </row>
    <row r="894" spans="2:10" x14ac:dyDescent="0.25">
      <c r="B894" s="5">
        <f t="shared" si="27"/>
        <v>43260</v>
      </c>
      <c r="C894" s="6">
        <f>IFERROR(VLOOKUP($B894,Platts!$E$5:$M$4994,MATCH(C$3,Platts!$F$5:$M$5,0)+1,FALSE),C893)</f>
        <v>64.260000000000005</v>
      </c>
      <c r="D894" s="6">
        <f>IFERROR(VLOOKUP($B894,Platts!$E$5:$M$4994,MATCH(D$3,Platts!$F$5:$M$5,0)+1,FALSE),D893)</f>
        <v>70.44</v>
      </c>
      <c r="E894" s="6">
        <f>IFERROR(VLOOKUP($B894,Platts!$E$5:$M$4994,MATCH(E$3,Platts!$F$5:$M$5,0)+1,FALSE),E893)</f>
        <v>64.17</v>
      </c>
      <c r="F894" s="6">
        <f>IFERROR(VLOOKUP($B894,Platts!$E$5:$M$4994,MATCH(F$3,Platts!$F$5:$M$5,0)+1,FALSE),F893)</f>
        <v>73.39</v>
      </c>
      <c r="G894" s="6">
        <f>IFERROR(VLOOKUP($B894,Platts!$E$5:$M$4994,MATCH(G$3,Platts!$F$5:$M$5,0)+1,FALSE),G893)</f>
        <v>76.64</v>
      </c>
      <c r="H894" s="6">
        <f>IFERROR(VLOOKUP($B894,Platts!$E$5:$M$4994,MATCH(H$3,Platts!$F$5:$M$5,0)+1,FALSE),H893)</f>
        <v>65.739999999999995</v>
      </c>
      <c r="I894" s="6">
        <f>IFERROR(VLOOKUP($B894,Platts!$E$5:$M$4994,MATCH(I$3,Platts!$F$5:$M$5,0)+1,FALSE),I893)</f>
        <v>74.44</v>
      </c>
      <c r="J894" s="6">
        <f t="shared" si="26"/>
        <v>1.4799999999999898</v>
      </c>
    </row>
    <row r="895" spans="2:10" x14ac:dyDescent="0.25">
      <c r="B895" s="5">
        <f t="shared" si="27"/>
        <v>43261</v>
      </c>
      <c r="C895" s="6">
        <f>IFERROR(VLOOKUP($B895,Platts!$E$5:$M$4994,MATCH(C$3,Platts!$F$5:$M$5,0)+1,FALSE),C894)</f>
        <v>64.260000000000005</v>
      </c>
      <c r="D895" s="6">
        <f>IFERROR(VLOOKUP($B895,Platts!$E$5:$M$4994,MATCH(D$3,Platts!$F$5:$M$5,0)+1,FALSE),D894)</f>
        <v>70.44</v>
      </c>
      <c r="E895" s="6">
        <f>IFERROR(VLOOKUP($B895,Platts!$E$5:$M$4994,MATCH(E$3,Platts!$F$5:$M$5,0)+1,FALSE),E894)</f>
        <v>64.17</v>
      </c>
      <c r="F895" s="6">
        <f>IFERROR(VLOOKUP($B895,Platts!$E$5:$M$4994,MATCH(F$3,Platts!$F$5:$M$5,0)+1,FALSE),F894)</f>
        <v>73.39</v>
      </c>
      <c r="G895" s="6">
        <f>IFERROR(VLOOKUP($B895,Platts!$E$5:$M$4994,MATCH(G$3,Platts!$F$5:$M$5,0)+1,FALSE),G894)</f>
        <v>76.64</v>
      </c>
      <c r="H895" s="6">
        <f>IFERROR(VLOOKUP($B895,Platts!$E$5:$M$4994,MATCH(H$3,Platts!$F$5:$M$5,0)+1,FALSE),H894)</f>
        <v>65.739999999999995</v>
      </c>
      <c r="I895" s="6">
        <f>IFERROR(VLOOKUP($B895,Platts!$E$5:$M$4994,MATCH(I$3,Platts!$F$5:$M$5,0)+1,FALSE),I894)</f>
        <v>74.44</v>
      </c>
      <c r="J895" s="6">
        <f t="shared" si="26"/>
        <v>1.4799999999999898</v>
      </c>
    </row>
    <row r="896" spans="2:10" x14ac:dyDescent="0.25">
      <c r="B896" s="5">
        <f t="shared" si="27"/>
        <v>43262</v>
      </c>
      <c r="C896" s="6">
        <f>IFERROR(VLOOKUP($B896,Platts!$E$5:$M$4994,MATCH(C$3,Platts!$F$5:$M$5,0)+1,FALSE),C895)</f>
        <v>64.739999999999995</v>
      </c>
      <c r="D896" s="6">
        <f>IFERROR(VLOOKUP($B896,Platts!$E$5:$M$4994,MATCH(D$3,Platts!$F$5:$M$5,0)+1,FALSE),D895)</f>
        <v>71.2</v>
      </c>
      <c r="E896" s="6">
        <f>IFERROR(VLOOKUP($B896,Platts!$E$5:$M$4994,MATCH(E$3,Platts!$F$5:$M$5,0)+1,FALSE),E895)</f>
        <v>64.709999999999994</v>
      </c>
      <c r="F896" s="6">
        <f>IFERROR(VLOOKUP($B896,Platts!$E$5:$M$4994,MATCH(F$3,Platts!$F$5:$M$5,0)+1,FALSE),F895)</f>
        <v>73.98</v>
      </c>
      <c r="G896" s="6">
        <f>IFERROR(VLOOKUP($B896,Platts!$E$5:$M$4994,MATCH(G$3,Platts!$F$5:$M$5,0)+1,FALSE),G895)</f>
        <v>76.61</v>
      </c>
      <c r="H896" s="6">
        <f>IFERROR(VLOOKUP($B896,Platts!$E$5:$M$4994,MATCH(H$3,Platts!$F$5:$M$5,0)+1,FALSE),H895)</f>
        <v>66.099999999999994</v>
      </c>
      <c r="I896" s="6">
        <f>IFERROR(VLOOKUP($B896,Platts!$E$5:$M$4994,MATCH(I$3,Platts!$F$5:$M$5,0)+1,FALSE),I895)</f>
        <v>74.599999999999994</v>
      </c>
      <c r="J896" s="6">
        <f t="shared" si="26"/>
        <v>1.3599999999999994</v>
      </c>
    </row>
    <row r="897" spans="2:10" x14ac:dyDescent="0.25">
      <c r="B897" s="5">
        <f t="shared" si="27"/>
        <v>43263</v>
      </c>
      <c r="C897" s="6">
        <f>IFERROR(VLOOKUP($B897,Platts!$E$5:$M$4994,MATCH(C$3,Platts!$F$5:$M$5,0)+1,FALSE),C896)</f>
        <v>64.209999999999994</v>
      </c>
      <c r="D897" s="6">
        <f>IFERROR(VLOOKUP($B897,Platts!$E$5:$M$4994,MATCH(D$3,Platts!$F$5:$M$5,0)+1,FALSE),D896)</f>
        <v>70.87</v>
      </c>
      <c r="E897" s="6">
        <f>IFERROR(VLOOKUP($B897,Platts!$E$5:$M$4994,MATCH(E$3,Platts!$F$5:$M$5,0)+1,FALSE),E896)</f>
        <v>63.89</v>
      </c>
      <c r="F897" s="6">
        <f>IFERROR(VLOOKUP($B897,Platts!$E$5:$M$4994,MATCH(F$3,Platts!$F$5:$M$5,0)+1,FALSE),F896)</f>
        <v>73.650000000000006</v>
      </c>
      <c r="G897" s="6">
        <f>IFERROR(VLOOKUP($B897,Platts!$E$5:$M$4994,MATCH(G$3,Platts!$F$5:$M$5,0)+1,FALSE),G896)</f>
        <v>76.44</v>
      </c>
      <c r="H897" s="6">
        <f>IFERROR(VLOOKUP($B897,Platts!$E$5:$M$4994,MATCH(H$3,Platts!$F$5:$M$5,0)+1,FALSE),H896)</f>
        <v>66.39</v>
      </c>
      <c r="I897" s="6">
        <f>IFERROR(VLOOKUP($B897,Platts!$E$5:$M$4994,MATCH(I$3,Platts!$F$5:$M$5,0)+1,FALSE),I896)</f>
        <v>74.84</v>
      </c>
      <c r="J897" s="6">
        <f t="shared" si="26"/>
        <v>2.1800000000000068</v>
      </c>
    </row>
    <row r="898" spans="2:10" x14ac:dyDescent="0.25">
      <c r="B898" s="5">
        <f t="shared" si="27"/>
        <v>43264</v>
      </c>
      <c r="C898" s="6">
        <f>IFERROR(VLOOKUP($B898,Platts!$E$5:$M$4994,MATCH(C$3,Platts!$F$5:$M$5,0)+1,FALSE),C897)</f>
        <v>64.17</v>
      </c>
      <c r="D898" s="6">
        <f>IFERROR(VLOOKUP($B898,Platts!$E$5:$M$4994,MATCH(D$3,Platts!$F$5:$M$5,0)+1,FALSE),D897)</f>
        <v>71.260000000000005</v>
      </c>
      <c r="E898" s="6">
        <f>IFERROR(VLOOKUP($B898,Platts!$E$5:$M$4994,MATCH(E$3,Platts!$F$5:$M$5,0)+1,FALSE),E897)</f>
        <v>64.3</v>
      </c>
      <c r="F898" s="6">
        <f>IFERROR(VLOOKUP($B898,Platts!$E$5:$M$4994,MATCH(F$3,Platts!$F$5:$M$5,0)+1,FALSE),F897)</f>
        <v>74.12</v>
      </c>
      <c r="G898" s="6">
        <f>IFERROR(VLOOKUP($B898,Platts!$E$5:$M$4994,MATCH(G$3,Platts!$F$5:$M$5,0)+1,FALSE),G897)</f>
        <v>76.319999999999993</v>
      </c>
      <c r="H898" s="6">
        <f>IFERROR(VLOOKUP($B898,Platts!$E$5:$M$4994,MATCH(H$3,Platts!$F$5:$M$5,0)+1,FALSE),H897)</f>
        <v>66.64</v>
      </c>
      <c r="I898" s="6">
        <f>IFERROR(VLOOKUP($B898,Platts!$E$5:$M$4994,MATCH(I$3,Platts!$F$5:$M$5,0)+1,FALSE),I897)</f>
        <v>75.239999999999995</v>
      </c>
      <c r="J898" s="6">
        <f t="shared" si="26"/>
        <v>2.4699999999999989</v>
      </c>
    </row>
    <row r="899" spans="2:10" x14ac:dyDescent="0.25">
      <c r="B899" s="5">
        <f t="shared" si="27"/>
        <v>43265</v>
      </c>
      <c r="C899" s="6">
        <f>IFERROR(VLOOKUP($B899,Platts!$E$5:$M$4994,MATCH(C$3,Platts!$F$5:$M$5,0)+1,FALSE),C898)</f>
        <v>64.34</v>
      </c>
      <c r="D899" s="6">
        <f>IFERROR(VLOOKUP($B899,Platts!$E$5:$M$4994,MATCH(D$3,Platts!$F$5:$M$5,0)+1,FALSE),D898)</f>
        <v>71.150000000000006</v>
      </c>
      <c r="E899" s="6">
        <f>IFERROR(VLOOKUP($B899,Platts!$E$5:$M$4994,MATCH(E$3,Platts!$F$5:$M$5,0)+1,FALSE),E898)</f>
        <v>64.069999999999993</v>
      </c>
      <c r="F899" s="6">
        <f>IFERROR(VLOOKUP($B899,Platts!$E$5:$M$4994,MATCH(F$3,Platts!$F$5:$M$5,0)+1,FALSE),F898)</f>
        <v>73.900000000000006</v>
      </c>
      <c r="G899" s="6">
        <f>IFERROR(VLOOKUP($B899,Platts!$E$5:$M$4994,MATCH(G$3,Platts!$F$5:$M$5,0)+1,FALSE),G898)</f>
        <v>76.06</v>
      </c>
      <c r="H899" s="6">
        <f>IFERROR(VLOOKUP($B899,Platts!$E$5:$M$4994,MATCH(H$3,Platts!$F$5:$M$5,0)+1,FALSE),H898)</f>
        <v>66.89</v>
      </c>
      <c r="I899" s="6">
        <f>IFERROR(VLOOKUP($B899,Platts!$E$5:$M$4994,MATCH(I$3,Platts!$F$5:$M$5,0)+1,FALSE),I898)</f>
        <v>75.44</v>
      </c>
      <c r="J899" s="6">
        <f t="shared" si="26"/>
        <v>2.5499999999999972</v>
      </c>
    </row>
    <row r="900" spans="2:10" x14ac:dyDescent="0.25">
      <c r="B900" s="5">
        <f t="shared" si="27"/>
        <v>43266</v>
      </c>
      <c r="C900" s="6">
        <f>IFERROR(VLOOKUP($B900,Platts!$E$5:$M$4994,MATCH(C$3,Platts!$F$5:$M$5,0)+1,FALSE),C899)</f>
        <v>64.34</v>
      </c>
      <c r="D900" s="6">
        <f>IFERROR(VLOOKUP($B900,Platts!$E$5:$M$4994,MATCH(D$3,Platts!$F$5:$M$5,0)+1,FALSE),D899)</f>
        <v>68.849999999999994</v>
      </c>
      <c r="E900" s="6">
        <f>IFERROR(VLOOKUP($B900,Platts!$E$5:$M$4994,MATCH(E$3,Platts!$F$5:$M$5,0)+1,FALSE),E899)</f>
        <v>61.95</v>
      </c>
      <c r="F900" s="6">
        <f>IFERROR(VLOOKUP($B900,Platts!$E$5:$M$4994,MATCH(F$3,Platts!$F$5:$M$5,0)+1,FALSE),F899)</f>
        <v>71.59</v>
      </c>
      <c r="G900" s="6">
        <f>IFERROR(VLOOKUP($B900,Platts!$E$5:$M$4994,MATCH(G$3,Platts!$F$5:$M$5,0)+1,FALSE),G899)</f>
        <v>73.36</v>
      </c>
      <c r="H900" s="6">
        <f>IFERROR(VLOOKUP($B900,Platts!$E$5:$M$4994,MATCH(H$3,Platts!$F$5:$M$5,0)+1,FALSE),H899)</f>
        <v>65.06</v>
      </c>
      <c r="I900" s="6">
        <f>IFERROR(VLOOKUP($B900,Platts!$E$5:$M$4994,MATCH(I$3,Platts!$F$5:$M$5,0)+1,FALSE),I899)</f>
        <v>72.81</v>
      </c>
      <c r="J900" s="6">
        <f t="shared" ref="J900:J963" si="28">H900-C900</f>
        <v>0.71999999999999886</v>
      </c>
    </row>
    <row r="901" spans="2:10" x14ac:dyDescent="0.25">
      <c r="B901" s="5">
        <f t="shared" si="27"/>
        <v>43267</v>
      </c>
      <c r="C901" s="6">
        <f>IFERROR(VLOOKUP($B901,Platts!$E$5:$M$4994,MATCH(C$3,Platts!$F$5:$M$5,0)+1,FALSE),C900)</f>
        <v>64.34</v>
      </c>
      <c r="D901" s="6">
        <f>IFERROR(VLOOKUP($B901,Platts!$E$5:$M$4994,MATCH(D$3,Platts!$F$5:$M$5,0)+1,FALSE),D900)</f>
        <v>68.849999999999994</v>
      </c>
      <c r="E901" s="6">
        <f>IFERROR(VLOOKUP($B901,Platts!$E$5:$M$4994,MATCH(E$3,Platts!$F$5:$M$5,0)+1,FALSE),E900)</f>
        <v>61.95</v>
      </c>
      <c r="F901" s="6">
        <f>IFERROR(VLOOKUP($B901,Platts!$E$5:$M$4994,MATCH(F$3,Platts!$F$5:$M$5,0)+1,FALSE),F900)</f>
        <v>71.59</v>
      </c>
      <c r="G901" s="6">
        <f>IFERROR(VLOOKUP($B901,Platts!$E$5:$M$4994,MATCH(G$3,Platts!$F$5:$M$5,0)+1,FALSE),G900)</f>
        <v>73.36</v>
      </c>
      <c r="H901" s="6">
        <f>IFERROR(VLOOKUP($B901,Platts!$E$5:$M$4994,MATCH(H$3,Platts!$F$5:$M$5,0)+1,FALSE),H900)</f>
        <v>65.06</v>
      </c>
      <c r="I901" s="6">
        <f>IFERROR(VLOOKUP($B901,Platts!$E$5:$M$4994,MATCH(I$3,Platts!$F$5:$M$5,0)+1,FALSE),I900)</f>
        <v>72.81</v>
      </c>
      <c r="J901" s="6">
        <f t="shared" si="28"/>
        <v>0.71999999999999886</v>
      </c>
    </row>
    <row r="902" spans="2:10" x14ac:dyDescent="0.25">
      <c r="B902" s="5">
        <f t="shared" ref="B902:B965" si="29">B901+1</f>
        <v>43268</v>
      </c>
      <c r="C902" s="6">
        <f>IFERROR(VLOOKUP($B902,Platts!$E$5:$M$4994,MATCH(C$3,Platts!$F$5:$M$5,0)+1,FALSE),C901)</f>
        <v>64.34</v>
      </c>
      <c r="D902" s="6">
        <f>IFERROR(VLOOKUP($B902,Platts!$E$5:$M$4994,MATCH(D$3,Platts!$F$5:$M$5,0)+1,FALSE),D901)</f>
        <v>68.849999999999994</v>
      </c>
      <c r="E902" s="6">
        <f>IFERROR(VLOOKUP($B902,Platts!$E$5:$M$4994,MATCH(E$3,Platts!$F$5:$M$5,0)+1,FALSE),E901)</f>
        <v>61.95</v>
      </c>
      <c r="F902" s="6">
        <f>IFERROR(VLOOKUP($B902,Platts!$E$5:$M$4994,MATCH(F$3,Platts!$F$5:$M$5,0)+1,FALSE),F901)</f>
        <v>71.59</v>
      </c>
      <c r="G902" s="6">
        <f>IFERROR(VLOOKUP($B902,Platts!$E$5:$M$4994,MATCH(G$3,Platts!$F$5:$M$5,0)+1,FALSE),G901)</f>
        <v>73.36</v>
      </c>
      <c r="H902" s="6">
        <f>IFERROR(VLOOKUP($B902,Platts!$E$5:$M$4994,MATCH(H$3,Platts!$F$5:$M$5,0)+1,FALSE),H901)</f>
        <v>65.06</v>
      </c>
      <c r="I902" s="6">
        <f>IFERROR(VLOOKUP($B902,Platts!$E$5:$M$4994,MATCH(I$3,Platts!$F$5:$M$5,0)+1,FALSE),I901)</f>
        <v>72.81</v>
      </c>
      <c r="J902" s="6">
        <f t="shared" si="28"/>
        <v>0.71999999999999886</v>
      </c>
    </row>
    <row r="903" spans="2:10" x14ac:dyDescent="0.25">
      <c r="B903" s="5">
        <f t="shared" si="29"/>
        <v>43269</v>
      </c>
      <c r="C903" s="6">
        <f>IFERROR(VLOOKUP($B903,Platts!$E$5:$M$4994,MATCH(C$3,Platts!$F$5:$M$5,0)+1,FALSE),C902)</f>
        <v>63.36</v>
      </c>
      <c r="D903" s="6">
        <f>IFERROR(VLOOKUP($B903,Platts!$E$5:$M$4994,MATCH(D$3,Platts!$F$5:$M$5,0)+1,FALSE),D902)</f>
        <v>70.44</v>
      </c>
      <c r="E903" s="6">
        <f>IFERROR(VLOOKUP($B903,Platts!$E$5:$M$4994,MATCH(E$3,Platts!$F$5:$M$5,0)+1,FALSE),E902)</f>
        <v>63.62</v>
      </c>
      <c r="F903" s="6">
        <f>IFERROR(VLOOKUP($B903,Platts!$E$5:$M$4994,MATCH(F$3,Platts!$F$5:$M$5,0)+1,FALSE),F902)</f>
        <v>73.209999999999994</v>
      </c>
      <c r="G903" s="6">
        <f>IFERROR(VLOOKUP($B903,Platts!$E$5:$M$4994,MATCH(G$3,Platts!$F$5:$M$5,0)+1,FALSE),G902)</f>
        <v>74.75</v>
      </c>
      <c r="H903" s="6">
        <f>IFERROR(VLOOKUP($B903,Platts!$E$5:$M$4994,MATCH(H$3,Platts!$F$5:$M$5,0)+1,FALSE),H902)</f>
        <v>65.87</v>
      </c>
      <c r="I903" s="6">
        <f>IFERROR(VLOOKUP($B903,Platts!$E$5:$M$4994,MATCH(I$3,Platts!$F$5:$M$5,0)+1,FALSE),I902)</f>
        <v>74.97</v>
      </c>
      <c r="J903" s="6">
        <f t="shared" si="28"/>
        <v>2.5100000000000051</v>
      </c>
    </row>
    <row r="904" spans="2:10" x14ac:dyDescent="0.25">
      <c r="B904" s="5">
        <f t="shared" si="29"/>
        <v>43270</v>
      </c>
      <c r="C904" s="6">
        <f>IFERROR(VLOOKUP($B904,Platts!$E$5:$M$4994,MATCH(C$3,Platts!$F$5:$M$5,0)+1,FALSE),C903)</f>
        <v>63.35</v>
      </c>
      <c r="D904" s="6">
        <f>IFERROR(VLOOKUP($B904,Platts!$E$5:$M$4994,MATCH(D$3,Platts!$F$5:$M$5,0)+1,FALSE),D903)</f>
        <v>70.430000000000007</v>
      </c>
      <c r="E904" s="6">
        <f>IFERROR(VLOOKUP($B904,Platts!$E$5:$M$4994,MATCH(E$3,Platts!$F$5:$M$5,0)+1,FALSE),E903)</f>
        <v>63.46</v>
      </c>
      <c r="F904" s="6">
        <f>IFERROR(VLOOKUP($B904,Platts!$E$5:$M$4994,MATCH(F$3,Platts!$F$5:$M$5,0)+1,FALSE),F903)</f>
        <v>73.16</v>
      </c>
      <c r="G904" s="6">
        <f>IFERROR(VLOOKUP($B904,Platts!$E$5:$M$4994,MATCH(G$3,Platts!$F$5:$M$5,0)+1,FALSE),G903)</f>
        <v>74.83</v>
      </c>
      <c r="H904" s="6">
        <f>IFERROR(VLOOKUP($B904,Platts!$E$5:$M$4994,MATCH(H$3,Platts!$F$5:$M$5,0)+1,FALSE),H903)</f>
        <v>65.099999999999994</v>
      </c>
      <c r="I904" s="6">
        <f>IFERROR(VLOOKUP($B904,Platts!$E$5:$M$4994,MATCH(I$3,Platts!$F$5:$M$5,0)+1,FALSE),I903)</f>
        <v>75.05</v>
      </c>
      <c r="J904" s="6">
        <f t="shared" si="28"/>
        <v>1.7499999999999929</v>
      </c>
    </row>
    <row r="905" spans="2:10" x14ac:dyDescent="0.25">
      <c r="B905" s="5">
        <f t="shared" si="29"/>
        <v>43271</v>
      </c>
      <c r="C905" s="6">
        <f>IFERROR(VLOOKUP($B905,Platts!$E$5:$M$4994,MATCH(C$3,Platts!$F$5:$M$5,0)+1,FALSE),C904)</f>
        <v>64.78</v>
      </c>
      <c r="D905" s="6">
        <f>IFERROR(VLOOKUP($B905,Platts!$E$5:$M$4994,MATCH(D$3,Platts!$F$5:$M$5,0)+1,FALSE),D904)</f>
        <v>71.709999999999994</v>
      </c>
      <c r="E905" s="6">
        <f>IFERROR(VLOOKUP($B905,Platts!$E$5:$M$4994,MATCH(E$3,Platts!$F$5:$M$5,0)+1,FALSE),E904)</f>
        <v>65.16</v>
      </c>
      <c r="F905" s="6">
        <f>IFERROR(VLOOKUP($B905,Platts!$E$5:$M$4994,MATCH(F$3,Platts!$F$5:$M$5,0)+1,FALSE),F904)</f>
        <v>74.11</v>
      </c>
      <c r="G905" s="6">
        <f>IFERROR(VLOOKUP($B905,Platts!$E$5:$M$4994,MATCH(G$3,Platts!$F$5:$M$5,0)+1,FALSE),G904)</f>
        <v>75.36</v>
      </c>
      <c r="H905" s="6">
        <f>IFERROR(VLOOKUP($B905,Platts!$E$5:$M$4994,MATCH(H$3,Platts!$F$5:$M$5,0)+1,FALSE),H904)</f>
        <v>66.239999999999995</v>
      </c>
      <c r="I905" s="6">
        <f>IFERROR(VLOOKUP($B905,Platts!$E$5:$M$4994,MATCH(I$3,Platts!$F$5:$M$5,0)+1,FALSE),I904)</f>
        <v>74.64</v>
      </c>
      <c r="J905" s="6">
        <f t="shared" si="28"/>
        <v>1.4599999999999937</v>
      </c>
    </row>
    <row r="906" spans="2:10" x14ac:dyDescent="0.25">
      <c r="B906" s="5">
        <f t="shared" si="29"/>
        <v>43272</v>
      </c>
      <c r="C906" s="6">
        <f>IFERROR(VLOOKUP($B906,Platts!$E$5:$M$4994,MATCH(C$3,Platts!$F$5:$M$5,0)+1,FALSE),C905)</f>
        <v>64.61</v>
      </c>
      <c r="D906" s="6">
        <f>IFERROR(VLOOKUP($B906,Platts!$E$5:$M$4994,MATCH(D$3,Platts!$F$5:$M$5,0)+1,FALSE),D905)</f>
        <v>71.400000000000006</v>
      </c>
      <c r="E906" s="6">
        <f>IFERROR(VLOOKUP($B906,Platts!$E$5:$M$4994,MATCH(E$3,Platts!$F$5:$M$5,0)+1,FALSE),E905)</f>
        <v>65.61</v>
      </c>
      <c r="F906" s="6">
        <f>IFERROR(VLOOKUP($B906,Platts!$E$5:$M$4994,MATCH(F$3,Platts!$F$5:$M$5,0)+1,FALSE),F905)</f>
        <v>73.64</v>
      </c>
      <c r="G906" s="6">
        <f>IFERROR(VLOOKUP($B906,Platts!$E$5:$M$4994,MATCH(G$3,Platts!$F$5:$M$5,0)+1,FALSE),G905)</f>
        <v>73.62</v>
      </c>
      <c r="H906" s="6">
        <f>IFERROR(VLOOKUP($B906,Platts!$E$5:$M$4994,MATCH(H$3,Platts!$F$5:$M$5,0)+1,FALSE),H905)</f>
        <v>65.89</v>
      </c>
      <c r="I906" s="6">
        <f>IFERROR(VLOOKUP($B906,Platts!$E$5:$M$4994,MATCH(I$3,Platts!$F$5:$M$5,0)+1,FALSE),I905)</f>
        <v>71.989999999999995</v>
      </c>
      <c r="J906" s="6">
        <f t="shared" si="28"/>
        <v>1.2800000000000011</v>
      </c>
    </row>
    <row r="907" spans="2:10" x14ac:dyDescent="0.25">
      <c r="B907" s="5">
        <f t="shared" si="29"/>
        <v>43273</v>
      </c>
      <c r="C907" s="6">
        <f>IFERROR(VLOOKUP($B907,Platts!$E$5:$M$4994,MATCH(C$3,Platts!$F$5:$M$5,0)+1,FALSE),C906)</f>
        <v>67.08</v>
      </c>
      <c r="D907" s="6">
        <f>IFERROR(VLOOKUP($B907,Platts!$E$5:$M$4994,MATCH(D$3,Platts!$F$5:$M$5,0)+1,FALSE),D906)</f>
        <v>72.27</v>
      </c>
      <c r="E907" s="6">
        <f>IFERROR(VLOOKUP($B907,Platts!$E$5:$M$4994,MATCH(E$3,Platts!$F$5:$M$5,0)+1,FALSE),E906)</f>
        <v>65.78</v>
      </c>
      <c r="F907" s="6">
        <f>IFERROR(VLOOKUP($B907,Platts!$E$5:$M$4994,MATCH(F$3,Platts!$F$5:$M$5,0)+1,FALSE),F906)</f>
        <v>74.78</v>
      </c>
      <c r="G907" s="6">
        <f>IFERROR(VLOOKUP($B907,Platts!$E$5:$M$4994,MATCH(G$3,Platts!$F$5:$M$5,0)+1,FALSE),G906)</f>
        <v>74.67</v>
      </c>
      <c r="H907" s="6">
        <f>IFERROR(VLOOKUP($B907,Platts!$E$5:$M$4994,MATCH(H$3,Platts!$F$5:$M$5,0)+1,FALSE),H906)</f>
        <v>71.430000000000007</v>
      </c>
      <c r="I907" s="6">
        <f>IFERROR(VLOOKUP($B907,Platts!$E$5:$M$4994,MATCH(I$3,Platts!$F$5:$M$5,0)+1,FALSE),I906)</f>
        <v>76.83</v>
      </c>
      <c r="J907" s="6">
        <f t="shared" si="28"/>
        <v>4.3500000000000085</v>
      </c>
    </row>
    <row r="908" spans="2:10" x14ac:dyDescent="0.25">
      <c r="B908" s="5">
        <f t="shared" si="29"/>
        <v>43274</v>
      </c>
      <c r="C908" s="6">
        <f>IFERROR(VLOOKUP($B908,Platts!$E$5:$M$4994,MATCH(C$3,Platts!$F$5:$M$5,0)+1,FALSE),C907)</f>
        <v>67.08</v>
      </c>
      <c r="D908" s="6">
        <f>IFERROR(VLOOKUP($B908,Platts!$E$5:$M$4994,MATCH(D$3,Platts!$F$5:$M$5,0)+1,FALSE),D907)</f>
        <v>72.27</v>
      </c>
      <c r="E908" s="6">
        <f>IFERROR(VLOOKUP($B908,Platts!$E$5:$M$4994,MATCH(E$3,Platts!$F$5:$M$5,0)+1,FALSE),E907)</f>
        <v>65.78</v>
      </c>
      <c r="F908" s="6">
        <f>IFERROR(VLOOKUP($B908,Platts!$E$5:$M$4994,MATCH(F$3,Platts!$F$5:$M$5,0)+1,FALSE),F907)</f>
        <v>74.78</v>
      </c>
      <c r="G908" s="6">
        <f>IFERROR(VLOOKUP($B908,Platts!$E$5:$M$4994,MATCH(G$3,Platts!$F$5:$M$5,0)+1,FALSE),G907)</f>
        <v>74.67</v>
      </c>
      <c r="H908" s="6">
        <f>IFERROR(VLOOKUP($B908,Platts!$E$5:$M$4994,MATCH(H$3,Platts!$F$5:$M$5,0)+1,FALSE),H907)</f>
        <v>71.430000000000007</v>
      </c>
      <c r="I908" s="6">
        <f>IFERROR(VLOOKUP($B908,Platts!$E$5:$M$4994,MATCH(I$3,Platts!$F$5:$M$5,0)+1,FALSE),I907)</f>
        <v>76.83</v>
      </c>
      <c r="J908" s="6">
        <f t="shared" si="28"/>
        <v>4.3500000000000085</v>
      </c>
    </row>
    <row r="909" spans="2:10" x14ac:dyDescent="0.25">
      <c r="B909" s="5">
        <f t="shared" si="29"/>
        <v>43275</v>
      </c>
      <c r="C909" s="6">
        <f>IFERROR(VLOOKUP($B909,Platts!$E$5:$M$4994,MATCH(C$3,Platts!$F$5:$M$5,0)+1,FALSE),C908)</f>
        <v>67.08</v>
      </c>
      <c r="D909" s="6">
        <f>IFERROR(VLOOKUP($B909,Platts!$E$5:$M$4994,MATCH(D$3,Platts!$F$5:$M$5,0)+1,FALSE),D908)</f>
        <v>72.27</v>
      </c>
      <c r="E909" s="6">
        <f>IFERROR(VLOOKUP($B909,Platts!$E$5:$M$4994,MATCH(E$3,Platts!$F$5:$M$5,0)+1,FALSE),E908)</f>
        <v>65.78</v>
      </c>
      <c r="F909" s="6">
        <f>IFERROR(VLOOKUP($B909,Platts!$E$5:$M$4994,MATCH(F$3,Platts!$F$5:$M$5,0)+1,FALSE),F908)</f>
        <v>74.78</v>
      </c>
      <c r="G909" s="6">
        <f>IFERROR(VLOOKUP($B909,Platts!$E$5:$M$4994,MATCH(G$3,Platts!$F$5:$M$5,0)+1,FALSE),G908)</f>
        <v>74.67</v>
      </c>
      <c r="H909" s="6">
        <f>IFERROR(VLOOKUP($B909,Platts!$E$5:$M$4994,MATCH(H$3,Platts!$F$5:$M$5,0)+1,FALSE),H908)</f>
        <v>71.430000000000007</v>
      </c>
      <c r="I909" s="6">
        <f>IFERROR(VLOOKUP($B909,Platts!$E$5:$M$4994,MATCH(I$3,Platts!$F$5:$M$5,0)+1,FALSE),I908)</f>
        <v>76.83</v>
      </c>
      <c r="J909" s="6">
        <f t="shared" si="28"/>
        <v>4.3500000000000085</v>
      </c>
    </row>
    <row r="910" spans="2:10" x14ac:dyDescent="0.25">
      <c r="B910" s="5">
        <f t="shared" si="29"/>
        <v>43276</v>
      </c>
      <c r="C910" s="6">
        <f>IFERROR(VLOOKUP($B910,Platts!$E$5:$M$4994,MATCH(C$3,Platts!$F$5:$M$5,0)+1,FALSE),C909)</f>
        <v>65.13</v>
      </c>
      <c r="D910" s="6">
        <f>IFERROR(VLOOKUP($B910,Platts!$E$5:$M$4994,MATCH(D$3,Platts!$F$5:$M$5,0)+1,FALSE),D909)</f>
        <v>71.17</v>
      </c>
      <c r="E910" s="6">
        <f>IFERROR(VLOOKUP($B910,Platts!$E$5:$M$4994,MATCH(E$3,Platts!$F$5:$M$5,0)+1,FALSE),E909)</f>
        <v>65.75</v>
      </c>
      <c r="F910" s="6">
        <f>IFERROR(VLOOKUP($B910,Platts!$E$5:$M$4994,MATCH(F$3,Platts!$F$5:$M$5,0)+1,FALSE),F909)</f>
        <v>73.72</v>
      </c>
      <c r="G910" s="6">
        <f>IFERROR(VLOOKUP($B910,Platts!$E$5:$M$4994,MATCH(G$3,Platts!$F$5:$M$5,0)+1,FALSE),G909)</f>
        <v>74.34</v>
      </c>
      <c r="H910" s="6">
        <f>IFERROR(VLOOKUP($B910,Platts!$E$5:$M$4994,MATCH(H$3,Platts!$F$5:$M$5,0)+1,FALSE),H909)</f>
        <v>71.58</v>
      </c>
      <c r="I910" s="6">
        <f>IFERROR(VLOOKUP($B910,Platts!$E$5:$M$4994,MATCH(I$3,Platts!$F$5:$M$5,0)+1,FALSE),I909)</f>
        <v>73.53</v>
      </c>
      <c r="J910" s="6">
        <f t="shared" si="28"/>
        <v>6.4500000000000028</v>
      </c>
    </row>
    <row r="911" spans="2:10" x14ac:dyDescent="0.25">
      <c r="B911" s="5">
        <f t="shared" si="29"/>
        <v>43277</v>
      </c>
      <c r="C911" s="6">
        <f>IFERROR(VLOOKUP($B911,Platts!$E$5:$M$4994,MATCH(C$3,Platts!$F$5:$M$5,0)+1,FALSE),C910)</f>
        <v>65.33</v>
      </c>
      <c r="D911" s="6">
        <f>IFERROR(VLOOKUP($B911,Platts!$E$5:$M$4994,MATCH(D$3,Platts!$F$5:$M$5,0)+1,FALSE),D910)</f>
        <v>71.55</v>
      </c>
      <c r="E911" s="6">
        <f>IFERROR(VLOOKUP($B911,Platts!$E$5:$M$4994,MATCH(E$3,Platts!$F$5:$M$5,0)+1,FALSE),E910)</f>
        <v>65.73</v>
      </c>
      <c r="F911" s="6">
        <f>IFERROR(VLOOKUP($B911,Platts!$E$5:$M$4994,MATCH(F$3,Platts!$F$5:$M$5,0)+1,FALSE),F910)</f>
        <v>74.3</v>
      </c>
      <c r="G911" s="6">
        <f>IFERROR(VLOOKUP($B911,Platts!$E$5:$M$4994,MATCH(G$3,Platts!$F$5:$M$5,0)+1,FALSE),G910)</f>
        <v>75.099999999999994</v>
      </c>
      <c r="H911" s="6">
        <f>IFERROR(VLOOKUP($B911,Platts!$E$5:$M$4994,MATCH(H$3,Platts!$F$5:$M$5,0)+1,FALSE),H910)</f>
        <v>70.53</v>
      </c>
      <c r="I911" s="6">
        <f>IFERROR(VLOOKUP($B911,Platts!$E$5:$M$4994,MATCH(I$3,Platts!$F$5:$M$5,0)+1,FALSE),I910)</f>
        <v>74.83</v>
      </c>
      <c r="J911" s="6">
        <f t="shared" si="28"/>
        <v>5.2000000000000028</v>
      </c>
    </row>
    <row r="912" spans="2:10" x14ac:dyDescent="0.25">
      <c r="B912" s="5">
        <f t="shared" si="29"/>
        <v>43278</v>
      </c>
      <c r="C912" s="6">
        <f>IFERROR(VLOOKUP($B912,Platts!$E$5:$M$4994,MATCH(C$3,Platts!$F$5:$M$5,0)+1,FALSE),C911)</f>
        <v>66.930000000000007</v>
      </c>
      <c r="D912" s="6">
        <f>IFERROR(VLOOKUP($B912,Platts!$E$5:$M$4994,MATCH(D$3,Platts!$F$5:$M$5,0)+1,FALSE),D911)</f>
        <v>72.739999999999995</v>
      </c>
      <c r="E912" s="6">
        <f>IFERROR(VLOOKUP($B912,Platts!$E$5:$M$4994,MATCH(E$3,Platts!$F$5:$M$5,0)+1,FALSE),E911)</f>
        <v>67.33</v>
      </c>
      <c r="F912" s="6">
        <f>IFERROR(VLOOKUP($B912,Platts!$E$5:$M$4994,MATCH(F$3,Platts!$F$5:$M$5,0)+1,FALSE),F911)</f>
        <v>75.47</v>
      </c>
      <c r="G912" s="6">
        <f>IFERROR(VLOOKUP($B912,Platts!$E$5:$M$4994,MATCH(G$3,Platts!$F$5:$M$5,0)+1,FALSE),G911)</f>
        <v>77.819999999999993</v>
      </c>
      <c r="H912" s="6">
        <f>IFERROR(VLOOKUP($B912,Platts!$E$5:$M$4994,MATCH(H$3,Platts!$F$5:$M$5,0)+1,FALSE),H911)</f>
        <v>72.760000000000005</v>
      </c>
      <c r="I912" s="6">
        <f>IFERROR(VLOOKUP($B912,Platts!$E$5:$M$4994,MATCH(I$3,Platts!$F$5:$M$5,0)+1,FALSE),I911)</f>
        <v>75.510000000000005</v>
      </c>
      <c r="J912" s="6">
        <f t="shared" si="28"/>
        <v>5.8299999999999983</v>
      </c>
    </row>
    <row r="913" spans="2:10" x14ac:dyDescent="0.25">
      <c r="B913" s="5">
        <f t="shared" si="29"/>
        <v>43279</v>
      </c>
      <c r="C913" s="6">
        <f>IFERROR(VLOOKUP($B913,Platts!$E$5:$M$4994,MATCH(C$3,Platts!$F$5:$M$5,0)+1,FALSE),C912)</f>
        <v>67.08</v>
      </c>
      <c r="D913" s="6">
        <f>IFERROR(VLOOKUP($B913,Platts!$E$5:$M$4994,MATCH(D$3,Platts!$F$5:$M$5,0)+1,FALSE),D912)</f>
        <v>72.88</v>
      </c>
      <c r="E913" s="6">
        <f>IFERROR(VLOOKUP($B913,Platts!$E$5:$M$4994,MATCH(E$3,Platts!$F$5:$M$5,0)+1,FALSE),E912)</f>
        <v>67.2</v>
      </c>
      <c r="F913" s="6">
        <f>IFERROR(VLOOKUP($B913,Platts!$E$5:$M$4994,MATCH(F$3,Platts!$F$5:$M$5,0)+1,FALSE),F912)</f>
        <v>75.599999999999994</v>
      </c>
      <c r="G913" s="6">
        <f>IFERROR(VLOOKUP($B913,Platts!$E$5:$M$4994,MATCH(G$3,Platts!$F$5:$M$5,0)+1,FALSE),G912)</f>
        <v>77.62</v>
      </c>
      <c r="H913" s="6">
        <f>IFERROR(VLOOKUP($B913,Platts!$E$5:$M$4994,MATCH(H$3,Platts!$F$5:$M$5,0)+1,FALSE),H912)</f>
        <v>73.5</v>
      </c>
      <c r="I913" s="6">
        <f>IFERROR(VLOOKUP($B913,Platts!$E$5:$M$4994,MATCH(I$3,Platts!$F$5:$M$5,0)+1,FALSE),I912)</f>
        <v>75.75</v>
      </c>
      <c r="J913" s="6">
        <f t="shared" si="28"/>
        <v>6.4200000000000017</v>
      </c>
    </row>
    <row r="914" spans="2:10" x14ac:dyDescent="0.25">
      <c r="B914" s="5">
        <f t="shared" si="29"/>
        <v>43280</v>
      </c>
      <c r="C914" s="6">
        <f>IFERROR(VLOOKUP($B914,Platts!$E$5:$M$4994,MATCH(C$3,Platts!$F$5:$M$5,0)+1,FALSE),C913)</f>
        <v>68.72</v>
      </c>
      <c r="D914" s="6">
        <f>IFERROR(VLOOKUP($B914,Platts!$E$5:$M$4994,MATCH(D$3,Platts!$F$5:$M$5,0)+1,FALSE),D913)</f>
        <v>74.13</v>
      </c>
      <c r="E914" s="6">
        <f>IFERROR(VLOOKUP($B914,Platts!$E$5:$M$4994,MATCH(E$3,Platts!$F$5:$M$5,0)+1,FALSE),E913)</f>
        <v>68.680000000000007</v>
      </c>
      <c r="F914" s="6">
        <f>IFERROR(VLOOKUP($B914,Platts!$E$5:$M$4994,MATCH(F$3,Platts!$F$5:$M$5,0)+1,FALSE),F913)</f>
        <v>76.94</v>
      </c>
      <c r="G914" s="6">
        <f>IFERROR(VLOOKUP($B914,Platts!$E$5:$M$4994,MATCH(G$3,Platts!$F$5:$M$5,0)+1,FALSE),G913)</f>
        <v>79.55</v>
      </c>
      <c r="H914" s="6">
        <f>IFERROR(VLOOKUP($B914,Platts!$E$5:$M$4994,MATCH(H$3,Platts!$F$5:$M$5,0)+1,FALSE),H913)</f>
        <v>74.150000000000006</v>
      </c>
      <c r="I914" s="6">
        <f>IFERROR(VLOOKUP($B914,Platts!$E$5:$M$4994,MATCH(I$3,Platts!$F$5:$M$5,0)+1,FALSE),I913)</f>
        <v>77.150000000000006</v>
      </c>
      <c r="J914" s="6">
        <f t="shared" si="28"/>
        <v>5.4300000000000068</v>
      </c>
    </row>
    <row r="915" spans="2:10" x14ac:dyDescent="0.25">
      <c r="B915" s="5">
        <f t="shared" si="29"/>
        <v>43281</v>
      </c>
      <c r="C915" s="6">
        <f>IFERROR(VLOOKUP($B915,Platts!$E$5:$M$4994,MATCH(C$3,Platts!$F$5:$M$5,0)+1,FALSE),C914)</f>
        <v>68.72</v>
      </c>
      <c r="D915" s="6">
        <f>IFERROR(VLOOKUP($B915,Platts!$E$5:$M$4994,MATCH(D$3,Platts!$F$5:$M$5,0)+1,FALSE),D914)</f>
        <v>74.13</v>
      </c>
      <c r="E915" s="6">
        <f>IFERROR(VLOOKUP($B915,Platts!$E$5:$M$4994,MATCH(E$3,Platts!$F$5:$M$5,0)+1,FALSE),E914)</f>
        <v>68.680000000000007</v>
      </c>
      <c r="F915" s="6">
        <f>IFERROR(VLOOKUP($B915,Platts!$E$5:$M$4994,MATCH(F$3,Platts!$F$5:$M$5,0)+1,FALSE),F914)</f>
        <v>76.94</v>
      </c>
      <c r="G915" s="6">
        <f>IFERROR(VLOOKUP($B915,Platts!$E$5:$M$4994,MATCH(G$3,Platts!$F$5:$M$5,0)+1,FALSE),G914)</f>
        <v>79.55</v>
      </c>
      <c r="H915" s="6">
        <f>IFERROR(VLOOKUP($B915,Platts!$E$5:$M$4994,MATCH(H$3,Platts!$F$5:$M$5,0)+1,FALSE),H914)</f>
        <v>74.150000000000006</v>
      </c>
      <c r="I915" s="6">
        <f>IFERROR(VLOOKUP($B915,Platts!$E$5:$M$4994,MATCH(I$3,Platts!$F$5:$M$5,0)+1,FALSE),I914)</f>
        <v>77.150000000000006</v>
      </c>
      <c r="J915" s="6">
        <f t="shared" si="28"/>
        <v>5.4300000000000068</v>
      </c>
    </row>
    <row r="916" spans="2:10" x14ac:dyDescent="0.25">
      <c r="B916" s="5">
        <f t="shared" si="29"/>
        <v>43282</v>
      </c>
      <c r="C916" s="6">
        <f>IFERROR(VLOOKUP($B916,Platts!$E$5:$M$4994,MATCH(C$3,Platts!$F$5:$M$5,0)+1,FALSE),C915)</f>
        <v>68.72</v>
      </c>
      <c r="D916" s="6">
        <f>IFERROR(VLOOKUP($B916,Platts!$E$5:$M$4994,MATCH(D$3,Platts!$F$5:$M$5,0)+1,FALSE),D915)</f>
        <v>74.13</v>
      </c>
      <c r="E916" s="6">
        <f>IFERROR(VLOOKUP($B916,Platts!$E$5:$M$4994,MATCH(E$3,Platts!$F$5:$M$5,0)+1,FALSE),E915)</f>
        <v>68.680000000000007</v>
      </c>
      <c r="F916" s="6">
        <f>IFERROR(VLOOKUP($B916,Platts!$E$5:$M$4994,MATCH(F$3,Platts!$F$5:$M$5,0)+1,FALSE),F915)</f>
        <v>76.94</v>
      </c>
      <c r="G916" s="6">
        <f>IFERROR(VLOOKUP($B916,Platts!$E$5:$M$4994,MATCH(G$3,Platts!$F$5:$M$5,0)+1,FALSE),G915)</f>
        <v>79.55</v>
      </c>
      <c r="H916" s="6">
        <f>IFERROR(VLOOKUP($B916,Platts!$E$5:$M$4994,MATCH(H$3,Platts!$F$5:$M$5,0)+1,FALSE),H915)</f>
        <v>74.150000000000006</v>
      </c>
      <c r="I916" s="6">
        <f>IFERROR(VLOOKUP($B916,Platts!$E$5:$M$4994,MATCH(I$3,Platts!$F$5:$M$5,0)+1,FALSE),I915)</f>
        <v>77.150000000000006</v>
      </c>
      <c r="J916" s="6">
        <f t="shared" si="28"/>
        <v>5.4300000000000068</v>
      </c>
    </row>
    <row r="917" spans="2:10" x14ac:dyDescent="0.25">
      <c r="B917" s="5">
        <f t="shared" si="29"/>
        <v>43283</v>
      </c>
      <c r="C917" s="6">
        <f>IFERROR(VLOOKUP($B917,Platts!$E$5:$M$4994,MATCH(C$3,Platts!$F$5:$M$5,0)+1,FALSE),C916)</f>
        <v>69.2</v>
      </c>
      <c r="D917" s="6">
        <f>IFERROR(VLOOKUP($B917,Platts!$E$5:$M$4994,MATCH(D$3,Platts!$F$5:$M$5,0)+1,FALSE),D916)</f>
        <v>73.239999999999995</v>
      </c>
      <c r="E917" s="6">
        <f>IFERROR(VLOOKUP($B917,Platts!$E$5:$M$4994,MATCH(E$3,Platts!$F$5:$M$5,0)+1,FALSE),E916)</f>
        <v>69.73</v>
      </c>
      <c r="F917" s="6">
        <f>IFERROR(VLOOKUP($B917,Platts!$E$5:$M$4994,MATCH(F$3,Platts!$F$5:$M$5,0)+1,FALSE),F916)</f>
        <v>75.88</v>
      </c>
      <c r="G917" s="6">
        <f>IFERROR(VLOOKUP($B917,Platts!$E$5:$M$4994,MATCH(G$3,Platts!$F$5:$M$5,0)+1,FALSE),G916)</f>
        <v>77.84</v>
      </c>
      <c r="H917" s="6">
        <f>IFERROR(VLOOKUP($B917,Platts!$E$5:$M$4994,MATCH(H$3,Platts!$F$5:$M$5,0)+1,FALSE),H916)</f>
        <v>73.94</v>
      </c>
      <c r="I917" s="6">
        <f>IFERROR(VLOOKUP($B917,Platts!$E$5:$M$4994,MATCH(I$3,Platts!$F$5:$M$5,0)+1,FALSE),I916)</f>
        <v>76.44</v>
      </c>
      <c r="J917" s="6">
        <f t="shared" si="28"/>
        <v>4.7399999999999949</v>
      </c>
    </row>
    <row r="918" spans="2:10" x14ac:dyDescent="0.25">
      <c r="B918" s="5">
        <f t="shared" si="29"/>
        <v>43284</v>
      </c>
      <c r="C918" s="6">
        <f>IFERROR(VLOOKUP($B918,Platts!$E$5:$M$4994,MATCH(C$3,Platts!$F$5:$M$5,0)+1,FALSE),C917)</f>
        <v>68.959999999999994</v>
      </c>
      <c r="D918" s="6">
        <f>IFERROR(VLOOKUP($B918,Platts!$E$5:$M$4994,MATCH(D$3,Platts!$F$5:$M$5,0)+1,FALSE),D917)</f>
        <v>73.23</v>
      </c>
      <c r="E918" s="6">
        <f>IFERROR(VLOOKUP($B918,Platts!$E$5:$M$4994,MATCH(E$3,Platts!$F$5:$M$5,0)+1,FALSE),E917)</f>
        <v>69.760000000000005</v>
      </c>
      <c r="F918" s="6">
        <f>IFERROR(VLOOKUP($B918,Platts!$E$5:$M$4994,MATCH(F$3,Platts!$F$5:$M$5,0)+1,FALSE),F917)</f>
        <v>75.959999999999994</v>
      </c>
      <c r="G918" s="6">
        <f>IFERROR(VLOOKUP($B918,Platts!$E$5:$M$4994,MATCH(G$3,Platts!$F$5:$M$5,0)+1,FALSE),G917)</f>
        <v>77.06</v>
      </c>
      <c r="H918" s="6">
        <f>IFERROR(VLOOKUP($B918,Platts!$E$5:$M$4994,MATCH(H$3,Platts!$F$5:$M$5,0)+1,FALSE),H917)</f>
        <v>74.14</v>
      </c>
      <c r="I918" s="6">
        <f>IFERROR(VLOOKUP($B918,Platts!$E$5:$M$4994,MATCH(I$3,Platts!$F$5:$M$5,0)+1,FALSE),I917)</f>
        <v>76.290000000000006</v>
      </c>
      <c r="J918" s="6">
        <f t="shared" si="28"/>
        <v>5.1800000000000068</v>
      </c>
    </row>
    <row r="919" spans="2:10" x14ac:dyDescent="0.25">
      <c r="B919" s="5">
        <f t="shared" si="29"/>
        <v>43285</v>
      </c>
      <c r="C919" s="6">
        <f>IFERROR(VLOOKUP($B919,Platts!$E$5:$M$4994,MATCH(C$3,Platts!$F$5:$M$5,0)+1,FALSE),C918)</f>
        <v>68.959999999999994</v>
      </c>
      <c r="D919" s="6">
        <f>IFERROR(VLOOKUP($B919,Platts!$E$5:$M$4994,MATCH(D$3,Platts!$F$5:$M$5,0)+1,FALSE),D918)</f>
        <v>73.23</v>
      </c>
      <c r="E919" s="6">
        <f>IFERROR(VLOOKUP($B919,Platts!$E$5:$M$4994,MATCH(E$3,Platts!$F$5:$M$5,0)+1,FALSE),E918)</f>
        <v>69.760000000000005</v>
      </c>
      <c r="F919" s="6">
        <f>IFERROR(VLOOKUP($B919,Platts!$E$5:$M$4994,MATCH(F$3,Platts!$F$5:$M$5,0)+1,FALSE),F918)</f>
        <v>75.959999999999994</v>
      </c>
      <c r="G919" s="6">
        <f>IFERROR(VLOOKUP($B919,Platts!$E$5:$M$4994,MATCH(G$3,Platts!$F$5:$M$5,0)+1,FALSE),G918)</f>
        <v>78.3</v>
      </c>
      <c r="H919" s="6">
        <f>IFERROR(VLOOKUP($B919,Platts!$E$5:$M$4994,MATCH(H$3,Platts!$F$5:$M$5,0)+1,FALSE),H918)</f>
        <v>74.14</v>
      </c>
      <c r="I919" s="6">
        <f>IFERROR(VLOOKUP($B919,Platts!$E$5:$M$4994,MATCH(I$3,Platts!$F$5:$M$5,0)+1,FALSE),I918)</f>
        <v>76.290000000000006</v>
      </c>
      <c r="J919" s="6">
        <f t="shared" si="28"/>
        <v>5.1800000000000068</v>
      </c>
    </row>
    <row r="920" spans="2:10" x14ac:dyDescent="0.25">
      <c r="B920" s="5">
        <f t="shared" si="29"/>
        <v>43286</v>
      </c>
      <c r="C920" s="6">
        <f>IFERROR(VLOOKUP($B920,Platts!$E$5:$M$4994,MATCH(C$3,Platts!$F$5:$M$5,0)+1,FALSE),C919)</f>
        <v>68.98</v>
      </c>
      <c r="D920" s="6">
        <f>IFERROR(VLOOKUP($B920,Platts!$E$5:$M$4994,MATCH(D$3,Platts!$F$5:$M$5,0)+1,FALSE),D919)</f>
        <v>72.3</v>
      </c>
      <c r="E920" s="6">
        <f>IFERROR(VLOOKUP($B920,Platts!$E$5:$M$4994,MATCH(E$3,Platts!$F$5:$M$5,0)+1,FALSE),E919)</f>
        <v>69.16</v>
      </c>
      <c r="F920" s="6">
        <f>IFERROR(VLOOKUP($B920,Platts!$E$5:$M$4994,MATCH(F$3,Platts!$F$5:$M$5,0)+1,FALSE),F919)</f>
        <v>75.14</v>
      </c>
      <c r="G920" s="6">
        <f>IFERROR(VLOOKUP($B920,Platts!$E$5:$M$4994,MATCH(G$3,Platts!$F$5:$M$5,0)+1,FALSE),G919)</f>
        <v>78.28</v>
      </c>
      <c r="H920" s="6">
        <f>IFERROR(VLOOKUP($B920,Platts!$E$5:$M$4994,MATCH(H$3,Platts!$F$5:$M$5,0)+1,FALSE),H919)</f>
        <v>72.989999999999995</v>
      </c>
      <c r="I920" s="6">
        <f>IFERROR(VLOOKUP($B920,Platts!$E$5:$M$4994,MATCH(I$3,Platts!$F$5:$M$5,0)+1,FALSE),I919)</f>
        <v>75.44</v>
      </c>
      <c r="J920" s="6">
        <f t="shared" si="28"/>
        <v>4.0099999999999909</v>
      </c>
    </row>
    <row r="921" spans="2:10" x14ac:dyDescent="0.25">
      <c r="B921" s="5">
        <f t="shared" si="29"/>
        <v>43287</v>
      </c>
      <c r="C921" s="6">
        <f>IFERROR(VLOOKUP($B921,Platts!$E$5:$M$4994,MATCH(C$3,Platts!$F$5:$M$5,0)+1,FALSE),C920)</f>
        <v>68.540000000000006</v>
      </c>
      <c r="D921" s="6">
        <f>IFERROR(VLOOKUP($B921,Platts!$E$5:$M$4994,MATCH(D$3,Platts!$F$5:$M$5,0)+1,FALSE),D920)</f>
        <v>72.63</v>
      </c>
      <c r="E921" s="6">
        <f>IFERROR(VLOOKUP($B921,Platts!$E$5:$M$4994,MATCH(E$3,Platts!$F$5:$M$5,0)+1,FALSE),E920)</f>
        <v>69.19</v>
      </c>
      <c r="F921" s="6">
        <f>IFERROR(VLOOKUP($B921,Platts!$E$5:$M$4994,MATCH(F$3,Platts!$F$5:$M$5,0)+1,FALSE),F920)</f>
        <v>75.33</v>
      </c>
      <c r="G921" s="6">
        <f>IFERROR(VLOOKUP($B921,Platts!$E$5:$M$4994,MATCH(G$3,Platts!$F$5:$M$5,0)+1,FALSE),G920)</f>
        <v>77.12</v>
      </c>
      <c r="H921" s="6">
        <f>IFERROR(VLOOKUP($B921,Platts!$E$5:$M$4994,MATCH(H$3,Platts!$F$5:$M$5,0)+1,FALSE),H920)</f>
        <v>73.8</v>
      </c>
      <c r="I921" s="6">
        <f>IFERROR(VLOOKUP($B921,Platts!$E$5:$M$4994,MATCH(I$3,Platts!$F$5:$M$5,0)+1,FALSE),I920)</f>
        <v>75.849999999999994</v>
      </c>
      <c r="J921" s="6">
        <f t="shared" si="28"/>
        <v>5.2599999999999909</v>
      </c>
    </row>
    <row r="922" spans="2:10" x14ac:dyDescent="0.25">
      <c r="B922" s="5">
        <f t="shared" si="29"/>
        <v>43288</v>
      </c>
      <c r="C922" s="6">
        <f>IFERROR(VLOOKUP($B922,Platts!$E$5:$M$4994,MATCH(C$3,Platts!$F$5:$M$5,0)+1,FALSE),C921)</f>
        <v>68.540000000000006</v>
      </c>
      <c r="D922" s="6">
        <f>IFERROR(VLOOKUP($B922,Platts!$E$5:$M$4994,MATCH(D$3,Platts!$F$5:$M$5,0)+1,FALSE),D921)</f>
        <v>72.63</v>
      </c>
      <c r="E922" s="6">
        <f>IFERROR(VLOOKUP($B922,Platts!$E$5:$M$4994,MATCH(E$3,Platts!$F$5:$M$5,0)+1,FALSE),E921)</f>
        <v>69.19</v>
      </c>
      <c r="F922" s="6">
        <f>IFERROR(VLOOKUP($B922,Platts!$E$5:$M$4994,MATCH(F$3,Platts!$F$5:$M$5,0)+1,FALSE),F921)</f>
        <v>75.33</v>
      </c>
      <c r="G922" s="6">
        <f>IFERROR(VLOOKUP($B922,Platts!$E$5:$M$4994,MATCH(G$3,Platts!$F$5:$M$5,0)+1,FALSE),G921)</f>
        <v>77.12</v>
      </c>
      <c r="H922" s="6">
        <f>IFERROR(VLOOKUP($B922,Platts!$E$5:$M$4994,MATCH(H$3,Platts!$F$5:$M$5,0)+1,FALSE),H921)</f>
        <v>73.8</v>
      </c>
      <c r="I922" s="6">
        <f>IFERROR(VLOOKUP($B922,Platts!$E$5:$M$4994,MATCH(I$3,Platts!$F$5:$M$5,0)+1,FALSE),I921)</f>
        <v>75.849999999999994</v>
      </c>
      <c r="J922" s="6">
        <f t="shared" si="28"/>
        <v>5.2599999999999909</v>
      </c>
    </row>
    <row r="923" spans="2:10" x14ac:dyDescent="0.25">
      <c r="B923" s="5">
        <f t="shared" si="29"/>
        <v>43289</v>
      </c>
      <c r="C923" s="6">
        <f>IFERROR(VLOOKUP($B923,Platts!$E$5:$M$4994,MATCH(C$3,Platts!$F$5:$M$5,0)+1,FALSE),C922)</f>
        <v>68.540000000000006</v>
      </c>
      <c r="D923" s="6">
        <f>IFERROR(VLOOKUP($B923,Platts!$E$5:$M$4994,MATCH(D$3,Platts!$F$5:$M$5,0)+1,FALSE),D922)</f>
        <v>72.63</v>
      </c>
      <c r="E923" s="6">
        <f>IFERROR(VLOOKUP($B923,Platts!$E$5:$M$4994,MATCH(E$3,Platts!$F$5:$M$5,0)+1,FALSE),E922)</f>
        <v>69.19</v>
      </c>
      <c r="F923" s="6">
        <f>IFERROR(VLOOKUP($B923,Platts!$E$5:$M$4994,MATCH(F$3,Platts!$F$5:$M$5,0)+1,FALSE),F922)</f>
        <v>75.33</v>
      </c>
      <c r="G923" s="6">
        <f>IFERROR(VLOOKUP($B923,Platts!$E$5:$M$4994,MATCH(G$3,Platts!$F$5:$M$5,0)+1,FALSE),G922)</f>
        <v>77.12</v>
      </c>
      <c r="H923" s="6">
        <f>IFERROR(VLOOKUP($B923,Platts!$E$5:$M$4994,MATCH(H$3,Platts!$F$5:$M$5,0)+1,FALSE),H922)</f>
        <v>73.8</v>
      </c>
      <c r="I923" s="6">
        <f>IFERROR(VLOOKUP($B923,Platts!$E$5:$M$4994,MATCH(I$3,Platts!$F$5:$M$5,0)+1,FALSE),I922)</f>
        <v>75.849999999999994</v>
      </c>
      <c r="J923" s="6">
        <f t="shared" si="28"/>
        <v>5.2599999999999909</v>
      </c>
    </row>
    <row r="924" spans="2:10" x14ac:dyDescent="0.25">
      <c r="B924" s="5">
        <f t="shared" si="29"/>
        <v>43290</v>
      </c>
      <c r="C924" s="6">
        <f>IFERROR(VLOOKUP($B924,Platts!$E$5:$M$4994,MATCH(C$3,Platts!$F$5:$M$5,0)+1,FALSE),C923)</f>
        <v>69.02</v>
      </c>
      <c r="D924" s="6">
        <f>IFERROR(VLOOKUP($B924,Platts!$E$5:$M$4994,MATCH(D$3,Platts!$F$5:$M$5,0)+1,FALSE),D923)</f>
        <v>72.930000000000007</v>
      </c>
      <c r="E924" s="6">
        <f>IFERROR(VLOOKUP($B924,Platts!$E$5:$M$4994,MATCH(E$3,Platts!$F$5:$M$5,0)+1,FALSE),E923)</f>
        <v>69.67</v>
      </c>
      <c r="F924" s="6">
        <f>IFERROR(VLOOKUP($B924,Platts!$E$5:$M$4994,MATCH(F$3,Platts!$F$5:$M$5,0)+1,FALSE),F923)</f>
        <v>75.77</v>
      </c>
      <c r="G924" s="6">
        <f>IFERROR(VLOOKUP($B924,Platts!$E$5:$M$4994,MATCH(G$3,Platts!$F$5:$M$5,0)+1,FALSE),G923)</f>
        <v>78.13</v>
      </c>
      <c r="H924" s="6">
        <f>IFERROR(VLOOKUP($B924,Platts!$E$5:$M$4994,MATCH(H$3,Platts!$F$5:$M$5,0)+1,FALSE),H923)</f>
        <v>73.900000000000006</v>
      </c>
      <c r="I924" s="6">
        <f>IFERROR(VLOOKUP($B924,Platts!$E$5:$M$4994,MATCH(I$3,Platts!$F$5:$M$5,0)+1,FALSE),I923)</f>
        <v>76.25</v>
      </c>
      <c r="J924" s="6">
        <f t="shared" si="28"/>
        <v>4.8800000000000097</v>
      </c>
    </row>
    <row r="925" spans="2:10" x14ac:dyDescent="0.25">
      <c r="B925" s="5">
        <f t="shared" si="29"/>
        <v>43291</v>
      </c>
      <c r="C925" s="6">
        <f>IFERROR(VLOOKUP($B925,Platts!$E$5:$M$4994,MATCH(C$3,Platts!$F$5:$M$5,0)+1,FALSE),C924)</f>
        <v>69.459999999999994</v>
      </c>
      <c r="D925" s="6">
        <f>IFERROR(VLOOKUP($B925,Platts!$E$5:$M$4994,MATCH(D$3,Platts!$F$5:$M$5,0)+1,FALSE),D924)</f>
        <v>72.78</v>
      </c>
      <c r="E925" s="6">
        <f>IFERROR(VLOOKUP($B925,Platts!$E$5:$M$4994,MATCH(E$3,Platts!$F$5:$M$5,0)+1,FALSE),E924)</f>
        <v>69.739999999999995</v>
      </c>
      <c r="F925" s="6">
        <f>IFERROR(VLOOKUP($B925,Platts!$E$5:$M$4994,MATCH(F$3,Platts!$F$5:$M$5,0)+1,FALSE),F924)</f>
        <v>75.73</v>
      </c>
      <c r="G925" s="6">
        <f>IFERROR(VLOOKUP($B925,Platts!$E$5:$M$4994,MATCH(G$3,Platts!$F$5:$M$5,0)+1,FALSE),G924)</f>
        <v>78.91</v>
      </c>
      <c r="H925" s="6">
        <f>IFERROR(VLOOKUP($B925,Platts!$E$5:$M$4994,MATCH(H$3,Platts!$F$5:$M$5,0)+1,FALSE),H924)</f>
        <v>74.16</v>
      </c>
      <c r="I925" s="6">
        <f>IFERROR(VLOOKUP($B925,Platts!$E$5:$M$4994,MATCH(I$3,Platts!$F$5:$M$5,0)+1,FALSE),I924)</f>
        <v>76.459999999999994</v>
      </c>
      <c r="J925" s="6">
        <f t="shared" si="28"/>
        <v>4.7000000000000028</v>
      </c>
    </row>
    <row r="926" spans="2:10" x14ac:dyDescent="0.25">
      <c r="B926" s="5">
        <f t="shared" si="29"/>
        <v>43292</v>
      </c>
      <c r="C926" s="6">
        <f>IFERROR(VLOOKUP($B926,Platts!$E$5:$M$4994,MATCH(C$3,Platts!$F$5:$M$5,0)+1,FALSE),C925)</f>
        <v>65.989999999999995</v>
      </c>
      <c r="D926" s="6">
        <f>IFERROR(VLOOKUP($B926,Platts!$E$5:$M$4994,MATCH(D$3,Platts!$F$5:$M$5,0)+1,FALSE),D925)</f>
        <v>68.25</v>
      </c>
      <c r="E926" s="6">
        <f>IFERROR(VLOOKUP($B926,Platts!$E$5:$M$4994,MATCH(E$3,Platts!$F$5:$M$5,0)+1,FALSE),E925)</f>
        <v>65.239999999999995</v>
      </c>
      <c r="F926" s="6">
        <f>IFERROR(VLOOKUP($B926,Platts!$E$5:$M$4994,MATCH(F$3,Platts!$F$5:$M$5,0)+1,FALSE),F925)</f>
        <v>71.150000000000006</v>
      </c>
      <c r="G926" s="6">
        <f>IFERROR(VLOOKUP($B926,Platts!$E$5:$M$4994,MATCH(G$3,Platts!$F$5:$M$5,0)+1,FALSE),G925)</f>
        <v>76.63</v>
      </c>
      <c r="H926" s="6">
        <f>IFERROR(VLOOKUP($B926,Platts!$E$5:$M$4994,MATCH(H$3,Platts!$F$5:$M$5,0)+1,FALSE),H925)</f>
        <v>70.430000000000007</v>
      </c>
      <c r="I926" s="6">
        <f>IFERROR(VLOOKUP($B926,Platts!$E$5:$M$4994,MATCH(I$3,Platts!$F$5:$M$5,0)+1,FALSE),I925)</f>
        <v>72.430000000000007</v>
      </c>
      <c r="J926" s="6">
        <f t="shared" si="28"/>
        <v>4.4400000000000119</v>
      </c>
    </row>
    <row r="927" spans="2:10" x14ac:dyDescent="0.25">
      <c r="B927" s="5">
        <f t="shared" si="29"/>
        <v>43293</v>
      </c>
      <c r="C927" s="6">
        <f>IFERROR(VLOOKUP($B927,Platts!$E$5:$M$4994,MATCH(C$3,Platts!$F$5:$M$5,0)+1,FALSE),C926)</f>
        <v>64.95</v>
      </c>
      <c r="D927" s="6">
        <f>IFERROR(VLOOKUP($B927,Platts!$E$5:$M$4994,MATCH(D$3,Platts!$F$5:$M$5,0)+1,FALSE),D926)</f>
        <v>68.81</v>
      </c>
      <c r="E927" s="6">
        <f>IFERROR(VLOOKUP($B927,Platts!$E$5:$M$4994,MATCH(E$3,Platts!$F$5:$M$5,0)+1,FALSE),E926)</f>
        <v>65.66</v>
      </c>
      <c r="F927" s="6">
        <f>IFERROR(VLOOKUP($B927,Platts!$E$5:$M$4994,MATCH(F$3,Platts!$F$5:$M$5,0)+1,FALSE),F926)</f>
        <v>71.69</v>
      </c>
      <c r="G927" s="6">
        <f>IFERROR(VLOOKUP($B927,Platts!$E$5:$M$4994,MATCH(G$3,Platts!$F$5:$M$5,0)+1,FALSE),G926)</f>
        <v>73.34</v>
      </c>
      <c r="H927" s="6">
        <f>IFERROR(VLOOKUP($B927,Platts!$E$5:$M$4994,MATCH(H$3,Platts!$F$5:$M$5,0)+1,FALSE),H926)</f>
        <v>70.38</v>
      </c>
      <c r="I927" s="6">
        <f>IFERROR(VLOOKUP($B927,Platts!$E$5:$M$4994,MATCH(I$3,Platts!$F$5:$M$5,0)+1,FALSE),I926)</f>
        <v>72.13</v>
      </c>
      <c r="J927" s="6">
        <f t="shared" si="28"/>
        <v>5.4299999999999926</v>
      </c>
    </row>
    <row r="928" spans="2:10" x14ac:dyDescent="0.25">
      <c r="B928" s="5">
        <f t="shared" si="29"/>
        <v>43294</v>
      </c>
      <c r="C928" s="6">
        <f>IFERROR(VLOOKUP($B928,Platts!$E$5:$M$4994,MATCH(C$3,Platts!$F$5:$M$5,0)+1,FALSE),C927)</f>
        <v>67.67</v>
      </c>
      <c r="D928" s="6">
        <f>IFERROR(VLOOKUP($B928,Platts!$E$5:$M$4994,MATCH(D$3,Platts!$F$5:$M$5,0)+1,FALSE),D927)</f>
        <v>70.63</v>
      </c>
      <c r="E928" s="6">
        <f>IFERROR(VLOOKUP($B928,Platts!$E$5:$M$4994,MATCH(E$3,Platts!$F$5:$M$5,0)+1,FALSE),E927)</f>
        <v>67.98</v>
      </c>
      <c r="F928" s="6">
        <f>IFERROR(VLOOKUP($B928,Platts!$E$5:$M$4994,MATCH(F$3,Platts!$F$5:$M$5,0)+1,FALSE),F927)</f>
        <v>73.3</v>
      </c>
      <c r="G928" s="6">
        <f>IFERROR(VLOOKUP($B928,Platts!$E$5:$M$4994,MATCH(G$3,Platts!$F$5:$M$5,0)+1,FALSE),G927)</f>
        <v>75.44</v>
      </c>
      <c r="H928" s="6">
        <f>IFERROR(VLOOKUP($B928,Platts!$E$5:$M$4994,MATCH(H$3,Platts!$F$5:$M$5,0)+1,FALSE),H927)</f>
        <v>71</v>
      </c>
      <c r="I928" s="6">
        <f>IFERROR(VLOOKUP($B928,Platts!$E$5:$M$4994,MATCH(I$3,Platts!$F$5:$M$5,0)+1,FALSE),I927)</f>
        <v>72.900000000000006</v>
      </c>
      <c r="J928" s="6">
        <f t="shared" si="28"/>
        <v>3.3299999999999983</v>
      </c>
    </row>
    <row r="929" spans="2:10" x14ac:dyDescent="0.25">
      <c r="B929" s="5">
        <f t="shared" si="29"/>
        <v>43295</v>
      </c>
      <c r="C929" s="6">
        <f>IFERROR(VLOOKUP($B929,Platts!$E$5:$M$4994,MATCH(C$3,Platts!$F$5:$M$5,0)+1,FALSE),C928)</f>
        <v>67.67</v>
      </c>
      <c r="D929" s="6">
        <f>IFERROR(VLOOKUP($B929,Platts!$E$5:$M$4994,MATCH(D$3,Platts!$F$5:$M$5,0)+1,FALSE),D928)</f>
        <v>70.63</v>
      </c>
      <c r="E929" s="6">
        <f>IFERROR(VLOOKUP($B929,Platts!$E$5:$M$4994,MATCH(E$3,Platts!$F$5:$M$5,0)+1,FALSE),E928)</f>
        <v>67.98</v>
      </c>
      <c r="F929" s="6">
        <f>IFERROR(VLOOKUP($B929,Platts!$E$5:$M$4994,MATCH(F$3,Platts!$F$5:$M$5,0)+1,FALSE),F928)</f>
        <v>73.3</v>
      </c>
      <c r="G929" s="6">
        <f>IFERROR(VLOOKUP($B929,Platts!$E$5:$M$4994,MATCH(G$3,Platts!$F$5:$M$5,0)+1,FALSE),G928)</f>
        <v>75.44</v>
      </c>
      <c r="H929" s="6">
        <f>IFERROR(VLOOKUP($B929,Platts!$E$5:$M$4994,MATCH(H$3,Platts!$F$5:$M$5,0)+1,FALSE),H928)</f>
        <v>71</v>
      </c>
      <c r="I929" s="6">
        <f>IFERROR(VLOOKUP($B929,Platts!$E$5:$M$4994,MATCH(I$3,Platts!$F$5:$M$5,0)+1,FALSE),I928)</f>
        <v>72.900000000000006</v>
      </c>
      <c r="J929" s="6">
        <f t="shared" si="28"/>
        <v>3.3299999999999983</v>
      </c>
    </row>
    <row r="930" spans="2:10" x14ac:dyDescent="0.25">
      <c r="B930" s="5">
        <f t="shared" si="29"/>
        <v>43296</v>
      </c>
      <c r="C930" s="6">
        <f>IFERROR(VLOOKUP($B930,Platts!$E$5:$M$4994,MATCH(C$3,Platts!$F$5:$M$5,0)+1,FALSE),C929)</f>
        <v>67.67</v>
      </c>
      <c r="D930" s="6">
        <f>IFERROR(VLOOKUP($B930,Platts!$E$5:$M$4994,MATCH(D$3,Platts!$F$5:$M$5,0)+1,FALSE),D929)</f>
        <v>70.63</v>
      </c>
      <c r="E930" s="6">
        <f>IFERROR(VLOOKUP($B930,Platts!$E$5:$M$4994,MATCH(E$3,Platts!$F$5:$M$5,0)+1,FALSE),E929)</f>
        <v>67.98</v>
      </c>
      <c r="F930" s="6">
        <f>IFERROR(VLOOKUP($B930,Platts!$E$5:$M$4994,MATCH(F$3,Platts!$F$5:$M$5,0)+1,FALSE),F929)</f>
        <v>73.3</v>
      </c>
      <c r="G930" s="6">
        <f>IFERROR(VLOOKUP($B930,Platts!$E$5:$M$4994,MATCH(G$3,Platts!$F$5:$M$5,0)+1,FALSE),G929)</f>
        <v>75.44</v>
      </c>
      <c r="H930" s="6">
        <f>IFERROR(VLOOKUP($B930,Platts!$E$5:$M$4994,MATCH(H$3,Platts!$F$5:$M$5,0)+1,FALSE),H929)</f>
        <v>71</v>
      </c>
      <c r="I930" s="6">
        <f>IFERROR(VLOOKUP($B930,Platts!$E$5:$M$4994,MATCH(I$3,Platts!$F$5:$M$5,0)+1,FALSE),I929)</f>
        <v>72.900000000000006</v>
      </c>
      <c r="J930" s="6">
        <f t="shared" si="28"/>
        <v>3.3299999999999983</v>
      </c>
    </row>
    <row r="931" spans="2:10" x14ac:dyDescent="0.25">
      <c r="B931" s="5">
        <f t="shared" si="29"/>
        <v>43297</v>
      </c>
      <c r="C931" s="6">
        <f>IFERROR(VLOOKUP($B931,Platts!$E$5:$M$4994,MATCH(C$3,Platts!$F$5:$M$5,0)+1,FALSE),C930)</f>
        <v>64.73</v>
      </c>
      <c r="D931" s="6">
        <f>IFERROR(VLOOKUP($B931,Platts!$E$5:$M$4994,MATCH(D$3,Platts!$F$5:$M$5,0)+1,FALSE),D930)</f>
        <v>67.61</v>
      </c>
      <c r="E931" s="6">
        <f>IFERROR(VLOOKUP($B931,Platts!$E$5:$M$4994,MATCH(E$3,Platts!$F$5:$M$5,0)+1,FALSE),E930)</f>
        <v>65.09</v>
      </c>
      <c r="F931" s="6">
        <f>IFERROR(VLOOKUP($B931,Platts!$E$5:$M$4994,MATCH(F$3,Platts!$F$5:$M$5,0)+1,FALSE),F930)</f>
        <v>70.3</v>
      </c>
      <c r="G931" s="6">
        <f>IFERROR(VLOOKUP($B931,Platts!$E$5:$M$4994,MATCH(G$3,Platts!$F$5:$M$5,0)+1,FALSE),G930)</f>
        <v>72.53</v>
      </c>
      <c r="H931" s="6">
        <f>IFERROR(VLOOKUP($B931,Platts!$E$5:$M$4994,MATCH(H$3,Platts!$F$5:$M$5,0)+1,FALSE),H930)</f>
        <v>68.08</v>
      </c>
      <c r="I931" s="6">
        <f>IFERROR(VLOOKUP($B931,Platts!$E$5:$M$4994,MATCH(I$3,Platts!$F$5:$M$5,0)+1,FALSE),I930)</f>
        <v>69.83</v>
      </c>
      <c r="J931" s="6">
        <f t="shared" si="28"/>
        <v>3.3499999999999943</v>
      </c>
    </row>
    <row r="932" spans="2:10" x14ac:dyDescent="0.25">
      <c r="B932" s="5">
        <f t="shared" si="29"/>
        <v>43298</v>
      </c>
      <c r="C932" s="6">
        <f>IFERROR(VLOOKUP($B932,Platts!$E$5:$M$4994,MATCH(C$3,Platts!$F$5:$M$5,0)+1,FALSE),C931)</f>
        <v>63.86</v>
      </c>
      <c r="D932" s="6">
        <f>IFERROR(VLOOKUP($B932,Platts!$E$5:$M$4994,MATCH(D$3,Platts!$F$5:$M$5,0)+1,FALSE),D931)</f>
        <v>67</v>
      </c>
      <c r="E932" s="6">
        <f>IFERROR(VLOOKUP($B932,Platts!$E$5:$M$4994,MATCH(E$3,Platts!$F$5:$M$5,0)+1,FALSE),E931)</f>
        <v>64.67</v>
      </c>
      <c r="F932" s="6">
        <f>IFERROR(VLOOKUP($B932,Platts!$E$5:$M$4994,MATCH(F$3,Platts!$F$5:$M$5,0)+1,FALSE),F931)</f>
        <v>69.81</v>
      </c>
      <c r="G932" s="6">
        <f>IFERROR(VLOOKUP($B932,Platts!$E$5:$M$4994,MATCH(G$3,Platts!$F$5:$M$5,0)+1,FALSE),G931)</f>
        <v>72.23</v>
      </c>
      <c r="H932" s="6">
        <f>IFERROR(VLOOKUP($B932,Platts!$E$5:$M$4994,MATCH(H$3,Platts!$F$5:$M$5,0)+1,FALSE),H931)</f>
        <v>68.08</v>
      </c>
      <c r="I932" s="6">
        <f>IFERROR(VLOOKUP($B932,Platts!$E$5:$M$4994,MATCH(I$3,Platts!$F$5:$M$5,0)+1,FALSE),I931)</f>
        <v>69.73</v>
      </c>
      <c r="J932" s="6">
        <f t="shared" si="28"/>
        <v>4.2199999999999989</v>
      </c>
    </row>
    <row r="933" spans="2:10" x14ac:dyDescent="0.25">
      <c r="B933" s="5">
        <f t="shared" si="29"/>
        <v>43299</v>
      </c>
      <c r="C933" s="6">
        <f>IFERROR(VLOOKUP($B933,Platts!$E$5:$M$4994,MATCH(C$3,Platts!$F$5:$M$5,0)+1,FALSE),C932)</f>
        <v>63.99</v>
      </c>
      <c r="D933" s="6">
        <f>IFERROR(VLOOKUP($B933,Platts!$E$5:$M$4994,MATCH(D$3,Platts!$F$5:$M$5,0)+1,FALSE),D932)</f>
        <v>67.680000000000007</v>
      </c>
      <c r="E933" s="6">
        <f>IFERROR(VLOOKUP($B933,Platts!$E$5:$M$4994,MATCH(E$3,Platts!$F$5:$M$5,0)+1,FALSE),E932)</f>
        <v>65.819999999999993</v>
      </c>
      <c r="F933" s="6">
        <f>IFERROR(VLOOKUP($B933,Platts!$E$5:$M$4994,MATCH(F$3,Platts!$F$5:$M$5,0)+1,FALSE),F932)</f>
        <v>70.53</v>
      </c>
      <c r="G933" s="6">
        <f>IFERROR(VLOOKUP($B933,Platts!$E$5:$M$4994,MATCH(G$3,Platts!$F$5:$M$5,0)+1,FALSE),G932)</f>
        <v>71.88</v>
      </c>
      <c r="H933" s="6">
        <f>IFERROR(VLOOKUP($B933,Platts!$E$5:$M$4994,MATCH(H$3,Platts!$F$5:$M$5,0)+1,FALSE),H932)</f>
        <v>68.760000000000005</v>
      </c>
      <c r="I933" s="6">
        <f>IFERROR(VLOOKUP($B933,Platts!$E$5:$M$4994,MATCH(I$3,Platts!$F$5:$M$5,0)+1,FALSE),I932)</f>
        <v>70.209999999999994</v>
      </c>
      <c r="J933" s="6">
        <f t="shared" si="28"/>
        <v>4.7700000000000031</v>
      </c>
    </row>
    <row r="934" spans="2:10" x14ac:dyDescent="0.25">
      <c r="B934" s="5">
        <f t="shared" si="29"/>
        <v>43300</v>
      </c>
      <c r="C934" s="6">
        <f>IFERROR(VLOOKUP($B934,Platts!$E$5:$M$4994,MATCH(C$3,Platts!$F$5:$M$5,0)+1,FALSE),C933)</f>
        <v>64.319999999999993</v>
      </c>
      <c r="D934" s="6">
        <f>IFERROR(VLOOKUP($B934,Platts!$E$5:$M$4994,MATCH(D$3,Platts!$F$5:$M$5,0)+1,FALSE),D933)</f>
        <v>67.7</v>
      </c>
      <c r="E934" s="6">
        <f>IFERROR(VLOOKUP($B934,Platts!$E$5:$M$4994,MATCH(E$3,Platts!$F$5:$M$5,0)+1,FALSE),E933)</f>
        <v>64.849999999999994</v>
      </c>
      <c r="F934" s="6">
        <f>IFERROR(VLOOKUP($B934,Platts!$E$5:$M$4994,MATCH(F$3,Platts!$F$5:$M$5,0)+1,FALSE),F933)</f>
        <v>70.5</v>
      </c>
      <c r="G934" s="6">
        <f>IFERROR(VLOOKUP($B934,Platts!$E$5:$M$4994,MATCH(G$3,Platts!$F$5:$M$5,0)+1,FALSE),G933)</f>
        <v>73.33</v>
      </c>
      <c r="H934" s="6">
        <f>IFERROR(VLOOKUP($B934,Platts!$E$5:$M$4994,MATCH(H$3,Platts!$F$5:$M$5,0)+1,FALSE),H933)</f>
        <v>69.459999999999994</v>
      </c>
      <c r="I934" s="6">
        <f>IFERROR(VLOOKUP($B934,Platts!$E$5:$M$4994,MATCH(I$3,Platts!$F$5:$M$5,0)+1,FALSE),I933)</f>
        <v>70.66</v>
      </c>
      <c r="J934" s="6">
        <f t="shared" si="28"/>
        <v>5.1400000000000006</v>
      </c>
    </row>
    <row r="935" spans="2:10" x14ac:dyDescent="0.25">
      <c r="B935" s="5">
        <f t="shared" si="29"/>
        <v>43301</v>
      </c>
      <c r="C935" s="6">
        <f>IFERROR(VLOOKUP($B935,Platts!$E$5:$M$4994,MATCH(C$3,Platts!$F$5:$M$5,0)+1,FALSE),C934)</f>
        <v>65.2</v>
      </c>
      <c r="D935" s="6">
        <f>IFERROR(VLOOKUP($B935,Platts!$E$5:$M$4994,MATCH(D$3,Platts!$F$5:$M$5,0)+1,FALSE),D934)</f>
        <v>68.319999999999993</v>
      </c>
      <c r="E935" s="6">
        <f>IFERROR(VLOOKUP($B935,Platts!$E$5:$M$4994,MATCH(E$3,Platts!$F$5:$M$5,0)+1,FALSE),E934)</f>
        <v>65.239999999999995</v>
      </c>
      <c r="F935" s="6">
        <f>IFERROR(VLOOKUP($B935,Platts!$E$5:$M$4994,MATCH(F$3,Platts!$F$5:$M$5,0)+1,FALSE),F934)</f>
        <v>71.099999999999994</v>
      </c>
      <c r="G935" s="6">
        <f>IFERROR(VLOOKUP($B935,Platts!$E$5:$M$4994,MATCH(G$3,Platts!$F$5:$M$5,0)+1,FALSE),G934)</f>
        <v>72.97</v>
      </c>
      <c r="H935" s="6">
        <f>IFERROR(VLOOKUP($B935,Platts!$E$5:$M$4994,MATCH(H$3,Platts!$F$5:$M$5,0)+1,FALSE),H934)</f>
        <v>70.489999999999995</v>
      </c>
      <c r="I935" s="6">
        <f>IFERROR(VLOOKUP($B935,Platts!$E$5:$M$4994,MATCH(I$3,Platts!$F$5:$M$5,0)+1,FALSE),I934)</f>
        <v>71.239999999999995</v>
      </c>
      <c r="J935" s="6">
        <f t="shared" si="28"/>
        <v>5.289999999999992</v>
      </c>
    </row>
    <row r="936" spans="2:10" x14ac:dyDescent="0.25">
      <c r="B936" s="5">
        <f t="shared" si="29"/>
        <v>43302</v>
      </c>
      <c r="C936" s="6">
        <f>IFERROR(VLOOKUP($B936,Platts!$E$5:$M$4994,MATCH(C$3,Platts!$F$5:$M$5,0)+1,FALSE),C935)</f>
        <v>65.2</v>
      </c>
      <c r="D936" s="6">
        <f>IFERROR(VLOOKUP($B936,Platts!$E$5:$M$4994,MATCH(D$3,Platts!$F$5:$M$5,0)+1,FALSE),D935)</f>
        <v>68.319999999999993</v>
      </c>
      <c r="E936" s="6">
        <f>IFERROR(VLOOKUP($B936,Platts!$E$5:$M$4994,MATCH(E$3,Platts!$F$5:$M$5,0)+1,FALSE),E935)</f>
        <v>65.239999999999995</v>
      </c>
      <c r="F936" s="6">
        <f>IFERROR(VLOOKUP($B936,Platts!$E$5:$M$4994,MATCH(F$3,Platts!$F$5:$M$5,0)+1,FALSE),F935)</f>
        <v>71.099999999999994</v>
      </c>
      <c r="G936" s="6">
        <f>IFERROR(VLOOKUP($B936,Platts!$E$5:$M$4994,MATCH(G$3,Platts!$F$5:$M$5,0)+1,FALSE),G935)</f>
        <v>72.97</v>
      </c>
      <c r="H936" s="6">
        <f>IFERROR(VLOOKUP($B936,Platts!$E$5:$M$4994,MATCH(H$3,Platts!$F$5:$M$5,0)+1,FALSE),H935)</f>
        <v>70.489999999999995</v>
      </c>
      <c r="I936" s="6">
        <f>IFERROR(VLOOKUP($B936,Platts!$E$5:$M$4994,MATCH(I$3,Platts!$F$5:$M$5,0)+1,FALSE),I935)</f>
        <v>71.239999999999995</v>
      </c>
      <c r="J936" s="6">
        <f t="shared" si="28"/>
        <v>5.289999999999992</v>
      </c>
    </row>
    <row r="937" spans="2:10" x14ac:dyDescent="0.25">
      <c r="B937" s="5">
        <f t="shared" si="29"/>
        <v>43303</v>
      </c>
      <c r="C937" s="6">
        <f>IFERROR(VLOOKUP($B937,Platts!$E$5:$M$4994,MATCH(C$3,Platts!$F$5:$M$5,0)+1,FALSE),C936)</f>
        <v>65.2</v>
      </c>
      <c r="D937" s="6">
        <f>IFERROR(VLOOKUP($B937,Platts!$E$5:$M$4994,MATCH(D$3,Platts!$F$5:$M$5,0)+1,FALSE),D936)</f>
        <v>68.319999999999993</v>
      </c>
      <c r="E937" s="6">
        <f>IFERROR(VLOOKUP($B937,Platts!$E$5:$M$4994,MATCH(E$3,Platts!$F$5:$M$5,0)+1,FALSE),E936)</f>
        <v>65.239999999999995</v>
      </c>
      <c r="F937" s="6">
        <f>IFERROR(VLOOKUP($B937,Platts!$E$5:$M$4994,MATCH(F$3,Platts!$F$5:$M$5,0)+1,FALSE),F936)</f>
        <v>71.099999999999994</v>
      </c>
      <c r="G937" s="6">
        <f>IFERROR(VLOOKUP($B937,Platts!$E$5:$M$4994,MATCH(G$3,Platts!$F$5:$M$5,0)+1,FALSE),G936)</f>
        <v>72.97</v>
      </c>
      <c r="H937" s="6">
        <f>IFERROR(VLOOKUP($B937,Platts!$E$5:$M$4994,MATCH(H$3,Platts!$F$5:$M$5,0)+1,FALSE),H936)</f>
        <v>70.489999999999995</v>
      </c>
      <c r="I937" s="6">
        <f>IFERROR(VLOOKUP($B937,Platts!$E$5:$M$4994,MATCH(I$3,Platts!$F$5:$M$5,0)+1,FALSE),I936)</f>
        <v>71.239999999999995</v>
      </c>
      <c r="J937" s="6">
        <f t="shared" si="28"/>
        <v>5.289999999999992</v>
      </c>
    </row>
    <row r="938" spans="2:10" x14ac:dyDescent="0.25">
      <c r="B938" s="5">
        <f t="shared" si="29"/>
        <v>43304</v>
      </c>
      <c r="C938" s="6">
        <f>IFERROR(VLOOKUP($B938,Platts!$E$5:$M$4994,MATCH(C$3,Platts!$F$5:$M$5,0)+1,FALSE),C937)</f>
        <v>64.69</v>
      </c>
      <c r="D938" s="6">
        <f>IFERROR(VLOOKUP($B938,Platts!$E$5:$M$4994,MATCH(D$3,Platts!$F$5:$M$5,0)+1,FALSE),D937)</f>
        <v>66.75</v>
      </c>
      <c r="E938" s="6">
        <f>IFERROR(VLOOKUP($B938,Platts!$E$5:$M$4994,MATCH(E$3,Platts!$F$5:$M$5,0)+1,FALSE),E937)</f>
        <v>64.38</v>
      </c>
      <c r="F938" s="6">
        <f>IFERROR(VLOOKUP($B938,Platts!$E$5:$M$4994,MATCH(F$3,Platts!$F$5:$M$5,0)+1,FALSE),F937)</f>
        <v>69.8</v>
      </c>
      <c r="G938" s="6">
        <f>IFERROR(VLOOKUP($B938,Platts!$E$5:$M$4994,MATCH(G$3,Platts!$F$5:$M$5,0)+1,FALSE),G937)</f>
        <v>73.989999999999995</v>
      </c>
      <c r="H938" s="6">
        <f>IFERROR(VLOOKUP($B938,Platts!$E$5:$M$4994,MATCH(H$3,Platts!$F$5:$M$5,0)+1,FALSE),H937)</f>
        <v>69.64</v>
      </c>
      <c r="I938" s="6">
        <f>IFERROR(VLOOKUP($B938,Platts!$E$5:$M$4994,MATCH(I$3,Platts!$F$5:$M$5,0)+1,FALSE),I937)</f>
        <v>69.64</v>
      </c>
      <c r="J938" s="6">
        <f t="shared" si="28"/>
        <v>4.9500000000000028</v>
      </c>
    </row>
    <row r="939" spans="2:10" x14ac:dyDescent="0.25">
      <c r="B939" s="5">
        <f t="shared" si="29"/>
        <v>43305</v>
      </c>
      <c r="C939" s="6">
        <f>IFERROR(VLOOKUP($B939,Platts!$E$5:$M$4994,MATCH(C$3,Platts!$F$5:$M$5,0)+1,FALSE),C938)</f>
        <v>65.75</v>
      </c>
      <c r="D939" s="6">
        <f>IFERROR(VLOOKUP($B939,Platts!$E$5:$M$4994,MATCH(D$3,Platts!$F$5:$M$5,0)+1,FALSE),D938)</f>
        <v>68.069999999999993</v>
      </c>
      <c r="E939" s="6">
        <f>IFERROR(VLOOKUP($B939,Platts!$E$5:$M$4994,MATCH(E$3,Platts!$F$5:$M$5,0)+1,FALSE),E938)</f>
        <v>65.36</v>
      </c>
      <c r="F939" s="6">
        <f>IFERROR(VLOOKUP($B939,Platts!$E$5:$M$4994,MATCH(F$3,Platts!$F$5:$M$5,0)+1,FALSE),F938)</f>
        <v>70.92</v>
      </c>
      <c r="G939" s="6">
        <f>IFERROR(VLOOKUP($B939,Platts!$E$5:$M$4994,MATCH(G$3,Platts!$F$5:$M$5,0)+1,FALSE),G938)</f>
        <v>73.81</v>
      </c>
      <c r="H939" s="6">
        <f>IFERROR(VLOOKUP($B939,Platts!$E$5:$M$4994,MATCH(H$3,Platts!$F$5:$M$5,0)+1,FALSE),H938)</f>
        <v>70.510000000000005</v>
      </c>
      <c r="I939" s="6">
        <f>IFERROR(VLOOKUP($B939,Platts!$E$5:$M$4994,MATCH(I$3,Platts!$F$5:$M$5,0)+1,FALSE),I938)</f>
        <v>71.41</v>
      </c>
      <c r="J939" s="6">
        <f t="shared" si="28"/>
        <v>4.7600000000000051</v>
      </c>
    </row>
    <row r="940" spans="2:10" x14ac:dyDescent="0.25">
      <c r="B940" s="5">
        <f t="shared" si="29"/>
        <v>43306</v>
      </c>
      <c r="C940" s="6">
        <f>IFERROR(VLOOKUP($B940,Platts!$E$5:$M$4994,MATCH(C$3,Platts!$F$5:$M$5,0)+1,FALSE),C939)</f>
        <v>66.010000000000005</v>
      </c>
      <c r="D940" s="6">
        <f>IFERROR(VLOOKUP($B940,Platts!$E$5:$M$4994,MATCH(D$3,Platts!$F$5:$M$5,0)+1,FALSE),D939)</f>
        <v>68.8</v>
      </c>
      <c r="E940" s="6">
        <f>IFERROR(VLOOKUP($B940,Platts!$E$5:$M$4994,MATCH(E$3,Platts!$F$5:$M$5,0)+1,FALSE),E939)</f>
        <v>66.06</v>
      </c>
      <c r="F940" s="6">
        <f>IFERROR(VLOOKUP($B940,Platts!$E$5:$M$4994,MATCH(F$3,Platts!$F$5:$M$5,0)+1,FALSE),F939)</f>
        <v>71.650000000000006</v>
      </c>
      <c r="G940" s="6">
        <f>IFERROR(VLOOKUP($B940,Platts!$E$5:$M$4994,MATCH(G$3,Platts!$F$5:$M$5,0)+1,FALSE),G939)</f>
        <v>73.930000000000007</v>
      </c>
      <c r="H940" s="6">
        <f>IFERROR(VLOOKUP($B940,Platts!$E$5:$M$4994,MATCH(H$3,Platts!$F$5:$M$5,0)+1,FALSE),H939)</f>
        <v>71.349999999999994</v>
      </c>
      <c r="I940" s="6">
        <f>IFERROR(VLOOKUP($B940,Platts!$E$5:$M$4994,MATCH(I$3,Platts!$F$5:$M$5,0)+1,FALSE),I939)</f>
        <v>72.55</v>
      </c>
      <c r="J940" s="6">
        <f t="shared" si="28"/>
        <v>5.3399999999999892</v>
      </c>
    </row>
    <row r="941" spans="2:10" x14ac:dyDescent="0.25">
      <c r="B941" s="5">
        <f t="shared" si="29"/>
        <v>43307</v>
      </c>
      <c r="C941" s="6">
        <f>IFERROR(VLOOKUP($B941,Platts!$E$5:$M$4994,MATCH(C$3,Platts!$F$5:$M$5,0)+1,FALSE),C940)</f>
        <v>65.760000000000005</v>
      </c>
      <c r="D941" s="6">
        <f>IFERROR(VLOOKUP($B941,Platts!$E$5:$M$4994,MATCH(D$3,Platts!$F$5:$M$5,0)+1,FALSE),D940)</f>
        <v>67.77</v>
      </c>
      <c r="E941" s="6">
        <f>IFERROR(VLOOKUP($B941,Platts!$E$5:$M$4994,MATCH(E$3,Platts!$F$5:$M$5,0)+1,FALSE),E940)</f>
        <v>65.430000000000007</v>
      </c>
      <c r="F941" s="6">
        <f>IFERROR(VLOOKUP($B941,Platts!$E$5:$M$4994,MATCH(F$3,Platts!$F$5:$M$5,0)+1,FALSE),F940)</f>
        <v>70.87</v>
      </c>
      <c r="G941" s="6">
        <f>IFERROR(VLOOKUP($B941,Platts!$E$5:$M$4994,MATCH(G$3,Platts!$F$5:$M$5,0)+1,FALSE),G940)</f>
        <v>74.62</v>
      </c>
      <c r="H941" s="6">
        <f>IFERROR(VLOOKUP($B941,Platts!$E$5:$M$4994,MATCH(H$3,Platts!$F$5:$M$5,0)+1,FALSE),H940)</f>
        <v>69.63</v>
      </c>
      <c r="I941" s="6">
        <f>IFERROR(VLOOKUP($B941,Platts!$E$5:$M$4994,MATCH(I$3,Platts!$F$5:$M$5,0)+1,FALSE),I940)</f>
        <v>72.38</v>
      </c>
      <c r="J941" s="6">
        <f t="shared" si="28"/>
        <v>3.8699999999999903</v>
      </c>
    </row>
    <row r="942" spans="2:10" x14ac:dyDescent="0.25">
      <c r="B942" s="5">
        <f t="shared" si="29"/>
        <v>43308</v>
      </c>
      <c r="C942" s="6">
        <f>IFERROR(VLOOKUP($B942,Platts!$E$5:$M$4994,MATCH(C$3,Platts!$F$5:$M$5,0)+1,FALSE),C941)</f>
        <v>65.400000000000006</v>
      </c>
      <c r="D942" s="6">
        <f>IFERROR(VLOOKUP($B942,Platts!$E$5:$M$4994,MATCH(D$3,Platts!$F$5:$M$5,0)+1,FALSE),D941)</f>
        <v>67.010000000000005</v>
      </c>
      <c r="E942" s="6">
        <f>IFERROR(VLOOKUP($B942,Platts!$E$5:$M$4994,MATCH(E$3,Platts!$F$5:$M$5,0)+1,FALSE),E941)</f>
        <v>64.45</v>
      </c>
      <c r="F942" s="6">
        <f>IFERROR(VLOOKUP($B942,Platts!$E$5:$M$4994,MATCH(F$3,Platts!$F$5:$M$5,0)+1,FALSE),F941)</f>
        <v>70.209999999999994</v>
      </c>
      <c r="G942" s="6">
        <f>IFERROR(VLOOKUP($B942,Platts!$E$5:$M$4994,MATCH(G$3,Platts!$F$5:$M$5,0)+1,FALSE),G941)</f>
        <v>74.91</v>
      </c>
      <c r="H942" s="6">
        <f>IFERROR(VLOOKUP($B942,Platts!$E$5:$M$4994,MATCH(H$3,Platts!$F$5:$M$5,0)+1,FALSE),H941)</f>
        <v>68.69</v>
      </c>
      <c r="I942" s="6">
        <f>IFERROR(VLOOKUP($B942,Platts!$E$5:$M$4994,MATCH(I$3,Platts!$F$5:$M$5,0)+1,FALSE),I941)</f>
        <v>71.69</v>
      </c>
      <c r="J942" s="6">
        <f t="shared" si="28"/>
        <v>3.289999999999992</v>
      </c>
    </row>
    <row r="943" spans="2:10" x14ac:dyDescent="0.25">
      <c r="B943" s="5">
        <f t="shared" si="29"/>
        <v>43309</v>
      </c>
      <c r="C943" s="6">
        <f>IFERROR(VLOOKUP($B943,Platts!$E$5:$M$4994,MATCH(C$3,Platts!$F$5:$M$5,0)+1,FALSE),C942)</f>
        <v>65.400000000000006</v>
      </c>
      <c r="D943" s="6">
        <f>IFERROR(VLOOKUP($B943,Platts!$E$5:$M$4994,MATCH(D$3,Platts!$F$5:$M$5,0)+1,FALSE),D942)</f>
        <v>67.010000000000005</v>
      </c>
      <c r="E943" s="6">
        <f>IFERROR(VLOOKUP($B943,Platts!$E$5:$M$4994,MATCH(E$3,Platts!$F$5:$M$5,0)+1,FALSE),E942)</f>
        <v>64.45</v>
      </c>
      <c r="F943" s="6">
        <f>IFERROR(VLOOKUP($B943,Platts!$E$5:$M$4994,MATCH(F$3,Platts!$F$5:$M$5,0)+1,FALSE),F942)</f>
        <v>70.209999999999994</v>
      </c>
      <c r="G943" s="6">
        <f>IFERROR(VLOOKUP($B943,Platts!$E$5:$M$4994,MATCH(G$3,Platts!$F$5:$M$5,0)+1,FALSE),G942)</f>
        <v>74.91</v>
      </c>
      <c r="H943" s="6">
        <f>IFERROR(VLOOKUP($B943,Platts!$E$5:$M$4994,MATCH(H$3,Platts!$F$5:$M$5,0)+1,FALSE),H942)</f>
        <v>68.69</v>
      </c>
      <c r="I943" s="6">
        <f>IFERROR(VLOOKUP($B943,Platts!$E$5:$M$4994,MATCH(I$3,Platts!$F$5:$M$5,0)+1,FALSE),I942)</f>
        <v>71.69</v>
      </c>
      <c r="J943" s="6">
        <f t="shared" si="28"/>
        <v>3.289999999999992</v>
      </c>
    </row>
    <row r="944" spans="2:10" x14ac:dyDescent="0.25">
      <c r="B944" s="5">
        <f t="shared" si="29"/>
        <v>43310</v>
      </c>
      <c r="C944" s="6">
        <f>IFERROR(VLOOKUP($B944,Platts!$E$5:$M$4994,MATCH(C$3,Platts!$F$5:$M$5,0)+1,FALSE),C943)</f>
        <v>65.400000000000006</v>
      </c>
      <c r="D944" s="6">
        <f>IFERROR(VLOOKUP($B944,Platts!$E$5:$M$4994,MATCH(D$3,Platts!$F$5:$M$5,0)+1,FALSE),D943)</f>
        <v>67.010000000000005</v>
      </c>
      <c r="E944" s="6">
        <f>IFERROR(VLOOKUP($B944,Platts!$E$5:$M$4994,MATCH(E$3,Platts!$F$5:$M$5,0)+1,FALSE),E943)</f>
        <v>64.45</v>
      </c>
      <c r="F944" s="6">
        <f>IFERROR(VLOOKUP($B944,Platts!$E$5:$M$4994,MATCH(F$3,Platts!$F$5:$M$5,0)+1,FALSE),F943)</f>
        <v>70.209999999999994</v>
      </c>
      <c r="G944" s="6">
        <f>IFERROR(VLOOKUP($B944,Platts!$E$5:$M$4994,MATCH(G$3,Platts!$F$5:$M$5,0)+1,FALSE),G943)</f>
        <v>74.91</v>
      </c>
      <c r="H944" s="6">
        <f>IFERROR(VLOOKUP($B944,Platts!$E$5:$M$4994,MATCH(H$3,Platts!$F$5:$M$5,0)+1,FALSE),H943)</f>
        <v>68.69</v>
      </c>
      <c r="I944" s="6">
        <f>IFERROR(VLOOKUP($B944,Platts!$E$5:$M$4994,MATCH(I$3,Platts!$F$5:$M$5,0)+1,FALSE),I943)</f>
        <v>71.69</v>
      </c>
      <c r="J944" s="6">
        <f t="shared" si="28"/>
        <v>3.289999999999992</v>
      </c>
    </row>
    <row r="945" spans="2:10" x14ac:dyDescent="0.25">
      <c r="B945" s="5">
        <f t="shared" si="29"/>
        <v>43311</v>
      </c>
      <c r="C945" s="6">
        <f>IFERROR(VLOOKUP($B945,Platts!$E$5:$M$4994,MATCH(C$3,Platts!$F$5:$M$5,0)+1,FALSE),C944)</f>
        <v>65.89</v>
      </c>
      <c r="D945" s="6">
        <f>IFERROR(VLOOKUP($B945,Platts!$E$5:$M$4994,MATCH(D$3,Platts!$F$5:$M$5,0)+1,FALSE),D944)</f>
        <v>68.290000000000006</v>
      </c>
      <c r="E945" s="6">
        <f>IFERROR(VLOOKUP($B945,Platts!$E$5:$M$4994,MATCH(E$3,Platts!$F$5:$M$5,0)+1,FALSE),E944)</f>
        <v>65.44</v>
      </c>
      <c r="F945" s="6">
        <f>IFERROR(VLOOKUP($B945,Platts!$E$5:$M$4994,MATCH(F$3,Platts!$F$5:$M$5,0)+1,FALSE),F944)</f>
        <v>71.38</v>
      </c>
      <c r="G945" s="6">
        <f>IFERROR(VLOOKUP($B945,Platts!$E$5:$M$4994,MATCH(G$3,Platts!$F$5:$M$5,0)+1,FALSE),G944)</f>
        <v>75.099999999999994</v>
      </c>
      <c r="H945" s="6">
        <f>IFERROR(VLOOKUP($B945,Platts!$E$5:$M$4994,MATCH(H$3,Platts!$F$5:$M$5,0)+1,FALSE),H944)</f>
        <v>70.13</v>
      </c>
      <c r="I945" s="6">
        <f>IFERROR(VLOOKUP($B945,Platts!$E$5:$M$4994,MATCH(I$3,Platts!$F$5:$M$5,0)+1,FALSE),I944)</f>
        <v>72.930000000000007</v>
      </c>
      <c r="J945" s="6">
        <f t="shared" si="28"/>
        <v>4.2399999999999949</v>
      </c>
    </row>
    <row r="946" spans="2:10" x14ac:dyDescent="0.25">
      <c r="B946" s="5">
        <f t="shared" si="29"/>
        <v>43312</v>
      </c>
      <c r="C946" s="6">
        <f>IFERROR(VLOOKUP($B946,Platts!$E$5:$M$4994,MATCH(C$3,Platts!$F$5:$M$5,0)+1,FALSE),C945)</f>
        <v>65.09</v>
      </c>
      <c r="D946" s="6">
        <f>IFERROR(VLOOKUP($B946,Platts!$E$5:$M$4994,MATCH(D$3,Platts!$F$5:$M$5,0)+1,FALSE),D945)</f>
        <v>67.3</v>
      </c>
      <c r="E946" s="6">
        <f>IFERROR(VLOOKUP($B946,Platts!$E$5:$M$4994,MATCH(E$3,Platts!$F$5:$M$5,0)+1,FALSE),E945)</f>
        <v>64.37</v>
      </c>
      <c r="F946" s="6">
        <f>IFERROR(VLOOKUP($B946,Platts!$E$5:$M$4994,MATCH(F$3,Platts!$F$5:$M$5,0)+1,FALSE),F945)</f>
        <v>70.36</v>
      </c>
      <c r="G946" s="6">
        <f>IFERROR(VLOOKUP($B946,Platts!$E$5:$M$4994,MATCH(G$3,Platts!$F$5:$M$5,0)+1,FALSE),G945)</f>
        <v>74.37</v>
      </c>
      <c r="H946" s="6">
        <f>IFERROR(VLOOKUP($B946,Platts!$E$5:$M$4994,MATCH(H$3,Platts!$F$5:$M$5,0)+1,FALSE),H945)</f>
        <v>68.760000000000005</v>
      </c>
      <c r="I946" s="6">
        <f>IFERROR(VLOOKUP($B946,Platts!$E$5:$M$4994,MATCH(I$3,Platts!$F$5:$M$5,0)+1,FALSE),I945)</f>
        <v>71.760000000000005</v>
      </c>
      <c r="J946" s="6">
        <f t="shared" si="28"/>
        <v>3.6700000000000017</v>
      </c>
    </row>
    <row r="947" spans="2:10" x14ac:dyDescent="0.25">
      <c r="B947" s="5">
        <f t="shared" si="29"/>
        <v>43313</v>
      </c>
      <c r="C947" s="6">
        <f>IFERROR(VLOOKUP($B947,Platts!$E$5:$M$4994,MATCH(C$3,Platts!$F$5:$M$5,0)+1,FALSE),C946)</f>
        <v>63.41</v>
      </c>
      <c r="D947" s="6">
        <f>IFERROR(VLOOKUP($B947,Platts!$E$5:$M$4994,MATCH(D$3,Platts!$F$5:$M$5,0)+1,FALSE),D946)</f>
        <v>66.040000000000006</v>
      </c>
      <c r="E947" s="6">
        <f>IFERROR(VLOOKUP($B947,Platts!$E$5:$M$4994,MATCH(E$3,Platts!$F$5:$M$5,0)+1,FALSE),E946)</f>
        <v>62.57</v>
      </c>
      <c r="F947" s="6">
        <f>IFERROR(VLOOKUP($B947,Platts!$E$5:$M$4994,MATCH(F$3,Platts!$F$5:$M$5,0)+1,FALSE),F946)</f>
        <v>69.5</v>
      </c>
      <c r="G947" s="6">
        <f>IFERROR(VLOOKUP($B947,Platts!$E$5:$M$4994,MATCH(G$3,Platts!$F$5:$M$5,0)+1,FALSE),G946)</f>
        <v>72.72</v>
      </c>
      <c r="H947" s="6">
        <f>IFERROR(VLOOKUP($B947,Platts!$E$5:$M$4994,MATCH(H$3,Platts!$F$5:$M$5,0)+1,FALSE),H946)</f>
        <v>67.66</v>
      </c>
      <c r="I947" s="6">
        <f>IFERROR(VLOOKUP($B947,Platts!$E$5:$M$4994,MATCH(I$3,Platts!$F$5:$M$5,0)+1,FALSE),I946)</f>
        <v>70.81</v>
      </c>
      <c r="J947" s="6">
        <f t="shared" si="28"/>
        <v>4.25</v>
      </c>
    </row>
    <row r="948" spans="2:10" x14ac:dyDescent="0.25">
      <c r="B948" s="5">
        <f t="shared" si="29"/>
        <v>43314</v>
      </c>
      <c r="C948" s="6">
        <f>IFERROR(VLOOKUP($B948,Platts!$E$5:$M$4994,MATCH(C$3,Platts!$F$5:$M$5,0)+1,FALSE),C947)</f>
        <v>63.82</v>
      </c>
      <c r="D948" s="6">
        <f>IFERROR(VLOOKUP($B948,Platts!$E$5:$M$4994,MATCH(D$3,Platts!$F$5:$M$5,0)+1,FALSE),D947)</f>
        <v>67</v>
      </c>
      <c r="E948" s="6">
        <f>IFERROR(VLOOKUP($B948,Platts!$E$5:$M$4994,MATCH(E$3,Platts!$F$5:$M$5,0)+1,FALSE),E947)</f>
        <v>63.5</v>
      </c>
      <c r="F948" s="6">
        <f>IFERROR(VLOOKUP($B948,Platts!$E$5:$M$4994,MATCH(F$3,Platts!$F$5:$M$5,0)+1,FALSE),F947)</f>
        <v>70.459999999999994</v>
      </c>
      <c r="G948" s="6">
        <f>IFERROR(VLOOKUP($B948,Platts!$E$5:$M$4994,MATCH(G$3,Platts!$F$5:$M$5,0)+1,FALSE),G947)</f>
        <v>73.23</v>
      </c>
      <c r="H948" s="6">
        <f>IFERROR(VLOOKUP($B948,Platts!$E$5:$M$4994,MATCH(H$3,Platts!$F$5:$M$5,0)+1,FALSE),H947)</f>
        <v>68.959999999999994</v>
      </c>
      <c r="I948" s="6">
        <f>IFERROR(VLOOKUP($B948,Platts!$E$5:$M$4994,MATCH(I$3,Platts!$F$5:$M$5,0)+1,FALSE),I947)</f>
        <v>71.86</v>
      </c>
      <c r="J948" s="6">
        <f t="shared" si="28"/>
        <v>5.1399999999999935</v>
      </c>
    </row>
    <row r="949" spans="2:10" x14ac:dyDescent="0.25">
      <c r="B949" s="5">
        <f t="shared" si="29"/>
        <v>43315</v>
      </c>
      <c r="C949" s="6">
        <f>IFERROR(VLOOKUP($B949,Platts!$E$5:$M$4994,MATCH(C$3,Platts!$F$5:$M$5,0)+1,FALSE),C948)</f>
        <v>63.53</v>
      </c>
      <c r="D949" s="6">
        <f>IFERROR(VLOOKUP($B949,Platts!$E$5:$M$4994,MATCH(D$3,Platts!$F$5:$M$5,0)+1,FALSE),D948)</f>
        <v>66.510000000000005</v>
      </c>
      <c r="E949" s="6">
        <f>IFERROR(VLOOKUP($B949,Platts!$E$5:$M$4994,MATCH(E$3,Platts!$F$5:$M$5,0)+1,FALSE),E948)</f>
        <v>62.83</v>
      </c>
      <c r="F949" s="6">
        <f>IFERROR(VLOOKUP($B949,Platts!$E$5:$M$4994,MATCH(F$3,Platts!$F$5:$M$5,0)+1,FALSE),F948)</f>
        <v>70.069999999999993</v>
      </c>
      <c r="G949" s="6">
        <f>IFERROR(VLOOKUP($B949,Platts!$E$5:$M$4994,MATCH(G$3,Platts!$F$5:$M$5,0)+1,FALSE),G948)</f>
        <v>73.42</v>
      </c>
      <c r="H949" s="6">
        <f>IFERROR(VLOOKUP($B949,Platts!$E$5:$M$4994,MATCH(H$3,Platts!$F$5:$M$5,0)+1,FALSE),H948)</f>
        <v>68.489999999999995</v>
      </c>
      <c r="I949" s="6">
        <f>IFERROR(VLOOKUP($B949,Platts!$E$5:$M$4994,MATCH(I$3,Platts!$F$5:$M$5,0)+1,FALSE),I948)</f>
        <v>71.59</v>
      </c>
      <c r="J949" s="6">
        <f t="shared" si="28"/>
        <v>4.9599999999999937</v>
      </c>
    </row>
    <row r="950" spans="2:10" x14ac:dyDescent="0.25">
      <c r="B950" s="5">
        <f t="shared" si="29"/>
        <v>43316</v>
      </c>
      <c r="C950" s="6">
        <f>IFERROR(VLOOKUP($B950,Platts!$E$5:$M$4994,MATCH(C$3,Platts!$F$5:$M$5,0)+1,FALSE),C949)</f>
        <v>63.53</v>
      </c>
      <c r="D950" s="6">
        <f>IFERROR(VLOOKUP($B950,Platts!$E$5:$M$4994,MATCH(D$3,Platts!$F$5:$M$5,0)+1,FALSE),D949)</f>
        <v>66.510000000000005</v>
      </c>
      <c r="E950" s="6">
        <f>IFERROR(VLOOKUP($B950,Platts!$E$5:$M$4994,MATCH(E$3,Platts!$F$5:$M$5,0)+1,FALSE),E949)</f>
        <v>62.83</v>
      </c>
      <c r="F950" s="6">
        <f>IFERROR(VLOOKUP($B950,Platts!$E$5:$M$4994,MATCH(F$3,Platts!$F$5:$M$5,0)+1,FALSE),F949)</f>
        <v>70.069999999999993</v>
      </c>
      <c r="G950" s="6">
        <f>IFERROR(VLOOKUP($B950,Platts!$E$5:$M$4994,MATCH(G$3,Platts!$F$5:$M$5,0)+1,FALSE),G949)</f>
        <v>73.42</v>
      </c>
      <c r="H950" s="6">
        <f>IFERROR(VLOOKUP($B950,Platts!$E$5:$M$4994,MATCH(H$3,Platts!$F$5:$M$5,0)+1,FALSE),H949)</f>
        <v>68.489999999999995</v>
      </c>
      <c r="I950" s="6">
        <f>IFERROR(VLOOKUP($B950,Platts!$E$5:$M$4994,MATCH(I$3,Platts!$F$5:$M$5,0)+1,FALSE),I949)</f>
        <v>71.59</v>
      </c>
      <c r="J950" s="6">
        <f t="shared" si="28"/>
        <v>4.9599999999999937</v>
      </c>
    </row>
    <row r="951" spans="2:10" x14ac:dyDescent="0.25">
      <c r="B951" s="5">
        <f t="shared" si="29"/>
        <v>43317</v>
      </c>
      <c r="C951" s="6">
        <f>IFERROR(VLOOKUP($B951,Platts!$E$5:$M$4994,MATCH(C$3,Platts!$F$5:$M$5,0)+1,FALSE),C950)</f>
        <v>63.53</v>
      </c>
      <c r="D951" s="6">
        <f>IFERROR(VLOOKUP($B951,Platts!$E$5:$M$4994,MATCH(D$3,Platts!$F$5:$M$5,0)+1,FALSE),D950)</f>
        <v>66.510000000000005</v>
      </c>
      <c r="E951" s="6">
        <f>IFERROR(VLOOKUP($B951,Platts!$E$5:$M$4994,MATCH(E$3,Platts!$F$5:$M$5,0)+1,FALSE),E950)</f>
        <v>62.83</v>
      </c>
      <c r="F951" s="6">
        <f>IFERROR(VLOOKUP($B951,Platts!$E$5:$M$4994,MATCH(F$3,Platts!$F$5:$M$5,0)+1,FALSE),F950)</f>
        <v>70.069999999999993</v>
      </c>
      <c r="G951" s="6">
        <f>IFERROR(VLOOKUP($B951,Platts!$E$5:$M$4994,MATCH(G$3,Platts!$F$5:$M$5,0)+1,FALSE),G950)</f>
        <v>73.42</v>
      </c>
      <c r="H951" s="6">
        <f>IFERROR(VLOOKUP($B951,Platts!$E$5:$M$4994,MATCH(H$3,Platts!$F$5:$M$5,0)+1,FALSE),H950)</f>
        <v>68.489999999999995</v>
      </c>
      <c r="I951" s="6">
        <f>IFERROR(VLOOKUP($B951,Platts!$E$5:$M$4994,MATCH(I$3,Platts!$F$5:$M$5,0)+1,FALSE),I950)</f>
        <v>71.59</v>
      </c>
      <c r="J951" s="6">
        <f t="shared" si="28"/>
        <v>4.9599999999999937</v>
      </c>
    </row>
    <row r="952" spans="2:10" x14ac:dyDescent="0.25">
      <c r="B952" s="5">
        <f t="shared" si="29"/>
        <v>43318</v>
      </c>
      <c r="C952" s="6">
        <f>IFERROR(VLOOKUP($B952,Platts!$E$5:$M$4994,MATCH(C$3,Platts!$F$5:$M$5,0)+1,FALSE),C951)</f>
        <v>63.74</v>
      </c>
      <c r="D952" s="6">
        <f>IFERROR(VLOOKUP($B952,Platts!$E$5:$M$4994,MATCH(D$3,Platts!$F$5:$M$5,0)+1,FALSE),D951)</f>
        <v>66.87</v>
      </c>
      <c r="E952" s="6">
        <f>IFERROR(VLOOKUP($B952,Platts!$E$5:$M$4994,MATCH(E$3,Platts!$F$5:$M$5,0)+1,FALSE),E951)</f>
        <v>63.1</v>
      </c>
      <c r="F952" s="6">
        <f>IFERROR(VLOOKUP($B952,Platts!$E$5:$M$4994,MATCH(F$3,Platts!$F$5:$M$5,0)+1,FALSE),F951)</f>
        <v>70.38</v>
      </c>
      <c r="G952" s="6">
        <f>IFERROR(VLOOKUP($B952,Platts!$E$5:$M$4994,MATCH(G$3,Platts!$F$5:$M$5,0)+1,FALSE),G951)</f>
        <v>74.13</v>
      </c>
      <c r="H952" s="6">
        <f>IFERROR(VLOOKUP($B952,Platts!$E$5:$M$4994,MATCH(H$3,Platts!$F$5:$M$5,0)+1,FALSE),H951)</f>
        <v>69.06</v>
      </c>
      <c r="I952" s="6">
        <f>IFERROR(VLOOKUP($B952,Platts!$E$5:$M$4994,MATCH(I$3,Platts!$F$5:$M$5,0)+1,FALSE),I951)</f>
        <v>72.209999999999994</v>
      </c>
      <c r="J952" s="6">
        <f t="shared" si="28"/>
        <v>5.32</v>
      </c>
    </row>
    <row r="953" spans="2:10" x14ac:dyDescent="0.25">
      <c r="B953" s="5">
        <f t="shared" si="29"/>
        <v>43319</v>
      </c>
      <c r="C953" s="6">
        <f>IFERROR(VLOOKUP($B953,Platts!$E$5:$M$4994,MATCH(C$3,Platts!$F$5:$M$5,0)+1,FALSE),C952)</f>
        <v>64.569999999999993</v>
      </c>
      <c r="D953" s="6">
        <f>IFERROR(VLOOKUP($B953,Platts!$E$5:$M$4994,MATCH(D$3,Platts!$F$5:$M$5,0)+1,FALSE),D952)</f>
        <v>67.319999999999993</v>
      </c>
      <c r="E953" s="6">
        <f>IFERROR(VLOOKUP($B953,Platts!$E$5:$M$4994,MATCH(E$3,Platts!$F$5:$M$5,0)+1,FALSE),E952)</f>
        <v>63.81</v>
      </c>
      <c r="F953" s="6">
        <f>IFERROR(VLOOKUP($B953,Platts!$E$5:$M$4994,MATCH(F$3,Platts!$F$5:$M$5,0)+1,FALSE),F952)</f>
        <v>70.87</v>
      </c>
      <c r="G953" s="6">
        <f>IFERROR(VLOOKUP($B953,Platts!$E$5:$M$4994,MATCH(G$3,Platts!$F$5:$M$5,0)+1,FALSE),G952)</f>
        <v>74.39</v>
      </c>
      <c r="H953" s="6">
        <f>IFERROR(VLOOKUP($B953,Platts!$E$5:$M$4994,MATCH(H$3,Platts!$F$5:$M$5,0)+1,FALSE),H952)</f>
        <v>69.22</v>
      </c>
      <c r="I953" s="6">
        <f>IFERROR(VLOOKUP($B953,Platts!$E$5:$M$4994,MATCH(I$3,Platts!$F$5:$M$5,0)+1,FALSE),I952)</f>
        <v>72.37</v>
      </c>
      <c r="J953" s="6">
        <f t="shared" si="28"/>
        <v>4.6500000000000057</v>
      </c>
    </row>
    <row r="954" spans="2:10" x14ac:dyDescent="0.25">
      <c r="B954" s="5">
        <f t="shared" si="29"/>
        <v>43320</v>
      </c>
      <c r="C954" s="6">
        <f>IFERROR(VLOOKUP($B954,Platts!$E$5:$M$4994,MATCH(C$3,Platts!$F$5:$M$5,0)+1,FALSE),C953)</f>
        <v>62.79</v>
      </c>
      <c r="D954" s="6">
        <f>IFERROR(VLOOKUP($B954,Platts!$E$5:$M$4994,MATCH(D$3,Platts!$F$5:$M$5,0)+1,FALSE),D953)</f>
        <v>65.52</v>
      </c>
      <c r="E954" s="6">
        <f>IFERROR(VLOOKUP($B954,Platts!$E$5:$M$4994,MATCH(E$3,Platts!$F$5:$M$5,0)+1,FALSE),E953)</f>
        <v>61.91</v>
      </c>
      <c r="F954" s="6">
        <f>IFERROR(VLOOKUP($B954,Platts!$E$5:$M$4994,MATCH(F$3,Platts!$F$5:$M$5,0)+1,FALSE),F953)</f>
        <v>69.010000000000005</v>
      </c>
      <c r="G954" s="6">
        <f>IFERROR(VLOOKUP($B954,Platts!$E$5:$M$4994,MATCH(G$3,Platts!$F$5:$M$5,0)+1,FALSE),G953)</f>
        <v>72.180000000000007</v>
      </c>
      <c r="H954" s="6">
        <f>IFERROR(VLOOKUP($B954,Platts!$E$5:$M$4994,MATCH(H$3,Platts!$F$5:$M$5,0)+1,FALSE),H953)</f>
        <v>66.94</v>
      </c>
      <c r="I954" s="6">
        <f>IFERROR(VLOOKUP($B954,Platts!$E$5:$M$4994,MATCH(I$3,Platts!$F$5:$M$5,0)+1,FALSE),I953)</f>
        <v>70.540000000000006</v>
      </c>
      <c r="J954" s="6">
        <f t="shared" si="28"/>
        <v>4.1499999999999986</v>
      </c>
    </row>
    <row r="955" spans="2:10" x14ac:dyDescent="0.25">
      <c r="B955" s="5">
        <f t="shared" si="29"/>
        <v>43321</v>
      </c>
      <c r="C955" s="6">
        <f>IFERROR(VLOOKUP($B955,Platts!$E$5:$M$4994,MATCH(C$3,Platts!$F$5:$M$5,0)+1,FALSE),C954)</f>
        <v>62.79</v>
      </c>
      <c r="D955" s="6">
        <f>IFERROR(VLOOKUP($B955,Platts!$E$5:$M$4994,MATCH(D$3,Platts!$F$5:$M$5,0)+1,FALSE),D954)</f>
        <v>65.59</v>
      </c>
      <c r="E955" s="6">
        <f>IFERROR(VLOOKUP($B955,Platts!$E$5:$M$4994,MATCH(E$3,Platts!$F$5:$M$5,0)+1,FALSE),E954)</f>
        <v>62.03</v>
      </c>
      <c r="F955" s="6">
        <f>IFERROR(VLOOKUP($B955,Platts!$E$5:$M$4994,MATCH(F$3,Platts!$F$5:$M$5,0)+1,FALSE),F954)</f>
        <v>69.03</v>
      </c>
      <c r="G955" s="6">
        <f>IFERROR(VLOOKUP($B955,Platts!$E$5:$M$4994,MATCH(G$3,Platts!$F$5:$M$5,0)+1,FALSE),G954)</f>
        <v>72.3</v>
      </c>
      <c r="H955" s="6">
        <f>IFERROR(VLOOKUP($B955,Platts!$E$5:$M$4994,MATCH(H$3,Platts!$F$5:$M$5,0)+1,FALSE),H954)</f>
        <v>66.81</v>
      </c>
      <c r="I955" s="6">
        <f>IFERROR(VLOOKUP($B955,Platts!$E$5:$M$4994,MATCH(I$3,Platts!$F$5:$M$5,0)+1,FALSE),I954)</f>
        <v>70.41</v>
      </c>
      <c r="J955" s="6">
        <f t="shared" si="28"/>
        <v>4.0200000000000031</v>
      </c>
    </row>
    <row r="956" spans="2:10" x14ac:dyDescent="0.25">
      <c r="B956" s="5">
        <f t="shared" si="29"/>
        <v>43322</v>
      </c>
      <c r="C956" s="6">
        <f>IFERROR(VLOOKUP($B956,Platts!$E$5:$M$4994,MATCH(C$3,Platts!$F$5:$M$5,0)+1,FALSE),C955)</f>
        <v>64.64</v>
      </c>
      <c r="D956" s="6">
        <f>IFERROR(VLOOKUP($B956,Platts!$E$5:$M$4994,MATCH(D$3,Platts!$F$5:$M$5,0)+1,FALSE),D955)</f>
        <v>68.42</v>
      </c>
      <c r="E956" s="6">
        <f>IFERROR(VLOOKUP($B956,Platts!$E$5:$M$4994,MATCH(E$3,Platts!$F$5:$M$5,0)+1,FALSE),E955)</f>
        <v>64.819999999999993</v>
      </c>
      <c r="F956" s="6">
        <f>IFERROR(VLOOKUP($B956,Platts!$E$5:$M$4994,MATCH(F$3,Platts!$F$5:$M$5,0)+1,FALSE),F955)</f>
        <v>71.52</v>
      </c>
      <c r="G956" s="6">
        <f>IFERROR(VLOOKUP($B956,Platts!$E$5:$M$4994,MATCH(G$3,Platts!$F$5:$M$5,0)+1,FALSE),G955)</f>
        <v>72.819999999999993</v>
      </c>
      <c r="H956" s="6">
        <f>IFERROR(VLOOKUP($B956,Platts!$E$5:$M$4994,MATCH(H$3,Platts!$F$5:$M$5,0)+1,FALSE),H955)</f>
        <v>67.63</v>
      </c>
      <c r="I956" s="6">
        <f>IFERROR(VLOOKUP($B956,Platts!$E$5:$M$4994,MATCH(I$3,Platts!$F$5:$M$5,0)+1,FALSE),I955)</f>
        <v>71.23</v>
      </c>
      <c r="J956" s="6">
        <f t="shared" si="28"/>
        <v>2.9899999999999949</v>
      </c>
    </row>
    <row r="957" spans="2:10" x14ac:dyDescent="0.25">
      <c r="B957" s="5">
        <f t="shared" si="29"/>
        <v>43323</v>
      </c>
      <c r="C957" s="6">
        <f>IFERROR(VLOOKUP($B957,Platts!$E$5:$M$4994,MATCH(C$3,Platts!$F$5:$M$5,0)+1,FALSE),C956)</f>
        <v>64.64</v>
      </c>
      <c r="D957" s="6">
        <f>IFERROR(VLOOKUP($B957,Platts!$E$5:$M$4994,MATCH(D$3,Platts!$F$5:$M$5,0)+1,FALSE),D956)</f>
        <v>68.42</v>
      </c>
      <c r="E957" s="6">
        <f>IFERROR(VLOOKUP($B957,Platts!$E$5:$M$4994,MATCH(E$3,Platts!$F$5:$M$5,0)+1,FALSE),E956)</f>
        <v>64.819999999999993</v>
      </c>
      <c r="F957" s="6">
        <f>IFERROR(VLOOKUP($B957,Platts!$E$5:$M$4994,MATCH(F$3,Platts!$F$5:$M$5,0)+1,FALSE),F956)</f>
        <v>71.52</v>
      </c>
      <c r="G957" s="6">
        <f>IFERROR(VLOOKUP($B957,Platts!$E$5:$M$4994,MATCH(G$3,Platts!$F$5:$M$5,0)+1,FALSE),G956)</f>
        <v>72.819999999999993</v>
      </c>
      <c r="H957" s="6">
        <f>IFERROR(VLOOKUP($B957,Platts!$E$5:$M$4994,MATCH(H$3,Platts!$F$5:$M$5,0)+1,FALSE),H956)</f>
        <v>67.63</v>
      </c>
      <c r="I957" s="6">
        <f>IFERROR(VLOOKUP($B957,Platts!$E$5:$M$4994,MATCH(I$3,Platts!$F$5:$M$5,0)+1,FALSE),I956)</f>
        <v>71.23</v>
      </c>
      <c r="J957" s="6">
        <f t="shared" si="28"/>
        <v>2.9899999999999949</v>
      </c>
    </row>
    <row r="958" spans="2:10" x14ac:dyDescent="0.25">
      <c r="B958" s="5">
        <f t="shared" si="29"/>
        <v>43324</v>
      </c>
      <c r="C958" s="6">
        <f>IFERROR(VLOOKUP($B958,Platts!$E$5:$M$4994,MATCH(C$3,Platts!$F$5:$M$5,0)+1,FALSE),C957)</f>
        <v>64.64</v>
      </c>
      <c r="D958" s="6">
        <f>IFERROR(VLOOKUP($B958,Platts!$E$5:$M$4994,MATCH(D$3,Platts!$F$5:$M$5,0)+1,FALSE),D957)</f>
        <v>68.42</v>
      </c>
      <c r="E958" s="6">
        <f>IFERROR(VLOOKUP($B958,Platts!$E$5:$M$4994,MATCH(E$3,Platts!$F$5:$M$5,0)+1,FALSE),E957)</f>
        <v>64.819999999999993</v>
      </c>
      <c r="F958" s="6">
        <f>IFERROR(VLOOKUP($B958,Platts!$E$5:$M$4994,MATCH(F$3,Platts!$F$5:$M$5,0)+1,FALSE),F957)</f>
        <v>71.52</v>
      </c>
      <c r="G958" s="6">
        <f>IFERROR(VLOOKUP($B958,Platts!$E$5:$M$4994,MATCH(G$3,Platts!$F$5:$M$5,0)+1,FALSE),G957)</f>
        <v>72.819999999999993</v>
      </c>
      <c r="H958" s="6">
        <f>IFERROR(VLOOKUP($B958,Platts!$E$5:$M$4994,MATCH(H$3,Platts!$F$5:$M$5,0)+1,FALSE),H957)</f>
        <v>67.63</v>
      </c>
      <c r="I958" s="6">
        <f>IFERROR(VLOOKUP($B958,Platts!$E$5:$M$4994,MATCH(I$3,Platts!$F$5:$M$5,0)+1,FALSE),I957)</f>
        <v>71.23</v>
      </c>
      <c r="J958" s="6">
        <f t="shared" si="28"/>
        <v>2.9899999999999949</v>
      </c>
    </row>
    <row r="959" spans="2:10" x14ac:dyDescent="0.25">
      <c r="B959" s="5">
        <f t="shared" si="29"/>
        <v>43325</v>
      </c>
      <c r="C959" s="6">
        <f>IFERROR(VLOOKUP($B959,Platts!$E$5:$M$4994,MATCH(C$3,Platts!$F$5:$M$5,0)+1,FALSE),C958)</f>
        <v>63.02</v>
      </c>
      <c r="D959" s="6">
        <f>IFERROR(VLOOKUP($B959,Platts!$E$5:$M$4994,MATCH(D$3,Platts!$F$5:$M$5,0)+1,FALSE),D958)</f>
        <v>66.540000000000006</v>
      </c>
      <c r="E959" s="6">
        <f>IFERROR(VLOOKUP($B959,Platts!$E$5:$M$4994,MATCH(E$3,Platts!$F$5:$M$5,0)+1,FALSE),E958)</f>
        <v>62.54</v>
      </c>
      <c r="F959" s="6">
        <f>IFERROR(VLOOKUP($B959,Platts!$E$5:$M$4994,MATCH(F$3,Platts!$F$5:$M$5,0)+1,FALSE),F958)</f>
        <v>69.95</v>
      </c>
      <c r="G959" s="6">
        <f>IFERROR(VLOOKUP($B959,Platts!$E$5:$M$4994,MATCH(G$3,Platts!$F$5:$M$5,0)+1,FALSE),G958)</f>
        <v>72.63</v>
      </c>
      <c r="H959" s="6">
        <f>IFERROR(VLOOKUP($B959,Platts!$E$5:$M$4994,MATCH(H$3,Platts!$F$5:$M$5,0)+1,FALSE),H958)</f>
        <v>67.209999999999994</v>
      </c>
      <c r="I959" s="6">
        <f>IFERROR(VLOOKUP($B959,Platts!$E$5:$M$4994,MATCH(I$3,Platts!$F$5:$M$5,0)+1,FALSE),I958)</f>
        <v>71.06</v>
      </c>
      <c r="J959" s="6">
        <f t="shared" si="28"/>
        <v>4.1899999999999906</v>
      </c>
    </row>
    <row r="960" spans="2:10" x14ac:dyDescent="0.25">
      <c r="B960" s="5">
        <f t="shared" si="29"/>
        <v>43326</v>
      </c>
      <c r="C960" s="6">
        <f>IFERROR(VLOOKUP($B960,Platts!$E$5:$M$4994,MATCH(C$3,Platts!$F$5:$M$5,0)+1,FALSE),C959)</f>
        <v>62.71</v>
      </c>
      <c r="D960" s="6">
        <f>IFERROR(VLOOKUP($B960,Platts!$E$5:$M$4994,MATCH(D$3,Platts!$F$5:$M$5,0)+1,FALSE),D959)</f>
        <v>66.13</v>
      </c>
      <c r="E960" s="6">
        <f>IFERROR(VLOOKUP($B960,Platts!$E$5:$M$4994,MATCH(E$3,Platts!$F$5:$M$5,0)+1,FALSE),E959)</f>
        <v>62.04</v>
      </c>
      <c r="F960" s="6">
        <f>IFERROR(VLOOKUP($B960,Platts!$E$5:$M$4994,MATCH(F$3,Platts!$F$5:$M$5,0)+1,FALSE),F959)</f>
        <v>69.59</v>
      </c>
      <c r="G960" s="6">
        <f>IFERROR(VLOOKUP($B960,Platts!$E$5:$M$4994,MATCH(G$3,Platts!$F$5:$M$5,0)+1,FALSE),G959)</f>
        <v>72.56</v>
      </c>
      <c r="H960" s="6">
        <f>IFERROR(VLOOKUP($B960,Platts!$E$5:$M$4994,MATCH(H$3,Platts!$F$5:$M$5,0)+1,FALSE),H959)</f>
        <v>67.040000000000006</v>
      </c>
      <c r="I960" s="6">
        <f>IFERROR(VLOOKUP($B960,Platts!$E$5:$M$4994,MATCH(I$3,Platts!$F$5:$M$5,0)+1,FALSE),I959)</f>
        <v>71.39</v>
      </c>
      <c r="J960" s="6">
        <f t="shared" si="28"/>
        <v>4.3300000000000054</v>
      </c>
    </row>
    <row r="961" spans="2:10" x14ac:dyDescent="0.25">
      <c r="B961" s="5">
        <f t="shared" si="29"/>
        <v>43327</v>
      </c>
      <c r="C961" s="6">
        <f>IFERROR(VLOOKUP($B961,Platts!$E$5:$M$4994,MATCH(C$3,Platts!$F$5:$M$5,0)+1,FALSE),C960)</f>
        <v>60.72</v>
      </c>
      <c r="D961" s="6">
        <f>IFERROR(VLOOKUP($B961,Platts!$E$5:$M$4994,MATCH(D$3,Platts!$F$5:$M$5,0)+1,FALSE),D960)</f>
        <v>63.86</v>
      </c>
      <c r="E961" s="6">
        <f>IFERROR(VLOOKUP($B961,Platts!$E$5:$M$4994,MATCH(E$3,Platts!$F$5:$M$5,0)+1,FALSE),E960)</f>
        <v>59.86</v>
      </c>
      <c r="F961" s="6">
        <f>IFERROR(VLOOKUP($B961,Platts!$E$5:$M$4994,MATCH(F$3,Platts!$F$5:$M$5,0)+1,FALSE),F960)</f>
        <v>67.37</v>
      </c>
      <c r="G961" s="6">
        <f>IFERROR(VLOOKUP($B961,Platts!$E$5:$M$4994,MATCH(G$3,Platts!$F$5:$M$5,0)+1,FALSE),G960)</f>
        <v>70.38</v>
      </c>
      <c r="H961" s="6">
        <f>IFERROR(VLOOKUP($B961,Platts!$E$5:$M$4994,MATCH(H$3,Platts!$F$5:$M$5,0)+1,FALSE),H960)</f>
        <v>65.010000000000005</v>
      </c>
      <c r="I961" s="6">
        <f>IFERROR(VLOOKUP($B961,Platts!$E$5:$M$4994,MATCH(I$3,Platts!$F$5:$M$5,0)+1,FALSE),I960)</f>
        <v>69.86</v>
      </c>
      <c r="J961" s="6">
        <f t="shared" si="28"/>
        <v>4.2900000000000063</v>
      </c>
    </row>
    <row r="962" spans="2:10" x14ac:dyDescent="0.25">
      <c r="B962" s="5">
        <f t="shared" si="29"/>
        <v>43328</v>
      </c>
      <c r="C962" s="6">
        <f>IFERROR(VLOOKUP($B962,Platts!$E$5:$M$4994,MATCH(C$3,Platts!$F$5:$M$5,0)+1,FALSE),C961)</f>
        <v>61.28</v>
      </c>
      <c r="D962" s="6">
        <f>IFERROR(VLOOKUP($B962,Platts!$E$5:$M$4994,MATCH(D$3,Platts!$F$5:$M$5,0)+1,FALSE),D961)</f>
        <v>64.709999999999994</v>
      </c>
      <c r="E962" s="6">
        <f>IFERROR(VLOOKUP($B962,Platts!$E$5:$M$4994,MATCH(E$3,Platts!$F$5:$M$5,0)+1,FALSE),E961)</f>
        <v>60.51</v>
      </c>
      <c r="F962" s="6">
        <f>IFERROR(VLOOKUP($B962,Platts!$E$5:$M$4994,MATCH(F$3,Platts!$F$5:$M$5,0)+1,FALSE),F961)</f>
        <v>68.17</v>
      </c>
      <c r="G962" s="6">
        <f>IFERROR(VLOOKUP($B962,Platts!$E$5:$M$4994,MATCH(G$3,Platts!$F$5:$M$5,0)+1,FALSE),G961)</f>
        <v>71.23</v>
      </c>
      <c r="H962" s="6">
        <f>IFERROR(VLOOKUP($B962,Platts!$E$5:$M$4994,MATCH(H$3,Platts!$F$5:$M$5,0)+1,FALSE),H961)</f>
        <v>65.459999999999994</v>
      </c>
      <c r="I962" s="6">
        <f>IFERROR(VLOOKUP($B962,Platts!$E$5:$M$4994,MATCH(I$3,Platts!$F$5:$M$5,0)+1,FALSE),I961)</f>
        <v>71.06</v>
      </c>
      <c r="J962" s="6">
        <f t="shared" si="28"/>
        <v>4.1799999999999926</v>
      </c>
    </row>
    <row r="963" spans="2:10" x14ac:dyDescent="0.25">
      <c r="B963" s="5">
        <f t="shared" si="29"/>
        <v>43329</v>
      </c>
      <c r="C963" s="6">
        <f>IFERROR(VLOOKUP($B963,Platts!$E$5:$M$4994,MATCH(C$3,Platts!$F$5:$M$5,0)+1,FALSE),C962)</f>
        <v>62.08</v>
      </c>
      <c r="D963" s="6">
        <f>IFERROR(VLOOKUP($B963,Platts!$E$5:$M$4994,MATCH(D$3,Platts!$F$5:$M$5,0)+1,FALSE),D962)</f>
        <v>65.680000000000007</v>
      </c>
      <c r="E963" s="6">
        <f>IFERROR(VLOOKUP($B963,Platts!$E$5:$M$4994,MATCH(E$3,Platts!$F$5:$M$5,0)+1,FALSE),E962)</f>
        <v>61.46</v>
      </c>
      <c r="F963" s="6">
        <f>IFERROR(VLOOKUP($B963,Platts!$E$5:$M$4994,MATCH(F$3,Platts!$F$5:$M$5,0)+1,FALSE),F962)</f>
        <v>69.06</v>
      </c>
      <c r="G963" s="6">
        <f>IFERROR(VLOOKUP($B963,Platts!$E$5:$M$4994,MATCH(G$3,Platts!$F$5:$M$5,0)+1,FALSE),G962)</f>
        <v>71.94</v>
      </c>
      <c r="H963" s="6">
        <f>IFERROR(VLOOKUP($B963,Platts!$E$5:$M$4994,MATCH(H$3,Platts!$F$5:$M$5,0)+1,FALSE),H962)</f>
        <v>65.91</v>
      </c>
      <c r="I963" s="6">
        <f>IFERROR(VLOOKUP($B963,Platts!$E$5:$M$4994,MATCH(I$3,Platts!$F$5:$M$5,0)+1,FALSE),I962)</f>
        <v>71.61</v>
      </c>
      <c r="J963" s="6">
        <f t="shared" si="28"/>
        <v>3.8299999999999983</v>
      </c>
    </row>
    <row r="964" spans="2:10" x14ac:dyDescent="0.25">
      <c r="B964" s="5">
        <f t="shared" si="29"/>
        <v>43330</v>
      </c>
      <c r="C964" s="6">
        <f>IFERROR(VLOOKUP($B964,Platts!$E$5:$M$4994,MATCH(C$3,Platts!$F$5:$M$5,0)+1,FALSE),C963)</f>
        <v>62.08</v>
      </c>
      <c r="D964" s="6">
        <f>IFERROR(VLOOKUP($B964,Platts!$E$5:$M$4994,MATCH(D$3,Platts!$F$5:$M$5,0)+1,FALSE),D963)</f>
        <v>65.680000000000007</v>
      </c>
      <c r="E964" s="6">
        <f>IFERROR(VLOOKUP($B964,Platts!$E$5:$M$4994,MATCH(E$3,Platts!$F$5:$M$5,0)+1,FALSE),E963)</f>
        <v>61.46</v>
      </c>
      <c r="F964" s="6">
        <f>IFERROR(VLOOKUP($B964,Platts!$E$5:$M$4994,MATCH(F$3,Platts!$F$5:$M$5,0)+1,FALSE),F963)</f>
        <v>69.06</v>
      </c>
      <c r="G964" s="6">
        <f>IFERROR(VLOOKUP($B964,Platts!$E$5:$M$4994,MATCH(G$3,Platts!$F$5:$M$5,0)+1,FALSE),G963)</f>
        <v>71.94</v>
      </c>
      <c r="H964" s="6">
        <f>IFERROR(VLOOKUP($B964,Platts!$E$5:$M$4994,MATCH(H$3,Platts!$F$5:$M$5,0)+1,FALSE),H963)</f>
        <v>65.91</v>
      </c>
      <c r="I964" s="6">
        <f>IFERROR(VLOOKUP($B964,Platts!$E$5:$M$4994,MATCH(I$3,Platts!$F$5:$M$5,0)+1,FALSE),I963)</f>
        <v>71.61</v>
      </c>
      <c r="J964" s="6">
        <f t="shared" ref="J964:J1027" si="30">H964-C964</f>
        <v>3.8299999999999983</v>
      </c>
    </row>
    <row r="965" spans="2:10" x14ac:dyDescent="0.25">
      <c r="B965" s="5">
        <f t="shared" si="29"/>
        <v>43331</v>
      </c>
      <c r="C965" s="6">
        <f>IFERROR(VLOOKUP($B965,Platts!$E$5:$M$4994,MATCH(C$3,Platts!$F$5:$M$5,0)+1,FALSE),C964)</f>
        <v>62.08</v>
      </c>
      <c r="D965" s="6">
        <f>IFERROR(VLOOKUP($B965,Platts!$E$5:$M$4994,MATCH(D$3,Platts!$F$5:$M$5,0)+1,FALSE),D964)</f>
        <v>65.680000000000007</v>
      </c>
      <c r="E965" s="6">
        <f>IFERROR(VLOOKUP($B965,Platts!$E$5:$M$4994,MATCH(E$3,Platts!$F$5:$M$5,0)+1,FALSE),E964)</f>
        <v>61.46</v>
      </c>
      <c r="F965" s="6">
        <f>IFERROR(VLOOKUP($B965,Platts!$E$5:$M$4994,MATCH(F$3,Platts!$F$5:$M$5,0)+1,FALSE),F964)</f>
        <v>69.06</v>
      </c>
      <c r="G965" s="6">
        <f>IFERROR(VLOOKUP($B965,Platts!$E$5:$M$4994,MATCH(G$3,Platts!$F$5:$M$5,0)+1,FALSE),G964)</f>
        <v>71.94</v>
      </c>
      <c r="H965" s="6">
        <f>IFERROR(VLOOKUP($B965,Platts!$E$5:$M$4994,MATCH(H$3,Platts!$F$5:$M$5,0)+1,FALSE),H964)</f>
        <v>65.91</v>
      </c>
      <c r="I965" s="6">
        <f>IFERROR(VLOOKUP($B965,Platts!$E$5:$M$4994,MATCH(I$3,Platts!$F$5:$M$5,0)+1,FALSE),I964)</f>
        <v>71.61</v>
      </c>
      <c r="J965" s="6">
        <f t="shared" si="30"/>
        <v>3.8299999999999983</v>
      </c>
    </row>
    <row r="966" spans="2:10" x14ac:dyDescent="0.25">
      <c r="B966" s="5">
        <f t="shared" ref="B966:B1029" si="31">B965+1</f>
        <v>43332</v>
      </c>
      <c r="C966" s="6">
        <f>IFERROR(VLOOKUP($B966,Platts!$E$5:$M$4994,MATCH(C$3,Platts!$F$5:$M$5,0)+1,FALSE),C965)</f>
        <v>62.11</v>
      </c>
      <c r="D966" s="6">
        <f>IFERROR(VLOOKUP($B966,Platts!$E$5:$M$4994,MATCH(D$3,Platts!$F$5:$M$5,0)+1,FALSE),D965)</f>
        <v>66.180000000000007</v>
      </c>
      <c r="E966" s="6">
        <f>IFERROR(VLOOKUP($B966,Platts!$E$5:$M$4994,MATCH(E$3,Platts!$F$5:$M$5,0)+1,FALSE),E965)</f>
        <v>61.55</v>
      </c>
      <c r="F966" s="6">
        <f>IFERROR(VLOOKUP($B966,Platts!$E$5:$M$4994,MATCH(F$3,Platts!$F$5:$M$5,0)+1,FALSE),F965)</f>
        <v>69.59</v>
      </c>
      <c r="G966" s="6">
        <f>IFERROR(VLOOKUP($B966,Platts!$E$5:$M$4994,MATCH(G$3,Platts!$F$5:$M$5,0)+1,FALSE),G965)</f>
        <v>72.12</v>
      </c>
      <c r="H966" s="6">
        <f>IFERROR(VLOOKUP($B966,Platts!$E$5:$M$4994,MATCH(H$3,Platts!$F$5:$M$5,0)+1,FALSE),H965)</f>
        <v>66.430000000000007</v>
      </c>
      <c r="I966" s="6">
        <f>IFERROR(VLOOKUP($B966,Platts!$E$5:$M$4994,MATCH(I$3,Platts!$F$5:$M$5,0)+1,FALSE),I965)</f>
        <v>72.63</v>
      </c>
      <c r="J966" s="6">
        <f t="shared" si="30"/>
        <v>4.3200000000000074</v>
      </c>
    </row>
    <row r="967" spans="2:10" x14ac:dyDescent="0.25">
      <c r="B967" s="5">
        <f t="shared" si="31"/>
        <v>43333</v>
      </c>
      <c r="C967" s="6">
        <f>IFERROR(VLOOKUP($B967,Platts!$E$5:$M$4994,MATCH(C$3,Platts!$F$5:$M$5,0)+1,FALSE),C966)</f>
        <v>62.39</v>
      </c>
      <c r="D967" s="6">
        <f>IFERROR(VLOOKUP($B967,Platts!$E$5:$M$4994,MATCH(D$3,Platts!$F$5:$M$5,0)+1,FALSE),D966)</f>
        <v>66.680000000000007</v>
      </c>
      <c r="E967" s="6">
        <f>IFERROR(VLOOKUP($B967,Platts!$E$5:$M$4994,MATCH(E$3,Platts!$F$5:$M$5,0)+1,FALSE),E966)</f>
        <v>62.16</v>
      </c>
      <c r="F967" s="6">
        <f>IFERROR(VLOOKUP($B967,Platts!$E$5:$M$4994,MATCH(F$3,Platts!$F$5:$M$5,0)+1,FALSE),F966)</f>
        <v>70.040000000000006</v>
      </c>
      <c r="G967" s="6">
        <f>IFERROR(VLOOKUP($B967,Platts!$E$5:$M$4994,MATCH(G$3,Platts!$F$5:$M$5,0)+1,FALSE),G966)</f>
        <v>72.53</v>
      </c>
      <c r="H967" s="6">
        <f>IFERROR(VLOOKUP($B967,Platts!$E$5:$M$4994,MATCH(H$3,Platts!$F$5:$M$5,0)+1,FALSE),H966)</f>
        <v>67.349999999999994</v>
      </c>
      <c r="I967" s="6">
        <f>IFERROR(VLOOKUP($B967,Platts!$E$5:$M$4994,MATCH(I$3,Platts!$F$5:$M$5,0)+1,FALSE),I966)</f>
        <v>73.349999999999994</v>
      </c>
      <c r="J967" s="6">
        <f t="shared" si="30"/>
        <v>4.9599999999999937</v>
      </c>
    </row>
    <row r="968" spans="2:10" x14ac:dyDescent="0.25">
      <c r="B968" s="5">
        <f t="shared" si="31"/>
        <v>43334</v>
      </c>
      <c r="C968" s="6">
        <f>IFERROR(VLOOKUP($B968,Platts!$E$5:$M$4994,MATCH(C$3,Platts!$F$5:$M$5,0)+1,FALSE),C967)</f>
        <v>62.39</v>
      </c>
      <c r="D968" s="6">
        <f>IFERROR(VLOOKUP($B968,Platts!$E$5:$M$4994,MATCH(D$3,Platts!$F$5:$M$5,0)+1,FALSE),D967)</f>
        <v>68.27</v>
      </c>
      <c r="E968" s="6">
        <f>IFERROR(VLOOKUP($B968,Platts!$E$5:$M$4994,MATCH(E$3,Platts!$F$5:$M$5,0)+1,FALSE),E967)</f>
        <v>63.98</v>
      </c>
      <c r="F968" s="6">
        <f>IFERROR(VLOOKUP($B968,Platts!$E$5:$M$4994,MATCH(F$3,Platts!$F$5:$M$5,0)+1,FALSE),F967)</f>
        <v>71.77</v>
      </c>
      <c r="G968" s="6">
        <f>IFERROR(VLOOKUP($B968,Platts!$E$5:$M$4994,MATCH(G$3,Platts!$F$5:$M$5,0)+1,FALSE),G967)</f>
        <v>74.34</v>
      </c>
      <c r="H968" s="6">
        <f>IFERROR(VLOOKUP($B968,Platts!$E$5:$M$4994,MATCH(H$3,Platts!$F$5:$M$5,0)+1,FALSE),H967)</f>
        <v>69.11</v>
      </c>
      <c r="I968" s="6">
        <f>IFERROR(VLOOKUP($B968,Platts!$E$5:$M$4994,MATCH(I$3,Platts!$F$5:$M$5,0)+1,FALSE),I967)</f>
        <v>74.11</v>
      </c>
      <c r="J968" s="6">
        <f t="shared" si="30"/>
        <v>6.7199999999999989</v>
      </c>
    </row>
    <row r="969" spans="2:10" x14ac:dyDescent="0.25">
      <c r="B969" s="5">
        <f t="shared" si="31"/>
        <v>43335</v>
      </c>
      <c r="C969" s="6">
        <f>IFERROR(VLOOKUP($B969,Platts!$E$5:$M$4994,MATCH(C$3,Platts!$F$5:$M$5,0)+1,FALSE),C968)</f>
        <v>64.62</v>
      </c>
      <c r="D969" s="6">
        <f>IFERROR(VLOOKUP($B969,Platts!$E$5:$M$4994,MATCH(D$3,Platts!$F$5:$M$5,0)+1,FALSE),D968)</f>
        <v>68.17</v>
      </c>
      <c r="E969" s="6">
        <f>IFERROR(VLOOKUP($B969,Platts!$E$5:$M$4994,MATCH(E$3,Platts!$F$5:$M$5,0)+1,FALSE),E968)</f>
        <v>63.97</v>
      </c>
      <c r="F969" s="6">
        <f>IFERROR(VLOOKUP($B969,Platts!$E$5:$M$4994,MATCH(F$3,Platts!$F$5:$M$5,0)+1,FALSE),F968)</f>
        <v>71.7</v>
      </c>
      <c r="G969" s="6">
        <f>IFERROR(VLOOKUP($B969,Platts!$E$5:$M$4994,MATCH(G$3,Platts!$F$5:$M$5,0)+1,FALSE),G968)</f>
        <v>74.69</v>
      </c>
      <c r="H969" s="6">
        <f>IFERROR(VLOOKUP($B969,Platts!$E$5:$M$4994,MATCH(H$3,Platts!$F$5:$M$5,0)+1,FALSE),H968)</f>
        <v>68.680000000000007</v>
      </c>
      <c r="I969" s="6">
        <f>IFERROR(VLOOKUP($B969,Platts!$E$5:$M$4994,MATCH(I$3,Platts!$F$5:$M$5,0)+1,FALSE),I968)</f>
        <v>73.430000000000007</v>
      </c>
      <c r="J969" s="6">
        <f t="shared" si="30"/>
        <v>4.0600000000000023</v>
      </c>
    </row>
    <row r="970" spans="2:10" x14ac:dyDescent="0.25">
      <c r="B970" s="5">
        <f t="shared" si="31"/>
        <v>43336</v>
      </c>
      <c r="C970" s="6">
        <f>IFERROR(VLOOKUP($B970,Platts!$E$5:$M$4994,MATCH(C$3,Platts!$F$5:$M$5,0)+1,FALSE),C969)</f>
        <v>65.52</v>
      </c>
      <c r="D970" s="6">
        <f>IFERROR(VLOOKUP($B970,Platts!$E$5:$M$4994,MATCH(D$3,Platts!$F$5:$M$5,0)+1,FALSE),D969)</f>
        <v>68.959999999999994</v>
      </c>
      <c r="E970" s="6">
        <f>IFERROR(VLOOKUP($B970,Platts!$E$5:$M$4994,MATCH(E$3,Platts!$F$5:$M$5,0)+1,FALSE),E969)</f>
        <v>64.59</v>
      </c>
      <c r="F970" s="6">
        <f>IFERROR(VLOOKUP($B970,Platts!$E$5:$M$4994,MATCH(F$3,Platts!$F$5:$M$5,0)+1,FALSE),F969)</f>
        <v>72.5</v>
      </c>
      <c r="G970" s="6">
        <f>IFERROR(VLOOKUP($B970,Platts!$E$5:$M$4994,MATCH(G$3,Platts!$F$5:$M$5,0)+1,FALSE),G969)</f>
        <v>76.12</v>
      </c>
      <c r="H970" s="6">
        <f>IFERROR(VLOOKUP($B970,Platts!$E$5:$M$4994,MATCH(H$3,Platts!$F$5:$M$5,0)+1,FALSE),H969)</f>
        <v>69.92</v>
      </c>
      <c r="I970" s="6">
        <f>IFERROR(VLOOKUP($B970,Platts!$E$5:$M$4994,MATCH(I$3,Platts!$F$5:$M$5,0)+1,FALSE),I969)</f>
        <v>74.42</v>
      </c>
      <c r="J970" s="6">
        <f t="shared" si="30"/>
        <v>4.4000000000000057</v>
      </c>
    </row>
    <row r="971" spans="2:10" x14ac:dyDescent="0.25">
      <c r="B971" s="5">
        <f t="shared" si="31"/>
        <v>43337</v>
      </c>
      <c r="C971" s="6">
        <f>IFERROR(VLOOKUP($B971,Platts!$E$5:$M$4994,MATCH(C$3,Platts!$F$5:$M$5,0)+1,FALSE),C970)</f>
        <v>65.52</v>
      </c>
      <c r="D971" s="6">
        <f>IFERROR(VLOOKUP($B971,Platts!$E$5:$M$4994,MATCH(D$3,Platts!$F$5:$M$5,0)+1,FALSE),D970)</f>
        <v>68.959999999999994</v>
      </c>
      <c r="E971" s="6">
        <f>IFERROR(VLOOKUP($B971,Platts!$E$5:$M$4994,MATCH(E$3,Platts!$F$5:$M$5,0)+1,FALSE),E970)</f>
        <v>64.59</v>
      </c>
      <c r="F971" s="6">
        <f>IFERROR(VLOOKUP($B971,Platts!$E$5:$M$4994,MATCH(F$3,Platts!$F$5:$M$5,0)+1,FALSE),F970)</f>
        <v>72.5</v>
      </c>
      <c r="G971" s="6">
        <f>IFERROR(VLOOKUP($B971,Platts!$E$5:$M$4994,MATCH(G$3,Platts!$F$5:$M$5,0)+1,FALSE),G970)</f>
        <v>76.12</v>
      </c>
      <c r="H971" s="6">
        <f>IFERROR(VLOOKUP($B971,Platts!$E$5:$M$4994,MATCH(H$3,Platts!$F$5:$M$5,0)+1,FALSE),H970)</f>
        <v>69.92</v>
      </c>
      <c r="I971" s="6">
        <f>IFERROR(VLOOKUP($B971,Platts!$E$5:$M$4994,MATCH(I$3,Platts!$F$5:$M$5,0)+1,FALSE),I970)</f>
        <v>74.42</v>
      </c>
      <c r="J971" s="6">
        <f t="shared" si="30"/>
        <v>4.4000000000000057</v>
      </c>
    </row>
    <row r="972" spans="2:10" x14ac:dyDescent="0.25">
      <c r="B972" s="5">
        <f t="shared" si="31"/>
        <v>43338</v>
      </c>
      <c r="C972" s="6">
        <f>IFERROR(VLOOKUP($B972,Platts!$E$5:$M$4994,MATCH(C$3,Platts!$F$5:$M$5,0)+1,FALSE),C971)</f>
        <v>65.52</v>
      </c>
      <c r="D972" s="6">
        <f>IFERROR(VLOOKUP($B972,Platts!$E$5:$M$4994,MATCH(D$3,Platts!$F$5:$M$5,0)+1,FALSE),D971)</f>
        <v>68.959999999999994</v>
      </c>
      <c r="E972" s="6">
        <f>IFERROR(VLOOKUP($B972,Platts!$E$5:$M$4994,MATCH(E$3,Platts!$F$5:$M$5,0)+1,FALSE),E971)</f>
        <v>64.59</v>
      </c>
      <c r="F972" s="6">
        <f>IFERROR(VLOOKUP($B972,Platts!$E$5:$M$4994,MATCH(F$3,Platts!$F$5:$M$5,0)+1,FALSE),F971)</f>
        <v>72.5</v>
      </c>
      <c r="G972" s="6">
        <f>IFERROR(VLOOKUP($B972,Platts!$E$5:$M$4994,MATCH(G$3,Platts!$F$5:$M$5,0)+1,FALSE),G971)</f>
        <v>76.12</v>
      </c>
      <c r="H972" s="6">
        <f>IFERROR(VLOOKUP($B972,Platts!$E$5:$M$4994,MATCH(H$3,Platts!$F$5:$M$5,0)+1,FALSE),H971)</f>
        <v>69.92</v>
      </c>
      <c r="I972" s="6">
        <f>IFERROR(VLOOKUP($B972,Platts!$E$5:$M$4994,MATCH(I$3,Platts!$F$5:$M$5,0)+1,FALSE),I971)</f>
        <v>74.42</v>
      </c>
      <c r="J972" s="6">
        <f t="shared" si="30"/>
        <v>4.4000000000000057</v>
      </c>
    </row>
    <row r="973" spans="2:10" x14ac:dyDescent="0.25">
      <c r="B973" s="5">
        <f t="shared" si="31"/>
        <v>43339</v>
      </c>
      <c r="C973" s="6">
        <f>IFERROR(VLOOKUP($B973,Platts!$E$5:$M$4994,MATCH(C$3,Platts!$F$5:$M$5,0)+1,FALSE),C972)</f>
        <v>65.52</v>
      </c>
      <c r="D973" s="6">
        <f>IFERROR(VLOOKUP($B973,Platts!$E$5:$M$4994,MATCH(D$3,Platts!$F$5:$M$5,0)+1,FALSE),D972)</f>
        <v>68.89</v>
      </c>
      <c r="E973" s="6">
        <f>IFERROR(VLOOKUP($B973,Platts!$E$5:$M$4994,MATCH(E$3,Platts!$F$5:$M$5,0)+1,FALSE),E972)</f>
        <v>64.84</v>
      </c>
      <c r="F973" s="6">
        <f>IFERROR(VLOOKUP($B973,Platts!$E$5:$M$4994,MATCH(F$3,Platts!$F$5:$M$5,0)+1,FALSE),F972)</f>
        <v>72.540000000000006</v>
      </c>
      <c r="G973" s="6">
        <f>IFERROR(VLOOKUP($B973,Platts!$E$5:$M$4994,MATCH(G$3,Platts!$F$5:$M$5,0)+1,FALSE),G972)</f>
        <v>76.12</v>
      </c>
      <c r="H973" s="6">
        <f>IFERROR(VLOOKUP($B973,Platts!$E$5:$M$4994,MATCH(H$3,Platts!$F$5:$M$5,0)+1,FALSE),H972)</f>
        <v>68.88</v>
      </c>
      <c r="I973" s="6">
        <f>IFERROR(VLOOKUP($B973,Platts!$E$5:$M$4994,MATCH(I$3,Platts!$F$5:$M$5,0)+1,FALSE),I972)</f>
        <v>74.13</v>
      </c>
      <c r="J973" s="6">
        <f t="shared" si="30"/>
        <v>3.3599999999999994</v>
      </c>
    </row>
    <row r="974" spans="2:10" x14ac:dyDescent="0.25">
      <c r="B974" s="5">
        <f t="shared" si="31"/>
        <v>43340</v>
      </c>
      <c r="C974" s="6">
        <f>IFERROR(VLOOKUP($B974,Platts!$E$5:$M$4994,MATCH(C$3,Platts!$F$5:$M$5,0)+1,FALSE),C973)</f>
        <v>65.22</v>
      </c>
      <c r="D974" s="6">
        <f>IFERROR(VLOOKUP($B974,Platts!$E$5:$M$4994,MATCH(D$3,Platts!$F$5:$M$5,0)+1,FALSE),D973)</f>
        <v>68.16</v>
      </c>
      <c r="E974" s="6">
        <f>IFERROR(VLOOKUP($B974,Platts!$E$5:$M$4994,MATCH(E$3,Platts!$F$5:$M$5,0)+1,FALSE),E973)</f>
        <v>63.96</v>
      </c>
      <c r="F974" s="6">
        <f>IFERROR(VLOOKUP($B974,Platts!$E$5:$M$4994,MATCH(F$3,Platts!$F$5:$M$5,0)+1,FALSE),F973)</f>
        <v>71.930000000000007</v>
      </c>
      <c r="G974" s="6">
        <f>IFERROR(VLOOKUP($B974,Platts!$E$5:$M$4994,MATCH(G$3,Platts!$F$5:$M$5,0)+1,FALSE),G973)</f>
        <v>76.58</v>
      </c>
      <c r="H974" s="6">
        <f>IFERROR(VLOOKUP($B974,Platts!$E$5:$M$4994,MATCH(H$3,Platts!$F$5:$M$5,0)+1,FALSE),H973)</f>
        <v>68.569999999999993</v>
      </c>
      <c r="I974" s="6">
        <f>IFERROR(VLOOKUP($B974,Platts!$E$5:$M$4994,MATCH(I$3,Platts!$F$5:$M$5,0)+1,FALSE),I973)</f>
        <v>74.319999999999993</v>
      </c>
      <c r="J974" s="6">
        <f t="shared" si="30"/>
        <v>3.3499999999999943</v>
      </c>
    </row>
    <row r="975" spans="2:10" x14ac:dyDescent="0.25">
      <c r="B975" s="5">
        <f t="shared" si="31"/>
        <v>43341</v>
      </c>
      <c r="C975" s="6">
        <f>IFERROR(VLOOKUP($B975,Platts!$E$5:$M$4994,MATCH(C$3,Platts!$F$5:$M$5,0)+1,FALSE),C974)</f>
        <v>65.62</v>
      </c>
      <c r="D975" s="6">
        <f>IFERROR(VLOOKUP($B975,Platts!$E$5:$M$4994,MATCH(D$3,Platts!$F$5:$M$5,0)+1,FALSE),D974)</f>
        <v>69.13</v>
      </c>
      <c r="E975" s="6">
        <f>IFERROR(VLOOKUP($B975,Platts!$E$5:$M$4994,MATCH(E$3,Platts!$F$5:$M$5,0)+1,FALSE),E974)</f>
        <v>65.08</v>
      </c>
      <c r="F975" s="6">
        <f>IFERROR(VLOOKUP($B975,Platts!$E$5:$M$4994,MATCH(F$3,Platts!$F$5:$M$5,0)+1,FALSE),F974)</f>
        <v>72.94</v>
      </c>
      <c r="G975" s="6">
        <f>IFERROR(VLOOKUP($B975,Platts!$E$5:$M$4994,MATCH(G$3,Platts!$F$5:$M$5,0)+1,FALSE),G974)</f>
        <v>76.44</v>
      </c>
      <c r="H975" s="6">
        <f>IFERROR(VLOOKUP($B975,Platts!$E$5:$M$4994,MATCH(H$3,Platts!$F$5:$M$5,0)+1,FALSE),H974)</f>
        <v>69.510000000000005</v>
      </c>
      <c r="I975" s="6">
        <f>IFERROR(VLOOKUP($B975,Platts!$E$5:$M$4994,MATCH(I$3,Platts!$F$5:$M$5,0)+1,FALSE),I974)</f>
        <v>75.260000000000005</v>
      </c>
      <c r="J975" s="6">
        <f t="shared" si="30"/>
        <v>3.8900000000000006</v>
      </c>
    </row>
    <row r="976" spans="2:10" x14ac:dyDescent="0.25">
      <c r="B976" s="5">
        <f t="shared" si="31"/>
        <v>43342</v>
      </c>
      <c r="C976" s="6">
        <f>IFERROR(VLOOKUP($B976,Platts!$E$5:$M$4994,MATCH(C$3,Platts!$F$5:$M$5,0)+1,FALSE),C975)</f>
        <v>66.45</v>
      </c>
      <c r="D976" s="6">
        <f>IFERROR(VLOOKUP($B976,Platts!$E$5:$M$4994,MATCH(D$3,Platts!$F$5:$M$5,0)+1,FALSE),D975)</f>
        <v>69.83</v>
      </c>
      <c r="E976" s="6">
        <f>IFERROR(VLOOKUP($B976,Platts!$E$5:$M$4994,MATCH(E$3,Platts!$F$5:$M$5,0)+1,FALSE),E975)</f>
        <v>65.650000000000006</v>
      </c>
      <c r="F976" s="6">
        <f>IFERROR(VLOOKUP($B976,Platts!$E$5:$M$4994,MATCH(F$3,Platts!$F$5:$M$5,0)+1,FALSE),F975)</f>
        <v>73.56</v>
      </c>
      <c r="G976" s="6">
        <f>IFERROR(VLOOKUP($B976,Platts!$E$5:$M$4994,MATCH(G$3,Platts!$F$5:$M$5,0)+1,FALSE),G975)</f>
        <v>77.459999999999994</v>
      </c>
      <c r="H976" s="6">
        <f>IFERROR(VLOOKUP($B976,Platts!$E$5:$M$4994,MATCH(H$3,Platts!$F$5:$M$5,0)+1,FALSE),H975)</f>
        <v>70.25</v>
      </c>
      <c r="I976" s="6">
        <f>IFERROR(VLOOKUP($B976,Platts!$E$5:$M$4994,MATCH(I$3,Platts!$F$5:$M$5,0)+1,FALSE),I975)</f>
        <v>76.150000000000006</v>
      </c>
      <c r="J976" s="6">
        <f t="shared" si="30"/>
        <v>3.7999999999999972</v>
      </c>
    </row>
    <row r="977" spans="2:10" x14ac:dyDescent="0.25">
      <c r="B977" s="5">
        <f t="shared" si="31"/>
        <v>43343</v>
      </c>
      <c r="C977" s="6">
        <f>IFERROR(VLOOKUP($B977,Platts!$E$5:$M$4994,MATCH(C$3,Platts!$F$5:$M$5,0)+1,FALSE),C976)</f>
        <v>66.290000000000006</v>
      </c>
      <c r="D977" s="6">
        <f>IFERROR(VLOOKUP($B977,Platts!$E$5:$M$4994,MATCH(D$3,Platts!$F$5:$M$5,0)+1,FALSE),D976)</f>
        <v>69.42</v>
      </c>
      <c r="E977" s="6">
        <f>IFERROR(VLOOKUP($B977,Platts!$E$5:$M$4994,MATCH(E$3,Platts!$F$5:$M$5,0)+1,FALSE),E976)</f>
        <v>65.41</v>
      </c>
      <c r="F977" s="6">
        <f>IFERROR(VLOOKUP($B977,Platts!$E$5:$M$4994,MATCH(F$3,Platts!$F$5:$M$5,0)+1,FALSE),F976)</f>
        <v>73.209999999999994</v>
      </c>
      <c r="G977" s="6">
        <f>IFERROR(VLOOKUP($B977,Platts!$E$5:$M$4994,MATCH(G$3,Platts!$F$5:$M$5,0)+1,FALSE),G976)</f>
        <v>77.66</v>
      </c>
      <c r="H977" s="6">
        <f>IFERROR(VLOOKUP($B977,Platts!$E$5:$M$4994,MATCH(H$3,Platts!$F$5:$M$5,0)+1,FALSE),H976)</f>
        <v>69.81</v>
      </c>
      <c r="I977" s="6">
        <f>IFERROR(VLOOKUP($B977,Platts!$E$5:$M$4994,MATCH(I$3,Platts!$F$5:$M$5,0)+1,FALSE),I976)</f>
        <v>75.709999999999994</v>
      </c>
      <c r="J977" s="6">
        <f t="shared" si="30"/>
        <v>3.519999999999996</v>
      </c>
    </row>
    <row r="978" spans="2:10" x14ac:dyDescent="0.25">
      <c r="B978" s="5">
        <f t="shared" si="31"/>
        <v>43344</v>
      </c>
      <c r="C978" s="6">
        <f>IFERROR(VLOOKUP($B978,Platts!$E$5:$M$4994,MATCH(C$3,Platts!$F$5:$M$5,0)+1,FALSE),C977)</f>
        <v>66.290000000000006</v>
      </c>
      <c r="D978" s="6">
        <f>IFERROR(VLOOKUP($B978,Platts!$E$5:$M$4994,MATCH(D$3,Platts!$F$5:$M$5,0)+1,FALSE),D977)</f>
        <v>69.42</v>
      </c>
      <c r="E978" s="6">
        <f>IFERROR(VLOOKUP($B978,Platts!$E$5:$M$4994,MATCH(E$3,Platts!$F$5:$M$5,0)+1,FALSE),E977)</f>
        <v>65.41</v>
      </c>
      <c r="F978" s="6">
        <f>IFERROR(VLOOKUP($B978,Platts!$E$5:$M$4994,MATCH(F$3,Platts!$F$5:$M$5,0)+1,FALSE),F977)</f>
        <v>73.209999999999994</v>
      </c>
      <c r="G978" s="6">
        <f>IFERROR(VLOOKUP($B978,Platts!$E$5:$M$4994,MATCH(G$3,Platts!$F$5:$M$5,0)+1,FALSE),G977)</f>
        <v>77.66</v>
      </c>
      <c r="H978" s="6">
        <f>IFERROR(VLOOKUP($B978,Platts!$E$5:$M$4994,MATCH(H$3,Platts!$F$5:$M$5,0)+1,FALSE),H977)</f>
        <v>69.81</v>
      </c>
      <c r="I978" s="6">
        <f>IFERROR(VLOOKUP($B978,Platts!$E$5:$M$4994,MATCH(I$3,Platts!$F$5:$M$5,0)+1,FALSE),I977)</f>
        <v>75.709999999999994</v>
      </c>
      <c r="J978" s="6">
        <f t="shared" si="30"/>
        <v>3.519999999999996</v>
      </c>
    </row>
    <row r="979" spans="2:10" x14ac:dyDescent="0.25">
      <c r="B979" s="5">
        <f t="shared" si="31"/>
        <v>43345</v>
      </c>
      <c r="C979" s="6">
        <f>IFERROR(VLOOKUP($B979,Platts!$E$5:$M$4994,MATCH(C$3,Platts!$F$5:$M$5,0)+1,FALSE),C978)</f>
        <v>66.290000000000006</v>
      </c>
      <c r="D979" s="6">
        <f>IFERROR(VLOOKUP($B979,Platts!$E$5:$M$4994,MATCH(D$3,Platts!$F$5:$M$5,0)+1,FALSE),D978)</f>
        <v>69.42</v>
      </c>
      <c r="E979" s="6">
        <f>IFERROR(VLOOKUP($B979,Platts!$E$5:$M$4994,MATCH(E$3,Platts!$F$5:$M$5,0)+1,FALSE),E978)</f>
        <v>65.41</v>
      </c>
      <c r="F979" s="6">
        <f>IFERROR(VLOOKUP($B979,Platts!$E$5:$M$4994,MATCH(F$3,Platts!$F$5:$M$5,0)+1,FALSE),F978)</f>
        <v>73.209999999999994</v>
      </c>
      <c r="G979" s="6">
        <f>IFERROR(VLOOKUP($B979,Platts!$E$5:$M$4994,MATCH(G$3,Platts!$F$5:$M$5,0)+1,FALSE),G978)</f>
        <v>77.66</v>
      </c>
      <c r="H979" s="6">
        <f>IFERROR(VLOOKUP($B979,Platts!$E$5:$M$4994,MATCH(H$3,Platts!$F$5:$M$5,0)+1,FALSE),H978)</f>
        <v>69.81</v>
      </c>
      <c r="I979" s="6">
        <f>IFERROR(VLOOKUP($B979,Platts!$E$5:$M$4994,MATCH(I$3,Platts!$F$5:$M$5,0)+1,FALSE),I978)</f>
        <v>75.709999999999994</v>
      </c>
      <c r="J979" s="6">
        <f t="shared" si="30"/>
        <v>3.519999999999996</v>
      </c>
    </row>
    <row r="980" spans="2:10" x14ac:dyDescent="0.25">
      <c r="B980" s="5">
        <f t="shared" si="31"/>
        <v>43346</v>
      </c>
      <c r="C980" s="6">
        <f>IFERROR(VLOOKUP($B980,Platts!$E$5:$M$4994,MATCH(C$3,Platts!$F$5:$M$5,0)+1,FALSE),C979)</f>
        <v>66.290000000000006</v>
      </c>
      <c r="D980" s="6">
        <f>IFERROR(VLOOKUP($B980,Platts!$E$5:$M$4994,MATCH(D$3,Platts!$F$5:$M$5,0)+1,FALSE),D979)</f>
        <v>69.42</v>
      </c>
      <c r="E980" s="6">
        <f>IFERROR(VLOOKUP($B980,Platts!$E$5:$M$4994,MATCH(E$3,Platts!$F$5:$M$5,0)+1,FALSE),E979)</f>
        <v>65.41</v>
      </c>
      <c r="F980" s="6">
        <f>IFERROR(VLOOKUP($B980,Platts!$E$5:$M$4994,MATCH(F$3,Platts!$F$5:$M$5,0)+1,FALSE),F979)</f>
        <v>73.209999999999994</v>
      </c>
      <c r="G980" s="6">
        <f>IFERROR(VLOOKUP($B980,Platts!$E$5:$M$4994,MATCH(G$3,Platts!$F$5:$M$5,0)+1,FALSE),G979)</f>
        <v>78.349999999999994</v>
      </c>
      <c r="H980" s="6">
        <f>IFERROR(VLOOKUP($B980,Platts!$E$5:$M$4994,MATCH(H$3,Platts!$F$5:$M$5,0)+1,FALSE),H979)</f>
        <v>69.81</v>
      </c>
      <c r="I980" s="6">
        <f>IFERROR(VLOOKUP($B980,Platts!$E$5:$M$4994,MATCH(I$3,Platts!$F$5:$M$5,0)+1,FALSE),I979)</f>
        <v>75.709999999999994</v>
      </c>
      <c r="J980" s="6">
        <f t="shared" si="30"/>
        <v>3.519999999999996</v>
      </c>
    </row>
    <row r="981" spans="2:10" x14ac:dyDescent="0.25">
      <c r="B981" s="5">
        <f t="shared" si="31"/>
        <v>43347</v>
      </c>
      <c r="C981" s="6">
        <f>IFERROR(VLOOKUP($B981,Platts!$E$5:$M$4994,MATCH(C$3,Platts!$F$5:$M$5,0)+1,FALSE),C980)</f>
        <v>66.59</v>
      </c>
      <c r="D981" s="6">
        <f>IFERROR(VLOOKUP($B981,Platts!$E$5:$M$4994,MATCH(D$3,Platts!$F$5:$M$5,0)+1,FALSE),D980)</f>
        <v>71.599999999999994</v>
      </c>
      <c r="E981" s="6">
        <f>IFERROR(VLOOKUP($B981,Platts!$E$5:$M$4994,MATCH(E$3,Platts!$F$5:$M$5,0)+1,FALSE),E980)</f>
        <v>66.42</v>
      </c>
      <c r="F981" s="6">
        <f>IFERROR(VLOOKUP($B981,Platts!$E$5:$M$4994,MATCH(F$3,Platts!$F$5:$M$5,0)+1,FALSE),F980)</f>
        <v>75.349999999999994</v>
      </c>
      <c r="G981" s="6">
        <f>IFERROR(VLOOKUP($B981,Platts!$E$5:$M$4994,MATCH(G$3,Platts!$F$5:$M$5,0)+1,FALSE),G980)</f>
        <v>78.44</v>
      </c>
      <c r="H981" s="6">
        <f>IFERROR(VLOOKUP($B981,Platts!$E$5:$M$4994,MATCH(H$3,Platts!$F$5:$M$5,0)+1,FALSE),H980)</f>
        <v>69.92</v>
      </c>
      <c r="I981" s="6">
        <f>IFERROR(VLOOKUP($B981,Platts!$E$5:$M$4994,MATCH(I$3,Platts!$F$5:$M$5,0)+1,FALSE),I980)</f>
        <v>76.47</v>
      </c>
      <c r="J981" s="6">
        <f t="shared" si="30"/>
        <v>3.3299999999999983</v>
      </c>
    </row>
    <row r="982" spans="2:10" x14ac:dyDescent="0.25">
      <c r="B982" s="5">
        <f t="shared" si="31"/>
        <v>43348</v>
      </c>
      <c r="C982" s="6">
        <f>IFERROR(VLOOKUP($B982,Platts!$E$5:$M$4994,MATCH(C$3,Platts!$F$5:$M$5,0)+1,FALSE),C981)</f>
        <v>65.58</v>
      </c>
      <c r="D982" s="6">
        <f>IFERROR(VLOOKUP($B982,Platts!$E$5:$M$4994,MATCH(D$3,Platts!$F$5:$M$5,0)+1,FALSE),D981)</f>
        <v>70.69</v>
      </c>
      <c r="E982" s="6">
        <f>IFERROR(VLOOKUP($B982,Platts!$E$5:$M$4994,MATCH(E$3,Platts!$F$5:$M$5,0)+1,FALSE),E981)</f>
        <v>64.81</v>
      </c>
      <c r="F982" s="6">
        <f>IFERROR(VLOOKUP($B982,Platts!$E$5:$M$4994,MATCH(F$3,Platts!$F$5:$M$5,0)+1,FALSE),F981)</f>
        <v>74.52</v>
      </c>
      <c r="G982" s="6">
        <f>IFERROR(VLOOKUP($B982,Platts!$E$5:$M$4994,MATCH(G$3,Platts!$F$5:$M$5,0)+1,FALSE),G981)</f>
        <v>77.650000000000006</v>
      </c>
      <c r="H982" s="6">
        <f>IFERROR(VLOOKUP($B982,Platts!$E$5:$M$4994,MATCH(H$3,Platts!$F$5:$M$5,0)+1,FALSE),H981)</f>
        <v>68.739999999999995</v>
      </c>
      <c r="I982" s="6">
        <f>IFERROR(VLOOKUP($B982,Platts!$E$5:$M$4994,MATCH(I$3,Platts!$F$5:$M$5,0)+1,FALSE),I981)</f>
        <v>75.39</v>
      </c>
      <c r="J982" s="6">
        <f t="shared" si="30"/>
        <v>3.1599999999999966</v>
      </c>
    </row>
    <row r="983" spans="2:10" x14ac:dyDescent="0.25">
      <c r="B983" s="5">
        <f t="shared" si="31"/>
        <v>43349</v>
      </c>
      <c r="C983" s="6">
        <f>IFERROR(VLOOKUP($B983,Platts!$E$5:$M$4994,MATCH(C$3,Platts!$F$5:$M$5,0)+1,FALSE),C982)</f>
        <v>65.23</v>
      </c>
      <c r="D983" s="6">
        <f>IFERROR(VLOOKUP($B983,Platts!$E$5:$M$4994,MATCH(D$3,Platts!$F$5:$M$5,0)+1,FALSE),D982)</f>
        <v>70.400000000000006</v>
      </c>
      <c r="E983" s="6">
        <f>IFERROR(VLOOKUP($B983,Platts!$E$5:$M$4994,MATCH(E$3,Platts!$F$5:$M$5,0)+1,FALSE),E982)</f>
        <v>64.63</v>
      </c>
      <c r="F983" s="6">
        <f>IFERROR(VLOOKUP($B983,Platts!$E$5:$M$4994,MATCH(F$3,Platts!$F$5:$M$5,0)+1,FALSE),F982)</f>
        <v>74.22</v>
      </c>
      <c r="G983" s="6">
        <f>IFERROR(VLOOKUP($B983,Platts!$E$5:$M$4994,MATCH(G$3,Platts!$F$5:$M$5,0)+1,FALSE),G982)</f>
        <v>76.400000000000006</v>
      </c>
      <c r="H983" s="6">
        <f>IFERROR(VLOOKUP($B983,Platts!$E$5:$M$4994,MATCH(H$3,Platts!$F$5:$M$5,0)+1,FALSE),H982)</f>
        <v>67.78</v>
      </c>
      <c r="I983" s="6">
        <f>IFERROR(VLOOKUP($B983,Platts!$E$5:$M$4994,MATCH(I$3,Platts!$F$5:$M$5,0)+1,FALSE),I982)</f>
        <v>74.78</v>
      </c>
      <c r="J983" s="6">
        <f t="shared" si="30"/>
        <v>2.5499999999999972</v>
      </c>
    </row>
    <row r="984" spans="2:10" x14ac:dyDescent="0.25">
      <c r="B984" s="5">
        <f t="shared" si="31"/>
        <v>43350</v>
      </c>
      <c r="C984" s="6">
        <f>IFERROR(VLOOKUP($B984,Platts!$E$5:$M$4994,MATCH(C$3,Platts!$F$5:$M$5,0)+1,FALSE),C983)</f>
        <v>66.010000000000005</v>
      </c>
      <c r="D984" s="6">
        <f>IFERROR(VLOOKUP($B984,Platts!$E$5:$M$4994,MATCH(D$3,Platts!$F$5:$M$5,0)+1,FALSE),D983)</f>
        <v>70.63</v>
      </c>
      <c r="E984" s="6">
        <f>IFERROR(VLOOKUP($B984,Platts!$E$5:$M$4994,MATCH(E$3,Platts!$F$5:$M$5,0)+1,FALSE),E983)</f>
        <v>64.84</v>
      </c>
      <c r="F984" s="6">
        <f>IFERROR(VLOOKUP($B984,Platts!$E$5:$M$4994,MATCH(F$3,Platts!$F$5:$M$5,0)+1,FALSE),F983)</f>
        <v>74.44</v>
      </c>
      <c r="G984" s="6">
        <f>IFERROR(VLOOKUP($B984,Platts!$E$5:$M$4994,MATCH(G$3,Platts!$F$5:$M$5,0)+1,FALSE),G983)</f>
        <v>76.489999999999995</v>
      </c>
      <c r="H984" s="6">
        <f>IFERROR(VLOOKUP($B984,Platts!$E$5:$M$4994,MATCH(H$3,Platts!$F$5:$M$5,0)+1,FALSE),H983)</f>
        <v>67.78</v>
      </c>
      <c r="I984" s="6">
        <f>IFERROR(VLOOKUP($B984,Platts!$E$5:$M$4994,MATCH(I$3,Platts!$F$5:$M$5,0)+1,FALSE),I983)</f>
        <v>74.78</v>
      </c>
      <c r="J984" s="6">
        <f t="shared" si="30"/>
        <v>1.769999999999996</v>
      </c>
    </row>
    <row r="985" spans="2:10" x14ac:dyDescent="0.25">
      <c r="B985" s="5">
        <f t="shared" si="31"/>
        <v>43351</v>
      </c>
      <c r="C985" s="6">
        <f>IFERROR(VLOOKUP($B985,Platts!$E$5:$M$4994,MATCH(C$3,Platts!$F$5:$M$5,0)+1,FALSE),C984)</f>
        <v>66.010000000000005</v>
      </c>
      <c r="D985" s="6">
        <f>IFERROR(VLOOKUP($B985,Platts!$E$5:$M$4994,MATCH(D$3,Platts!$F$5:$M$5,0)+1,FALSE),D984)</f>
        <v>70.63</v>
      </c>
      <c r="E985" s="6">
        <f>IFERROR(VLOOKUP($B985,Platts!$E$5:$M$4994,MATCH(E$3,Platts!$F$5:$M$5,0)+1,FALSE),E984)</f>
        <v>64.84</v>
      </c>
      <c r="F985" s="6">
        <f>IFERROR(VLOOKUP($B985,Platts!$E$5:$M$4994,MATCH(F$3,Platts!$F$5:$M$5,0)+1,FALSE),F984)</f>
        <v>74.44</v>
      </c>
      <c r="G985" s="6">
        <f>IFERROR(VLOOKUP($B985,Platts!$E$5:$M$4994,MATCH(G$3,Platts!$F$5:$M$5,0)+1,FALSE),G984)</f>
        <v>76.489999999999995</v>
      </c>
      <c r="H985" s="6">
        <f>IFERROR(VLOOKUP($B985,Platts!$E$5:$M$4994,MATCH(H$3,Platts!$F$5:$M$5,0)+1,FALSE),H984)</f>
        <v>67.78</v>
      </c>
      <c r="I985" s="6">
        <f>IFERROR(VLOOKUP($B985,Platts!$E$5:$M$4994,MATCH(I$3,Platts!$F$5:$M$5,0)+1,FALSE),I984)</f>
        <v>74.78</v>
      </c>
      <c r="J985" s="6">
        <f t="shared" si="30"/>
        <v>1.769999999999996</v>
      </c>
    </row>
    <row r="986" spans="2:10" x14ac:dyDescent="0.25">
      <c r="B986" s="5">
        <f t="shared" si="31"/>
        <v>43352</v>
      </c>
      <c r="C986" s="6">
        <f>IFERROR(VLOOKUP($B986,Platts!$E$5:$M$4994,MATCH(C$3,Platts!$F$5:$M$5,0)+1,FALSE),C985)</f>
        <v>66.010000000000005</v>
      </c>
      <c r="D986" s="6">
        <f>IFERROR(VLOOKUP($B986,Platts!$E$5:$M$4994,MATCH(D$3,Platts!$F$5:$M$5,0)+1,FALSE),D985)</f>
        <v>70.63</v>
      </c>
      <c r="E986" s="6">
        <f>IFERROR(VLOOKUP($B986,Platts!$E$5:$M$4994,MATCH(E$3,Platts!$F$5:$M$5,0)+1,FALSE),E985)</f>
        <v>64.84</v>
      </c>
      <c r="F986" s="6">
        <f>IFERROR(VLOOKUP($B986,Platts!$E$5:$M$4994,MATCH(F$3,Platts!$F$5:$M$5,0)+1,FALSE),F985)</f>
        <v>74.44</v>
      </c>
      <c r="G986" s="6">
        <f>IFERROR(VLOOKUP($B986,Platts!$E$5:$M$4994,MATCH(G$3,Platts!$F$5:$M$5,0)+1,FALSE),G985)</f>
        <v>76.489999999999995</v>
      </c>
      <c r="H986" s="6">
        <f>IFERROR(VLOOKUP($B986,Platts!$E$5:$M$4994,MATCH(H$3,Platts!$F$5:$M$5,0)+1,FALSE),H985)</f>
        <v>67.78</v>
      </c>
      <c r="I986" s="6">
        <f>IFERROR(VLOOKUP($B986,Platts!$E$5:$M$4994,MATCH(I$3,Platts!$F$5:$M$5,0)+1,FALSE),I985)</f>
        <v>74.78</v>
      </c>
      <c r="J986" s="6">
        <f t="shared" si="30"/>
        <v>1.769999999999996</v>
      </c>
    </row>
    <row r="987" spans="2:10" x14ac:dyDescent="0.25">
      <c r="B987" s="5">
        <f t="shared" si="31"/>
        <v>43353</v>
      </c>
      <c r="C987" s="6">
        <f>IFERROR(VLOOKUP($B987,Platts!$E$5:$M$4994,MATCH(C$3,Platts!$F$5:$M$5,0)+1,FALSE),C986)</f>
        <v>66.39</v>
      </c>
      <c r="D987" s="6">
        <f>IFERROR(VLOOKUP($B987,Platts!$E$5:$M$4994,MATCH(D$3,Platts!$F$5:$M$5,0)+1,FALSE),D986)</f>
        <v>70.83</v>
      </c>
      <c r="E987" s="6">
        <f>IFERROR(VLOOKUP($B987,Platts!$E$5:$M$4994,MATCH(E$3,Platts!$F$5:$M$5,0)+1,FALSE),E986)</f>
        <v>65.41</v>
      </c>
      <c r="F987" s="6">
        <f>IFERROR(VLOOKUP($B987,Platts!$E$5:$M$4994,MATCH(F$3,Platts!$F$5:$M$5,0)+1,FALSE),F986)</f>
        <v>74.680000000000007</v>
      </c>
      <c r="G987" s="6">
        <f>IFERROR(VLOOKUP($B987,Platts!$E$5:$M$4994,MATCH(G$3,Platts!$F$5:$M$5,0)+1,FALSE),G986)</f>
        <v>77.45</v>
      </c>
      <c r="H987" s="6">
        <f>IFERROR(VLOOKUP($B987,Platts!$E$5:$M$4994,MATCH(H$3,Platts!$F$5:$M$5,0)+1,FALSE),H986)</f>
        <v>67.59</v>
      </c>
      <c r="I987" s="6">
        <f>IFERROR(VLOOKUP($B987,Platts!$E$5:$M$4994,MATCH(I$3,Platts!$F$5:$M$5,0)+1,FALSE),I986)</f>
        <v>75.59</v>
      </c>
      <c r="J987" s="6">
        <f t="shared" si="30"/>
        <v>1.2000000000000028</v>
      </c>
    </row>
    <row r="988" spans="2:10" x14ac:dyDescent="0.25">
      <c r="B988" s="5">
        <f t="shared" si="31"/>
        <v>43354</v>
      </c>
      <c r="C988" s="6">
        <f>IFERROR(VLOOKUP($B988,Platts!$E$5:$M$4994,MATCH(C$3,Platts!$F$5:$M$5,0)+1,FALSE),C987)</f>
        <v>67.650000000000006</v>
      </c>
      <c r="D988" s="6">
        <f>IFERROR(VLOOKUP($B988,Platts!$E$5:$M$4994,MATCH(D$3,Platts!$F$5:$M$5,0)+1,FALSE),D987)</f>
        <v>73.19</v>
      </c>
      <c r="E988" s="6">
        <f>IFERROR(VLOOKUP($B988,Platts!$E$5:$M$4994,MATCH(E$3,Platts!$F$5:$M$5,0)+1,FALSE),E987)</f>
        <v>67.42</v>
      </c>
      <c r="F988" s="6">
        <f>IFERROR(VLOOKUP($B988,Platts!$E$5:$M$4994,MATCH(F$3,Platts!$F$5:$M$5,0)+1,FALSE),F987)</f>
        <v>76.97</v>
      </c>
      <c r="G988" s="6">
        <f>IFERROR(VLOOKUP($B988,Platts!$E$5:$M$4994,MATCH(G$3,Platts!$F$5:$M$5,0)+1,FALSE),G987)</f>
        <v>78.64</v>
      </c>
      <c r="H988" s="6">
        <f>IFERROR(VLOOKUP($B988,Platts!$E$5:$M$4994,MATCH(H$3,Platts!$F$5:$M$5,0)+1,FALSE),H987)</f>
        <v>69.25</v>
      </c>
      <c r="I988" s="6">
        <f>IFERROR(VLOOKUP($B988,Platts!$E$5:$M$4994,MATCH(I$3,Platts!$F$5:$M$5,0)+1,FALSE),I987)</f>
        <v>77.150000000000006</v>
      </c>
      <c r="J988" s="6">
        <f t="shared" si="30"/>
        <v>1.5999999999999943</v>
      </c>
    </row>
    <row r="989" spans="2:10" x14ac:dyDescent="0.25">
      <c r="B989" s="5">
        <f t="shared" si="31"/>
        <v>43355</v>
      </c>
      <c r="C989" s="6">
        <f>IFERROR(VLOOKUP($B989,Platts!$E$5:$M$4994,MATCH(C$3,Platts!$F$5:$M$5,0)+1,FALSE),C988)</f>
        <v>68.56</v>
      </c>
      <c r="D989" s="6">
        <f>IFERROR(VLOOKUP($B989,Platts!$E$5:$M$4994,MATCH(D$3,Platts!$F$5:$M$5,0)+1,FALSE),D988)</f>
        <v>73.92</v>
      </c>
      <c r="E989" s="6">
        <f>IFERROR(VLOOKUP($B989,Platts!$E$5:$M$4994,MATCH(E$3,Platts!$F$5:$M$5,0)+1,FALSE),E988)</f>
        <v>68.08</v>
      </c>
      <c r="F989" s="6">
        <f>IFERROR(VLOOKUP($B989,Platts!$E$5:$M$4994,MATCH(F$3,Platts!$F$5:$M$5,0)+1,FALSE),F988)</f>
        <v>77.7</v>
      </c>
      <c r="G989" s="6">
        <f>IFERROR(VLOOKUP($B989,Platts!$E$5:$M$4994,MATCH(G$3,Platts!$F$5:$M$5,0)+1,FALSE),G988)</f>
        <v>79.92</v>
      </c>
      <c r="H989" s="6">
        <f>IFERROR(VLOOKUP($B989,Platts!$E$5:$M$4994,MATCH(H$3,Platts!$F$5:$M$5,0)+1,FALSE),H988)</f>
        <v>70.37</v>
      </c>
      <c r="I989" s="6">
        <f>IFERROR(VLOOKUP($B989,Platts!$E$5:$M$4994,MATCH(I$3,Platts!$F$5:$M$5,0)+1,FALSE),I988)</f>
        <v>77.319999999999993</v>
      </c>
      <c r="J989" s="6">
        <f t="shared" si="30"/>
        <v>1.8100000000000023</v>
      </c>
    </row>
    <row r="990" spans="2:10" x14ac:dyDescent="0.25">
      <c r="B990" s="5">
        <f t="shared" si="31"/>
        <v>43356</v>
      </c>
      <c r="C990" s="6">
        <f>IFERROR(VLOOKUP($B990,Platts!$E$5:$M$4994,MATCH(C$3,Platts!$F$5:$M$5,0)+1,FALSE),C989)</f>
        <v>67.45</v>
      </c>
      <c r="D990" s="6">
        <f>IFERROR(VLOOKUP($B990,Platts!$E$5:$M$4994,MATCH(D$3,Platts!$F$5:$M$5,0)+1,FALSE),D989)</f>
        <v>72.81</v>
      </c>
      <c r="E990" s="6">
        <f>IFERROR(VLOOKUP($B990,Platts!$E$5:$M$4994,MATCH(E$3,Platts!$F$5:$M$5,0)+1,FALSE),E989)</f>
        <v>66.930000000000007</v>
      </c>
      <c r="F990" s="6">
        <f>IFERROR(VLOOKUP($B990,Platts!$E$5:$M$4994,MATCH(F$3,Platts!$F$5:$M$5,0)+1,FALSE),F989)</f>
        <v>76.56</v>
      </c>
      <c r="G990" s="6">
        <f>IFERROR(VLOOKUP($B990,Platts!$E$5:$M$4994,MATCH(G$3,Platts!$F$5:$M$5,0)+1,FALSE),G989)</f>
        <v>78.22</v>
      </c>
      <c r="H990" s="6">
        <f>IFERROR(VLOOKUP($B990,Platts!$E$5:$M$4994,MATCH(H$3,Platts!$F$5:$M$5,0)+1,FALSE),H989)</f>
        <v>68.599999999999994</v>
      </c>
      <c r="I990" s="6">
        <f>IFERROR(VLOOKUP($B990,Platts!$E$5:$M$4994,MATCH(I$3,Platts!$F$5:$M$5,0)+1,FALSE),I989)</f>
        <v>76.5</v>
      </c>
      <c r="J990" s="6">
        <f t="shared" si="30"/>
        <v>1.1499999999999915</v>
      </c>
    </row>
    <row r="991" spans="2:10" x14ac:dyDescent="0.25">
      <c r="B991" s="5">
        <f t="shared" si="31"/>
        <v>43357</v>
      </c>
      <c r="C991" s="6">
        <f>IFERROR(VLOOKUP($B991,Platts!$E$5:$M$4994,MATCH(C$3,Platts!$F$5:$M$5,0)+1,FALSE),C990)</f>
        <v>67.23</v>
      </c>
      <c r="D991" s="6">
        <f>IFERROR(VLOOKUP($B991,Platts!$E$5:$M$4994,MATCH(D$3,Platts!$F$5:$M$5,0)+1,FALSE),D990)</f>
        <v>72.8</v>
      </c>
      <c r="E991" s="6">
        <f>IFERROR(VLOOKUP($B991,Platts!$E$5:$M$4994,MATCH(E$3,Platts!$F$5:$M$5,0)+1,FALSE),E990)</f>
        <v>66.95</v>
      </c>
      <c r="F991" s="6">
        <f>IFERROR(VLOOKUP($B991,Platts!$E$5:$M$4994,MATCH(F$3,Platts!$F$5:$M$5,0)+1,FALSE),F990)</f>
        <v>76.489999999999995</v>
      </c>
      <c r="G991" s="6">
        <f>IFERROR(VLOOKUP($B991,Platts!$E$5:$M$4994,MATCH(G$3,Platts!$F$5:$M$5,0)+1,FALSE),G990)</f>
        <v>78.17</v>
      </c>
      <c r="H991" s="6">
        <f>IFERROR(VLOOKUP($B991,Platts!$E$5:$M$4994,MATCH(H$3,Platts!$F$5:$M$5,0)+1,FALSE),H990)</f>
        <v>68.989999999999995</v>
      </c>
      <c r="I991" s="6">
        <f>IFERROR(VLOOKUP($B991,Platts!$E$5:$M$4994,MATCH(I$3,Platts!$F$5:$M$5,0)+1,FALSE),I990)</f>
        <v>76.540000000000006</v>
      </c>
      <c r="J991" s="6">
        <f t="shared" si="30"/>
        <v>1.7599999999999909</v>
      </c>
    </row>
    <row r="992" spans="2:10" x14ac:dyDescent="0.25">
      <c r="B992" s="5">
        <f t="shared" si="31"/>
        <v>43358</v>
      </c>
      <c r="C992" s="6">
        <f>IFERROR(VLOOKUP($B992,Platts!$E$5:$M$4994,MATCH(C$3,Platts!$F$5:$M$5,0)+1,FALSE),C991)</f>
        <v>67.23</v>
      </c>
      <c r="D992" s="6">
        <f>IFERROR(VLOOKUP($B992,Platts!$E$5:$M$4994,MATCH(D$3,Platts!$F$5:$M$5,0)+1,FALSE),D991)</f>
        <v>72.8</v>
      </c>
      <c r="E992" s="6">
        <f>IFERROR(VLOOKUP($B992,Platts!$E$5:$M$4994,MATCH(E$3,Platts!$F$5:$M$5,0)+1,FALSE),E991)</f>
        <v>66.95</v>
      </c>
      <c r="F992" s="6">
        <f>IFERROR(VLOOKUP($B992,Platts!$E$5:$M$4994,MATCH(F$3,Platts!$F$5:$M$5,0)+1,FALSE),F991)</f>
        <v>76.489999999999995</v>
      </c>
      <c r="G992" s="6">
        <f>IFERROR(VLOOKUP($B992,Platts!$E$5:$M$4994,MATCH(G$3,Platts!$F$5:$M$5,0)+1,FALSE),G991)</f>
        <v>78.17</v>
      </c>
      <c r="H992" s="6">
        <f>IFERROR(VLOOKUP($B992,Platts!$E$5:$M$4994,MATCH(H$3,Platts!$F$5:$M$5,0)+1,FALSE),H991)</f>
        <v>68.989999999999995</v>
      </c>
      <c r="I992" s="6">
        <f>IFERROR(VLOOKUP($B992,Platts!$E$5:$M$4994,MATCH(I$3,Platts!$F$5:$M$5,0)+1,FALSE),I991)</f>
        <v>76.540000000000006</v>
      </c>
      <c r="J992" s="6">
        <f t="shared" si="30"/>
        <v>1.7599999999999909</v>
      </c>
    </row>
    <row r="993" spans="2:10" x14ac:dyDescent="0.25">
      <c r="B993" s="5">
        <f t="shared" si="31"/>
        <v>43359</v>
      </c>
      <c r="C993" s="6">
        <f>IFERROR(VLOOKUP($B993,Platts!$E$5:$M$4994,MATCH(C$3,Platts!$F$5:$M$5,0)+1,FALSE),C992)</f>
        <v>67.23</v>
      </c>
      <c r="D993" s="6">
        <f>IFERROR(VLOOKUP($B993,Platts!$E$5:$M$4994,MATCH(D$3,Platts!$F$5:$M$5,0)+1,FALSE),D992)</f>
        <v>72.8</v>
      </c>
      <c r="E993" s="6">
        <f>IFERROR(VLOOKUP($B993,Platts!$E$5:$M$4994,MATCH(E$3,Platts!$F$5:$M$5,0)+1,FALSE),E992)</f>
        <v>66.95</v>
      </c>
      <c r="F993" s="6">
        <f>IFERROR(VLOOKUP($B993,Platts!$E$5:$M$4994,MATCH(F$3,Platts!$F$5:$M$5,0)+1,FALSE),F992)</f>
        <v>76.489999999999995</v>
      </c>
      <c r="G993" s="6">
        <f>IFERROR(VLOOKUP($B993,Platts!$E$5:$M$4994,MATCH(G$3,Platts!$F$5:$M$5,0)+1,FALSE),G992)</f>
        <v>78.17</v>
      </c>
      <c r="H993" s="6">
        <f>IFERROR(VLOOKUP($B993,Platts!$E$5:$M$4994,MATCH(H$3,Platts!$F$5:$M$5,0)+1,FALSE),H992)</f>
        <v>68.989999999999995</v>
      </c>
      <c r="I993" s="6">
        <f>IFERROR(VLOOKUP($B993,Platts!$E$5:$M$4994,MATCH(I$3,Platts!$F$5:$M$5,0)+1,FALSE),I992)</f>
        <v>76.540000000000006</v>
      </c>
      <c r="J993" s="6">
        <f t="shared" si="30"/>
        <v>1.7599999999999909</v>
      </c>
    </row>
    <row r="994" spans="2:10" x14ac:dyDescent="0.25">
      <c r="B994" s="5">
        <f t="shared" si="31"/>
        <v>43360</v>
      </c>
      <c r="C994" s="6">
        <f>IFERROR(VLOOKUP($B994,Platts!$E$5:$M$4994,MATCH(C$3,Platts!$F$5:$M$5,0)+1,FALSE),C993)</f>
        <v>68.09</v>
      </c>
      <c r="D994" s="6">
        <f>IFERROR(VLOOKUP($B994,Platts!$E$5:$M$4994,MATCH(D$3,Platts!$F$5:$M$5,0)+1,FALSE),D993)</f>
        <v>73.790000000000006</v>
      </c>
      <c r="E994" s="6">
        <f>IFERROR(VLOOKUP($B994,Platts!$E$5:$M$4994,MATCH(E$3,Platts!$F$5:$M$5,0)+1,FALSE),E993)</f>
        <v>67.91</v>
      </c>
      <c r="F994" s="6">
        <f>IFERROR(VLOOKUP($B994,Platts!$E$5:$M$4994,MATCH(F$3,Platts!$F$5:$M$5,0)+1,FALSE),F993)</f>
        <v>77.27</v>
      </c>
      <c r="G994" s="6">
        <f>IFERROR(VLOOKUP($B994,Platts!$E$5:$M$4994,MATCH(G$3,Platts!$F$5:$M$5,0)+1,FALSE),G993)</f>
        <v>78.400000000000006</v>
      </c>
      <c r="H994" s="6">
        <f>IFERROR(VLOOKUP($B994,Platts!$E$5:$M$4994,MATCH(H$3,Platts!$F$5:$M$5,0)+1,FALSE),H993)</f>
        <v>68.91</v>
      </c>
      <c r="I994" s="6">
        <f>IFERROR(VLOOKUP($B994,Platts!$E$5:$M$4994,MATCH(I$3,Platts!$F$5:$M$5,0)+1,FALSE),I993)</f>
        <v>76.61</v>
      </c>
      <c r="J994" s="6">
        <f t="shared" si="30"/>
        <v>0.81999999999999318</v>
      </c>
    </row>
    <row r="995" spans="2:10" x14ac:dyDescent="0.25">
      <c r="B995" s="5">
        <f t="shared" si="31"/>
        <v>43361</v>
      </c>
      <c r="C995" s="6">
        <f>IFERROR(VLOOKUP($B995,Platts!$E$5:$M$4994,MATCH(C$3,Platts!$F$5:$M$5,0)+1,FALSE),C994)</f>
        <v>69.349999999999994</v>
      </c>
      <c r="D995" s="6">
        <f>IFERROR(VLOOKUP($B995,Platts!$E$5:$M$4994,MATCH(D$3,Platts!$F$5:$M$5,0)+1,FALSE),D994)</f>
        <v>75.28</v>
      </c>
      <c r="E995" s="6">
        <f>IFERROR(VLOOKUP($B995,Platts!$E$5:$M$4994,MATCH(E$3,Platts!$F$5:$M$5,0)+1,FALSE),E994)</f>
        <v>69.569999999999993</v>
      </c>
      <c r="F995" s="6">
        <f>IFERROR(VLOOKUP($B995,Platts!$E$5:$M$4994,MATCH(F$3,Platts!$F$5:$M$5,0)+1,FALSE),F994)</f>
        <v>78.69</v>
      </c>
      <c r="G995" s="6">
        <f>IFERROR(VLOOKUP($B995,Platts!$E$5:$M$4994,MATCH(G$3,Platts!$F$5:$M$5,0)+1,FALSE),G994)</f>
        <v>78.97</v>
      </c>
      <c r="H995" s="6">
        <f>IFERROR(VLOOKUP($B995,Platts!$E$5:$M$4994,MATCH(H$3,Platts!$F$5:$M$5,0)+1,FALSE),H994)</f>
        <v>69.849999999999994</v>
      </c>
      <c r="I995" s="6">
        <f>IFERROR(VLOOKUP($B995,Platts!$E$5:$M$4994,MATCH(I$3,Platts!$F$5:$M$5,0)+1,FALSE),I994)</f>
        <v>77.5</v>
      </c>
      <c r="J995" s="6">
        <f t="shared" si="30"/>
        <v>0.5</v>
      </c>
    </row>
    <row r="996" spans="2:10" x14ac:dyDescent="0.25">
      <c r="B996" s="5">
        <f t="shared" si="31"/>
        <v>43362</v>
      </c>
      <c r="C996" s="6">
        <f>IFERROR(VLOOKUP($B996,Platts!$E$5:$M$4994,MATCH(C$3,Platts!$F$5:$M$5,0)+1,FALSE),C995)</f>
        <v>70.2</v>
      </c>
      <c r="D996" s="6">
        <f>IFERROR(VLOOKUP($B996,Platts!$E$5:$M$4994,MATCH(D$3,Platts!$F$5:$M$5,0)+1,FALSE),D995)</f>
        <v>75.8</v>
      </c>
      <c r="E996" s="6">
        <f>IFERROR(VLOOKUP($B996,Platts!$E$5:$M$4994,MATCH(E$3,Platts!$F$5:$M$5,0)+1,FALSE),E995)</f>
        <v>69.989999999999995</v>
      </c>
      <c r="F996" s="6">
        <f>IFERROR(VLOOKUP($B996,Platts!$E$5:$M$4994,MATCH(F$3,Platts!$F$5:$M$5,0)+1,FALSE),F995)</f>
        <v>79.17</v>
      </c>
      <c r="G996" s="6">
        <f>IFERROR(VLOOKUP($B996,Platts!$E$5:$M$4994,MATCH(G$3,Platts!$F$5:$M$5,0)+1,FALSE),G995)</f>
        <v>79.3</v>
      </c>
      <c r="H996" s="6">
        <f>IFERROR(VLOOKUP($B996,Platts!$E$5:$M$4994,MATCH(H$3,Platts!$F$5:$M$5,0)+1,FALSE),H995)</f>
        <v>71.12</v>
      </c>
      <c r="I996" s="6">
        <f>IFERROR(VLOOKUP($B996,Platts!$E$5:$M$4994,MATCH(I$3,Platts!$F$5:$M$5,0)+1,FALSE),I995)</f>
        <v>78.37</v>
      </c>
      <c r="J996" s="6">
        <f t="shared" si="30"/>
        <v>0.92000000000000171</v>
      </c>
    </row>
    <row r="997" spans="2:10" x14ac:dyDescent="0.25">
      <c r="B997" s="5">
        <f t="shared" si="31"/>
        <v>43363</v>
      </c>
      <c r="C997" s="6">
        <f>IFERROR(VLOOKUP($B997,Platts!$E$5:$M$4994,MATCH(C$3,Platts!$F$5:$M$5,0)+1,FALSE),C996)</f>
        <v>68.88</v>
      </c>
      <c r="D997" s="6">
        <f>IFERROR(VLOOKUP($B997,Platts!$E$5:$M$4994,MATCH(D$3,Platts!$F$5:$M$5,0)+1,FALSE),D996)</f>
        <v>74.42</v>
      </c>
      <c r="E997" s="6">
        <f>IFERROR(VLOOKUP($B997,Platts!$E$5:$M$4994,MATCH(E$3,Platts!$F$5:$M$5,0)+1,FALSE),E996)</f>
        <v>68.92</v>
      </c>
      <c r="F997" s="6">
        <f>IFERROR(VLOOKUP($B997,Platts!$E$5:$M$4994,MATCH(F$3,Platts!$F$5:$M$5,0)+1,FALSE),F996)</f>
        <v>77.91</v>
      </c>
      <c r="G997" s="6">
        <f>IFERROR(VLOOKUP($B997,Platts!$E$5:$M$4994,MATCH(G$3,Platts!$F$5:$M$5,0)+1,FALSE),G996)</f>
        <v>78.92</v>
      </c>
      <c r="H997" s="6">
        <f>IFERROR(VLOOKUP($B997,Platts!$E$5:$M$4994,MATCH(H$3,Platts!$F$5:$M$5,0)+1,FALSE),H996)</f>
        <v>70.84</v>
      </c>
      <c r="I997" s="6">
        <f>IFERROR(VLOOKUP($B997,Platts!$E$5:$M$4994,MATCH(I$3,Platts!$F$5:$M$5,0)+1,FALSE),I996)</f>
        <v>77.64</v>
      </c>
      <c r="J997" s="6">
        <f t="shared" si="30"/>
        <v>1.960000000000008</v>
      </c>
    </row>
    <row r="998" spans="2:10" x14ac:dyDescent="0.25">
      <c r="B998" s="5">
        <f t="shared" si="31"/>
        <v>43364</v>
      </c>
      <c r="C998" s="6">
        <f>IFERROR(VLOOKUP($B998,Platts!$E$5:$M$4994,MATCH(C$3,Platts!$F$5:$M$5,0)+1,FALSE),C997)</f>
        <v>69.53</v>
      </c>
      <c r="D998" s="6">
        <f>IFERROR(VLOOKUP($B998,Platts!$E$5:$M$4994,MATCH(D$3,Platts!$F$5:$M$5,0)+1,FALSE),D997)</f>
        <v>75.14</v>
      </c>
      <c r="E998" s="6">
        <f>IFERROR(VLOOKUP($B998,Platts!$E$5:$M$4994,MATCH(E$3,Platts!$F$5:$M$5,0)+1,FALSE),E997)</f>
        <v>69.599999999999994</v>
      </c>
      <c r="F998" s="6">
        <f>IFERROR(VLOOKUP($B998,Platts!$E$5:$M$4994,MATCH(F$3,Platts!$F$5:$M$5,0)+1,FALSE),F997)</f>
        <v>78.44</v>
      </c>
      <c r="G998" s="6">
        <f>IFERROR(VLOOKUP($B998,Platts!$E$5:$M$4994,MATCH(G$3,Platts!$F$5:$M$5,0)+1,FALSE),G997)</f>
        <v>78.88</v>
      </c>
      <c r="H998" s="6">
        <f>IFERROR(VLOOKUP($B998,Platts!$E$5:$M$4994,MATCH(H$3,Platts!$F$5:$M$5,0)+1,FALSE),H997)</f>
        <v>72.06</v>
      </c>
      <c r="I998" s="6">
        <f>IFERROR(VLOOKUP($B998,Platts!$E$5:$M$4994,MATCH(I$3,Platts!$F$5:$M$5,0)+1,FALSE),I997)</f>
        <v>78.459999999999994</v>
      </c>
      <c r="J998" s="6">
        <f t="shared" si="30"/>
        <v>2.5300000000000011</v>
      </c>
    </row>
    <row r="999" spans="2:10" x14ac:dyDescent="0.25">
      <c r="B999" s="5">
        <f t="shared" si="31"/>
        <v>43365</v>
      </c>
      <c r="C999" s="6">
        <f>IFERROR(VLOOKUP($B999,Platts!$E$5:$M$4994,MATCH(C$3,Platts!$F$5:$M$5,0)+1,FALSE),C998)</f>
        <v>69.53</v>
      </c>
      <c r="D999" s="6">
        <f>IFERROR(VLOOKUP($B999,Platts!$E$5:$M$4994,MATCH(D$3,Platts!$F$5:$M$5,0)+1,FALSE),D998)</f>
        <v>75.14</v>
      </c>
      <c r="E999" s="6">
        <f>IFERROR(VLOOKUP($B999,Platts!$E$5:$M$4994,MATCH(E$3,Platts!$F$5:$M$5,0)+1,FALSE),E998)</f>
        <v>69.599999999999994</v>
      </c>
      <c r="F999" s="6">
        <f>IFERROR(VLOOKUP($B999,Platts!$E$5:$M$4994,MATCH(F$3,Platts!$F$5:$M$5,0)+1,FALSE),F998)</f>
        <v>78.44</v>
      </c>
      <c r="G999" s="6">
        <f>IFERROR(VLOOKUP($B999,Platts!$E$5:$M$4994,MATCH(G$3,Platts!$F$5:$M$5,0)+1,FALSE),G998)</f>
        <v>78.88</v>
      </c>
      <c r="H999" s="6">
        <f>IFERROR(VLOOKUP($B999,Platts!$E$5:$M$4994,MATCH(H$3,Platts!$F$5:$M$5,0)+1,FALSE),H998)</f>
        <v>72.06</v>
      </c>
      <c r="I999" s="6">
        <f>IFERROR(VLOOKUP($B999,Platts!$E$5:$M$4994,MATCH(I$3,Platts!$F$5:$M$5,0)+1,FALSE),I998)</f>
        <v>78.459999999999994</v>
      </c>
      <c r="J999" s="6">
        <f t="shared" si="30"/>
        <v>2.5300000000000011</v>
      </c>
    </row>
    <row r="1000" spans="2:10" x14ac:dyDescent="0.25">
      <c r="B1000" s="5">
        <f t="shared" si="31"/>
        <v>43366</v>
      </c>
      <c r="C1000" s="6">
        <f>IFERROR(VLOOKUP($B1000,Platts!$E$5:$M$4994,MATCH(C$3,Platts!$F$5:$M$5,0)+1,FALSE),C999)</f>
        <v>69.53</v>
      </c>
      <c r="D1000" s="6">
        <f>IFERROR(VLOOKUP($B1000,Platts!$E$5:$M$4994,MATCH(D$3,Platts!$F$5:$M$5,0)+1,FALSE),D999)</f>
        <v>75.14</v>
      </c>
      <c r="E1000" s="6">
        <f>IFERROR(VLOOKUP($B1000,Platts!$E$5:$M$4994,MATCH(E$3,Platts!$F$5:$M$5,0)+1,FALSE),E999)</f>
        <v>69.599999999999994</v>
      </c>
      <c r="F1000" s="6">
        <f>IFERROR(VLOOKUP($B1000,Platts!$E$5:$M$4994,MATCH(F$3,Platts!$F$5:$M$5,0)+1,FALSE),F999)</f>
        <v>78.44</v>
      </c>
      <c r="G1000" s="6">
        <f>IFERROR(VLOOKUP($B1000,Platts!$E$5:$M$4994,MATCH(G$3,Platts!$F$5:$M$5,0)+1,FALSE),G999)</f>
        <v>78.88</v>
      </c>
      <c r="H1000" s="6">
        <f>IFERROR(VLOOKUP($B1000,Platts!$E$5:$M$4994,MATCH(H$3,Platts!$F$5:$M$5,0)+1,FALSE),H999)</f>
        <v>72.06</v>
      </c>
      <c r="I1000" s="6">
        <f>IFERROR(VLOOKUP($B1000,Platts!$E$5:$M$4994,MATCH(I$3,Platts!$F$5:$M$5,0)+1,FALSE),I999)</f>
        <v>78.459999999999994</v>
      </c>
      <c r="J1000" s="6">
        <f t="shared" si="30"/>
        <v>2.5300000000000011</v>
      </c>
    </row>
    <row r="1001" spans="2:10" x14ac:dyDescent="0.25">
      <c r="B1001" s="5">
        <f t="shared" si="31"/>
        <v>43367</v>
      </c>
      <c r="C1001" s="6">
        <f>IFERROR(VLOOKUP($B1001,Platts!$E$5:$M$4994,MATCH(C$3,Platts!$F$5:$M$5,0)+1,FALSE),C1000)</f>
        <v>71.349999999999994</v>
      </c>
      <c r="D1001" s="6">
        <f>IFERROR(VLOOKUP($B1001,Platts!$E$5:$M$4994,MATCH(D$3,Platts!$F$5:$M$5,0)+1,FALSE),D1000)</f>
        <v>77.650000000000006</v>
      </c>
      <c r="E1001" s="6">
        <f>IFERROR(VLOOKUP($B1001,Platts!$E$5:$M$4994,MATCH(E$3,Platts!$F$5:$M$5,0)+1,FALSE),E1000)</f>
        <v>71.8</v>
      </c>
      <c r="F1001" s="6">
        <f>IFERROR(VLOOKUP($B1001,Platts!$E$5:$M$4994,MATCH(F$3,Platts!$F$5:$M$5,0)+1,FALSE),F1000)</f>
        <v>80.989999999999995</v>
      </c>
      <c r="G1001" s="6">
        <f>IFERROR(VLOOKUP($B1001,Platts!$E$5:$M$4994,MATCH(G$3,Platts!$F$5:$M$5,0)+1,FALSE),G1000)</f>
        <v>80.92</v>
      </c>
      <c r="H1001" s="6">
        <f>IFERROR(VLOOKUP($B1001,Platts!$E$5:$M$4994,MATCH(H$3,Platts!$F$5:$M$5,0)+1,FALSE),H1000)</f>
        <v>73.28</v>
      </c>
      <c r="I1001" s="6">
        <f>IFERROR(VLOOKUP($B1001,Platts!$E$5:$M$4994,MATCH(I$3,Platts!$F$5:$M$5,0)+1,FALSE),I1000)</f>
        <v>80.08</v>
      </c>
      <c r="J1001" s="6">
        <f t="shared" si="30"/>
        <v>1.9300000000000068</v>
      </c>
    </row>
    <row r="1002" spans="2:10" x14ac:dyDescent="0.25">
      <c r="B1002" s="5">
        <f t="shared" si="31"/>
        <v>43368</v>
      </c>
      <c r="C1002" s="6">
        <f>IFERROR(VLOOKUP($B1002,Platts!$E$5:$M$4994,MATCH(C$3,Platts!$F$5:$M$5,0)+1,FALSE),C1001)</f>
        <v>72.400000000000006</v>
      </c>
      <c r="D1002" s="6">
        <f>IFERROR(VLOOKUP($B1002,Platts!$E$5:$M$4994,MATCH(D$3,Platts!$F$5:$M$5,0)+1,FALSE),D1001)</f>
        <v>78.53</v>
      </c>
      <c r="E1002" s="6">
        <f>IFERROR(VLOOKUP($B1002,Platts!$E$5:$M$4994,MATCH(E$3,Platts!$F$5:$M$5,0)+1,FALSE),E1001)</f>
        <v>72.47</v>
      </c>
      <c r="F1002" s="6">
        <f>IFERROR(VLOOKUP($B1002,Platts!$E$5:$M$4994,MATCH(F$3,Platts!$F$5:$M$5,0)+1,FALSE),F1001)</f>
        <v>81.81</v>
      </c>
      <c r="G1002" s="6">
        <f>IFERROR(VLOOKUP($B1002,Platts!$E$5:$M$4994,MATCH(G$3,Platts!$F$5:$M$5,0)+1,FALSE),G1001)</f>
        <v>82.38</v>
      </c>
      <c r="H1002" s="6">
        <f>IFERROR(VLOOKUP($B1002,Platts!$E$5:$M$4994,MATCH(H$3,Platts!$F$5:$M$5,0)+1,FALSE),H1001)</f>
        <v>72.680000000000007</v>
      </c>
      <c r="I1002" s="6">
        <f>IFERROR(VLOOKUP($B1002,Platts!$E$5:$M$4994,MATCH(I$3,Platts!$F$5:$M$5,0)+1,FALSE),I1001)</f>
        <v>80.680000000000007</v>
      </c>
      <c r="J1002" s="6">
        <f t="shared" si="30"/>
        <v>0.28000000000000114</v>
      </c>
    </row>
    <row r="1003" spans="2:10" x14ac:dyDescent="0.25">
      <c r="B1003" s="5">
        <f t="shared" si="31"/>
        <v>43369</v>
      </c>
      <c r="C1003" s="6">
        <f>IFERROR(VLOOKUP($B1003,Platts!$E$5:$M$4994,MATCH(C$3,Platts!$F$5:$M$5,0)+1,FALSE),C1002)</f>
        <v>72.319999999999993</v>
      </c>
      <c r="D1003" s="6">
        <f>IFERROR(VLOOKUP($B1003,Platts!$E$5:$M$4994,MATCH(D$3,Platts!$F$5:$M$5,0)+1,FALSE),D1002)</f>
        <v>78.150000000000006</v>
      </c>
      <c r="E1003" s="6">
        <f>IFERROR(VLOOKUP($B1003,Platts!$E$5:$M$4994,MATCH(E$3,Platts!$F$5:$M$5,0)+1,FALSE),E1002)</f>
        <v>72.73</v>
      </c>
      <c r="F1003" s="6">
        <f>IFERROR(VLOOKUP($B1003,Platts!$E$5:$M$4994,MATCH(F$3,Platts!$F$5:$M$5,0)+1,FALSE),F1002)</f>
        <v>81.430000000000007</v>
      </c>
      <c r="G1003" s="6">
        <f>IFERROR(VLOOKUP($B1003,Platts!$E$5:$M$4994,MATCH(G$3,Platts!$F$5:$M$5,0)+1,FALSE),G1002)</f>
        <v>81.63</v>
      </c>
      <c r="H1003" s="6">
        <f>IFERROR(VLOOKUP($B1003,Platts!$E$5:$M$4994,MATCH(H$3,Platts!$F$5:$M$5,0)+1,FALSE),H1002)</f>
        <v>71.59</v>
      </c>
      <c r="I1003" s="6">
        <f>IFERROR(VLOOKUP($B1003,Platts!$E$5:$M$4994,MATCH(I$3,Platts!$F$5:$M$5,0)+1,FALSE),I1002)</f>
        <v>79.09</v>
      </c>
      <c r="J1003" s="6">
        <f t="shared" si="30"/>
        <v>-0.72999999999998977</v>
      </c>
    </row>
    <row r="1004" spans="2:10" x14ac:dyDescent="0.25">
      <c r="B1004" s="5">
        <f t="shared" si="31"/>
        <v>43370</v>
      </c>
      <c r="C1004" s="6">
        <f>IFERROR(VLOOKUP($B1004,Platts!$E$5:$M$4994,MATCH(C$3,Platts!$F$5:$M$5,0)+1,FALSE),C1003)</f>
        <v>73.040000000000006</v>
      </c>
      <c r="D1004" s="6">
        <f>IFERROR(VLOOKUP($B1004,Platts!$E$5:$M$4994,MATCH(D$3,Platts!$F$5:$M$5,0)+1,FALSE),D1003)</f>
        <v>79.34</v>
      </c>
      <c r="E1004" s="6">
        <f>IFERROR(VLOOKUP($B1004,Platts!$E$5:$M$4994,MATCH(E$3,Platts!$F$5:$M$5,0)+1,FALSE),E1003)</f>
        <v>73.77</v>
      </c>
      <c r="F1004" s="6">
        <f>IFERROR(VLOOKUP($B1004,Platts!$E$5:$M$4994,MATCH(F$3,Platts!$F$5:$M$5,0)+1,FALSE),F1003)</f>
        <v>82.51</v>
      </c>
      <c r="G1004" s="6">
        <f>IFERROR(VLOOKUP($B1004,Platts!$E$5:$M$4994,MATCH(G$3,Platts!$F$5:$M$5,0)+1,FALSE),G1003)</f>
        <v>81.61</v>
      </c>
      <c r="H1004" s="6">
        <f>IFERROR(VLOOKUP($B1004,Platts!$E$5:$M$4994,MATCH(H$3,Platts!$F$5:$M$5,0)+1,FALSE),H1003)</f>
        <v>72.12</v>
      </c>
      <c r="I1004" s="6">
        <f>IFERROR(VLOOKUP($B1004,Platts!$E$5:$M$4994,MATCH(I$3,Platts!$F$5:$M$5,0)+1,FALSE),I1003)</f>
        <v>79.67</v>
      </c>
      <c r="J1004" s="6">
        <f t="shared" si="30"/>
        <v>-0.92000000000000171</v>
      </c>
    </row>
    <row r="1005" spans="2:10" x14ac:dyDescent="0.25">
      <c r="B1005" s="5">
        <f t="shared" si="31"/>
        <v>43371</v>
      </c>
      <c r="C1005" s="6">
        <f>IFERROR(VLOOKUP($B1005,Platts!$E$5:$M$4994,MATCH(C$3,Platts!$F$5:$M$5,0)+1,FALSE),C1004)</f>
        <v>74.23</v>
      </c>
      <c r="D1005" s="6">
        <f>IFERROR(VLOOKUP($B1005,Platts!$E$5:$M$4994,MATCH(D$3,Platts!$F$5:$M$5,0)+1,FALSE),D1004)</f>
        <v>79.959999999999994</v>
      </c>
      <c r="E1005" s="6">
        <f>IFERROR(VLOOKUP($B1005,Platts!$E$5:$M$4994,MATCH(E$3,Platts!$F$5:$M$5,0)+1,FALSE),E1004)</f>
        <v>74.209999999999994</v>
      </c>
      <c r="F1005" s="6">
        <f>IFERROR(VLOOKUP($B1005,Platts!$E$5:$M$4994,MATCH(F$3,Platts!$F$5:$M$5,0)+1,FALSE),F1004)</f>
        <v>83.26</v>
      </c>
      <c r="G1005" s="6">
        <f>IFERROR(VLOOKUP($B1005,Platts!$E$5:$M$4994,MATCH(G$3,Platts!$F$5:$M$5,0)+1,FALSE),G1004)</f>
        <v>83.41</v>
      </c>
      <c r="H1005" s="6">
        <f>IFERROR(VLOOKUP($B1005,Platts!$E$5:$M$4994,MATCH(H$3,Platts!$F$5:$M$5,0)+1,FALSE),H1004)</f>
        <v>73.25</v>
      </c>
      <c r="I1005" s="6">
        <f>IFERROR(VLOOKUP($B1005,Platts!$E$5:$M$4994,MATCH(I$3,Platts!$F$5:$M$5,0)+1,FALSE),I1004)</f>
        <v>81.2</v>
      </c>
      <c r="J1005" s="6">
        <f t="shared" si="30"/>
        <v>-0.98000000000000398</v>
      </c>
    </row>
    <row r="1006" spans="2:10" x14ac:dyDescent="0.25">
      <c r="B1006" s="5">
        <f t="shared" si="31"/>
        <v>43372</v>
      </c>
      <c r="C1006" s="6">
        <f>IFERROR(VLOOKUP($B1006,Platts!$E$5:$M$4994,MATCH(C$3,Platts!$F$5:$M$5,0)+1,FALSE),C1005)</f>
        <v>74.23</v>
      </c>
      <c r="D1006" s="6">
        <f>IFERROR(VLOOKUP($B1006,Platts!$E$5:$M$4994,MATCH(D$3,Platts!$F$5:$M$5,0)+1,FALSE),D1005)</f>
        <v>79.959999999999994</v>
      </c>
      <c r="E1006" s="6">
        <f>IFERROR(VLOOKUP($B1006,Platts!$E$5:$M$4994,MATCH(E$3,Platts!$F$5:$M$5,0)+1,FALSE),E1005)</f>
        <v>74.209999999999994</v>
      </c>
      <c r="F1006" s="6">
        <f>IFERROR(VLOOKUP($B1006,Platts!$E$5:$M$4994,MATCH(F$3,Platts!$F$5:$M$5,0)+1,FALSE),F1005)</f>
        <v>83.26</v>
      </c>
      <c r="G1006" s="6">
        <f>IFERROR(VLOOKUP($B1006,Platts!$E$5:$M$4994,MATCH(G$3,Platts!$F$5:$M$5,0)+1,FALSE),G1005)</f>
        <v>83.41</v>
      </c>
      <c r="H1006" s="6">
        <f>IFERROR(VLOOKUP($B1006,Platts!$E$5:$M$4994,MATCH(H$3,Platts!$F$5:$M$5,0)+1,FALSE),H1005)</f>
        <v>73.25</v>
      </c>
      <c r="I1006" s="6">
        <f>IFERROR(VLOOKUP($B1006,Platts!$E$5:$M$4994,MATCH(I$3,Platts!$F$5:$M$5,0)+1,FALSE),I1005)</f>
        <v>81.2</v>
      </c>
      <c r="J1006" s="6">
        <f t="shared" si="30"/>
        <v>-0.98000000000000398</v>
      </c>
    </row>
    <row r="1007" spans="2:10" x14ac:dyDescent="0.25">
      <c r="B1007" s="5">
        <f t="shared" si="31"/>
        <v>43373</v>
      </c>
      <c r="C1007" s="6">
        <f>IFERROR(VLOOKUP($B1007,Platts!$E$5:$M$4994,MATCH(C$3,Platts!$F$5:$M$5,0)+1,FALSE),C1006)</f>
        <v>74.23</v>
      </c>
      <c r="D1007" s="6">
        <f>IFERROR(VLOOKUP($B1007,Platts!$E$5:$M$4994,MATCH(D$3,Platts!$F$5:$M$5,0)+1,FALSE),D1006)</f>
        <v>79.959999999999994</v>
      </c>
      <c r="E1007" s="6">
        <f>IFERROR(VLOOKUP($B1007,Platts!$E$5:$M$4994,MATCH(E$3,Platts!$F$5:$M$5,0)+1,FALSE),E1006)</f>
        <v>74.209999999999994</v>
      </c>
      <c r="F1007" s="6">
        <f>IFERROR(VLOOKUP($B1007,Platts!$E$5:$M$4994,MATCH(F$3,Platts!$F$5:$M$5,0)+1,FALSE),F1006)</f>
        <v>83.26</v>
      </c>
      <c r="G1007" s="6">
        <f>IFERROR(VLOOKUP($B1007,Platts!$E$5:$M$4994,MATCH(G$3,Platts!$F$5:$M$5,0)+1,FALSE),G1006)</f>
        <v>83.41</v>
      </c>
      <c r="H1007" s="6">
        <f>IFERROR(VLOOKUP($B1007,Platts!$E$5:$M$4994,MATCH(H$3,Platts!$F$5:$M$5,0)+1,FALSE),H1006)</f>
        <v>73.25</v>
      </c>
      <c r="I1007" s="6">
        <f>IFERROR(VLOOKUP($B1007,Platts!$E$5:$M$4994,MATCH(I$3,Platts!$F$5:$M$5,0)+1,FALSE),I1006)</f>
        <v>81.2</v>
      </c>
      <c r="J1007" s="6">
        <f t="shared" si="30"/>
        <v>-0.98000000000000398</v>
      </c>
    </row>
    <row r="1008" spans="2:10" x14ac:dyDescent="0.25">
      <c r="B1008" s="5">
        <f t="shared" si="31"/>
        <v>43374</v>
      </c>
      <c r="C1008" s="6">
        <f>IFERROR(VLOOKUP($B1008,Platts!$E$5:$M$4994,MATCH(C$3,Platts!$F$5:$M$5,0)+1,FALSE),C1007)</f>
        <v>76.34</v>
      </c>
      <c r="D1008" s="6">
        <f>IFERROR(VLOOKUP($B1008,Platts!$E$5:$M$4994,MATCH(D$3,Platts!$F$5:$M$5,0)+1,FALSE),D1007)</f>
        <v>84.2</v>
      </c>
      <c r="E1008" s="6">
        <f>IFERROR(VLOOKUP($B1008,Platts!$E$5:$M$4994,MATCH(E$3,Platts!$F$5:$M$5,0)+1,FALSE),E1007)</f>
        <v>78.209999999999994</v>
      </c>
      <c r="F1008" s="6">
        <f>IFERROR(VLOOKUP($B1008,Platts!$E$5:$M$4994,MATCH(F$3,Platts!$F$5:$M$5,0)+1,FALSE),F1007)</f>
        <v>87.37</v>
      </c>
      <c r="G1008" s="6">
        <f>IFERROR(VLOOKUP($B1008,Platts!$E$5:$M$4994,MATCH(G$3,Platts!$F$5:$M$5,0)+1,FALSE),G1007)</f>
        <v>84.29</v>
      </c>
      <c r="H1008" s="6">
        <f>IFERROR(VLOOKUP($B1008,Platts!$E$5:$M$4994,MATCH(H$3,Platts!$F$5:$M$5,0)+1,FALSE),H1007)</f>
        <v>75.319999999999993</v>
      </c>
      <c r="I1008" s="6">
        <f>IFERROR(VLOOKUP($B1008,Platts!$E$5:$M$4994,MATCH(I$3,Platts!$F$5:$M$5,0)+1,FALSE),I1007)</f>
        <v>83.37</v>
      </c>
      <c r="J1008" s="6">
        <f t="shared" si="30"/>
        <v>-1.0200000000000102</v>
      </c>
    </row>
    <row r="1009" spans="2:10" x14ac:dyDescent="0.25">
      <c r="B1009" s="5">
        <f t="shared" si="31"/>
        <v>43375</v>
      </c>
      <c r="C1009" s="6">
        <f>IFERROR(VLOOKUP($B1009,Platts!$E$5:$M$4994,MATCH(C$3,Platts!$F$5:$M$5,0)+1,FALSE),C1008)</f>
        <v>76.930000000000007</v>
      </c>
      <c r="D1009" s="6">
        <f>IFERROR(VLOOKUP($B1009,Platts!$E$5:$M$4994,MATCH(D$3,Platts!$F$5:$M$5,0)+1,FALSE),D1008)</f>
        <v>83.87</v>
      </c>
      <c r="E1009" s="6">
        <f>IFERROR(VLOOKUP($B1009,Platts!$E$5:$M$4994,MATCH(E$3,Platts!$F$5:$M$5,0)+1,FALSE),E1008)</f>
        <v>77.790000000000006</v>
      </c>
      <c r="F1009" s="6">
        <f>IFERROR(VLOOKUP($B1009,Platts!$E$5:$M$4994,MATCH(F$3,Platts!$F$5:$M$5,0)+1,FALSE),F1008)</f>
        <v>86.98</v>
      </c>
      <c r="G1009" s="6">
        <f>IFERROR(VLOOKUP($B1009,Platts!$E$5:$M$4994,MATCH(G$3,Platts!$F$5:$M$5,0)+1,FALSE),G1008)</f>
        <v>85.44</v>
      </c>
      <c r="H1009" s="6">
        <f>IFERROR(VLOOKUP($B1009,Platts!$E$5:$M$4994,MATCH(H$3,Platts!$F$5:$M$5,0)+1,FALSE),H1008)</f>
        <v>75.239999999999995</v>
      </c>
      <c r="I1009" s="6">
        <f>IFERROR(VLOOKUP($B1009,Platts!$E$5:$M$4994,MATCH(I$3,Platts!$F$5:$M$5,0)+1,FALSE),I1008)</f>
        <v>83.54</v>
      </c>
      <c r="J1009" s="6">
        <f t="shared" si="30"/>
        <v>-1.6900000000000119</v>
      </c>
    </row>
    <row r="1010" spans="2:10" x14ac:dyDescent="0.25">
      <c r="B1010" s="5">
        <f t="shared" si="31"/>
        <v>43376</v>
      </c>
      <c r="C1010" s="6">
        <f>IFERROR(VLOOKUP($B1010,Platts!$E$5:$M$4994,MATCH(C$3,Platts!$F$5:$M$5,0)+1,FALSE),C1009)</f>
        <v>77.73</v>
      </c>
      <c r="D1010" s="6">
        <f>IFERROR(VLOOKUP($B1010,Platts!$E$5:$M$4994,MATCH(D$3,Platts!$F$5:$M$5,0)+1,FALSE),D1009)</f>
        <v>85.17</v>
      </c>
      <c r="E1010" s="6">
        <f>IFERROR(VLOOKUP($B1010,Platts!$E$5:$M$4994,MATCH(E$3,Platts!$F$5:$M$5,0)+1,FALSE),E1009)</f>
        <v>79.28</v>
      </c>
      <c r="F1010" s="6">
        <f>IFERROR(VLOOKUP($B1010,Platts!$E$5:$M$4994,MATCH(F$3,Platts!$F$5:$M$5,0)+1,FALSE),F1009)</f>
        <v>88.34</v>
      </c>
      <c r="G1010" s="6">
        <f>IFERROR(VLOOKUP($B1010,Platts!$E$5:$M$4994,MATCH(G$3,Platts!$F$5:$M$5,0)+1,FALSE),G1009)</f>
        <v>85.25</v>
      </c>
      <c r="H1010" s="6">
        <f>IFERROR(VLOOKUP($B1010,Platts!$E$5:$M$4994,MATCH(H$3,Platts!$F$5:$M$5,0)+1,FALSE),H1009)</f>
        <v>76.430000000000007</v>
      </c>
      <c r="I1010" s="6">
        <f>IFERROR(VLOOKUP($B1010,Platts!$E$5:$M$4994,MATCH(I$3,Platts!$F$5:$M$5,0)+1,FALSE),I1009)</f>
        <v>84.88</v>
      </c>
      <c r="J1010" s="6">
        <f t="shared" si="30"/>
        <v>-1.2999999999999972</v>
      </c>
    </row>
    <row r="1011" spans="2:10" x14ac:dyDescent="0.25">
      <c r="B1011" s="5">
        <f t="shared" si="31"/>
        <v>43377</v>
      </c>
      <c r="C1011" s="6">
        <f>IFERROR(VLOOKUP($B1011,Platts!$E$5:$M$4994,MATCH(C$3,Platts!$F$5:$M$5,0)+1,FALSE),C1010)</f>
        <v>77.209999999999994</v>
      </c>
      <c r="D1011" s="6">
        <f>IFERROR(VLOOKUP($B1011,Platts!$E$5:$M$4994,MATCH(D$3,Platts!$F$5:$M$5,0)+1,FALSE),D1010)</f>
        <v>83.36</v>
      </c>
      <c r="E1011" s="6">
        <f>IFERROR(VLOOKUP($B1011,Platts!$E$5:$M$4994,MATCH(E$3,Platts!$F$5:$M$5,0)+1,FALSE),E1010)</f>
        <v>77.78</v>
      </c>
      <c r="F1011" s="6">
        <f>IFERROR(VLOOKUP($B1011,Platts!$E$5:$M$4994,MATCH(F$3,Platts!$F$5:$M$5,0)+1,FALSE),F1010)</f>
        <v>86.6</v>
      </c>
      <c r="G1011" s="6">
        <f>IFERROR(VLOOKUP($B1011,Platts!$E$5:$M$4994,MATCH(G$3,Platts!$F$5:$M$5,0)+1,FALSE),G1010)</f>
        <v>85.83</v>
      </c>
      <c r="H1011" s="6">
        <f>IFERROR(VLOOKUP($B1011,Platts!$E$5:$M$4994,MATCH(H$3,Platts!$F$5:$M$5,0)+1,FALSE),H1010)</f>
        <v>74.34</v>
      </c>
      <c r="I1011" s="6">
        <f>IFERROR(VLOOKUP($B1011,Platts!$E$5:$M$4994,MATCH(I$3,Platts!$F$5:$M$5,0)+1,FALSE),I1010)</f>
        <v>83.04</v>
      </c>
      <c r="J1011" s="6">
        <f t="shared" si="30"/>
        <v>-2.8699999999999903</v>
      </c>
    </row>
    <row r="1012" spans="2:10" x14ac:dyDescent="0.25">
      <c r="B1012" s="5">
        <f t="shared" si="31"/>
        <v>43378</v>
      </c>
      <c r="C1012" s="6">
        <f>IFERROR(VLOOKUP($B1012,Platts!$E$5:$M$4994,MATCH(C$3,Platts!$F$5:$M$5,0)+1,FALSE),C1011)</f>
        <v>77</v>
      </c>
      <c r="D1012" s="6">
        <f>IFERROR(VLOOKUP($B1012,Platts!$E$5:$M$4994,MATCH(D$3,Platts!$F$5:$M$5,0)+1,FALSE),D1011)</f>
        <v>83.38</v>
      </c>
      <c r="E1012" s="6">
        <f>IFERROR(VLOOKUP($B1012,Platts!$E$5:$M$4994,MATCH(E$3,Platts!$F$5:$M$5,0)+1,FALSE),E1011)</f>
        <v>77.959999999999994</v>
      </c>
      <c r="F1012" s="6">
        <f>IFERROR(VLOOKUP($B1012,Platts!$E$5:$M$4994,MATCH(F$3,Platts!$F$5:$M$5,0)+1,FALSE),F1011)</f>
        <v>86.5</v>
      </c>
      <c r="G1012" s="6">
        <f>IFERROR(VLOOKUP($B1012,Platts!$E$5:$M$4994,MATCH(G$3,Platts!$F$5:$M$5,0)+1,FALSE),G1011)</f>
        <v>85.11</v>
      </c>
      <c r="H1012" s="6">
        <f>IFERROR(VLOOKUP($B1012,Platts!$E$5:$M$4994,MATCH(H$3,Platts!$F$5:$M$5,0)+1,FALSE),H1011)</f>
        <v>74.34</v>
      </c>
      <c r="I1012" s="6">
        <f>IFERROR(VLOOKUP($B1012,Platts!$E$5:$M$4994,MATCH(I$3,Platts!$F$5:$M$5,0)+1,FALSE),I1011)</f>
        <v>83.04</v>
      </c>
      <c r="J1012" s="6">
        <f t="shared" si="30"/>
        <v>-2.6599999999999966</v>
      </c>
    </row>
    <row r="1013" spans="2:10" x14ac:dyDescent="0.25">
      <c r="B1013" s="5">
        <f t="shared" si="31"/>
        <v>43379</v>
      </c>
      <c r="C1013" s="6">
        <f>IFERROR(VLOOKUP($B1013,Platts!$E$5:$M$4994,MATCH(C$3,Platts!$F$5:$M$5,0)+1,FALSE),C1012)</f>
        <v>77</v>
      </c>
      <c r="D1013" s="6">
        <f>IFERROR(VLOOKUP($B1013,Platts!$E$5:$M$4994,MATCH(D$3,Platts!$F$5:$M$5,0)+1,FALSE),D1012)</f>
        <v>83.38</v>
      </c>
      <c r="E1013" s="6">
        <f>IFERROR(VLOOKUP($B1013,Platts!$E$5:$M$4994,MATCH(E$3,Platts!$F$5:$M$5,0)+1,FALSE),E1012)</f>
        <v>77.959999999999994</v>
      </c>
      <c r="F1013" s="6">
        <f>IFERROR(VLOOKUP($B1013,Platts!$E$5:$M$4994,MATCH(F$3,Platts!$F$5:$M$5,0)+1,FALSE),F1012)</f>
        <v>86.5</v>
      </c>
      <c r="G1013" s="6">
        <f>IFERROR(VLOOKUP($B1013,Platts!$E$5:$M$4994,MATCH(G$3,Platts!$F$5:$M$5,0)+1,FALSE),G1012)</f>
        <v>85.11</v>
      </c>
      <c r="H1013" s="6">
        <f>IFERROR(VLOOKUP($B1013,Platts!$E$5:$M$4994,MATCH(H$3,Platts!$F$5:$M$5,0)+1,FALSE),H1012)</f>
        <v>74.34</v>
      </c>
      <c r="I1013" s="6">
        <f>IFERROR(VLOOKUP($B1013,Platts!$E$5:$M$4994,MATCH(I$3,Platts!$F$5:$M$5,0)+1,FALSE),I1012)</f>
        <v>83.04</v>
      </c>
      <c r="J1013" s="6">
        <f t="shared" si="30"/>
        <v>-2.6599999999999966</v>
      </c>
    </row>
    <row r="1014" spans="2:10" x14ac:dyDescent="0.25">
      <c r="B1014" s="5">
        <f t="shared" si="31"/>
        <v>43380</v>
      </c>
      <c r="C1014" s="6">
        <f>IFERROR(VLOOKUP($B1014,Platts!$E$5:$M$4994,MATCH(C$3,Platts!$F$5:$M$5,0)+1,FALSE),C1013)</f>
        <v>77</v>
      </c>
      <c r="D1014" s="6">
        <f>IFERROR(VLOOKUP($B1014,Platts!$E$5:$M$4994,MATCH(D$3,Platts!$F$5:$M$5,0)+1,FALSE),D1013)</f>
        <v>83.38</v>
      </c>
      <c r="E1014" s="6">
        <f>IFERROR(VLOOKUP($B1014,Platts!$E$5:$M$4994,MATCH(E$3,Platts!$F$5:$M$5,0)+1,FALSE),E1013)</f>
        <v>77.959999999999994</v>
      </c>
      <c r="F1014" s="6">
        <f>IFERROR(VLOOKUP($B1014,Platts!$E$5:$M$4994,MATCH(F$3,Platts!$F$5:$M$5,0)+1,FALSE),F1013)</f>
        <v>86.5</v>
      </c>
      <c r="G1014" s="6">
        <f>IFERROR(VLOOKUP($B1014,Platts!$E$5:$M$4994,MATCH(G$3,Platts!$F$5:$M$5,0)+1,FALSE),G1013)</f>
        <v>85.11</v>
      </c>
      <c r="H1014" s="6">
        <f>IFERROR(VLOOKUP($B1014,Platts!$E$5:$M$4994,MATCH(H$3,Platts!$F$5:$M$5,0)+1,FALSE),H1013)</f>
        <v>74.34</v>
      </c>
      <c r="I1014" s="6">
        <f>IFERROR(VLOOKUP($B1014,Platts!$E$5:$M$4994,MATCH(I$3,Platts!$F$5:$M$5,0)+1,FALSE),I1013)</f>
        <v>83.04</v>
      </c>
      <c r="J1014" s="6">
        <f t="shared" si="30"/>
        <v>-2.6599999999999966</v>
      </c>
    </row>
    <row r="1015" spans="2:10" x14ac:dyDescent="0.25">
      <c r="B1015" s="5">
        <f t="shared" si="31"/>
        <v>43381</v>
      </c>
      <c r="C1015" s="6">
        <f>IFERROR(VLOOKUP($B1015,Platts!$E$5:$M$4994,MATCH(C$3,Platts!$F$5:$M$5,0)+1,FALSE),C1014)</f>
        <v>76.55</v>
      </c>
      <c r="D1015" s="6">
        <f>IFERROR(VLOOKUP($B1015,Platts!$E$5:$M$4994,MATCH(D$3,Platts!$F$5:$M$5,0)+1,FALSE),D1014)</f>
        <v>83.34</v>
      </c>
      <c r="E1015" s="6">
        <f>IFERROR(VLOOKUP($B1015,Platts!$E$5:$M$4994,MATCH(E$3,Platts!$F$5:$M$5,0)+1,FALSE),E1014)</f>
        <v>77.989999999999995</v>
      </c>
      <c r="F1015" s="6">
        <f>IFERROR(VLOOKUP($B1015,Platts!$E$5:$M$4994,MATCH(F$3,Platts!$F$5:$M$5,0)+1,FALSE),F1014)</f>
        <v>86.41</v>
      </c>
      <c r="G1015" s="6">
        <f>IFERROR(VLOOKUP($B1015,Platts!$E$5:$M$4994,MATCH(G$3,Platts!$F$5:$M$5,0)+1,FALSE),G1014)</f>
        <v>83.74</v>
      </c>
      <c r="H1015" s="6">
        <f>IFERROR(VLOOKUP($B1015,Platts!$E$5:$M$4994,MATCH(H$3,Platts!$F$5:$M$5,0)+1,FALSE),H1014)</f>
        <v>74.290000000000006</v>
      </c>
      <c r="I1015" s="6">
        <f>IFERROR(VLOOKUP($B1015,Platts!$E$5:$M$4994,MATCH(I$3,Platts!$F$5:$M$5,0)+1,FALSE),I1014)</f>
        <v>82.79</v>
      </c>
      <c r="J1015" s="6">
        <f t="shared" si="30"/>
        <v>-2.2599999999999909</v>
      </c>
    </row>
    <row r="1016" spans="2:10" x14ac:dyDescent="0.25">
      <c r="B1016" s="5">
        <f t="shared" si="31"/>
        <v>43382</v>
      </c>
      <c r="C1016" s="6">
        <f>IFERROR(VLOOKUP($B1016,Platts!$E$5:$M$4994,MATCH(C$3,Platts!$F$5:$M$5,0)+1,FALSE),C1015)</f>
        <v>77.36</v>
      </c>
      <c r="D1016" s="6">
        <f>IFERROR(VLOOKUP($B1016,Platts!$E$5:$M$4994,MATCH(D$3,Platts!$F$5:$M$5,0)+1,FALSE),D1015)</f>
        <v>83.81</v>
      </c>
      <c r="E1016" s="6">
        <f>IFERROR(VLOOKUP($B1016,Platts!$E$5:$M$4994,MATCH(E$3,Platts!$F$5:$M$5,0)+1,FALSE),E1015)</f>
        <v>78.48</v>
      </c>
      <c r="F1016" s="6">
        <f>IFERROR(VLOOKUP($B1016,Platts!$E$5:$M$4994,MATCH(F$3,Platts!$F$5:$M$5,0)+1,FALSE),F1015)</f>
        <v>87.03</v>
      </c>
      <c r="G1016" s="6">
        <f>IFERROR(VLOOKUP($B1016,Platts!$E$5:$M$4994,MATCH(G$3,Platts!$F$5:$M$5,0)+1,FALSE),G1015)</f>
        <v>84.87</v>
      </c>
      <c r="H1016" s="6">
        <f>IFERROR(VLOOKUP($B1016,Platts!$E$5:$M$4994,MATCH(H$3,Platts!$F$5:$M$5,0)+1,FALSE),H1015)</f>
        <v>74.959999999999994</v>
      </c>
      <c r="I1016" s="6">
        <f>IFERROR(VLOOKUP($B1016,Platts!$E$5:$M$4994,MATCH(I$3,Platts!$F$5:$M$5,0)+1,FALSE),I1015)</f>
        <v>83.61</v>
      </c>
      <c r="J1016" s="6">
        <f t="shared" si="30"/>
        <v>-2.4000000000000057</v>
      </c>
    </row>
    <row r="1017" spans="2:10" x14ac:dyDescent="0.25">
      <c r="B1017" s="5">
        <f t="shared" si="31"/>
        <v>43383</v>
      </c>
      <c r="C1017" s="6">
        <f>IFERROR(VLOOKUP($B1017,Platts!$E$5:$M$4994,MATCH(C$3,Platts!$F$5:$M$5,0)+1,FALSE),C1016)</f>
        <v>75.77</v>
      </c>
      <c r="D1017" s="6">
        <f>IFERROR(VLOOKUP($B1017,Platts!$E$5:$M$4994,MATCH(D$3,Platts!$F$5:$M$5,0)+1,FALSE),D1016)</f>
        <v>81.760000000000005</v>
      </c>
      <c r="E1017" s="6">
        <f>IFERROR(VLOOKUP($B1017,Platts!$E$5:$M$4994,MATCH(E$3,Platts!$F$5:$M$5,0)+1,FALSE),E1016)</f>
        <v>77.23</v>
      </c>
      <c r="F1017" s="6">
        <f>IFERROR(VLOOKUP($B1017,Platts!$E$5:$M$4994,MATCH(F$3,Platts!$F$5:$M$5,0)+1,FALSE),F1016)</f>
        <v>84.95</v>
      </c>
      <c r="G1017" s="6">
        <f>IFERROR(VLOOKUP($B1017,Platts!$E$5:$M$4994,MATCH(G$3,Platts!$F$5:$M$5,0)+1,FALSE),G1016)</f>
        <v>83.71</v>
      </c>
      <c r="H1017" s="6">
        <f>IFERROR(VLOOKUP($B1017,Platts!$E$5:$M$4994,MATCH(H$3,Platts!$F$5:$M$5,0)+1,FALSE),H1016)</f>
        <v>73.17</v>
      </c>
      <c r="I1017" s="6">
        <f>IFERROR(VLOOKUP($B1017,Platts!$E$5:$M$4994,MATCH(I$3,Platts!$F$5:$M$5,0)+1,FALSE),I1016)</f>
        <v>81.819999999999993</v>
      </c>
      <c r="J1017" s="6">
        <f t="shared" si="30"/>
        <v>-2.5999999999999943</v>
      </c>
    </row>
    <row r="1018" spans="2:10" x14ac:dyDescent="0.25">
      <c r="B1018" s="5">
        <f t="shared" si="31"/>
        <v>43384</v>
      </c>
      <c r="C1018" s="6">
        <f>IFERROR(VLOOKUP($B1018,Platts!$E$5:$M$4994,MATCH(C$3,Platts!$F$5:$M$5,0)+1,FALSE),C1017)</f>
        <v>73.67</v>
      </c>
      <c r="D1018" s="6">
        <f>IFERROR(VLOOKUP($B1018,Platts!$E$5:$M$4994,MATCH(D$3,Platts!$F$5:$M$5,0)+1,FALSE),D1017)</f>
        <v>79.69</v>
      </c>
      <c r="E1018" s="6">
        <f>IFERROR(VLOOKUP($B1018,Platts!$E$5:$M$4994,MATCH(E$3,Platts!$F$5:$M$5,0)+1,FALSE),E1017)</f>
        <v>74.459999999999994</v>
      </c>
      <c r="F1018" s="6">
        <f>IFERROR(VLOOKUP($B1018,Platts!$E$5:$M$4994,MATCH(F$3,Platts!$F$5:$M$5,0)+1,FALSE),F1017)</f>
        <v>82.79</v>
      </c>
      <c r="G1018" s="6">
        <f>IFERROR(VLOOKUP($B1018,Platts!$E$5:$M$4994,MATCH(G$3,Platts!$F$5:$M$5,0)+1,FALSE),G1017)</f>
        <v>80.959999999999994</v>
      </c>
      <c r="H1018" s="6">
        <f>IFERROR(VLOOKUP($B1018,Platts!$E$5:$M$4994,MATCH(H$3,Platts!$F$5:$M$5,0)+1,FALSE),H1017)</f>
        <v>70.98</v>
      </c>
      <c r="I1018" s="6">
        <f>IFERROR(VLOOKUP($B1018,Platts!$E$5:$M$4994,MATCH(I$3,Platts!$F$5:$M$5,0)+1,FALSE),I1017)</f>
        <v>79.430000000000007</v>
      </c>
      <c r="J1018" s="6">
        <f t="shared" si="30"/>
        <v>-2.6899999999999977</v>
      </c>
    </row>
    <row r="1019" spans="2:10" x14ac:dyDescent="0.25">
      <c r="B1019" s="5">
        <f t="shared" si="31"/>
        <v>43385</v>
      </c>
      <c r="C1019" s="6">
        <f>IFERROR(VLOOKUP($B1019,Platts!$E$5:$M$4994,MATCH(C$3,Platts!$F$5:$M$5,0)+1,FALSE),C1018)</f>
        <v>73.569999999999993</v>
      </c>
      <c r="D1019" s="6">
        <f>IFERROR(VLOOKUP($B1019,Platts!$E$5:$M$4994,MATCH(D$3,Platts!$F$5:$M$5,0)+1,FALSE),D1018)</f>
        <v>80.06</v>
      </c>
      <c r="E1019" s="6">
        <f>IFERROR(VLOOKUP($B1019,Platts!$E$5:$M$4994,MATCH(E$3,Platts!$F$5:$M$5,0)+1,FALSE),E1018)</f>
        <v>75.010000000000005</v>
      </c>
      <c r="F1019" s="6">
        <f>IFERROR(VLOOKUP($B1019,Platts!$E$5:$M$4994,MATCH(F$3,Platts!$F$5:$M$5,0)+1,FALSE),F1018)</f>
        <v>83.18</v>
      </c>
      <c r="G1019" s="6">
        <f>IFERROR(VLOOKUP($B1019,Platts!$E$5:$M$4994,MATCH(G$3,Platts!$F$5:$M$5,0)+1,FALSE),G1018)</f>
        <v>80.75</v>
      </c>
      <c r="H1019" s="6">
        <f>IFERROR(VLOOKUP($B1019,Platts!$E$5:$M$4994,MATCH(H$3,Platts!$F$5:$M$5,0)+1,FALSE),H1018)</f>
        <v>71.34</v>
      </c>
      <c r="I1019" s="6">
        <f>IFERROR(VLOOKUP($B1019,Platts!$E$5:$M$4994,MATCH(I$3,Platts!$F$5:$M$5,0)+1,FALSE),I1018)</f>
        <v>78.239999999999995</v>
      </c>
      <c r="J1019" s="6">
        <f t="shared" si="30"/>
        <v>-2.2299999999999898</v>
      </c>
    </row>
    <row r="1020" spans="2:10" x14ac:dyDescent="0.25">
      <c r="B1020" s="5">
        <f t="shared" si="31"/>
        <v>43386</v>
      </c>
      <c r="C1020" s="6">
        <f>IFERROR(VLOOKUP($B1020,Platts!$E$5:$M$4994,MATCH(C$3,Platts!$F$5:$M$5,0)+1,FALSE),C1019)</f>
        <v>73.569999999999993</v>
      </c>
      <c r="D1020" s="6">
        <f>IFERROR(VLOOKUP($B1020,Platts!$E$5:$M$4994,MATCH(D$3,Platts!$F$5:$M$5,0)+1,FALSE),D1019)</f>
        <v>80.06</v>
      </c>
      <c r="E1020" s="6">
        <f>IFERROR(VLOOKUP($B1020,Platts!$E$5:$M$4994,MATCH(E$3,Platts!$F$5:$M$5,0)+1,FALSE),E1019)</f>
        <v>75.010000000000005</v>
      </c>
      <c r="F1020" s="6">
        <f>IFERROR(VLOOKUP($B1020,Platts!$E$5:$M$4994,MATCH(F$3,Platts!$F$5:$M$5,0)+1,FALSE),F1019)</f>
        <v>83.18</v>
      </c>
      <c r="G1020" s="6">
        <f>IFERROR(VLOOKUP($B1020,Platts!$E$5:$M$4994,MATCH(G$3,Platts!$F$5:$M$5,0)+1,FALSE),G1019)</f>
        <v>80.75</v>
      </c>
      <c r="H1020" s="6">
        <f>IFERROR(VLOOKUP($B1020,Platts!$E$5:$M$4994,MATCH(H$3,Platts!$F$5:$M$5,0)+1,FALSE),H1019)</f>
        <v>71.34</v>
      </c>
      <c r="I1020" s="6">
        <f>IFERROR(VLOOKUP($B1020,Platts!$E$5:$M$4994,MATCH(I$3,Platts!$F$5:$M$5,0)+1,FALSE),I1019)</f>
        <v>78.239999999999995</v>
      </c>
      <c r="J1020" s="6">
        <f t="shared" si="30"/>
        <v>-2.2299999999999898</v>
      </c>
    </row>
    <row r="1021" spans="2:10" x14ac:dyDescent="0.25">
      <c r="B1021" s="5">
        <f t="shared" si="31"/>
        <v>43387</v>
      </c>
      <c r="C1021" s="6">
        <f>IFERROR(VLOOKUP($B1021,Platts!$E$5:$M$4994,MATCH(C$3,Platts!$F$5:$M$5,0)+1,FALSE),C1020)</f>
        <v>73.569999999999993</v>
      </c>
      <c r="D1021" s="6">
        <f>IFERROR(VLOOKUP($B1021,Platts!$E$5:$M$4994,MATCH(D$3,Platts!$F$5:$M$5,0)+1,FALSE),D1020)</f>
        <v>80.06</v>
      </c>
      <c r="E1021" s="6">
        <f>IFERROR(VLOOKUP($B1021,Platts!$E$5:$M$4994,MATCH(E$3,Platts!$F$5:$M$5,0)+1,FALSE),E1020)</f>
        <v>75.010000000000005</v>
      </c>
      <c r="F1021" s="6">
        <f>IFERROR(VLOOKUP($B1021,Platts!$E$5:$M$4994,MATCH(F$3,Platts!$F$5:$M$5,0)+1,FALSE),F1020)</f>
        <v>83.18</v>
      </c>
      <c r="G1021" s="6">
        <f>IFERROR(VLOOKUP($B1021,Platts!$E$5:$M$4994,MATCH(G$3,Platts!$F$5:$M$5,0)+1,FALSE),G1020)</f>
        <v>80.75</v>
      </c>
      <c r="H1021" s="6">
        <f>IFERROR(VLOOKUP($B1021,Platts!$E$5:$M$4994,MATCH(H$3,Platts!$F$5:$M$5,0)+1,FALSE),H1020)</f>
        <v>71.34</v>
      </c>
      <c r="I1021" s="6">
        <f>IFERROR(VLOOKUP($B1021,Platts!$E$5:$M$4994,MATCH(I$3,Platts!$F$5:$M$5,0)+1,FALSE),I1020)</f>
        <v>78.239999999999995</v>
      </c>
      <c r="J1021" s="6">
        <f t="shared" si="30"/>
        <v>-2.2299999999999898</v>
      </c>
    </row>
    <row r="1022" spans="2:10" x14ac:dyDescent="0.25">
      <c r="B1022" s="5">
        <f t="shared" si="31"/>
        <v>43388</v>
      </c>
      <c r="C1022" s="6">
        <f>IFERROR(VLOOKUP($B1022,Platts!$E$5:$M$4994,MATCH(C$3,Platts!$F$5:$M$5,0)+1,FALSE),C1021)</f>
        <v>74.28</v>
      </c>
      <c r="D1022" s="6">
        <f>IFERROR(VLOOKUP($B1022,Platts!$E$5:$M$4994,MATCH(D$3,Platts!$F$5:$M$5,0)+1,FALSE),D1021)</f>
        <v>80.8</v>
      </c>
      <c r="E1022" s="6">
        <f>IFERROR(VLOOKUP($B1022,Platts!$E$5:$M$4994,MATCH(E$3,Platts!$F$5:$M$5,0)+1,FALSE),E1021)</f>
        <v>75.83</v>
      </c>
      <c r="F1022" s="6">
        <f>IFERROR(VLOOKUP($B1022,Platts!$E$5:$M$4994,MATCH(F$3,Platts!$F$5:$M$5,0)+1,FALSE),F1021)</f>
        <v>83.8</v>
      </c>
      <c r="G1022" s="6">
        <f>IFERROR(VLOOKUP($B1022,Platts!$E$5:$M$4994,MATCH(G$3,Platts!$F$5:$M$5,0)+1,FALSE),G1021)</f>
        <v>80.790000000000006</v>
      </c>
      <c r="H1022" s="6">
        <f>IFERROR(VLOOKUP($B1022,Platts!$E$5:$M$4994,MATCH(H$3,Platts!$F$5:$M$5,0)+1,FALSE),H1021)</f>
        <v>71.8</v>
      </c>
      <c r="I1022" s="6">
        <f>IFERROR(VLOOKUP($B1022,Platts!$E$5:$M$4994,MATCH(I$3,Platts!$F$5:$M$5,0)+1,FALSE),I1021)</f>
        <v>79.349999999999994</v>
      </c>
      <c r="J1022" s="6">
        <f t="shared" si="30"/>
        <v>-2.480000000000004</v>
      </c>
    </row>
    <row r="1023" spans="2:10" x14ac:dyDescent="0.25">
      <c r="B1023" s="5">
        <f t="shared" si="31"/>
        <v>43389</v>
      </c>
      <c r="C1023" s="6">
        <f>IFERROR(VLOOKUP($B1023,Platts!$E$5:$M$4994,MATCH(C$3,Platts!$F$5:$M$5,0)+1,FALSE),C1022)</f>
        <v>74.55</v>
      </c>
      <c r="D1023" s="6">
        <f>IFERROR(VLOOKUP($B1023,Platts!$E$5:$M$4994,MATCH(D$3,Platts!$F$5:$M$5,0)+1,FALSE),D1022)</f>
        <v>81.290000000000006</v>
      </c>
      <c r="E1023" s="6">
        <f>IFERROR(VLOOKUP($B1023,Platts!$E$5:$M$4994,MATCH(E$3,Platts!$F$5:$M$5,0)+1,FALSE),E1022)</f>
        <v>76.400000000000006</v>
      </c>
      <c r="F1023" s="6">
        <f>IFERROR(VLOOKUP($B1023,Platts!$E$5:$M$4994,MATCH(F$3,Platts!$F$5:$M$5,0)+1,FALSE),F1022)</f>
        <v>84.3</v>
      </c>
      <c r="G1023" s="6">
        <f>IFERROR(VLOOKUP($B1023,Platts!$E$5:$M$4994,MATCH(G$3,Platts!$F$5:$M$5,0)+1,FALSE),G1022)</f>
        <v>80.7</v>
      </c>
      <c r="H1023" s="6">
        <f>IFERROR(VLOOKUP($B1023,Platts!$E$5:$M$4994,MATCH(H$3,Platts!$F$5:$M$5,0)+1,FALSE),H1022)</f>
        <v>71.94</v>
      </c>
      <c r="I1023" s="6">
        <f>IFERROR(VLOOKUP($B1023,Platts!$E$5:$M$4994,MATCH(I$3,Platts!$F$5:$M$5,0)+1,FALSE),I1022)</f>
        <v>79.84</v>
      </c>
      <c r="J1023" s="6">
        <f t="shared" si="30"/>
        <v>-2.6099999999999994</v>
      </c>
    </row>
    <row r="1024" spans="2:10" x14ac:dyDescent="0.25">
      <c r="B1024" s="5">
        <f t="shared" si="31"/>
        <v>43390</v>
      </c>
      <c r="C1024" s="6">
        <f>IFERROR(VLOOKUP($B1024,Platts!$E$5:$M$4994,MATCH(C$3,Platts!$F$5:$M$5,0)+1,FALSE),C1023)</f>
        <v>73.709999999999994</v>
      </c>
      <c r="D1024" s="6">
        <f>IFERROR(VLOOKUP($B1024,Platts!$E$5:$M$4994,MATCH(D$3,Platts!$F$5:$M$5,0)+1,FALSE),D1023)</f>
        <v>79.63</v>
      </c>
      <c r="E1024" s="6">
        <f>IFERROR(VLOOKUP($B1024,Platts!$E$5:$M$4994,MATCH(E$3,Platts!$F$5:$M$5,0)+1,FALSE),E1023)</f>
        <v>74.92</v>
      </c>
      <c r="F1024" s="6">
        <f>IFERROR(VLOOKUP($B1024,Platts!$E$5:$M$4994,MATCH(F$3,Platts!$F$5:$M$5,0)+1,FALSE),F1023)</f>
        <v>82.7</v>
      </c>
      <c r="G1024" s="6">
        <f>IFERROR(VLOOKUP($B1024,Platts!$E$5:$M$4994,MATCH(G$3,Platts!$F$5:$M$5,0)+1,FALSE),G1023)</f>
        <v>79.97</v>
      </c>
      <c r="H1024" s="6">
        <f>IFERROR(VLOOKUP($B1024,Platts!$E$5:$M$4994,MATCH(H$3,Platts!$F$5:$M$5,0)+1,FALSE),H1023)</f>
        <v>69.8</v>
      </c>
      <c r="I1024" s="6">
        <f>IFERROR(VLOOKUP($B1024,Platts!$E$5:$M$4994,MATCH(I$3,Platts!$F$5:$M$5,0)+1,FALSE),I1023)</f>
        <v>77.650000000000006</v>
      </c>
      <c r="J1024" s="6">
        <f t="shared" si="30"/>
        <v>-3.9099999999999966</v>
      </c>
    </row>
    <row r="1025" spans="2:10" x14ac:dyDescent="0.25">
      <c r="B1025" s="5">
        <f t="shared" si="31"/>
        <v>43391</v>
      </c>
      <c r="C1025" s="6">
        <f>IFERROR(VLOOKUP($B1025,Platts!$E$5:$M$4994,MATCH(C$3,Platts!$F$5:$M$5,0)+1,FALSE),C1024)</f>
        <v>73.680000000000007</v>
      </c>
      <c r="D1025" s="6">
        <f>IFERROR(VLOOKUP($B1025,Platts!$E$5:$M$4994,MATCH(D$3,Platts!$F$5:$M$5,0)+1,FALSE),D1024)</f>
        <v>79.06</v>
      </c>
      <c r="E1025" s="6">
        <f>IFERROR(VLOOKUP($B1025,Platts!$E$5:$M$4994,MATCH(E$3,Platts!$F$5:$M$5,0)+1,FALSE),E1024)</f>
        <v>74.88</v>
      </c>
      <c r="F1025" s="6">
        <f>IFERROR(VLOOKUP($B1025,Platts!$E$5:$M$4994,MATCH(F$3,Platts!$F$5:$M$5,0)+1,FALSE),F1024)</f>
        <v>82.1</v>
      </c>
      <c r="G1025" s="6">
        <f>IFERROR(VLOOKUP($B1025,Platts!$E$5:$M$4994,MATCH(G$3,Platts!$F$5:$M$5,0)+1,FALSE),G1024)</f>
        <v>79.73</v>
      </c>
      <c r="H1025" s="6">
        <f>IFERROR(VLOOKUP($B1025,Platts!$E$5:$M$4994,MATCH(H$3,Platts!$F$5:$M$5,0)+1,FALSE),H1024)</f>
        <v>68.650000000000006</v>
      </c>
      <c r="I1025" s="6">
        <f>IFERROR(VLOOKUP($B1025,Platts!$E$5:$M$4994,MATCH(I$3,Platts!$F$5:$M$5,0)+1,FALSE),I1024)</f>
        <v>76.900000000000006</v>
      </c>
      <c r="J1025" s="6">
        <f t="shared" si="30"/>
        <v>-5.0300000000000011</v>
      </c>
    </row>
    <row r="1026" spans="2:10" x14ac:dyDescent="0.25">
      <c r="B1026" s="5">
        <f t="shared" si="31"/>
        <v>43392</v>
      </c>
      <c r="C1026" s="6">
        <f>IFERROR(VLOOKUP($B1026,Platts!$E$5:$M$4994,MATCH(C$3,Platts!$F$5:$M$5,0)+1,FALSE),C1025)</f>
        <v>74.17</v>
      </c>
      <c r="D1026" s="6">
        <f>IFERROR(VLOOKUP($B1026,Platts!$E$5:$M$4994,MATCH(D$3,Platts!$F$5:$M$5,0)+1,FALSE),D1025)</f>
        <v>79.75</v>
      </c>
      <c r="E1026" s="6">
        <f>IFERROR(VLOOKUP($B1026,Platts!$E$5:$M$4994,MATCH(E$3,Platts!$F$5:$M$5,0)+1,FALSE),E1025)</f>
        <v>75.569999999999993</v>
      </c>
      <c r="F1026" s="6">
        <f>IFERROR(VLOOKUP($B1026,Platts!$E$5:$M$4994,MATCH(F$3,Platts!$F$5:$M$5,0)+1,FALSE),F1025)</f>
        <v>82.77</v>
      </c>
      <c r="G1026" s="6">
        <f>IFERROR(VLOOKUP($B1026,Platts!$E$5:$M$4994,MATCH(G$3,Platts!$F$5:$M$5,0)+1,FALSE),G1025)</f>
        <v>80.150000000000006</v>
      </c>
      <c r="H1026" s="6">
        <f>IFERROR(VLOOKUP($B1026,Platts!$E$5:$M$4994,MATCH(H$3,Platts!$F$5:$M$5,0)+1,FALSE),H1025)</f>
        <v>69.12</v>
      </c>
      <c r="I1026" s="6">
        <f>IFERROR(VLOOKUP($B1026,Platts!$E$5:$M$4994,MATCH(I$3,Platts!$F$5:$M$5,0)+1,FALSE),I1025)</f>
        <v>77.37</v>
      </c>
      <c r="J1026" s="6">
        <f t="shared" si="30"/>
        <v>-5.0499999999999972</v>
      </c>
    </row>
    <row r="1027" spans="2:10" x14ac:dyDescent="0.25">
      <c r="B1027" s="5">
        <f t="shared" si="31"/>
        <v>43393</v>
      </c>
      <c r="C1027" s="6">
        <f>IFERROR(VLOOKUP($B1027,Platts!$E$5:$M$4994,MATCH(C$3,Platts!$F$5:$M$5,0)+1,FALSE),C1026)</f>
        <v>74.17</v>
      </c>
      <c r="D1027" s="6">
        <f>IFERROR(VLOOKUP($B1027,Platts!$E$5:$M$4994,MATCH(D$3,Platts!$F$5:$M$5,0)+1,FALSE),D1026)</f>
        <v>79.75</v>
      </c>
      <c r="E1027" s="6">
        <f>IFERROR(VLOOKUP($B1027,Platts!$E$5:$M$4994,MATCH(E$3,Platts!$F$5:$M$5,0)+1,FALSE),E1026)</f>
        <v>75.569999999999993</v>
      </c>
      <c r="F1027" s="6">
        <f>IFERROR(VLOOKUP($B1027,Platts!$E$5:$M$4994,MATCH(F$3,Platts!$F$5:$M$5,0)+1,FALSE),F1026)</f>
        <v>82.77</v>
      </c>
      <c r="G1027" s="6">
        <f>IFERROR(VLOOKUP($B1027,Platts!$E$5:$M$4994,MATCH(G$3,Platts!$F$5:$M$5,0)+1,FALSE),G1026)</f>
        <v>80.150000000000006</v>
      </c>
      <c r="H1027" s="6">
        <f>IFERROR(VLOOKUP($B1027,Platts!$E$5:$M$4994,MATCH(H$3,Platts!$F$5:$M$5,0)+1,FALSE),H1026)</f>
        <v>69.12</v>
      </c>
      <c r="I1027" s="6">
        <f>IFERROR(VLOOKUP($B1027,Platts!$E$5:$M$4994,MATCH(I$3,Platts!$F$5:$M$5,0)+1,FALSE),I1026)</f>
        <v>77.37</v>
      </c>
      <c r="J1027" s="6">
        <f t="shared" si="30"/>
        <v>-5.0499999999999972</v>
      </c>
    </row>
    <row r="1028" spans="2:10" x14ac:dyDescent="0.25">
      <c r="B1028" s="5">
        <f t="shared" si="31"/>
        <v>43394</v>
      </c>
      <c r="C1028" s="6">
        <f>IFERROR(VLOOKUP($B1028,Platts!$E$5:$M$4994,MATCH(C$3,Platts!$F$5:$M$5,0)+1,FALSE),C1027)</f>
        <v>74.17</v>
      </c>
      <c r="D1028" s="6">
        <f>IFERROR(VLOOKUP($B1028,Platts!$E$5:$M$4994,MATCH(D$3,Platts!$F$5:$M$5,0)+1,FALSE),D1027)</f>
        <v>79.75</v>
      </c>
      <c r="E1028" s="6">
        <f>IFERROR(VLOOKUP($B1028,Platts!$E$5:$M$4994,MATCH(E$3,Platts!$F$5:$M$5,0)+1,FALSE),E1027)</f>
        <v>75.569999999999993</v>
      </c>
      <c r="F1028" s="6">
        <f>IFERROR(VLOOKUP($B1028,Platts!$E$5:$M$4994,MATCH(F$3,Platts!$F$5:$M$5,0)+1,FALSE),F1027)</f>
        <v>82.77</v>
      </c>
      <c r="G1028" s="6">
        <f>IFERROR(VLOOKUP($B1028,Platts!$E$5:$M$4994,MATCH(G$3,Platts!$F$5:$M$5,0)+1,FALSE),G1027)</f>
        <v>80.150000000000006</v>
      </c>
      <c r="H1028" s="6">
        <f>IFERROR(VLOOKUP($B1028,Platts!$E$5:$M$4994,MATCH(H$3,Platts!$F$5:$M$5,0)+1,FALSE),H1027)</f>
        <v>69.12</v>
      </c>
      <c r="I1028" s="6">
        <f>IFERROR(VLOOKUP($B1028,Platts!$E$5:$M$4994,MATCH(I$3,Platts!$F$5:$M$5,0)+1,FALSE),I1027)</f>
        <v>77.37</v>
      </c>
      <c r="J1028" s="6">
        <f t="shared" ref="J1028:J1091" si="32">H1028-C1028</f>
        <v>-5.0499999999999972</v>
      </c>
    </row>
    <row r="1029" spans="2:10" x14ac:dyDescent="0.25">
      <c r="B1029" s="5">
        <f t="shared" si="31"/>
        <v>43395</v>
      </c>
      <c r="C1029" s="6">
        <f>IFERROR(VLOOKUP($B1029,Platts!$E$5:$M$4994,MATCH(C$3,Platts!$F$5:$M$5,0)+1,FALSE),C1028)</f>
        <v>74.06</v>
      </c>
      <c r="D1029" s="6">
        <f>IFERROR(VLOOKUP($B1029,Platts!$E$5:$M$4994,MATCH(D$3,Platts!$F$5:$M$5,0)+1,FALSE),D1028)</f>
        <v>79.58</v>
      </c>
      <c r="E1029" s="6">
        <f>IFERROR(VLOOKUP($B1029,Platts!$E$5:$M$4994,MATCH(E$3,Platts!$F$5:$M$5,0)+1,FALSE),E1028)</f>
        <v>75.48</v>
      </c>
      <c r="F1029" s="6">
        <f>IFERROR(VLOOKUP($B1029,Platts!$E$5:$M$4994,MATCH(F$3,Platts!$F$5:$M$5,0)+1,FALSE),F1028)</f>
        <v>82.58</v>
      </c>
      <c r="G1029" s="6">
        <f>IFERROR(VLOOKUP($B1029,Platts!$E$5:$M$4994,MATCH(G$3,Platts!$F$5:$M$5,0)+1,FALSE),G1028)</f>
        <v>79.81</v>
      </c>
      <c r="H1029" s="6">
        <f>IFERROR(VLOOKUP($B1029,Platts!$E$5:$M$4994,MATCH(H$3,Platts!$F$5:$M$5,0)+1,FALSE),H1028)</f>
        <v>69.17</v>
      </c>
      <c r="I1029" s="6">
        <f>IFERROR(VLOOKUP($B1029,Platts!$E$5:$M$4994,MATCH(I$3,Platts!$F$5:$M$5,0)+1,FALSE),I1028)</f>
        <v>77.47</v>
      </c>
      <c r="J1029" s="6">
        <f t="shared" si="32"/>
        <v>-4.8900000000000006</v>
      </c>
    </row>
    <row r="1030" spans="2:10" x14ac:dyDescent="0.25">
      <c r="B1030" s="5">
        <f t="shared" ref="B1030:B1093" si="33">B1029+1</f>
        <v>43396</v>
      </c>
      <c r="C1030" s="6">
        <f>IFERROR(VLOOKUP($B1030,Platts!$E$5:$M$4994,MATCH(C$3,Platts!$F$5:$M$5,0)+1,FALSE),C1029)</f>
        <v>71.430000000000007</v>
      </c>
      <c r="D1030" s="6">
        <f>IFERROR(VLOOKUP($B1030,Platts!$E$5:$M$4994,MATCH(D$3,Platts!$F$5:$M$5,0)+1,FALSE),D1029)</f>
        <v>75.59</v>
      </c>
      <c r="E1030" s="6">
        <f>IFERROR(VLOOKUP($B1030,Platts!$E$5:$M$4994,MATCH(E$3,Platts!$F$5:$M$5,0)+1,FALSE),E1029)</f>
        <v>71.459999999999994</v>
      </c>
      <c r="F1030" s="6">
        <f>IFERROR(VLOOKUP($B1030,Platts!$E$5:$M$4994,MATCH(F$3,Platts!$F$5:$M$5,0)+1,FALSE),F1029)</f>
        <v>78.599999999999994</v>
      </c>
      <c r="G1030" s="6">
        <f>IFERROR(VLOOKUP($B1030,Platts!$E$5:$M$4994,MATCH(G$3,Platts!$F$5:$M$5,0)+1,FALSE),G1029)</f>
        <v>77.400000000000006</v>
      </c>
      <c r="H1030" s="6">
        <f>IFERROR(VLOOKUP($B1030,Platts!$E$5:$M$4994,MATCH(H$3,Platts!$F$5:$M$5,0)+1,FALSE),H1029)</f>
        <v>66.28</v>
      </c>
      <c r="I1030" s="6">
        <f>IFERROR(VLOOKUP($B1030,Platts!$E$5:$M$4994,MATCH(I$3,Platts!$F$5:$M$5,0)+1,FALSE),I1029)</f>
        <v>74.48</v>
      </c>
      <c r="J1030" s="6">
        <f t="shared" si="32"/>
        <v>-5.1500000000000057</v>
      </c>
    </row>
    <row r="1031" spans="2:10" x14ac:dyDescent="0.25">
      <c r="B1031" s="5">
        <f t="shared" si="33"/>
        <v>43397</v>
      </c>
      <c r="C1031" s="6">
        <f>IFERROR(VLOOKUP($B1031,Platts!$E$5:$M$4994,MATCH(C$3,Platts!$F$5:$M$5,0)+1,FALSE),C1030)</f>
        <v>70.66</v>
      </c>
      <c r="D1031" s="6">
        <f>IFERROR(VLOOKUP($B1031,Platts!$E$5:$M$4994,MATCH(D$3,Platts!$F$5:$M$5,0)+1,FALSE),D1030)</f>
        <v>75.430000000000007</v>
      </c>
      <c r="E1031" s="6">
        <f>IFERROR(VLOOKUP($B1031,Platts!$E$5:$M$4994,MATCH(E$3,Platts!$F$5:$M$5,0)+1,FALSE),E1030)</f>
        <v>71.41</v>
      </c>
      <c r="F1031" s="6">
        <f>IFERROR(VLOOKUP($B1031,Platts!$E$5:$M$4994,MATCH(F$3,Platts!$F$5:$M$5,0)+1,FALSE),F1030)</f>
        <v>78.400000000000006</v>
      </c>
      <c r="G1031" s="6">
        <f>IFERROR(VLOOKUP($B1031,Platts!$E$5:$M$4994,MATCH(G$3,Platts!$F$5:$M$5,0)+1,FALSE),G1030)</f>
        <v>76.98</v>
      </c>
      <c r="H1031" s="6">
        <f>IFERROR(VLOOKUP($B1031,Platts!$E$5:$M$4994,MATCH(H$3,Platts!$F$5:$M$5,0)+1,FALSE),H1030)</f>
        <v>66.72</v>
      </c>
      <c r="I1031" s="6">
        <f>IFERROR(VLOOKUP($B1031,Platts!$E$5:$M$4994,MATCH(I$3,Platts!$F$5:$M$5,0)+1,FALSE),I1030)</f>
        <v>74.67</v>
      </c>
      <c r="J1031" s="6">
        <f t="shared" si="32"/>
        <v>-3.9399999999999977</v>
      </c>
    </row>
    <row r="1032" spans="2:10" x14ac:dyDescent="0.25">
      <c r="B1032" s="5">
        <f t="shared" si="33"/>
        <v>43398</v>
      </c>
      <c r="C1032" s="6">
        <f>IFERROR(VLOOKUP($B1032,Platts!$E$5:$M$4994,MATCH(C$3,Platts!$F$5:$M$5,0)+1,FALSE),C1031)</f>
        <v>71.400000000000006</v>
      </c>
      <c r="D1032" s="6">
        <f>IFERROR(VLOOKUP($B1032,Platts!$E$5:$M$4994,MATCH(D$3,Platts!$F$5:$M$5,0)+1,FALSE),D1031)</f>
        <v>75.849999999999994</v>
      </c>
      <c r="E1032" s="6">
        <f>IFERROR(VLOOKUP($B1032,Platts!$E$5:$M$4994,MATCH(E$3,Platts!$F$5:$M$5,0)+1,FALSE),E1031)</f>
        <v>72.41</v>
      </c>
      <c r="F1032" s="6">
        <f>IFERROR(VLOOKUP($B1032,Platts!$E$5:$M$4994,MATCH(F$3,Platts!$F$5:$M$5,0)+1,FALSE),F1031)</f>
        <v>78.930000000000007</v>
      </c>
      <c r="G1032" s="6">
        <f>IFERROR(VLOOKUP($B1032,Platts!$E$5:$M$4994,MATCH(G$3,Platts!$F$5:$M$5,0)+1,FALSE),G1031)</f>
        <v>76.989999999999995</v>
      </c>
      <c r="H1032" s="6">
        <f>IFERROR(VLOOKUP($B1032,Platts!$E$5:$M$4994,MATCH(H$3,Platts!$F$5:$M$5,0)+1,FALSE),H1031)</f>
        <v>67.28</v>
      </c>
      <c r="I1032" s="6">
        <f>IFERROR(VLOOKUP($B1032,Platts!$E$5:$M$4994,MATCH(I$3,Platts!$F$5:$M$5,0)+1,FALSE),I1031)</f>
        <v>74.78</v>
      </c>
      <c r="J1032" s="6">
        <f t="shared" si="32"/>
        <v>-4.1200000000000045</v>
      </c>
    </row>
    <row r="1033" spans="2:10" x14ac:dyDescent="0.25">
      <c r="B1033" s="5">
        <f t="shared" si="33"/>
        <v>43399</v>
      </c>
      <c r="C1033" s="6">
        <f>IFERROR(VLOOKUP($B1033,Platts!$E$5:$M$4994,MATCH(C$3,Platts!$F$5:$M$5,0)+1,FALSE),C1032)</f>
        <v>71.91</v>
      </c>
      <c r="D1033" s="6">
        <f>IFERROR(VLOOKUP($B1033,Platts!$E$5:$M$4994,MATCH(D$3,Platts!$F$5:$M$5,0)+1,FALSE),D1032)</f>
        <v>76.53</v>
      </c>
      <c r="E1033" s="6">
        <f>IFERROR(VLOOKUP($B1033,Platts!$E$5:$M$4994,MATCH(E$3,Platts!$F$5:$M$5,0)+1,FALSE),E1032)</f>
        <v>73.400000000000006</v>
      </c>
      <c r="F1033" s="6">
        <f>IFERROR(VLOOKUP($B1033,Platts!$E$5:$M$4994,MATCH(F$3,Platts!$F$5:$M$5,0)+1,FALSE),F1032)</f>
        <v>79.650000000000006</v>
      </c>
      <c r="G1033" s="6">
        <f>IFERROR(VLOOKUP($B1033,Platts!$E$5:$M$4994,MATCH(G$3,Platts!$F$5:$M$5,0)+1,FALSE),G1032)</f>
        <v>77.180000000000007</v>
      </c>
      <c r="H1033" s="6">
        <f>IFERROR(VLOOKUP($B1033,Platts!$E$5:$M$4994,MATCH(H$3,Platts!$F$5:$M$5,0)+1,FALSE),H1032)</f>
        <v>67.64</v>
      </c>
      <c r="I1033" s="6">
        <f>IFERROR(VLOOKUP($B1033,Platts!$E$5:$M$4994,MATCH(I$3,Platts!$F$5:$M$5,0)+1,FALSE),I1032)</f>
        <v>75.239999999999995</v>
      </c>
      <c r="J1033" s="6">
        <f t="shared" si="32"/>
        <v>-4.269999999999996</v>
      </c>
    </row>
    <row r="1034" spans="2:10" x14ac:dyDescent="0.25">
      <c r="B1034" s="5">
        <f t="shared" si="33"/>
        <v>43400</v>
      </c>
      <c r="C1034" s="6">
        <f>IFERROR(VLOOKUP($B1034,Platts!$E$5:$M$4994,MATCH(C$3,Platts!$F$5:$M$5,0)+1,FALSE),C1033)</f>
        <v>71.91</v>
      </c>
      <c r="D1034" s="6">
        <f>IFERROR(VLOOKUP($B1034,Platts!$E$5:$M$4994,MATCH(D$3,Platts!$F$5:$M$5,0)+1,FALSE),D1033)</f>
        <v>76.53</v>
      </c>
      <c r="E1034" s="6">
        <f>IFERROR(VLOOKUP($B1034,Platts!$E$5:$M$4994,MATCH(E$3,Platts!$F$5:$M$5,0)+1,FALSE),E1033)</f>
        <v>73.400000000000006</v>
      </c>
      <c r="F1034" s="6">
        <f>IFERROR(VLOOKUP($B1034,Platts!$E$5:$M$4994,MATCH(F$3,Platts!$F$5:$M$5,0)+1,FALSE),F1033)</f>
        <v>79.650000000000006</v>
      </c>
      <c r="G1034" s="6">
        <f>IFERROR(VLOOKUP($B1034,Platts!$E$5:$M$4994,MATCH(G$3,Platts!$F$5:$M$5,0)+1,FALSE),G1033)</f>
        <v>77.180000000000007</v>
      </c>
      <c r="H1034" s="6">
        <f>IFERROR(VLOOKUP($B1034,Platts!$E$5:$M$4994,MATCH(H$3,Platts!$F$5:$M$5,0)+1,FALSE),H1033)</f>
        <v>67.64</v>
      </c>
      <c r="I1034" s="6">
        <f>IFERROR(VLOOKUP($B1034,Platts!$E$5:$M$4994,MATCH(I$3,Platts!$F$5:$M$5,0)+1,FALSE),I1033)</f>
        <v>75.239999999999995</v>
      </c>
      <c r="J1034" s="6">
        <f t="shared" si="32"/>
        <v>-4.269999999999996</v>
      </c>
    </row>
    <row r="1035" spans="2:10" x14ac:dyDescent="0.25">
      <c r="B1035" s="5">
        <f t="shared" si="33"/>
        <v>43401</v>
      </c>
      <c r="C1035" s="6">
        <f>IFERROR(VLOOKUP($B1035,Platts!$E$5:$M$4994,MATCH(C$3,Platts!$F$5:$M$5,0)+1,FALSE),C1034)</f>
        <v>71.91</v>
      </c>
      <c r="D1035" s="6">
        <f>IFERROR(VLOOKUP($B1035,Platts!$E$5:$M$4994,MATCH(D$3,Platts!$F$5:$M$5,0)+1,FALSE),D1034)</f>
        <v>76.53</v>
      </c>
      <c r="E1035" s="6">
        <f>IFERROR(VLOOKUP($B1035,Platts!$E$5:$M$4994,MATCH(E$3,Platts!$F$5:$M$5,0)+1,FALSE),E1034)</f>
        <v>73.400000000000006</v>
      </c>
      <c r="F1035" s="6">
        <f>IFERROR(VLOOKUP($B1035,Platts!$E$5:$M$4994,MATCH(F$3,Platts!$F$5:$M$5,0)+1,FALSE),F1034)</f>
        <v>79.650000000000006</v>
      </c>
      <c r="G1035" s="6">
        <f>IFERROR(VLOOKUP($B1035,Platts!$E$5:$M$4994,MATCH(G$3,Platts!$F$5:$M$5,0)+1,FALSE),G1034)</f>
        <v>77.180000000000007</v>
      </c>
      <c r="H1035" s="6">
        <f>IFERROR(VLOOKUP($B1035,Platts!$E$5:$M$4994,MATCH(H$3,Platts!$F$5:$M$5,0)+1,FALSE),H1034)</f>
        <v>67.64</v>
      </c>
      <c r="I1035" s="6">
        <f>IFERROR(VLOOKUP($B1035,Platts!$E$5:$M$4994,MATCH(I$3,Platts!$F$5:$M$5,0)+1,FALSE),I1034)</f>
        <v>75.239999999999995</v>
      </c>
      <c r="J1035" s="6">
        <f t="shared" si="32"/>
        <v>-4.269999999999996</v>
      </c>
    </row>
    <row r="1036" spans="2:10" x14ac:dyDescent="0.25">
      <c r="B1036" s="5">
        <f t="shared" si="33"/>
        <v>43402</v>
      </c>
      <c r="C1036" s="6">
        <f>IFERROR(VLOOKUP($B1036,Platts!$E$5:$M$4994,MATCH(C$3,Platts!$F$5:$M$5,0)+1,FALSE),C1035)</f>
        <v>71.61</v>
      </c>
      <c r="D1036" s="6">
        <f>IFERROR(VLOOKUP($B1036,Platts!$E$5:$M$4994,MATCH(D$3,Platts!$F$5:$M$5,0)+1,FALSE),D1035)</f>
        <v>76.48</v>
      </c>
      <c r="E1036" s="6">
        <f>IFERROR(VLOOKUP($B1036,Platts!$E$5:$M$4994,MATCH(E$3,Platts!$F$5:$M$5,0)+1,FALSE),E1035)</f>
        <v>73.03</v>
      </c>
      <c r="F1036" s="6">
        <f>IFERROR(VLOOKUP($B1036,Platts!$E$5:$M$4994,MATCH(F$3,Platts!$F$5:$M$5,0)+1,FALSE),F1035)</f>
        <v>79.430000000000007</v>
      </c>
      <c r="G1036" s="6">
        <f>IFERROR(VLOOKUP($B1036,Platts!$E$5:$M$4994,MATCH(G$3,Platts!$F$5:$M$5,0)+1,FALSE),G1035)</f>
        <v>77.55</v>
      </c>
      <c r="H1036" s="6">
        <f>IFERROR(VLOOKUP($B1036,Platts!$E$5:$M$4994,MATCH(H$3,Platts!$F$5:$M$5,0)+1,FALSE),H1035)</f>
        <v>67.040000000000006</v>
      </c>
      <c r="I1036" s="6">
        <f>IFERROR(VLOOKUP($B1036,Platts!$E$5:$M$4994,MATCH(I$3,Platts!$F$5:$M$5,0)+1,FALSE),I1035)</f>
        <v>75.290000000000006</v>
      </c>
      <c r="J1036" s="6">
        <f t="shared" si="32"/>
        <v>-4.5699999999999932</v>
      </c>
    </row>
    <row r="1037" spans="2:10" x14ac:dyDescent="0.25">
      <c r="B1037" s="5">
        <f t="shared" si="33"/>
        <v>43403</v>
      </c>
      <c r="C1037" s="6">
        <f>IFERROR(VLOOKUP($B1037,Platts!$E$5:$M$4994,MATCH(C$3,Platts!$F$5:$M$5,0)+1,FALSE),C1036)</f>
        <v>70.41</v>
      </c>
      <c r="D1037" s="6">
        <f>IFERROR(VLOOKUP($B1037,Platts!$E$5:$M$4994,MATCH(D$3,Platts!$F$5:$M$5,0)+1,FALSE),D1036)</f>
        <v>75.33</v>
      </c>
      <c r="E1037" s="6">
        <f>IFERROR(VLOOKUP($B1037,Platts!$E$5:$M$4994,MATCH(E$3,Platts!$F$5:$M$5,0)+1,FALSE),E1036)</f>
        <v>71.83</v>
      </c>
      <c r="F1037" s="6">
        <f>IFERROR(VLOOKUP($B1037,Platts!$E$5:$M$4994,MATCH(F$3,Platts!$F$5:$M$5,0)+1,FALSE),F1036)</f>
        <v>78.33</v>
      </c>
      <c r="G1037" s="6">
        <f>IFERROR(VLOOKUP($B1037,Platts!$E$5:$M$4994,MATCH(G$3,Platts!$F$5:$M$5,0)+1,FALSE),G1036)</f>
        <v>76.23</v>
      </c>
      <c r="H1037" s="6">
        <f>IFERROR(VLOOKUP($B1037,Platts!$E$5:$M$4994,MATCH(H$3,Platts!$F$5:$M$5,0)+1,FALSE),H1036)</f>
        <v>66.209999999999994</v>
      </c>
      <c r="I1037" s="6">
        <f>IFERROR(VLOOKUP($B1037,Platts!$E$5:$M$4994,MATCH(I$3,Platts!$F$5:$M$5,0)+1,FALSE),I1036)</f>
        <v>74.209999999999994</v>
      </c>
      <c r="J1037" s="6">
        <f t="shared" si="32"/>
        <v>-4.2000000000000028</v>
      </c>
    </row>
    <row r="1038" spans="2:10" x14ac:dyDescent="0.25">
      <c r="B1038" s="5">
        <f t="shared" si="33"/>
        <v>43404</v>
      </c>
      <c r="C1038" s="6">
        <f>IFERROR(VLOOKUP($B1038,Platts!$E$5:$M$4994,MATCH(C$3,Platts!$F$5:$M$5,0)+1,FALSE),C1037)</f>
        <v>70.17</v>
      </c>
      <c r="D1038" s="6">
        <f>IFERROR(VLOOKUP($B1038,Platts!$E$5:$M$4994,MATCH(D$3,Platts!$F$5:$M$5,0)+1,FALSE),D1037)</f>
        <v>74.44</v>
      </c>
      <c r="E1038" s="6">
        <f>IFERROR(VLOOKUP($B1038,Platts!$E$5:$M$4994,MATCH(E$3,Platts!$F$5:$M$5,0)+1,FALSE),E1037)</f>
        <v>71.28</v>
      </c>
      <c r="F1038" s="6">
        <f>IFERROR(VLOOKUP($B1038,Platts!$E$5:$M$4994,MATCH(F$3,Platts!$F$5:$M$5,0)+1,FALSE),F1037)</f>
        <v>77.36</v>
      </c>
      <c r="G1038" s="6">
        <f>IFERROR(VLOOKUP($B1038,Platts!$E$5:$M$4994,MATCH(G$3,Platts!$F$5:$M$5,0)+1,FALSE),G1037)</f>
        <v>75.72</v>
      </c>
      <c r="H1038" s="6">
        <f>IFERROR(VLOOKUP($B1038,Platts!$E$5:$M$4994,MATCH(H$3,Platts!$F$5:$M$5,0)+1,FALSE),H1037)</f>
        <v>65.319999999999993</v>
      </c>
      <c r="I1038" s="6">
        <f>IFERROR(VLOOKUP($B1038,Platts!$E$5:$M$4994,MATCH(I$3,Platts!$F$5:$M$5,0)+1,FALSE),I1037)</f>
        <v>73.52</v>
      </c>
      <c r="J1038" s="6">
        <f t="shared" si="32"/>
        <v>-4.8500000000000085</v>
      </c>
    </row>
    <row r="1039" spans="2:10" x14ac:dyDescent="0.25">
      <c r="B1039" s="5">
        <f t="shared" si="33"/>
        <v>43405</v>
      </c>
      <c r="C1039" s="6">
        <f>IFERROR(VLOOKUP($B1039,Platts!$E$5:$M$4994,MATCH(C$3,Platts!$F$5:$M$5,0)+1,FALSE),C1038)</f>
        <v>67.06</v>
      </c>
      <c r="D1039" s="6">
        <f>IFERROR(VLOOKUP($B1039,Platts!$E$5:$M$4994,MATCH(D$3,Platts!$F$5:$M$5,0)+1,FALSE),D1038)</f>
        <v>72.5</v>
      </c>
      <c r="E1039" s="6">
        <f>IFERROR(VLOOKUP($B1039,Platts!$E$5:$M$4994,MATCH(E$3,Platts!$F$5:$M$5,0)+1,FALSE),E1038)</f>
        <v>69.540000000000006</v>
      </c>
      <c r="F1039" s="6">
        <f>IFERROR(VLOOKUP($B1039,Platts!$E$5:$M$4994,MATCH(F$3,Platts!$F$5:$M$5,0)+1,FALSE),F1038)</f>
        <v>75.41</v>
      </c>
      <c r="G1039" s="6">
        <f>IFERROR(VLOOKUP($B1039,Platts!$E$5:$M$4994,MATCH(G$3,Platts!$F$5:$M$5,0)+1,FALSE),G1038)</f>
        <v>72.849999999999994</v>
      </c>
      <c r="H1039" s="6">
        <f>IFERROR(VLOOKUP($B1039,Platts!$E$5:$M$4994,MATCH(H$3,Platts!$F$5:$M$5,0)+1,FALSE),H1038)</f>
        <v>63.69</v>
      </c>
      <c r="I1039" s="6">
        <f>IFERROR(VLOOKUP($B1039,Platts!$E$5:$M$4994,MATCH(I$3,Platts!$F$5:$M$5,0)+1,FALSE),I1038)</f>
        <v>71.64</v>
      </c>
      <c r="J1039" s="6">
        <f t="shared" si="32"/>
        <v>-3.3700000000000045</v>
      </c>
    </row>
    <row r="1040" spans="2:10" x14ac:dyDescent="0.25">
      <c r="B1040" s="5">
        <f t="shared" si="33"/>
        <v>43406</v>
      </c>
      <c r="C1040" s="6">
        <f>IFERROR(VLOOKUP($B1040,Platts!$E$5:$M$4994,MATCH(C$3,Platts!$F$5:$M$5,0)+1,FALSE),C1039)</f>
        <v>66.7</v>
      </c>
      <c r="D1040" s="6">
        <f>IFERROR(VLOOKUP($B1040,Platts!$E$5:$M$4994,MATCH(D$3,Platts!$F$5:$M$5,0)+1,FALSE),D1039)</f>
        <v>72.36</v>
      </c>
      <c r="E1040" s="6">
        <f>IFERROR(VLOOKUP($B1040,Platts!$E$5:$M$4994,MATCH(E$3,Platts!$F$5:$M$5,0)+1,FALSE),E1039)</f>
        <v>69.39</v>
      </c>
      <c r="F1040" s="6">
        <f>IFERROR(VLOOKUP($B1040,Platts!$E$5:$M$4994,MATCH(F$3,Platts!$F$5:$M$5,0)+1,FALSE),F1039)</f>
        <v>75.3</v>
      </c>
      <c r="G1040" s="6">
        <f>IFERROR(VLOOKUP($B1040,Platts!$E$5:$M$4994,MATCH(G$3,Platts!$F$5:$M$5,0)+1,FALSE),G1039)</f>
        <v>72.67</v>
      </c>
      <c r="H1040" s="6">
        <f>IFERROR(VLOOKUP($B1040,Platts!$E$5:$M$4994,MATCH(H$3,Platts!$F$5:$M$5,0)+1,FALSE),H1039)</f>
        <v>63.17</v>
      </c>
      <c r="I1040" s="6">
        <f>IFERROR(VLOOKUP($B1040,Platts!$E$5:$M$4994,MATCH(I$3,Platts!$F$5:$M$5,0)+1,FALSE),I1039)</f>
        <v>71.22</v>
      </c>
      <c r="J1040" s="6">
        <f t="shared" si="32"/>
        <v>-3.5300000000000011</v>
      </c>
    </row>
    <row r="1041" spans="2:10" x14ac:dyDescent="0.25">
      <c r="B1041" s="5">
        <f t="shared" si="33"/>
        <v>43407</v>
      </c>
      <c r="C1041" s="6">
        <f>IFERROR(VLOOKUP($B1041,Platts!$E$5:$M$4994,MATCH(C$3,Platts!$F$5:$M$5,0)+1,FALSE),C1040)</f>
        <v>66.7</v>
      </c>
      <c r="D1041" s="6">
        <f>IFERROR(VLOOKUP($B1041,Platts!$E$5:$M$4994,MATCH(D$3,Platts!$F$5:$M$5,0)+1,FALSE),D1040)</f>
        <v>72.36</v>
      </c>
      <c r="E1041" s="6">
        <f>IFERROR(VLOOKUP($B1041,Platts!$E$5:$M$4994,MATCH(E$3,Platts!$F$5:$M$5,0)+1,FALSE),E1040)</f>
        <v>69.39</v>
      </c>
      <c r="F1041" s="6">
        <f>IFERROR(VLOOKUP($B1041,Platts!$E$5:$M$4994,MATCH(F$3,Platts!$F$5:$M$5,0)+1,FALSE),F1040)</f>
        <v>75.3</v>
      </c>
      <c r="G1041" s="6">
        <f>IFERROR(VLOOKUP($B1041,Platts!$E$5:$M$4994,MATCH(G$3,Platts!$F$5:$M$5,0)+1,FALSE),G1040)</f>
        <v>72.67</v>
      </c>
      <c r="H1041" s="6">
        <f>IFERROR(VLOOKUP($B1041,Platts!$E$5:$M$4994,MATCH(H$3,Platts!$F$5:$M$5,0)+1,FALSE),H1040)</f>
        <v>63.17</v>
      </c>
      <c r="I1041" s="6">
        <f>IFERROR(VLOOKUP($B1041,Platts!$E$5:$M$4994,MATCH(I$3,Platts!$F$5:$M$5,0)+1,FALSE),I1040)</f>
        <v>71.22</v>
      </c>
      <c r="J1041" s="6">
        <f t="shared" si="32"/>
        <v>-3.5300000000000011</v>
      </c>
    </row>
    <row r="1042" spans="2:10" x14ac:dyDescent="0.25">
      <c r="B1042" s="5">
        <f t="shared" si="33"/>
        <v>43408</v>
      </c>
      <c r="C1042" s="6">
        <f>IFERROR(VLOOKUP($B1042,Platts!$E$5:$M$4994,MATCH(C$3,Platts!$F$5:$M$5,0)+1,FALSE),C1041)</f>
        <v>66.7</v>
      </c>
      <c r="D1042" s="6">
        <f>IFERROR(VLOOKUP($B1042,Platts!$E$5:$M$4994,MATCH(D$3,Platts!$F$5:$M$5,0)+1,FALSE),D1041)</f>
        <v>72.36</v>
      </c>
      <c r="E1042" s="6">
        <f>IFERROR(VLOOKUP($B1042,Platts!$E$5:$M$4994,MATCH(E$3,Platts!$F$5:$M$5,0)+1,FALSE),E1041)</f>
        <v>69.39</v>
      </c>
      <c r="F1042" s="6">
        <f>IFERROR(VLOOKUP($B1042,Platts!$E$5:$M$4994,MATCH(F$3,Platts!$F$5:$M$5,0)+1,FALSE),F1041)</f>
        <v>75.3</v>
      </c>
      <c r="G1042" s="6">
        <f>IFERROR(VLOOKUP($B1042,Platts!$E$5:$M$4994,MATCH(G$3,Platts!$F$5:$M$5,0)+1,FALSE),G1041)</f>
        <v>72.67</v>
      </c>
      <c r="H1042" s="6">
        <f>IFERROR(VLOOKUP($B1042,Platts!$E$5:$M$4994,MATCH(H$3,Platts!$F$5:$M$5,0)+1,FALSE),H1041)</f>
        <v>63.17</v>
      </c>
      <c r="I1042" s="6">
        <f>IFERROR(VLOOKUP($B1042,Platts!$E$5:$M$4994,MATCH(I$3,Platts!$F$5:$M$5,0)+1,FALSE),I1041)</f>
        <v>71.22</v>
      </c>
      <c r="J1042" s="6">
        <f t="shared" si="32"/>
        <v>-3.5300000000000011</v>
      </c>
    </row>
    <row r="1043" spans="2:10" x14ac:dyDescent="0.25">
      <c r="B1043" s="5">
        <f t="shared" si="33"/>
        <v>43409</v>
      </c>
      <c r="C1043" s="6">
        <f>IFERROR(VLOOKUP($B1043,Platts!$E$5:$M$4994,MATCH(C$3,Platts!$F$5:$M$5,0)+1,FALSE),C1042)</f>
        <v>67.040000000000006</v>
      </c>
      <c r="D1043" s="6">
        <f>IFERROR(VLOOKUP($B1043,Platts!$E$5:$M$4994,MATCH(D$3,Platts!$F$5:$M$5,0)+1,FALSE),D1042)</f>
        <v>72.59</v>
      </c>
      <c r="E1043" s="6">
        <f>IFERROR(VLOOKUP($B1043,Platts!$E$5:$M$4994,MATCH(E$3,Platts!$F$5:$M$5,0)+1,FALSE),E1042)</f>
        <v>69.83</v>
      </c>
      <c r="F1043" s="6">
        <f>IFERROR(VLOOKUP($B1043,Platts!$E$5:$M$4994,MATCH(F$3,Platts!$F$5:$M$5,0)+1,FALSE),F1042)</f>
        <v>75.510000000000005</v>
      </c>
      <c r="G1043" s="6">
        <f>IFERROR(VLOOKUP($B1043,Platts!$E$5:$M$4994,MATCH(G$3,Platts!$F$5:$M$5,0)+1,FALSE),G1042)</f>
        <v>73.47</v>
      </c>
      <c r="H1043" s="6">
        <f>IFERROR(VLOOKUP($B1043,Platts!$E$5:$M$4994,MATCH(H$3,Platts!$F$5:$M$5,0)+1,FALSE),H1042)</f>
        <v>63.11</v>
      </c>
      <c r="I1043" s="6">
        <f>IFERROR(VLOOKUP($B1043,Platts!$E$5:$M$4994,MATCH(I$3,Platts!$F$5:$M$5,0)+1,FALSE),I1042)</f>
        <v>71.41</v>
      </c>
      <c r="J1043" s="6">
        <f t="shared" si="32"/>
        <v>-3.9300000000000068</v>
      </c>
    </row>
    <row r="1044" spans="2:10" x14ac:dyDescent="0.25">
      <c r="B1044" s="5">
        <f t="shared" si="33"/>
        <v>43410</v>
      </c>
      <c r="C1044" s="6">
        <f>IFERROR(VLOOKUP($B1044,Platts!$E$5:$M$4994,MATCH(C$3,Platts!$F$5:$M$5,0)+1,FALSE),C1043)</f>
        <v>67.040000000000006</v>
      </c>
      <c r="D1044" s="6">
        <f>IFERROR(VLOOKUP($B1044,Platts!$E$5:$M$4994,MATCH(D$3,Platts!$F$5:$M$5,0)+1,FALSE),D1043)</f>
        <v>71.44</v>
      </c>
      <c r="E1044" s="6">
        <f>IFERROR(VLOOKUP($B1044,Platts!$E$5:$M$4994,MATCH(E$3,Platts!$F$5:$M$5,0)+1,FALSE),E1043)</f>
        <v>68.44</v>
      </c>
      <c r="F1044" s="6">
        <f>IFERROR(VLOOKUP($B1044,Platts!$E$5:$M$4994,MATCH(F$3,Platts!$F$5:$M$5,0)+1,FALSE),F1043)</f>
        <v>74.41</v>
      </c>
      <c r="G1044" s="6">
        <f>IFERROR(VLOOKUP($B1044,Platts!$E$5:$M$4994,MATCH(G$3,Platts!$F$5:$M$5,0)+1,FALSE),G1043)</f>
        <v>71.599999999999994</v>
      </c>
      <c r="H1044" s="6">
        <f>IFERROR(VLOOKUP($B1044,Platts!$E$5:$M$4994,MATCH(H$3,Platts!$F$5:$M$5,0)+1,FALSE),H1043)</f>
        <v>62.21</v>
      </c>
      <c r="I1044" s="6">
        <f>IFERROR(VLOOKUP($B1044,Platts!$E$5:$M$4994,MATCH(I$3,Platts!$F$5:$M$5,0)+1,FALSE),I1043)</f>
        <v>70.209999999999994</v>
      </c>
      <c r="J1044" s="6">
        <f t="shared" si="32"/>
        <v>-4.8300000000000054</v>
      </c>
    </row>
    <row r="1045" spans="2:10" x14ac:dyDescent="0.25">
      <c r="B1045" s="5">
        <f t="shared" si="33"/>
        <v>43411</v>
      </c>
      <c r="C1045" s="6">
        <f>IFERROR(VLOOKUP($B1045,Platts!$E$5:$M$4994,MATCH(C$3,Platts!$F$5:$M$5,0)+1,FALSE),C1044)</f>
        <v>65.819999999999993</v>
      </c>
      <c r="D1045" s="6">
        <f>IFERROR(VLOOKUP($B1045,Platts!$E$5:$M$4994,MATCH(D$3,Platts!$F$5:$M$5,0)+1,FALSE),D1044)</f>
        <v>71.37</v>
      </c>
      <c r="E1045" s="6">
        <f>IFERROR(VLOOKUP($B1045,Platts!$E$5:$M$4994,MATCH(E$3,Platts!$F$5:$M$5,0)+1,FALSE),E1044)</f>
        <v>68.94</v>
      </c>
      <c r="F1045" s="6">
        <f>IFERROR(VLOOKUP($B1045,Platts!$E$5:$M$4994,MATCH(F$3,Platts!$F$5:$M$5,0)+1,FALSE),F1044)</f>
        <v>74.33</v>
      </c>
      <c r="G1045" s="6">
        <f>IFERROR(VLOOKUP($B1045,Platts!$E$5:$M$4994,MATCH(G$3,Platts!$F$5:$M$5,0)+1,FALSE),G1044)</f>
        <v>71.56</v>
      </c>
      <c r="H1045" s="6">
        <f>IFERROR(VLOOKUP($B1045,Platts!$E$5:$M$4994,MATCH(H$3,Platts!$F$5:$M$5,0)+1,FALSE),H1044)</f>
        <v>61.7</v>
      </c>
      <c r="I1045" s="6">
        <f>IFERROR(VLOOKUP($B1045,Platts!$E$5:$M$4994,MATCH(I$3,Platts!$F$5:$M$5,0)+1,FALSE),I1044)</f>
        <v>69.75</v>
      </c>
      <c r="J1045" s="6">
        <f t="shared" si="32"/>
        <v>-4.1199999999999903</v>
      </c>
    </row>
    <row r="1046" spans="2:10" x14ac:dyDescent="0.25">
      <c r="B1046" s="5">
        <f t="shared" si="33"/>
        <v>43412</v>
      </c>
      <c r="C1046" s="6">
        <f>IFERROR(VLOOKUP($B1046,Platts!$E$5:$M$4994,MATCH(C$3,Platts!$F$5:$M$5,0)+1,FALSE),C1045)</f>
        <v>65.150000000000006</v>
      </c>
      <c r="D1046" s="6">
        <f>IFERROR(VLOOKUP($B1046,Platts!$E$5:$M$4994,MATCH(D$3,Platts!$F$5:$M$5,0)+1,FALSE),D1045)</f>
        <v>70.45</v>
      </c>
      <c r="E1046" s="6">
        <f>IFERROR(VLOOKUP($B1046,Platts!$E$5:$M$4994,MATCH(E$3,Platts!$F$5:$M$5,0)+1,FALSE),E1045)</f>
        <v>67.83</v>
      </c>
      <c r="F1046" s="6">
        <f>IFERROR(VLOOKUP($B1046,Platts!$E$5:$M$4994,MATCH(F$3,Platts!$F$5:$M$5,0)+1,FALSE),F1045)</f>
        <v>73.33</v>
      </c>
      <c r="G1046" s="6">
        <f>IFERROR(VLOOKUP($B1046,Platts!$E$5:$M$4994,MATCH(G$3,Platts!$F$5:$M$5,0)+1,FALSE),G1045)</f>
        <v>71.430000000000007</v>
      </c>
      <c r="H1046" s="6">
        <f>IFERROR(VLOOKUP($B1046,Platts!$E$5:$M$4994,MATCH(H$3,Platts!$F$5:$M$5,0)+1,FALSE),H1045)</f>
        <v>60.69</v>
      </c>
      <c r="I1046" s="6">
        <f>IFERROR(VLOOKUP($B1046,Platts!$E$5:$M$4994,MATCH(I$3,Platts!$F$5:$M$5,0)+1,FALSE),I1045)</f>
        <v>68.84</v>
      </c>
      <c r="J1046" s="6">
        <f t="shared" si="32"/>
        <v>-4.460000000000008</v>
      </c>
    </row>
    <row r="1047" spans="2:10" x14ac:dyDescent="0.25">
      <c r="B1047" s="5">
        <f t="shared" si="33"/>
        <v>43413</v>
      </c>
      <c r="C1047" s="6">
        <f>IFERROR(VLOOKUP($B1047,Platts!$E$5:$M$4994,MATCH(C$3,Platts!$F$5:$M$5,0)+1,FALSE),C1046)</f>
        <v>64.05</v>
      </c>
      <c r="D1047" s="6">
        <f>IFERROR(VLOOKUP($B1047,Platts!$E$5:$M$4994,MATCH(D$3,Platts!$F$5:$M$5,0)+1,FALSE),D1046)</f>
        <v>69.63</v>
      </c>
      <c r="E1047" s="6">
        <f>IFERROR(VLOOKUP($B1047,Platts!$E$5:$M$4994,MATCH(E$3,Platts!$F$5:$M$5,0)+1,FALSE),E1046)</f>
        <v>66.98</v>
      </c>
      <c r="F1047" s="6">
        <f>IFERROR(VLOOKUP($B1047,Platts!$E$5:$M$4994,MATCH(F$3,Platts!$F$5:$M$5,0)+1,FALSE),F1046)</f>
        <v>72.48</v>
      </c>
      <c r="G1047" s="6">
        <f>IFERROR(VLOOKUP($B1047,Platts!$E$5:$M$4994,MATCH(G$3,Platts!$F$5:$M$5,0)+1,FALSE),G1046)</f>
        <v>70.03</v>
      </c>
      <c r="H1047" s="6">
        <f>IFERROR(VLOOKUP($B1047,Platts!$E$5:$M$4994,MATCH(H$3,Platts!$F$5:$M$5,0)+1,FALSE),H1046)</f>
        <v>60.19</v>
      </c>
      <c r="I1047" s="6">
        <f>IFERROR(VLOOKUP($B1047,Platts!$E$5:$M$4994,MATCH(I$3,Platts!$F$5:$M$5,0)+1,FALSE),I1046)</f>
        <v>68.14</v>
      </c>
      <c r="J1047" s="6">
        <f t="shared" si="32"/>
        <v>-3.8599999999999994</v>
      </c>
    </row>
    <row r="1048" spans="2:10" x14ac:dyDescent="0.25">
      <c r="B1048" s="5">
        <f t="shared" si="33"/>
        <v>43414</v>
      </c>
      <c r="C1048" s="6">
        <f>IFERROR(VLOOKUP($B1048,Platts!$E$5:$M$4994,MATCH(C$3,Platts!$F$5:$M$5,0)+1,FALSE),C1047)</f>
        <v>64.05</v>
      </c>
      <c r="D1048" s="6">
        <f>IFERROR(VLOOKUP($B1048,Platts!$E$5:$M$4994,MATCH(D$3,Platts!$F$5:$M$5,0)+1,FALSE),D1047)</f>
        <v>69.63</v>
      </c>
      <c r="E1048" s="6">
        <f>IFERROR(VLOOKUP($B1048,Platts!$E$5:$M$4994,MATCH(E$3,Platts!$F$5:$M$5,0)+1,FALSE),E1047)</f>
        <v>66.98</v>
      </c>
      <c r="F1048" s="6">
        <f>IFERROR(VLOOKUP($B1048,Platts!$E$5:$M$4994,MATCH(F$3,Platts!$F$5:$M$5,0)+1,FALSE),F1047)</f>
        <v>72.48</v>
      </c>
      <c r="G1048" s="6">
        <f>IFERROR(VLOOKUP($B1048,Platts!$E$5:$M$4994,MATCH(G$3,Platts!$F$5:$M$5,0)+1,FALSE),G1047)</f>
        <v>70.03</v>
      </c>
      <c r="H1048" s="6">
        <f>IFERROR(VLOOKUP($B1048,Platts!$E$5:$M$4994,MATCH(H$3,Platts!$F$5:$M$5,0)+1,FALSE),H1047)</f>
        <v>60.19</v>
      </c>
      <c r="I1048" s="6">
        <f>IFERROR(VLOOKUP($B1048,Platts!$E$5:$M$4994,MATCH(I$3,Platts!$F$5:$M$5,0)+1,FALSE),I1047)</f>
        <v>68.14</v>
      </c>
      <c r="J1048" s="6">
        <f t="shared" si="32"/>
        <v>-3.8599999999999994</v>
      </c>
    </row>
    <row r="1049" spans="2:10" x14ac:dyDescent="0.25">
      <c r="B1049" s="5">
        <f t="shared" si="33"/>
        <v>43415</v>
      </c>
      <c r="C1049" s="6">
        <f>IFERROR(VLOOKUP($B1049,Platts!$E$5:$M$4994,MATCH(C$3,Platts!$F$5:$M$5,0)+1,FALSE),C1048)</f>
        <v>64.05</v>
      </c>
      <c r="D1049" s="6">
        <f>IFERROR(VLOOKUP($B1049,Platts!$E$5:$M$4994,MATCH(D$3,Platts!$F$5:$M$5,0)+1,FALSE),D1048)</f>
        <v>69.63</v>
      </c>
      <c r="E1049" s="6">
        <f>IFERROR(VLOOKUP($B1049,Platts!$E$5:$M$4994,MATCH(E$3,Platts!$F$5:$M$5,0)+1,FALSE),E1048)</f>
        <v>66.98</v>
      </c>
      <c r="F1049" s="6">
        <f>IFERROR(VLOOKUP($B1049,Platts!$E$5:$M$4994,MATCH(F$3,Platts!$F$5:$M$5,0)+1,FALSE),F1048)</f>
        <v>72.48</v>
      </c>
      <c r="G1049" s="6">
        <f>IFERROR(VLOOKUP($B1049,Platts!$E$5:$M$4994,MATCH(G$3,Platts!$F$5:$M$5,0)+1,FALSE),G1048)</f>
        <v>70.03</v>
      </c>
      <c r="H1049" s="6">
        <f>IFERROR(VLOOKUP($B1049,Platts!$E$5:$M$4994,MATCH(H$3,Platts!$F$5:$M$5,0)+1,FALSE),H1048)</f>
        <v>60.19</v>
      </c>
      <c r="I1049" s="6">
        <f>IFERROR(VLOOKUP($B1049,Platts!$E$5:$M$4994,MATCH(I$3,Platts!$F$5:$M$5,0)+1,FALSE),I1048)</f>
        <v>68.14</v>
      </c>
      <c r="J1049" s="6">
        <f t="shared" si="32"/>
        <v>-3.8599999999999994</v>
      </c>
    </row>
    <row r="1050" spans="2:10" x14ac:dyDescent="0.25">
      <c r="B1050" s="5">
        <f t="shared" si="33"/>
        <v>43416</v>
      </c>
      <c r="C1050" s="6">
        <f>IFERROR(VLOOKUP($B1050,Platts!$E$5:$M$4994,MATCH(C$3,Platts!$F$5:$M$5,0)+1,FALSE),C1049)</f>
        <v>64.42</v>
      </c>
      <c r="D1050" s="6">
        <f>IFERROR(VLOOKUP($B1050,Platts!$E$5:$M$4994,MATCH(D$3,Platts!$F$5:$M$5,0)+1,FALSE),D1049)</f>
        <v>69.22</v>
      </c>
      <c r="E1050" s="6">
        <f>IFERROR(VLOOKUP($B1050,Platts!$E$5:$M$4994,MATCH(E$3,Platts!$F$5:$M$5,0)+1,FALSE),E1049)</f>
        <v>66.8</v>
      </c>
      <c r="F1050" s="6">
        <f>IFERROR(VLOOKUP($B1050,Platts!$E$5:$M$4994,MATCH(F$3,Platts!$F$5:$M$5,0)+1,FALSE),F1049)</f>
        <v>72.040000000000006</v>
      </c>
      <c r="G1050" s="6">
        <f>IFERROR(VLOOKUP($B1050,Platts!$E$5:$M$4994,MATCH(G$3,Platts!$F$5:$M$5,0)+1,FALSE),G1049)</f>
        <v>70.819999999999993</v>
      </c>
      <c r="H1050" s="6">
        <f>IFERROR(VLOOKUP($B1050,Platts!$E$5:$M$4994,MATCH(H$3,Platts!$F$5:$M$5,0)+1,FALSE),H1049)</f>
        <v>59.93</v>
      </c>
      <c r="I1050" s="6">
        <f>IFERROR(VLOOKUP($B1050,Platts!$E$5:$M$4994,MATCH(I$3,Platts!$F$5:$M$5,0)+1,FALSE),I1049)</f>
        <v>68.180000000000007</v>
      </c>
      <c r="J1050" s="6">
        <f t="shared" si="32"/>
        <v>-4.490000000000002</v>
      </c>
    </row>
    <row r="1051" spans="2:10" x14ac:dyDescent="0.25">
      <c r="B1051" s="5">
        <f t="shared" si="33"/>
        <v>43417</v>
      </c>
      <c r="C1051" s="6">
        <f>IFERROR(VLOOKUP($B1051,Platts!$E$5:$M$4994,MATCH(C$3,Platts!$F$5:$M$5,0)+1,FALSE),C1050)</f>
        <v>60.53</v>
      </c>
      <c r="D1051" s="6">
        <f>IFERROR(VLOOKUP($B1051,Platts!$E$5:$M$4994,MATCH(D$3,Platts!$F$5:$M$5,0)+1,FALSE),D1050)</f>
        <v>64.849999999999994</v>
      </c>
      <c r="E1051" s="6">
        <f>IFERROR(VLOOKUP($B1051,Platts!$E$5:$M$4994,MATCH(E$3,Platts!$F$5:$M$5,0)+1,FALSE),E1050)</f>
        <v>62.21</v>
      </c>
      <c r="F1051" s="6">
        <f>IFERROR(VLOOKUP($B1051,Platts!$E$5:$M$4994,MATCH(F$3,Platts!$F$5:$M$5,0)+1,FALSE),F1050)</f>
        <v>67.7</v>
      </c>
      <c r="G1051" s="6">
        <f>IFERROR(VLOOKUP($B1051,Platts!$E$5:$M$4994,MATCH(G$3,Platts!$F$5:$M$5,0)+1,FALSE),G1050)</f>
        <v>66.849999999999994</v>
      </c>
      <c r="H1051" s="6">
        <f>IFERROR(VLOOKUP($B1051,Platts!$E$5:$M$4994,MATCH(H$3,Platts!$F$5:$M$5,0)+1,FALSE),H1050)</f>
        <v>55.69</v>
      </c>
      <c r="I1051" s="6">
        <f>IFERROR(VLOOKUP($B1051,Platts!$E$5:$M$4994,MATCH(I$3,Platts!$F$5:$M$5,0)+1,FALSE),I1050)</f>
        <v>63.94</v>
      </c>
      <c r="J1051" s="6">
        <f t="shared" si="32"/>
        <v>-4.8400000000000034</v>
      </c>
    </row>
    <row r="1052" spans="2:10" x14ac:dyDescent="0.25">
      <c r="B1052" s="5">
        <f t="shared" si="33"/>
        <v>43418</v>
      </c>
      <c r="C1052" s="6">
        <f>IFERROR(VLOOKUP($B1052,Platts!$E$5:$M$4994,MATCH(C$3,Platts!$F$5:$M$5,0)+1,FALSE),C1051)</f>
        <v>60.35</v>
      </c>
      <c r="D1052" s="6">
        <f>IFERROR(VLOOKUP($B1052,Platts!$E$5:$M$4994,MATCH(D$3,Platts!$F$5:$M$5,0)+1,FALSE),D1051)</f>
        <v>65.59</v>
      </c>
      <c r="E1052" s="6">
        <f>IFERROR(VLOOKUP($B1052,Platts!$E$5:$M$4994,MATCH(E$3,Platts!$F$5:$M$5,0)+1,FALSE),E1051)</f>
        <v>63.08</v>
      </c>
      <c r="F1052" s="6">
        <f>IFERROR(VLOOKUP($B1052,Platts!$E$5:$M$4994,MATCH(F$3,Platts!$F$5:$M$5,0)+1,FALSE),F1051)</f>
        <v>68.48</v>
      </c>
      <c r="G1052" s="6">
        <f>IFERROR(VLOOKUP($B1052,Platts!$E$5:$M$4994,MATCH(G$3,Platts!$F$5:$M$5,0)+1,FALSE),G1051)</f>
        <v>66.430000000000007</v>
      </c>
      <c r="H1052" s="6">
        <f>IFERROR(VLOOKUP($B1052,Platts!$E$5:$M$4994,MATCH(H$3,Platts!$F$5:$M$5,0)+1,FALSE),H1051)</f>
        <v>56.26</v>
      </c>
      <c r="I1052" s="6">
        <f>IFERROR(VLOOKUP($B1052,Platts!$E$5:$M$4994,MATCH(I$3,Platts!$F$5:$M$5,0)+1,FALSE),I1051)</f>
        <v>64.709999999999994</v>
      </c>
      <c r="J1052" s="6">
        <f t="shared" si="32"/>
        <v>-4.0900000000000034</v>
      </c>
    </row>
    <row r="1053" spans="2:10" x14ac:dyDescent="0.25">
      <c r="B1053" s="5">
        <f t="shared" si="33"/>
        <v>43419</v>
      </c>
      <c r="C1053" s="6">
        <f>IFERROR(VLOOKUP($B1053,Platts!$E$5:$M$4994,MATCH(C$3,Platts!$F$5:$M$5,0)+1,FALSE),C1052)</f>
        <v>60.58</v>
      </c>
      <c r="D1053" s="6">
        <f>IFERROR(VLOOKUP($B1053,Platts!$E$5:$M$4994,MATCH(D$3,Platts!$F$5:$M$5,0)+1,FALSE),D1052)</f>
        <v>65.64</v>
      </c>
      <c r="E1053" s="6">
        <f>IFERROR(VLOOKUP($B1053,Platts!$E$5:$M$4994,MATCH(E$3,Platts!$F$5:$M$5,0)+1,FALSE),E1052)</f>
        <v>62.96</v>
      </c>
      <c r="F1053" s="6">
        <f>IFERROR(VLOOKUP($B1053,Platts!$E$5:$M$4994,MATCH(F$3,Platts!$F$5:$M$5,0)+1,FALSE),F1052)</f>
        <v>68.63</v>
      </c>
      <c r="G1053" s="6">
        <f>IFERROR(VLOOKUP($B1053,Platts!$E$5:$M$4994,MATCH(G$3,Platts!$F$5:$M$5,0)+1,FALSE),G1052)</f>
        <v>67.09</v>
      </c>
      <c r="H1053" s="6">
        <f>IFERROR(VLOOKUP($B1053,Platts!$E$5:$M$4994,MATCH(H$3,Platts!$F$5:$M$5,0)+1,FALSE),H1052)</f>
        <v>56.48</v>
      </c>
      <c r="I1053" s="6">
        <f>IFERROR(VLOOKUP($B1053,Platts!$E$5:$M$4994,MATCH(I$3,Platts!$F$5:$M$5,0)+1,FALSE),I1052)</f>
        <v>64.78</v>
      </c>
      <c r="J1053" s="6">
        <f t="shared" si="32"/>
        <v>-4.1000000000000014</v>
      </c>
    </row>
    <row r="1054" spans="2:10" x14ac:dyDescent="0.25">
      <c r="B1054" s="5">
        <f t="shared" si="33"/>
        <v>43420</v>
      </c>
      <c r="C1054" s="6">
        <f>IFERROR(VLOOKUP($B1054,Platts!$E$5:$M$4994,MATCH(C$3,Platts!$F$5:$M$5,0)+1,FALSE),C1053)</f>
        <v>60.35</v>
      </c>
      <c r="D1054" s="6">
        <f>IFERROR(VLOOKUP($B1054,Platts!$E$5:$M$4994,MATCH(D$3,Platts!$F$5:$M$5,0)+1,FALSE),D1053)</f>
        <v>65.400000000000006</v>
      </c>
      <c r="E1054" s="6">
        <f>IFERROR(VLOOKUP($B1054,Platts!$E$5:$M$4994,MATCH(E$3,Platts!$F$5:$M$5,0)+1,FALSE),E1053)</f>
        <v>62.8</v>
      </c>
      <c r="F1054" s="6">
        <f>IFERROR(VLOOKUP($B1054,Platts!$E$5:$M$4994,MATCH(F$3,Platts!$F$5:$M$5,0)+1,FALSE),F1053)</f>
        <v>68.510000000000005</v>
      </c>
      <c r="G1054" s="6">
        <f>IFERROR(VLOOKUP($B1054,Platts!$E$5:$M$4994,MATCH(G$3,Platts!$F$5:$M$5,0)+1,FALSE),G1053)</f>
        <v>67.12</v>
      </c>
      <c r="H1054" s="6">
        <f>IFERROR(VLOOKUP($B1054,Platts!$E$5:$M$4994,MATCH(H$3,Platts!$F$5:$M$5,0)+1,FALSE),H1053)</f>
        <v>56.46</v>
      </c>
      <c r="I1054" s="6">
        <f>IFERROR(VLOOKUP($B1054,Platts!$E$5:$M$4994,MATCH(I$3,Platts!$F$5:$M$5,0)+1,FALSE),I1053)</f>
        <v>64.91</v>
      </c>
      <c r="J1054" s="6">
        <f t="shared" si="32"/>
        <v>-3.8900000000000006</v>
      </c>
    </row>
    <row r="1055" spans="2:10" x14ac:dyDescent="0.25">
      <c r="B1055" s="5">
        <f t="shared" si="33"/>
        <v>43421</v>
      </c>
      <c r="C1055" s="6">
        <f>IFERROR(VLOOKUP($B1055,Platts!$E$5:$M$4994,MATCH(C$3,Platts!$F$5:$M$5,0)+1,FALSE),C1054)</f>
        <v>60.35</v>
      </c>
      <c r="D1055" s="6">
        <f>IFERROR(VLOOKUP($B1055,Platts!$E$5:$M$4994,MATCH(D$3,Platts!$F$5:$M$5,0)+1,FALSE),D1054)</f>
        <v>65.400000000000006</v>
      </c>
      <c r="E1055" s="6">
        <f>IFERROR(VLOOKUP($B1055,Platts!$E$5:$M$4994,MATCH(E$3,Platts!$F$5:$M$5,0)+1,FALSE),E1054)</f>
        <v>62.8</v>
      </c>
      <c r="F1055" s="6">
        <f>IFERROR(VLOOKUP($B1055,Platts!$E$5:$M$4994,MATCH(F$3,Platts!$F$5:$M$5,0)+1,FALSE),F1054)</f>
        <v>68.510000000000005</v>
      </c>
      <c r="G1055" s="6">
        <f>IFERROR(VLOOKUP($B1055,Platts!$E$5:$M$4994,MATCH(G$3,Platts!$F$5:$M$5,0)+1,FALSE),G1054)</f>
        <v>67.12</v>
      </c>
      <c r="H1055" s="6">
        <f>IFERROR(VLOOKUP($B1055,Platts!$E$5:$M$4994,MATCH(H$3,Platts!$F$5:$M$5,0)+1,FALSE),H1054)</f>
        <v>56.46</v>
      </c>
      <c r="I1055" s="6">
        <f>IFERROR(VLOOKUP($B1055,Platts!$E$5:$M$4994,MATCH(I$3,Platts!$F$5:$M$5,0)+1,FALSE),I1054)</f>
        <v>64.91</v>
      </c>
      <c r="J1055" s="6">
        <f t="shared" si="32"/>
        <v>-3.8900000000000006</v>
      </c>
    </row>
    <row r="1056" spans="2:10" x14ac:dyDescent="0.25">
      <c r="B1056" s="5">
        <f t="shared" si="33"/>
        <v>43422</v>
      </c>
      <c r="C1056" s="6">
        <f>IFERROR(VLOOKUP($B1056,Platts!$E$5:$M$4994,MATCH(C$3,Platts!$F$5:$M$5,0)+1,FALSE),C1055)</f>
        <v>60.35</v>
      </c>
      <c r="D1056" s="6">
        <f>IFERROR(VLOOKUP($B1056,Platts!$E$5:$M$4994,MATCH(D$3,Platts!$F$5:$M$5,0)+1,FALSE),D1055)</f>
        <v>65.400000000000006</v>
      </c>
      <c r="E1056" s="6">
        <f>IFERROR(VLOOKUP($B1056,Platts!$E$5:$M$4994,MATCH(E$3,Platts!$F$5:$M$5,0)+1,FALSE),E1055)</f>
        <v>62.8</v>
      </c>
      <c r="F1056" s="6">
        <f>IFERROR(VLOOKUP($B1056,Platts!$E$5:$M$4994,MATCH(F$3,Platts!$F$5:$M$5,0)+1,FALSE),F1055)</f>
        <v>68.510000000000005</v>
      </c>
      <c r="G1056" s="6">
        <f>IFERROR(VLOOKUP($B1056,Platts!$E$5:$M$4994,MATCH(G$3,Platts!$F$5:$M$5,0)+1,FALSE),G1055)</f>
        <v>67.12</v>
      </c>
      <c r="H1056" s="6">
        <f>IFERROR(VLOOKUP($B1056,Platts!$E$5:$M$4994,MATCH(H$3,Platts!$F$5:$M$5,0)+1,FALSE),H1055)</f>
        <v>56.46</v>
      </c>
      <c r="I1056" s="6">
        <f>IFERROR(VLOOKUP($B1056,Platts!$E$5:$M$4994,MATCH(I$3,Platts!$F$5:$M$5,0)+1,FALSE),I1055)</f>
        <v>64.91</v>
      </c>
      <c r="J1056" s="6">
        <f t="shared" si="32"/>
        <v>-3.8900000000000006</v>
      </c>
    </row>
    <row r="1057" spans="2:10" x14ac:dyDescent="0.25">
      <c r="B1057" s="5">
        <f t="shared" si="33"/>
        <v>43423</v>
      </c>
      <c r="C1057" s="6">
        <f>IFERROR(VLOOKUP($B1057,Platts!$E$5:$M$4994,MATCH(C$3,Platts!$F$5:$M$5,0)+1,FALSE),C1056)</f>
        <v>60.64</v>
      </c>
      <c r="D1057" s="6">
        <f>IFERROR(VLOOKUP($B1057,Platts!$E$5:$M$4994,MATCH(D$3,Platts!$F$5:$M$5,0)+1,FALSE),D1056)</f>
        <v>65.739999999999995</v>
      </c>
      <c r="E1057" s="6">
        <f>IFERROR(VLOOKUP($B1057,Platts!$E$5:$M$4994,MATCH(E$3,Platts!$F$5:$M$5,0)+1,FALSE),E1056)</f>
        <v>63.13</v>
      </c>
      <c r="F1057" s="6">
        <f>IFERROR(VLOOKUP($B1057,Platts!$E$5:$M$4994,MATCH(F$3,Platts!$F$5:$M$5,0)+1,FALSE),F1056)</f>
        <v>68.81</v>
      </c>
      <c r="G1057" s="6">
        <f>IFERROR(VLOOKUP($B1057,Platts!$E$5:$M$4994,MATCH(G$3,Platts!$F$5:$M$5,0)+1,FALSE),G1056)</f>
        <v>66.11</v>
      </c>
      <c r="H1057" s="6">
        <f>IFERROR(VLOOKUP($B1057,Platts!$E$5:$M$4994,MATCH(H$3,Platts!$F$5:$M$5,0)+1,FALSE),H1056)</f>
        <v>56.76</v>
      </c>
      <c r="I1057" s="6">
        <f>IFERROR(VLOOKUP($B1057,Platts!$E$5:$M$4994,MATCH(I$3,Platts!$F$5:$M$5,0)+1,FALSE),I1056)</f>
        <v>65.209999999999994</v>
      </c>
      <c r="J1057" s="6">
        <f t="shared" si="32"/>
        <v>-3.8800000000000026</v>
      </c>
    </row>
    <row r="1058" spans="2:10" x14ac:dyDescent="0.25">
      <c r="B1058" s="5">
        <f t="shared" si="33"/>
        <v>43424</v>
      </c>
      <c r="C1058" s="6">
        <f>IFERROR(VLOOKUP($B1058,Platts!$E$5:$M$4994,MATCH(C$3,Platts!$F$5:$M$5,0)+1,FALSE),C1057)</f>
        <v>57.65</v>
      </c>
      <c r="D1058" s="6">
        <f>IFERROR(VLOOKUP($B1058,Platts!$E$5:$M$4994,MATCH(D$3,Platts!$F$5:$M$5,0)+1,FALSE),D1057)</f>
        <v>61.63</v>
      </c>
      <c r="E1058" s="6">
        <f>IFERROR(VLOOKUP($B1058,Platts!$E$5:$M$4994,MATCH(E$3,Platts!$F$5:$M$5,0)+1,FALSE),E1057)</f>
        <v>60.89</v>
      </c>
      <c r="F1058" s="6">
        <f>IFERROR(VLOOKUP($B1058,Platts!$E$5:$M$4994,MATCH(F$3,Platts!$F$5:$M$5,0)+1,FALSE),F1057)</f>
        <v>64.62</v>
      </c>
      <c r="G1058" s="6">
        <f>IFERROR(VLOOKUP($B1058,Platts!$E$5:$M$4994,MATCH(G$3,Platts!$F$5:$M$5,0)+1,FALSE),G1057)</f>
        <v>63.72</v>
      </c>
      <c r="H1058" s="6">
        <f>IFERROR(VLOOKUP($B1058,Platts!$E$5:$M$4994,MATCH(H$3,Platts!$F$5:$M$5,0)+1,FALSE),H1057)</f>
        <v>53.23</v>
      </c>
      <c r="I1058" s="6">
        <f>IFERROR(VLOOKUP($B1058,Platts!$E$5:$M$4994,MATCH(I$3,Platts!$F$5:$M$5,0)+1,FALSE),I1057)</f>
        <v>61.18</v>
      </c>
      <c r="J1058" s="6">
        <f t="shared" si="32"/>
        <v>-4.4200000000000017</v>
      </c>
    </row>
    <row r="1059" spans="2:10" x14ac:dyDescent="0.25">
      <c r="B1059" s="5">
        <f t="shared" si="33"/>
        <v>43425</v>
      </c>
      <c r="C1059" s="6">
        <f>IFERROR(VLOOKUP($B1059,Platts!$E$5:$M$4994,MATCH(C$3,Platts!$F$5:$M$5,0)+1,FALSE),C1058)</f>
        <v>57.85</v>
      </c>
      <c r="D1059" s="6">
        <f>IFERROR(VLOOKUP($B1059,Platts!$E$5:$M$4994,MATCH(D$3,Platts!$F$5:$M$5,0)+1,FALSE),D1058)</f>
        <v>62.6</v>
      </c>
      <c r="E1059" s="6">
        <f>IFERROR(VLOOKUP($B1059,Platts!$E$5:$M$4994,MATCH(E$3,Platts!$F$5:$M$5,0)+1,FALSE),E1058)</f>
        <v>60.01</v>
      </c>
      <c r="F1059" s="6">
        <f>IFERROR(VLOOKUP($B1059,Platts!$E$5:$M$4994,MATCH(F$3,Platts!$F$5:$M$5,0)+1,FALSE),F1058)</f>
        <v>65.58</v>
      </c>
      <c r="G1059" s="6">
        <f>IFERROR(VLOOKUP($B1059,Platts!$E$5:$M$4994,MATCH(G$3,Platts!$F$5:$M$5,0)+1,FALSE),G1058)</f>
        <v>63.29</v>
      </c>
      <c r="H1059" s="6">
        <f>IFERROR(VLOOKUP($B1059,Platts!$E$5:$M$4994,MATCH(H$3,Platts!$F$5:$M$5,0)+1,FALSE),H1058)</f>
        <v>54.38</v>
      </c>
      <c r="I1059" s="6">
        <f>IFERROR(VLOOKUP($B1059,Platts!$E$5:$M$4994,MATCH(I$3,Platts!$F$5:$M$5,0)+1,FALSE),I1058)</f>
        <v>61.63</v>
      </c>
      <c r="J1059" s="6">
        <f t="shared" si="32"/>
        <v>-3.4699999999999989</v>
      </c>
    </row>
    <row r="1060" spans="2:10" x14ac:dyDescent="0.25">
      <c r="B1060" s="5">
        <f t="shared" si="33"/>
        <v>43426</v>
      </c>
      <c r="C1060" s="6">
        <f>IFERROR(VLOOKUP($B1060,Platts!$E$5:$M$4994,MATCH(C$3,Platts!$F$5:$M$5,0)+1,FALSE),C1059)</f>
        <v>57.85</v>
      </c>
      <c r="D1060" s="6">
        <f>IFERROR(VLOOKUP($B1060,Platts!$E$5:$M$4994,MATCH(D$3,Platts!$F$5:$M$5,0)+1,FALSE),D1059)</f>
        <v>62.6</v>
      </c>
      <c r="E1060" s="6">
        <f>IFERROR(VLOOKUP($B1060,Platts!$E$5:$M$4994,MATCH(E$3,Platts!$F$5:$M$5,0)+1,FALSE),E1059)</f>
        <v>60.01</v>
      </c>
      <c r="F1060" s="6">
        <f>IFERROR(VLOOKUP($B1060,Platts!$E$5:$M$4994,MATCH(F$3,Platts!$F$5:$M$5,0)+1,FALSE),F1059)</f>
        <v>65.58</v>
      </c>
      <c r="G1060" s="6">
        <f>IFERROR(VLOOKUP($B1060,Platts!$E$5:$M$4994,MATCH(G$3,Platts!$F$5:$M$5,0)+1,FALSE),G1059)</f>
        <v>62.87</v>
      </c>
      <c r="H1060" s="6">
        <f>IFERROR(VLOOKUP($B1060,Platts!$E$5:$M$4994,MATCH(H$3,Platts!$F$5:$M$5,0)+1,FALSE),H1059)</f>
        <v>54.38</v>
      </c>
      <c r="I1060" s="6">
        <f>IFERROR(VLOOKUP($B1060,Platts!$E$5:$M$4994,MATCH(I$3,Platts!$F$5:$M$5,0)+1,FALSE),I1059)</f>
        <v>61.63</v>
      </c>
      <c r="J1060" s="6">
        <f t="shared" si="32"/>
        <v>-3.4699999999999989</v>
      </c>
    </row>
    <row r="1061" spans="2:10" x14ac:dyDescent="0.25">
      <c r="B1061" s="5">
        <f t="shared" si="33"/>
        <v>43427</v>
      </c>
      <c r="C1061" s="6">
        <f>IFERROR(VLOOKUP($B1061,Platts!$E$5:$M$4994,MATCH(C$3,Platts!$F$5:$M$5,0)+1,FALSE),C1060)</f>
        <v>57.85</v>
      </c>
      <c r="D1061" s="6">
        <f>IFERROR(VLOOKUP($B1061,Platts!$E$5:$M$4994,MATCH(D$3,Platts!$F$5:$M$5,0)+1,FALSE),D1060)</f>
        <v>58.39</v>
      </c>
      <c r="E1061" s="6">
        <f>IFERROR(VLOOKUP($B1061,Platts!$E$5:$M$4994,MATCH(E$3,Platts!$F$5:$M$5,0)+1,FALSE),E1060)</f>
        <v>58.12</v>
      </c>
      <c r="F1061" s="6">
        <f>IFERROR(VLOOKUP($B1061,Platts!$E$5:$M$4994,MATCH(F$3,Platts!$F$5:$M$5,0)+1,FALSE),F1060)</f>
        <v>61.4</v>
      </c>
      <c r="G1061" s="6">
        <f>IFERROR(VLOOKUP($B1061,Platts!$E$5:$M$4994,MATCH(G$3,Platts!$F$5:$M$5,0)+1,FALSE),G1060)</f>
        <v>58.88</v>
      </c>
      <c r="H1061" s="6">
        <f>IFERROR(VLOOKUP($B1061,Platts!$E$5:$M$4994,MATCH(H$3,Platts!$F$5:$M$5,0)+1,FALSE),H1060)</f>
        <v>54.38</v>
      </c>
      <c r="I1061" s="6">
        <f>IFERROR(VLOOKUP($B1061,Platts!$E$5:$M$4994,MATCH(I$3,Platts!$F$5:$M$5,0)+1,FALSE),I1060)</f>
        <v>61.63</v>
      </c>
      <c r="J1061" s="6">
        <f t="shared" si="32"/>
        <v>-3.4699999999999989</v>
      </c>
    </row>
    <row r="1062" spans="2:10" x14ac:dyDescent="0.25">
      <c r="B1062" s="5">
        <f t="shared" si="33"/>
        <v>43428</v>
      </c>
      <c r="C1062" s="6">
        <f>IFERROR(VLOOKUP($B1062,Platts!$E$5:$M$4994,MATCH(C$3,Platts!$F$5:$M$5,0)+1,FALSE),C1061)</f>
        <v>57.85</v>
      </c>
      <c r="D1062" s="6">
        <f>IFERROR(VLOOKUP($B1062,Platts!$E$5:$M$4994,MATCH(D$3,Platts!$F$5:$M$5,0)+1,FALSE),D1061)</f>
        <v>58.39</v>
      </c>
      <c r="E1062" s="6">
        <f>IFERROR(VLOOKUP($B1062,Platts!$E$5:$M$4994,MATCH(E$3,Platts!$F$5:$M$5,0)+1,FALSE),E1061)</f>
        <v>58.12</v>
      </c>
      <c r="F1062" s="6">
        <f>IFERROR(VLOOKUP($B1062,Platts!$E$5:$M$4994,MATCH(F$3,Platts!$F$5:$M$5,0)+1,FALSE),F1061)</f>
        <v>61.4</v>
      </c>
      <c r="G1062" s="6">
        <f>IFERROR(VLOOKUP($B1062,Platts!$E$5:$M$4994,MATCH(G$3,Platts!$F$5:$M$5,0)+1,FALSE),G1061)</f>
        <v>58.88</v>
      </c>
      <c r="H1062" s="6">
        <f>IFERROR(VLOOKUP($B1062,Platts!$E$5:$M$4994,MATCH(H$3,Platts!$F$5:$M$5,0)+1,FALSE),H1061)</f>
        <v>54.38</v>
      </c>
      <c r="I1062" s="6">
        <f>IFERROR(VLOOKUP($B1062,Platts!$E$5:$M$4994,MATCH(I$3,Platts!$F$5:$M$5,0)+1,FALSE),I1061)</f>
        <v>61.63</v>
      </c>
      <c r="J1062" s="6">
        <f t="shared" si="32"/>
        <v>-3.4699999999999989</v>
      </c>
    </row>
    <row r="1063" spans="2:10" x14ac:dyDescent="0.25">
      <c r="B1063" s="5">
        <f t="shared" si="33"/>
        <v>43429</v>
      </c>
      <c r="C1063" s="6">
        <f>IFERROR(VLOOKUP($B1063,Platts!$E$5:$M$4994,MATCH(C$3,Platts!$F$5:$M$5,0)+1,FALSE),C1062)</f>
        <v>57.85</v>
      </c>
      <c r="D1063" s="6">
        <f>IFERROR(VLOOKUP($B1063,Platts!$E$5:$M$4994,MATCH(D$3,Platts!$F$5:$M$5,0)+1,FALSE),D1062)</f>
        <v>58.39</v>
      </c>
      <c r="E1063" s="6">
        <f>IFERROR(VLOOKUP($B1063,Platts!$E$5:$M$4994,MATCH(E$3,Platts!$F$5:$M$5,0)+1,FALSE),E1062)</f>
        <v>58.12</v>
      </c>
      <c r="F1063" s="6">
        <f>IFERROR(VLOOKUP($B1063,Platts!$E$5:$M$4994,MATCH(F$3,Platts!$F$5:$M$5,0)+1,FALSE),F1062)</f>
        <v>61.4</v>
      </c>
      <c r="G1063" s="6">
        <f>IFERROR(VLOOKUP($B1063,Platts!$E$5:$M$4994,MATCH(G$3,Platts!$F$5:$M$5,0)+1,FALSE),G1062)</f>
        <v>58.88</v>
      </c>
      <c r="H1063" s="6">
        <f>IFERROR(VLOOKUP($B1063,Platts!$E$5:$M$4994,MATCH(H$3,Platts!$F$5:$M$5,0)+1,FALSE),H1062)</f>
        <v>54.38</v>
      </c>
      <c r="I1063" s="6">
        <f>IFERROR(VLOOKUP($B1063,Platts!$E$5:$M$4994,MATCH(I$3,Platts!$F$5:$M$5,0)+1,FALSE),I1062)</f>
        <v>61.63</v>
      </c>
      <c r="J1063" s="6">
        <f t="shared" si="32"/>
        <v>-3.4699999999999989</v>
      </c>
    </row>
    <row r="1064" spans="2:10" x14ac:dyDescent="0.25">
      <c r="B1064" s="5">
        <f t="shared" si="33"/>
        <v>43430</v>
      </c>
      <c r="C1064" s="6">
        <f>IFERROR(VLOOKUP($B1064,Platts!$E$5:$M$4994,MATCH(C$3,Platts!$F$5:$M$5,0)+1,FALSE),C1063)</f>
        <v>54.88</v>
      </c>
      <c r="D1064" s="6">
        <f>IFERROR(VLOOKUP($B1064,Platts!$E$5:$M$4994,MATCH(D$3,Platts!$F$5:$M$5,0)+1,FALSE),D1063)</f>
        <v>59.5</v>
      </c>
      <c r="E1064" s="6">
        <f>IFERROR(VLOOKUP($B1064,Platts!$E$5:$M$4994,MATCH(E$3,Platts!$F$5:$M$5,0)+1,FALSE),E1063)</f>
        <v>57.67</v>
      </c>
      <c r="F1064" s="6">
        <f>IFERROR(VLOOKUP($B1064,Platts!$E$5:$M$4994,MATCH(F$3,Platts!$F$5:$M$5,0)+1,FALSE),F1063)</f>
        <v>62.57</v>
      </c>
      <c r="G1064" s="6">
        <f>IFERROR(VLOOKUP($B1064,Platts!$E$5:$M$4994,MATCH(G$3,Platts!$F$5:$M$5,0)+1,FALSE),G1063)</f>
        <v>60.78</v>
      </c>
      <c r="H1064" s="6">
        <f>IFERROR(VLOOKUP($B1064,Platts!$E$5:$M$4994,MATCH(H$3,Platts!$F$5:$M$5,0)+1,FALSE),H1063)</f>
        <v>51.63</v>
      </c>
      <c r="I1064" s="6">
        <f>IFERROR(VLOOKUP($B1064,Platts!$E$5:$M$4994,MATCH(I$3,Platts!$F$5:$M$5,0)+1,FALSE),I1063)</f>
        <v>58.18</v>
      </c>
      <c r="J1064" s="6">
        <f t="shared" si="32"/>
        <v>-3.25</v>
      </c>
    </row>
    <row r="1065" spans="2:10" x14ac:dyDescent="0.25">
      <c r="B1065" s="5">
        <f t="shared" si="33"/>
        <v>43431</v>
      </c>
      <c r="C1065" s="6">
        <f>IFERROR(VLOOKUP($B1065,Platts!$E$5:$M$4994,MATCH(C$3,Platts!$F$5:$M$5,0)+1,FALSE),C1064)</f>
        <v>54.68</v>
      </c>
      <c r="D1065" s="6">
        <f>IFERROR(VLOOKUP($B1065,Platts!$E$5:$M$4994,MATCH(D$3,Platts!$F$5:$M$5,0)+1,FALSE),D1064)</f>
        <v>59.86</v>
      </c>
      <c r="E1065" s="6">
        <f>IFERROR(VLOOKUP($B1065,Platts!$E$5:$M$4994,MATCH(E$3,Platts!$F$5:$M$5,0)+1,FALSE),E1064)</f>
        <v>57.59</v>
      </c>
      <c r="F1065" s="6">
        <f>IFERROR(VLOOKUP($B1065,Platts!$E$5:$M$4994,MATCH(F$3,Platts!$F$5:$M$5,0)+1,FALSE),F1064)</f>
        <v>62.88</v>
      </c>
      <c r="G1065" s="6">
        <f>IFERROR(VLOOKUP($B1065,Platts!$E$5:$M$4994,MATCH(G$3,Platts!$F$5:$M$5,0)+1,FALSE),G1064)</f>
        <v>60.58</v>
      </c>
      <c r="H1065" s="6">
        <f>IFERROR(VLOOKUP($B1065,Platts!$E$5:$M$4994,MATCH(H$3,Platts!$F$5:$M$5,0)+1,FALSE),H1064)</f>
        <v>51.58</v>
      </c>
      <c r="I1065" s="6">
        <f>IFERROR(VLOOKUP($B1065,Platts!$E$5:$M$4994,MATCH(I$3,Platts!$F$5:$M$5,0)+1,FALSE),I1064)</f>
        <v>58.38</v>
      </c>
      <c r="J1065" s="6">
        <f t="shared" si="32"/>
        <v>-3.1000000000000014</v>
      </c>
    </row>
    <row r="1066" spans="2:10" x14ac:dyDescent="0.25">
      <c r="B1066" s="5">
        <f t="shared" si="33"/>
        <v>43432</v>
      </c>
      <c r="C1066" s="6">
        <f>IFERROR(VLOOKUP($B1066,Platts!$E$5:$M$4994,MATCH(C$3,Platts!$F$5:$M$5,0)+1,FALSE),C1065)</f>
        <v>53.43</v>
      </c>
      <c r="D1066" s="6">
        <f>IFERROR(VLOOKUP($B1066,Platts!$E$5:$M$4994,MATCH(D$3,Platts!$F$5:$M$5,0)+1,FALSE),D1065)</f>
        <v>58.19</v>
      </c>
      <c r="E1066" s="6">
        <f>IFERROR(VLOOKUP($B1066,Platts!$E$5:$M$4994,MATCH(E$3,Platts!$F$5:$M$5,0)+1,FALSE),E1065)</f>
        <v>55.93</v>
      </c>
      <c r="F1066" s="6">
        <f>IFERROR(VLOOKUP($B1066,Platts!$E$5:$M$4994,MATCH(F$3,Platts!$F$5:$M$5,0)+1,FALSE),F1065)</f>
        <v>61.17</v>
      </c>
      <c r="G1066" s="6">
        <f>IFERROR(VLOOKUP($B1066,Platts!$E$5:$M$4994,MATCH(G$3,Platts!$F$5:$M$5,0)+1,FALSE),G1065)</f>
        <v>59.57</v>
      </c>
      <c r="H1066" s="6">
        <f>IFERROR(VLOOKUP($B1066,Platts!$E$5:$M$4994,MATCH(H$3,Platts!$F$5:$M$5,0)+1,FALSE),H1065)</f>
        <v>50.31</v>
      </c>
      <c r="I1066" s="6">
        <f>IFERROR(VLOOKUP($B1066,Platts!$E$5:$M$4994,MATCH(I$3,Platts!$F$5:$M$5,0)+1,FALSE),I1065)</f>
        <v>57.21</v>
      </c>
      <c r="J1066" s="6">
        <f t="shared" si="32"/>
        <v>-3.1199999999999974</v>
      </c>
    </row>
    <row r="1067" spans="2:10" x14ac:dyDescent="0.25">
      <c r="B1067" s="5">
        <f t="shared" si="33"/>
        <v>43433</v>
      </c>
      <c r="C1067" s="6">
        <f>IFERROR(VLOOKUP($B1067,Platts!$E$5:$M$4994,MATCH(C$3,Platts!$F$5:$M$5,0)+1,FALSE),C1066)</f>
        <v>53.66</v>
      </c>
      <c r="D1067" s="6">
        <f>IFERROR(VLOOKUP($B1067,Platts!$E$5:$M$4994,MATCH(D$3,Platts!$F$5:$M$5,0)+1,FALSE),D1066)</f>
        <v>58.95</v>
      </c>
      <c r="E1067" s="6">
        <f>IFERROR(VLOOKUP($B1067,Platts!$E$5:$M$4994,MATCH(E$3,Platts!$F$5:$M$5,0)+1,FALSE),E1066)</f>
        <v>56.32</v>
      </c>
      <c r="F1067" s="6">
        <f>IFERROR(VLOOKUP($B1067,Platts!$E$5:$M$4994,MATCH(F$3,Platts!$F$5:$M$5,0)+1,FALSE),F1066)</f>
        <v>61.95</v>
      </c>
      <c r="G1067" s="6">
        <f>IFERROR(VLOOKUP($B1067,Platts!$E$5:$M$4994,MATCH(G$3,Platts!$F$5:$M$5,0)+1,FALSE),G1066)</f>
        <v>59.65</v>
      </c>
      <c r="H1067" s="6">
        <f>IFERROR(VLOOKUP($B1067,Platts!$E$5:$M$4994,MATCH(H$3,Platts!$F$5:$M$5,0)+1,FALSE),H1066)</f>
        <v>51.45</v>
      </c>
      <c r="I1067" s="6">
        <f>IFERROR(VLOOKUP($B1067,Platts!$E$5:$M$4994,MATCH(I$3,Platts!$F$5:$M$5,0)+1,FALSE),I1066)</f>
        <v>58.1</v>
      </c>
      <c r="J1067" s="6">
        <f t="shared" si="32"/>
        <v>-2.2099999999999937</v>
      </c>
    </row>
    <row r="1068" spans="2:10" x14ac:dyDescent="0.25">
      <c r="B1068" s="5">
        <f t="shared" si="33"/>
        <v>43434</v>
      </c>
      <c r="C1068" s="6">
        <f>IFERROR(VLOOKUP($B1068,Platts!$E$5:$M$4994,MATCH(C$3,Platts!$F$5:$M$5,0)+1,FALSE),C1067)</f>
        <v>53.14</v>
      </c>
      <c r="D1068" s="6">
        <f>IFERROR(VLOOKUP($B1068,Platts!$E$5:$M$4994,MATCH(D$3,Platts!$F$5:$M$5,0)+1,FALSE),D1067)</f>
        <v>58.35</v>
      </c>
      <c r="E1068" s="6">
        <f>IFERROR(VLOOKUP($B1068,Platts!$E$5:$M$4994,MATCH(E$3,Platts!$F$5:$M$5,0)+1,FALSE),E1067)</f>
        <v>55.86</v>
      </c>
      <c r="F1068" s="6">
        <f>IFERROR(VLOOKUP($B1068,Platts!$E$5:$M$4994,MATCH(F$3,Platts!$F$5:$M$5,0)+1,FALSE),F1067)</f>
        <v>61.34</v>
      </c>
      <c r="G1068" s="6">
        <f>IFERROR(VLOOKUP($B1068,Platts!$E$5:$M$4994,MATCH(G$3,Platts!$F$5:$M$5,0)+1,FALSE),G1067)</f>
        <v>58.14</v>
      </c>
      <c r="H1068" s="6">
        <f>IFERROR(VLOOKUP($B1068,Platts!$E$5:$M$4994,MATCH(H$3,Platts!$F$5:$M$5,0)+1,FALSE),H1067)</f>
        <v>50.93</v>
      </c>
      <c r="I1068" s="6">
        <f>IFERROR(VLOOKUP($B1068,Platts!$E$5:$M$4994,MATCH(I$3,Platts!$F$5:$M$5,0)+1,FALSE),I1067)</f>
        <v>57.63</v>
      </c>
      <c r="J1068" s="6">
        <f t="shared" si="32"/>
        <v>-2.2100000000000009</v>
      </c>
    </row>
    <row r="1069" spans="2:10" x14ac:dyDescent="0.25">
      <c r="B1069" s="5">
        <f t="shared" si="33"/>
        <v>43435</v>
      </c>
      <c r="C1069" s="6">
        <f>IFERROR(VLOOKUP($B1069,Platts!$E$5:$M$4994,MATCH(C$3,Platts!$F$5:$M$5,0)+1,FALSE),C1068)</f>
        <v>53.14</v>
      </c>
      <c r="D1069" s="6">
        <f>IFERROR(VLOOKUP($B1069,Platts!$E$5:$M$4994,MATCH(D$3,Platts!$F$5:$M$5,0)+1,FALSE),D1068)</f>
        <v>58.35</v>
      </c>
      <c r="E1069" s="6">
        <f>IFERROR(VLOOKUP($B1069,Platts!$E$5:$M$4994,MATCH(E$3,Platts!$F$5:$M$5,0)+1,FALSE),E1068)</f>
        <v>55.86</v>
      </c>
      <c r="F1069" s="6">
        <f>IFERROR(VLOOKUP($B1069,Platts!$E$5:$M$4994,MATCH(F$3,Platts!$F$5:$M$5,0)+1,FALSE),F1068)</f>
        <v>61.34</v>
      </c>
      <c r="G1069" s="6">
        <f>IFERROR(VLOOKUP($B1069,Platts!$E$5:$M$4994,MATCH(G$3,Platts!$F$5:$M$5,0)+1,FALSE),G1068)</f>
        <v>58.14</v>
      </c>
      <c r="H1069" s="6">
        <f>IFERROR(VLOOKUP($B1069,Platts!$E$5:$M$4994,MATCH(H$3,Platts!$F$5:$M$5,0)+1,FALSE),H1068)</f>
        <v>50.93</v>
      </c>
      <c r="I1069" s="6">
        <f>IFERROR(VLOOKUP($B1069,Platts!$E$5:$M$4994,MATCH(I$3,Platts!$F$5:$M$5,0)+1,FALSE),I1068)</f>
        <v>57.63</v>
      </c>
      <c r="J1069" s="6">
        <f t="shared" si="32"/>
        <v>-2.2100000000000009</v>
      </c>
    </row>
    <row r="1070" spans="2:10" x14ac:dyDescent="0.25">
      <c r="B1070" s="5">
        <f t="shared" si="33"/>
        <v>43436</v>
      </c>
      <c r="C1070" s="6">
        <f>IFERROR(VLOOKUP($B1070,Platts!$E$5:$M$4994,MATCH(C$3,Platts!$F$5:$M$5,0)+1,FALSE),C1069)</f>
        <v>53.14</v>
      </c>
      <c r="D1070" s="6">
        <f>IFERROR(VLOOKUP($B1070,Platts!$E$5:$M$4994,MATCH(D$3,Platts!$F$5:$M$5,0)+1,FALSE),D1069)</f>
        <v>58.35</v>
      </c>
      <c r="E1070" s="6">
        <f>IFERROR(VLOOKUP($B1070,Platts!$E$5:$M$4994,MATCH(E$3,Platts!$F$5:$M$5,0)+1,FALSE),E1069)</f>
        <v>55.86</v>
      </c>
      <c r="F1070" s="6">
        <f>IFERROR(VLOOKUP($B1070,Platts!$E$5:$M$4994,MATCH(F$3,Platts!$F$5:$M$5,0)+1,FALSE),F1069)</f>
        <v>61.34</v>
      </c>
      <c r="G1070" s="6">
        <f>IFERROR(VLOOKUP($B1070,Platts!$E$5:$M$4994,MATCH(G$3,Platts!$F$5:$M$5,0)+1,FALSE),G1069)</f>
        <v>58.14</v>
      </c>
      <c r="H1070" s="6">
        <f>IFERROR(VLOOKUP($B1070,Platts!$E$5:$M$4994,MATCH(H$3,Platts!$F$5:$M$5,0)+1,FALSE),H1069)</f>
        <v>50.93</v>
      </c>
      <c r="I1070" s="6">
        <f>IFERROR(VLOOKUP($B1070,Platts!$E$5:$M$4994,MATCH(I$3,Platts!$F$5:$M$5,0)+1,FALSE),I1069)</f>
        <v>57.63</v>
      </c>
      <c r="J1070" s="6">
        <f t="shared" si="32"/>
        <v>-2.2100000000000009</v>
      </c>
    </row>
    <row r="1071" spans="2:10" x14ac:dyDescent="0.25">
      <c r="B1071" s="5">
        <f t="shared" si="33"/>
        <v>43437</v>
      </c>
      <c r="C1071" s="6">
        <f>IFERROR(VLOOKUP($B1071,Platts!$E$5:$M$4994,MATCH(C$3,Platts!$F$5:$M$5,0)+1,FALSE),C1070)</f>
        <v>54.09</v>
      </c>
      <c r="D1071" s="6">
        <f>IFERROR(VLOOKUP($B1071,Platts!$E$5:$M$4994,MATCH(D$3,Platts!$F$5:$M$5,0)+1,FALSE),D1070)</f>
        <v>59.03</v>
      </c>
      <c r="E1071" s="6">
        <f>IFERROR(VLOOKUP($B1071,Platts!$E$5:$M$4994,MATCH(E$3,Platts!$F$5:$M$5,0)+1,FALSE),E1070)</f>
        <v>56.18</v>
      </c>
      <c r="F1071" s="6">
        <f>IFERROR(VLOOKUP($B1071,Platts!$E$5:$M$4994,MATCH(F$3,Platts!$F$5:$M$5,0)+1,FALSE),F1070)</f>
        <v>62.11</v>
      </c>
      <c r="G1071" s="6">
        <f>IFERROR(VLOOKUP($B1071,Platts!$E$5:$M$4994,MATCH(G$3,Platts!$F$5:$M$5,0)+1,FALSE),G1070)</f>
        <v>61.35</v>
      </c>
      <c r="H1071" s="6">
        <f>IFERROR(VLOOKUP($B1071,Platts!$E$5:$M$4994,MATCH(H$3,Platts!$F$5:$M$5,0)+1,FALSE),H1070)</f>
        <v>52.98</v>
      </c>
      <c r="I1071" s="6">
        <f>IFERROR(VLOOKUP($B1071,Platts!$E$5:$M$4994,MATCH(I$3,Platts!$F$5:$M$5,0)+1,FALSE),I1070)</f>
        <v>59.68</v>
      </c>
      <c r="J1071" s="6">
        <f t="shared" si="32"/>
        <v>-1.1100000000000065</v>
      </c>
    </row>
    <row r="1072" spans="2:10" x14ac:dyDescent="0.25">
      <c r="B1072" s="5">
        <f t="shared" si="33"/>
        <v>43438</v>
      </c>
      <c r="C1072" s="6">
        <f>IFERROR(VLOOKUP($B1072,Platts!$E$5:$M$4994,MATCH(C$3,Platts!$F$5:$M$5,0)+1,FALSE),C1071)</f>
        <v>54.82</v>
      </c>
      <c r="D1072" s="6">
        <f>IFERROR(VLOOKUP($B1072,Platts!$E$5:$M$4994,MATCH(D$3,Platts!$F$5:$M$5,0)+1,FALSE),D1071)</f>
        <v>59.26</v>
      </c>
      <c r="E1072" s="6">
        <f>IFERROR(VLOOKUP($B1072,Platts!$E$5:$M$4994,MATCH(E$3,Platts!$F$5:$M$5,0)+1,FALSE),E1071)</f>
        <v>56.71</v>
      </c>
      <c r="F1072" s="6">
        <f>IFERROR(VLOOKUP($B1072,Platts!$E$5:$M$4994,MATCH(F$3,Platts!$F$5:$M$5,0)+1,FALSE),F1071)</f>
        <v>62.25</v>
      </c>
      <c r="G1072" s="6">
        <f>IFERROR(VLOOKUP($B1072,Platts!$E$5:$M$4994,MATCH(G$3,Platts!$F$5:$M$5,0)+1,FALSE),G1071)</f>
        <v>62.12</v>
      </c>
      <c r="H1072" s="6">
        <f>IFERROR(VLOOKUP($B1072,Platts!$E$5:$M$4994,MATCH(H$3,Platts!$F$5:$M$5,0)+1,FALSE),H1071)</f>
        <v>53.26</v>
      </c>
      <c r="I1072" s="6">
        <f>IFERROR(VLOOKUP($B1072,Platts!$E$5:$M$4994,MATCH(I$3,Platts!$F$5:$M$5,0)+1,FALSE),I1071)</f>
        <v>60.16</v>
      </c>
      <c r="J1072" s="6">
        <f t="shared" si="32"/>
        <v>-1.5600000000000023</v>
      </c>
    </row>
    <row r="1073" spans="2:10" x14ac:dyDescent="0.25">
      <c r="B1073" s="5">
        <f t="shared" si="33"/>
        <v>43439</v>
      </c>
      <c r="C1073" s="6">
        <f>IFERROR(VLOOKUP($B1073,Platts!$E$5:$M$4994,MATCH(C$3,Platts!$F$5:$M$5,0)+1,FALSE),C1072)</f>
        <v>54.71</v>
      </c>
      <c r="D1073" s="6">
        <f>IFERROR(VLOOKUP($B1073,Platts!$E$5:$M$4994,MATCH(D$3,Platts!$F$5:$M$5,0)+1,FALSE),D1072)</f>
        <v>58.98</v>
      </c>
      <c r="E1073" s="6">
        <f>IFERROR(VLOOKUP($B1073,Platts!$E$5:$M$4994,MATCH(E$3,Platts!$F$5:$M$5,0)+1,FALSE),E1072)</f>
        <v>56.24</v>
      </c>
      <c r="F1073" s="6">
        <f>IFERROR(VLOOKUP($B1073,Platts!$E$5:$M$4994,MATCH(F$3,Platts!$F$5:$M$5,0)+1,FALSE),F1072)</f>
        <v>62.01</v>
      </c>
      <c r="G1073" s="6">
        <f>IFERROR(VLOOKUP($B1073,Platts!$E$5:$M$4994,MATCH(G$3,Platts!$F$5:$M$5,0)+1,FALSE),G1072)</f>
        <v>62.38</v>
      </c>
      <c r="H1073" s="6">
        <f>IFERROR(VLOOKUP($B1073,Platts!$E$5:$M$4994,MATCH(H$3,Platts!$F$5:$M$5,0)+1,FALSE),H1072)</f>
        <v>52.92</v>
      </c>
      <c r="I1073" s="6">
        <f>IFERROR(VLOOKUP($B1073,Platts!$E$5:$M$4994,MATCH(I$3,Platts!$F$5:$M$5,0)+1,FALSE),I1072)</f>
        <v>59.87</v>
      </c>
      <c r="J1073" s="6">
        <f t="shared" si="32"/>
        <v>-1.7899999999999991</v>
      </c>
    </row>
    <row r="1074" spans="2:10" x14ac:dyDescent="0.25">
      <c r="B1074" s="5">
        <f t="shared" si="33"/>
        <v>43440</v>
      </c>
      <c r="C1074" s="6">
        <f>IFERROR(VLOOKUP($B1074,Platts!$E$5:$M$4994,MATCH(C$3,Platts!$F$5:$M$5,0)+1,FALSE),C1073)</f>
        <v>51.92</v>
      </c>
      <c r="D1074" s="6">
        <f>IFERROR(VLOOKUP($B1074,Platts!$E$5:$M$4994,MATCH(D$3,Platts!$F$5:$M$5,0)+1,FALSE),D1073)</f>
        <v>57.4</v>
      </c>
      <c r="E1074" s="6">
        <f>IFERROR(VLOOKUP($B1074,Platts!$E$5:$M$4994,MATCH(E$3,Platts!$F$5:$M$5,0)+1,FALSE),E1073)</f>
        <v>54.41</v>
      </c>
      <c r="F1074" s="6">
        <f>IFERROR(VLOOKUP($B1074,Platts!$E$5:$M$4994,MATCH(F$3,Platts!$F$5:$M$5,0)+1,FALSE),F1073)</f>
        <v>60.41</v>
      </c>
      <c r="G1074" s="6">
        <f>IFERROR(VLOOKUP($B1074,Platts!$E$5:$M$4994,MATCH(G$3,Platts!$F$5:$M$5,0)+1,FALSE),G1073)</f>
        <v>58.86</v>
      </c>
      <c r="H1074" s="6">
        <f>IFERROR(VLOOKUP($B1074,Platts!$E$5:$M$4994,MATCH(H$3,Platts!$F$5:$M$5,0)+1,FALSE),H1073)</f>
        <v>51.49</v>
      </c>
      <c r="I1074" s="6">
        <f>IFERROR(VLOOKUP($B1074,Platts!$E$5:$M$4994,MATCH(I$3,Platts!$F$5:$M$5,0)+1,FALSE),I1073)</f>
        <v>58.24</v>
      </c>
      <c r="J1074" s="6">
        <f t="shared" si="32"/>
        <v>-0.42999999999999972</v>
      </c>
    </row>
    <row r="1075" spans="2:10" x14ac:dyDescent="0.25">
      <c r="B1075" s="5">
        <f t="shared" si="33"/>
        <v>43441</v>
      </c>
      <c r="C1075" s="6">
        <f>IFERROR(VLOOKUP($B1075,Platts!$E$5:$M$4994,MATCH(C$3,Platts!$F$5:$M$5,0)+1,FALSE),C1074)</f>
        <v>53.99</v>
      </c>
      <c r="D1075" s="6">
        <f>IFERROR(VLOOKUP($B1075,Platts!$E$5:$M$4994,MATCH(D$3,Platts!$F$5:$M$5,0)+1,FALSE),D1074)</f>
        <v>58.55</v>
      </c>
      <c r="E1075" s="6">
        <f>IFERROR(VLOOKUP($B1075,Platts!$E$5:$M$4994,MATCH(E$3,Platts!$F$5:$M$5,0)+1,FALSE),E1074)</f>
        <v>55.82</v>
      </c>
      <c r="F1075" s="6">
        <f>IFERROR(VLOOKUP($B1075,Platts!$E$5:$M$4994,MATCH(F$3,Platts!$F$5:$M$5,0)+1,FALSE),F1074)</f>
        <v>61.59</v>
      </c>
      <c r="G1075" s="6">
        <f>IFERROR(VLOOKUP($B1075,Platts!$E$5:$M$4994,MATCH(G$3,Platts!$F$5:$M$5,0)+1,FALSE),G1074)</f>
        <v>62.87</v>
      </c>
      <c r="H1075" s="6">
        <f>IFERROR(VLOOKUP($B1075,Platts!$E$5:$M$4994,MATCH(H$3,Platts!$F$5:$M$5,0)+1,FALSE),H1074)</f>
        <v>52.61</v>
      </c>
      <c r="I1075" s="6">
        <f>IFERROR(VLOOKUP($B1075,Platts!$E$5:$M$4994,MATCH(I$3,Platts!$F$5:$M$5,0)+1,FALSE),I1074)</f>
        <v>59.71</v>
      </c>
      <c r="J1075" s="6">
        <f t="shared" si="32"/>
        <v>-1.3800000000000026</v>
      </c>
    </row>
    <row r="1076" spans="2:10" x14ac:dyDescent="0.25">
      <c r="B1076" s="5">
        <f t="shared" si="33"/>
        <v>43442</v>
      </c>
      <c r="C1076" s="6">
        <f>IFERROR(VLOOKUP($B1076,Platts!$E$5:$M$4994,MATCH(C$3,Platts!$F$5:$M$5,0)+1,FALSE),C1075)</f>
        <v>53.99</v>
      </c>
      <c r="D1076" s="6">
        <f>IFERROR(VLOOKUP($B1076,Platts!$E$5:$M$4994,MATCH(D$3,Platts!$F$5:$M$5,0)+1,FALSE),D1075)</f>
        <v>58.55</v>
      </c>
      <c r="E1076" s="6">
        <f>IFERROR(VLOOKUP($B1076,Platts!$E$5:$M$4994,MATCH(E$3,Platts!$F$5:$M$5,0)+1,FALSE),E1075)</f>
        <v>55.82</v>
      </c>
      <c r="F1076" s="6">
        <f>IFERROR(VLOOKUP($B1076,Platts!$E$5:$M$4994,MATCH(F$3,Platts!$F$5:$M$5,0)+1,FALSE),F1075)</f>
        <v>61.59</v>
      </c>
      <c r="G1076" s="6">
        <f>IFERROR(VLOOKUP($B1076,Platts!$E$5:$M$4994,MATCH(G$3,Platts!$F$5:$M$5,0)+1,FALSE),G1075)</f>
        <v>62.87</v>
      </c>
      <c r="H1076" s="6">
        <f>IFERROR(VLOOKUP($B1076,Platts!$E$5:$M$4994,MATCH(H$3,Platts!$F$5:$M$5,0)+1,FALSE),H1075)</f>
        <v>52.61</v>
      </c>
      <c r="I1076" s="6">
        <f>IFERROR(VLOOKUP($B1076,Platts!$E$5:$M$4994,MATCH(I$3,Platts!$F$5:$M$5,0)+1,FALSE),I1075)</f>
        <v>59.71</v>
      </c>
      <c r="J1076" s="6">
        <f t="shared" si="32"/>
        <v>-1.3800000000000026</v>
      </c>
    </row>
    <row r="1077" spans="2:10" x14ac:dyDescent="0.25">
      <c r="B1077" s="5">
        <f t="shared" si="33"/>
        <v>43443</v>
      </c>
      <c r="C1077" s="6">
        <f>IFERROR(VLOOKUP($B1077,Platts!$E$5:$M$4994,MATCH(C$3,Platts!$F$5:$M$5,0)+1,FALSE),C1076)</f>
        <v>53.99</v>
      </c>
      <c r="D1077" s="6">
        <f>IFERROR(VLOOKUP($B1077,Platts!$E$5:$M$4994,MATCH(D$3,Platts!$F$5:$M$5,0)+1,FALSE),D1076)</f>
        <v>58.55</v>
      </c>
      <c r="E1077" s="6">
        <f>IFERROR(VLOOKUP($B1077,Platts!$E$5:$M$4994,MATCH(E$3,Platts!$F$5:$M$5,0)+1,FALSE),E1076)</f>
        <v>55.82</v>
      </c>
      <c r="F1077" s="6">
        <f>IFERROR(VLOOKUP($B1077,Platts!$E$5:$M$4994,MATCH(F$3,Platts!$F$5:$M$5,0)+1,FALSE),F1076)</f>
        <v>61.59</v>
      </c>
      <c r="G1077" s="6">
        <f>IFERROR(VLOOKUP($B1077,Platts!$E$5:$M$4994,MATCH(G$3,Platts!$F$5:$M$5,0)+1,FALSE),G1076)</f>
        <v>62.87</v>
      </c>
      <c r="H1077" s="6">
        <f>IFERROR(VLOOKUP($B1077,Platts!$E$5:$M$4994,MATCH(H$3,Platts!$F$5:$M$5,0)+1,FALSE),H1076)</f>
        <v>52.61</v>
      </c>
      <c r="I1077" s="6">
        <f>IFERROR(VLOOKUP($B1077,Platts!$E$5:$M$4994,MATCH(I$3,Platts!$F$5:$M$5,0)+1,FALSE),I1076)</f>
        <v>59.71</v>
      </c>
      <c r="J1077" s="6">
        <f t="shared" si="32"/>
        <v>-1.3800000000000026</v>
      </c>
    </row>
    <row r="1078" spans="2:10" x14ac:dyDescent="0.25">
      <c r="B1078" s="5">
        <f t="shared" si="33"/>
        <v>43444</v>
      </c>
      <c r="C1078" s="6">
        <f>IFERROR(VLOOKUP($B1078,Platts!$E$5:$M$4994,MATCH(C$3,Platts!$F$5:$M$5,0)+1,FALSE),C1077)</f>
        <v>52.61</v>
      </c>
      <c r="D1078" s="6">
        <f>IFERROR(VLOOKUP($B1078,Platts!$E$5:$M$4994,MATCH(D$3,Platts!$F$5:$M$5,0)+1,FALSE),D1077)</f>
        <v>57.03</v>
      </c>
      <c r="E1078" s="6">
        <f>IFERROR(VLOOKUP($B1078,Platts!$E$5:$M$4994,MATCH(E$3,Platts!$F$5:$M$5,0)+1,FALSE),E1077)</f>
        <v>53.97</v>
      </c>
      <c r="F1078" s="6">
        <f>IFERROR(VLOOKUP($B1078,Platts!$E$5:$M$4994,MATCH(F$3,Platts!$F$5:$M$5,0)+1,FALSE),F1077)</f>
        <v>60.06</v>
      </c>
      <c r="G1078" s="6">
        <f>IFERROR(VLOOKUP($B1078,Platts!$E$5:$M$4994,MATCH(G$3,Platts!$F$5:$M$5,0)+1,FALSE),G1077)</f>
        <v>60.96</v>
      </c>
      <c r="H1078" s="6">
        <f>IFERROR(VLOOKUP($B1078,Platts!$E$5:$M$4994,MATCH(H$3,Platts!$F$5:$M$5,0)+1,FALSE),H1077)</f>
        <v>51</v>
      </c>
      <c r="I1078" s="6">
        <f>IFERROR(VLOOKUP($B1078,Platts!$E$5:$M$4994,MATCH(I$3,Platts!$F$5:$M$5,0)+1,FALSE),I1077)</f>
        <v>58.3</v>
      </c>
      <c r="J1078" s="6">
        <f t="shared" si="32"/>
        <v>-1.6099999999999994</v>
      </c>
    </row>
    <row r="1079" spans="2:10" x14ac:dyDescent="0.25">
      <c r="B1079" s="5">
        <f t="shared" si="33"/>
        <v>43445</v>
      </c>
      <c r="C1079" s="6">
        <f>IFERROR(VLOOKUP($B1079,Platts!$E$5:$M$4994,MATCH(C$3,Platts!$F$5:$M$5,0)+1,FALSE),C1078)</f>
        <v>52.34</v>
      </c>
      <c r="D1079" s="6">
        <f>IFERROR(VLOOKUP($B1079,Platts!$E$5:$M$4994,MATCH(D$3,Platts!$F$5:$M$5,0)+1,FALSE),D1078)</f>
        <v>57.32</v>
      </c>
      <c r="E1079" s="6">
        <f>IFERROR(VLOOKUP($B1079,Platts!$E$5:$M$4994,MATCH(E$3,Platts!$F$5:$M$5,0)+1,FALSE),E1078)</f>
        <v>54.24</v>
      </c>
      <c r="F1079" s="6">
        <f>IFERROR(VLOOKUP($B1079,Platts!$E$5:$M$4994,MATCH(F$3,Platts!$F$5:$M$5,0)+1,FALSE),F1078)</f>
        <v>60.39</v>
      </c>
      <c r="G1079" s="6">
        <f>IFERROR(VLOOKUP($B1079,Platts!$E$5:$M$4994,MATCH(G$3,Platts!$F$5:$M$5,0)+1,FALSE),G1078)</f>
        <v>60.91</v>
      </c>
      <c r="H1079" s="6">
        <f>IFERROR(VLOOKUP($B1079,Platts!$E$5:$M$4994,MATCH(H$3,Platts!$F$5:$M$5,0)+1,FALSE),H1078)</f>
        <v>51.65</v>
      </c>
      <c r="I1079" s="6">
        <f>IFERROR(VLOOKUP($B1079,Platts!$E$5:$M$4994,MATCH(I$3,Platts!$F$5:$M$5,0)+1,FALSE),I1078)</f>
        <v>58.5</v>
      </c>
      <c r="J1079" s="6">
        <f t="shared" si="32"/>
        <v>-0.69000000000000483</v>
      </c>
    </row>
    <row r="1080" spans="2:10" x14ac:dyDescent="0.25">
      <c r="B1080" s="5">
        <f t="shared" si="33"/>
        <v>43446</v>
      </c>
      <c r="C1080" s="6">
        <f>IFERROR(VLOOKUP($B1080,Platts!$E$5:$M$4994,MATCH(C$3,Platts!$F$5:$M$5,0)+1,FALSE),C1079)</f>
        <v>52</v>
      </c>
      <c r="D1080" s="6">
        <f>IFERROR(VLOOKUP($B1080,Platts!$E$5:$M$4994,MATCH(D$3,Platts!$F$5:$M$5,0)+1,FALSE),D1079)</f>
        <v>56.98</v>
      </c>
      <c r="E1080" s="6">
        <f>IFERROR(VLOOKUP($B1080,Platts!$E$5:$M$4994,MATCH(E$3,Platts!$F$5:$M$5,0)+1,FALSE),E1079)</f>
        <v>53.87</v>
      </c>
      <c r="F1080" s="6">
        <f>IFERROR(VLOOKUP($B1080,Platts!$E$5:$M$4994,MATCH(F$3,Platts!$F$5:$M$5,0)+1,FALSE),F1079)</f>
        <v>60.07</v>
      </c>
      <c r="G1080" s="6">
        <f>IFERROR(VLOOKUP($B1080,Platts!$E$5:$M$4994,MATCH(G$3,Platts!$F$5:$M$5,0)+1,FALSE),G1079)</f>
        <v>61.29</v>
      </c>
      <c r="H1080" s="6">
        <f>IFERROR(VLOOKUP($B1080,Platts!$E$5:$M$4994,MATCH(H$3,Platts!$F$5:$M$5,0)+1,FALSE),H1079)</f>
        <v>51.18</v>
      </c>
      <c r="I1080" s="6">
        <f>IFERROR(VLOOKUP($B1080,Platts!$E$5:$M$4994,MATCH(I$3,Platts!$F$5:$M$5,0)+1,FALSE),I1079)</f>
        <v>58.03</v>
      </c>
      <c r="J1080" s="6">
        <f t="shared" si="32"/>
        <v>-0.82000000000000028</v>
      </c>
    </row>
    <row r="1081" spans="2:10" x14ac:dyDescent="0.25">
      <c r="B1081" s="5">
        <f t="shared" si="33"/>
        <v>43447</v>
      </c>
      <c r="C1081" s="6">
        <f>IFERROR(VLOOKUP($B1081,Platts!$E$5:$M$4994,MATCH(C$3,Platts!$F$5:$M$5,0)+1,FALSE),C1080)</f>
        <v>52.28</v>
      </c>
      <c r="D1081" s="6">
        <f>IFERROR(VLOOKUP($B1081,Platts!$E$5:$M$4994,MATCH(D$3,Platts!$F$5:$M$5,0)+1,FALSE),D1080)</f>
        <v>58.56</v>
      </c>
      <c r="E1081" s="6">
        <f>IFERROR(VLOOKUP($B1081,Platts!$E$5:$M$4994,MATCH(E$3,Platts!$F$5:$M$5,0)+1,FALSE),E1080)</f>
        <v>54.85</v>
      </c>
      <c r="F1081" s="6">
        <f>IFERROR(VLOOKUP($B1081,Platts!$E$5:$M$4994,MATCH(F$3,Platts!$F$5:$M$5,0)+1,FALSE),F1080)</f>
        <v>61.66</v>
      </c>
      <c r="G1081" s="6">
        <f>IFERROR(VLOOKUP($B1081,Platts!$E$5:$M$4994,MATCH(G$3,Platts!$F$5:$M$5,0)+1,FALSE),G1080)</f>
        <v>60.63</v>
      </c>
      <c r="H1081" s="6">
        <f>IFERROR(VLOOKUP($B1081,Platts!$E$5:$M$4994,MATCH(H$3,Platts!$F$5:$M$5,0)+1,FALSE),H1080)</f>
        <v>52.58</v>
      </c>
      <c r="I1081" s="6">
        <f>IFERROR(VLOOKUP($B1081,Platts!$E$5:$M$4994,MATCH(I$3,Platts!$F$5:$M$5,0)+1,FALSE),I1080)</f>
        <v>59.43</v>
      </c>
      <c r="J1081" s="6">
        <f t="shared" si="32"/>
        <v>0.29999999999999716</v>
      </c>
    </row>
    <row r="1082" spans="2:10" x14ac:dyDescent="0.25">
      <c r="B1082" s="5">
        <f t="shared" si="33"/>
        <v>43448</v>
      </c>
      <c r="C1082" s="6">
        <f>IFERROR(VLOOKUP($B1082,Platts!$E$5:$M$4994,MATCH(C$3,Platts!$F$5:$M$5,0)+1,FALSE),C1081)</f>
        <v>51.83</v>
      </c>
      <c r="D1082" s="6">
        <f>IFERROR(VLOOKUP($B1082,Platts!$E$5:$M$4994,MATCH(D$3,Platts!$F$5:$M$5,0)+1,FALSE),D1081)</f>
        <v>57.3</v>
      </c>
      <c r="E1082" s="6">
        <f>IFERROR(VLOOKUP($B1082,Platts!$E$5:$M$4994,MATCH(E$3,Platts!$F$5:$M$5,0)+1,FALSE),E1081)</f>
        <v>54.05</v>
      </c>
      <c r="F1082" s="6">
        <f>IFERROR(VLOOKUP($B1082,Platts!$E$5:$M$4994,MATCH(F$3,Platts!$F$5:$M$5,0)+1,FALSE),F1081)</f>
        <v>60.34</v>
      </c>
      <c r="G1082" s="6">
        <f>IFERROR(VLOOKUP($B1082,Platts!$E$5:$M$4994,MATCH(G$3,Platts!$F$5:$M$5,0)+1,FALSE),G1081)</f>
        <v>60.34</v>
      </c>
      <c r="H1082" s="6">
        <f>IFERROR(VLOOKUP($B1082,Platts!$E$5:$M$4994,MATCH(H$3,Platts!$F$5:$M$5,0)+1,FALSE),H1081)</f>
        <v>51.2</v>
      </c>
      <c r="I1082" s="6">
        <f>IFERROR(VLOOKUP($B1082,Platts!$E$5:$M$4994,MATCH(I$3,Platts!$F$5:$M$5,0)+1,FALSE),I1081)</f>
        <v>58.05</v>
      </c>
      <c r="J1082" s="6">
        <f t="shared" si="32"/>
        <v>-0.62999999999999545</v>
      </c>
    </row>
    <row r="1083" spans="2:10" x14ac:dyDescent="0.25">
      <c r="B1083" s="5">
        <f t="shared" si="33"/>
        <v>43449</v>
      </c>
      <c r="C1083" s="6">
        <f>IFERROR(VLOOKUP($B1083,Platts!$E$5:$M$4994,MATCH(C$3,Platts!$F$5:$M$5,0)+1,FALSE),C1082)</f>
        <v>51.83</v>
      </c>
      <c r="D1083" s="6">
        <f>IFERROR(VLOOKUP($B1083,Platts!$E$5:$M$4994,MATCH(D$3,Platts!$F$5:$M$5,0)+1,FALSE),D1082)</f>
        <v>57.3</v>
      </c>
      <c r="E1083" s="6">
        <f>IFERROR(VLOOKUP($B1083,Platts!$E$5:$M$4994,MATCH(E$3,Platts!$F$5:$M$5,0)+1,FALSE),E1082)</f>
        <v>54.05</v>
      </c>
      <c r="F1083" s="6">
        <f>IFERROR(VLOOKUP($B1083,Platts!$E$5:$M$4994,MATCH(F$3,Platts!$F$5:$M$5,0)+1,FALSE),F1082)</f>
        <v>60.34</v>
      </c>
      <c r="G1083" s="6">
        <f>IFERROR(VLOOKUP($B1083,Platts!$E$5:$M$4994,MATCH(G$3,Platts!$F$5:$M$5,0)+1,FALSE),G1082)</f>
        <v>60.34</v>
      </c>
      <c r="H1083" s="6">
        <f>IFERROR(VLOOKUP($B1083,Platts!$E$5:$M$4994,MATCH(H$3,Platts!$F$5:$M$5,0)+1,FALSE),H1082)</f>
        <v>51.2</v>
      </c>
      <c r="I1083" s="6">
        <f>IFERROR(VLOOKUP($B1083,Platts!$E$5:$M$4994,MATCH(I$3,Platts!$F$5:$M$5,0)+1,FALSE),I1082)</f>
        <v>58.05</v>
      </c>
      <c r="J1083" s="6">
        <f t="shared" si="32"/>
        <v>-0.62999999999999545</v>
      </c>
    </row>
    <row r="1084" spans="2:10" x14ac:dyDescent="0.25">
      <c r="B1084" s="5">
        <f t="shared" si="33"/>
        <v>43450</v>
      </c>
      <c r="C1084" s="6">
        <f>IFERROR(VLOOKUP($B1084,Platts!$E$5:$M$4994,MATCH(C$3,Platts!$F$5:$M$5,0)+1,FALSE),C1083)</f>
        <v>51.83</v>
      </c>
      <c r="D1084" s="6">
        <f>IFERROR(VLOOKUP($B1084,Platts!$E$5:$M$4994,MATCH(D$3,Platts!$F$5:$M$5,0)+1,FALSE),D1083)</f>
        <v>57.3</v>
      </c>
      <c r="E1084" s="6">
        <f>IFERROR(VLOOKUP($B1084,Platts!$E$5:$M$4994,MATCH(E$3,Platts!$F$5:$M$5,0)+1,FALSE),E1083)</f>
        <v>54.05</v>
      </c>
      <c r="F1084" s="6">
        <f>IFERROR(VLOOKUP($B1084,Platts!$E$5:$M$4994,MATCH(F$3,Platts!$F$5:$M$5,0)+1,FALSE),F1083)</f>
        <v>60.34</v>
      </c>
      <c r="G1084" s="6">
        <f>IFERROR(VLOOKUP($B1084,Platts!$E$5:$M$4994,MATCH(G$3,Platts!$F$5:$M$5,0)+1,FALSE),G1083)</f>
        <v>60.34</v>
      </c>
      <c r="H1084" s="6">
        <f>IFERROR(VLOOKUP($B1084,Platts!$E$5:$M$4994,MATCH(H$3,Platts!$F$5:$M$5,0)+1,FALSE),H1083)</f>
        <v>51.2</v>
      </c>
      <c r="I1084" s="6">
        <f>IFERROR(VLOOKUP($B1084,Platts!$E$5:$M$4994,MATCH(I$3,Platts!$F$5:$M$5,0)+1,FALSE),I1083)</f>
        <v>58.05</v>
      </c>
      <c r="J1084" s="6">
        <f t="shared" si="32"/>
        <v>-0.62999999999999545</v>
      </c>
    </row>
    <row r="1085" spans="2:10" x14ac:dyDescent="0.25">
      <c r="B1085" s="5">
        <f t="shared" si="33"/>
        <v>43451</v>
      </c>
      <c r="C1085" s="6">
        <f>IFERROR(VLOOKUP($B1085,Platts!$E$5:$M$4994,MATCH(C$3,Platts!$F$5:$M$5,0)+1,FALSE),C1084)</f>
        <v>50.75</v>
      </c>
      <c r="D1085" s="6">
        <f>IFERROR(VLOOKUP($B1085,Platts!$E$5:$M$4994,MATCH(D$3,Platts!$F$5:$M$5,0)+1,FALSE),D1084)</f>
        <v>56.11</v>
      </c>
      <c r="E1085" s="6">
        <f>IFERROR(VLOOKUP($B1085,Platts!$E$5:$M$4994,MATCH(E$3,Platts!$F$5:$M$5,0)+1,FALSE),E1084)</f>
        <v>53.29</v>
      </c>
      <c r="F1085" s="6">
        <f>IFERROR(VLOOKUP($B1085,Platts!$E$5:$M$4994,MATCH(F$3,Platts!$F$5:$M$5,0)+1,FALSE),F1084)</f>
        <v>59.16</v>
      </c>
      <c r="G1085" s="6">
        <f>IFERROR(VLOOKUP($B1085,Platts!$E$5:$M$4994,MATCH(G$3,Platts!$F$5:$M$5,0)+1,FALSE),G1084)</f>
        <v>59.65</v>
      </c>
      <c r="H1085" s="6">
        <f>IFERROR(VLOOKUP($B1085,Platts!$E$5:$M$4994,MATCH(H$3,Platts!$F$5:$M$5,0)+1,FALSE),H1084)</f>
        <v>49.88</v>
      </c>
      <c r="I1085" s="6">
        <f>IFERROR(VLOOKUP($B1085,Platts!$E$5:$M$4994,MATCH(I$3,Platts!$F$5:$M$5,0)+1,FALSE),I1084)</f>
        <v>56.28</v>
      </c>
      <c r="J1085" s="6">
        <f t="shared" si="32"/>
        <v>-0.86999999999999744</v>
      </c>
    </row>
    <row r="1086" spans="2:10" x14ac:dyDescent="0.25">
      <c r="B1086" s="5">
        <f t="shared" si="33"/>
        <v>43452</v>
      </c>
      <c r="C1086" s="6">
        <f>IFERROR(VLOOKUP($B1086,Platts!$E$5:$M$4994,MATCH(C$3,Platts!$F$5:$M$5,0)+1,FALSE),C1085)</f>
        <v>47.93</v>
      </c>
      <c r="D1086" s="6">
        <f>IFERROR(VLOOKUP($B1086,Platts!$E$5:$M$4994,MATCH(D$3,Platts!$F$5:$M$5,0)+1,FALSE),D1085)</f>
        <v>52.71</v>
      </c>
      <c r="E1086" s="6">
        <f>IFERROR(VLOOKUP($B1086,Platts!$E$5:$M$4994,MATCH(E$3,Platts!$F$5:$M$5,0)+1,FALSE),E1085)</f>
        <v>50.12</v>
      </c>
      <c r="F1086" s="6">
        <f>IFERROR(VLOOKUP($B1086,Platts!$E$5:$M$4994,MATCH(F$3,Platts!$F$5:$M$5,0)+1,FALSE),F1085)</f>
        <v>55.9</v>
      </c>
      <c r="G1086" s="6">
        <f>IFERROR(VLOOKUP($B1086,Platts!$E$5:$M$4994,MATCH(G$3,Platts!$F$5:$M$5,0)+1,FALSE),G1085)</f>
        <v>57.03</v>
      </c>
      <c r="H1086" s="6">
        <f>IFERROR(VLOOKUP($B1086,Platts!$E$5:$M$4994,MATCH(H$3,Platts!$F$5:$M$5,0)+1,FALSE),H1085)</f>
        <v>46.25</v>
      </c>
      <c r="I1086" s="6">
        <f>IFERROR(VLOOKUP($B1086,Platts!$E$5:$M$4994,MATCH(I$3,Platts!$F$5:$M$5,0)+1,FALSE),I1085)</f>
        <v>52.85</v>
      </c>
      <c r="J1086" s="6">
        <f t="shared" si="32"/>
        <v>-1.6799999999999997</v>
      </c>
    </row>
    <row r="1087" spans="2:10" x14ac:dyDescent="0.25">
      <c r="B1087" s="5">
        <f t="shared" si="33"/>
        <v>43453</v>
      </c>
      <c r="C1087" s="6">
        <f>IFERROR(VLOOKUP($B1087,Platts!$E$5:$M$4994,MATCH(C$3,Platts!$F$5:$M$5,0)+1,FALSE),C1086)</f>
        <v>48.65</v>
      </c>
      <c r="D1087" s="6">
        <f>IFERROR(VLOOKUP($B1087,Platts!$E$5:$M$4994,MATCH(D$3,Platts!$F$5:$M$5,0)+1,FALSE),D1086)</f>
        <v>53.78</v>
      </c>
      <c r="E1087" s="6">
        <f>IFERROR(VLOOKUP($B1087,Platts!$E$5:$M$4994,MATCH(E$3,Platts!$F$5:$M$5,0)+1,FALSE),E1086)</f>
        <v>50.82</v>
      </c>
      <c r="F1087" s="6">
        <f>IFERROR(VLOOKUP($B1087,Platts!$E$5:$M$4994,MATCH(F$3,Platts!$F$5:$M$5,0)+1,FALSE),F1086)</f>
        <v>56.85</v>
      </c>
      <c r="G1087" s="6">
        <f>IFERROR(VLOOKUP($B1087,Platts!$E$5:$M$4994,MATCH(G$3,Platts!$F$5:$M$5,0)+1,FALSE),G1086)</f>
        <v>57.62</v>
      </c>
      <c r="H1087" s="6">
        <f>IFERROR(VLOOKUP($B1087,Platts!$E$5:$M$4994,MATCH(H$3,Platts!$F$5:$M$5,0)+1,FALSE),H1086)</f>
        <v>47.2</v>
      </c>
      <c r="I1087" s="6">
        <f>IFERROR(VLOOKUP($B1087,Platts!$E$5:$M$4994,MATCH(I$3,Platts!$F$5:$M$5,0)+1,FALSE),I1086)</f>
        <v>53.8</v>
      </c>
      <c r="J1087" s="6">
        <f t="shared" si="32"/>
        <v>-1.4499999999999957</v>
      </c>
    </row>
    <row r="1088" spans="2:10" x14ac:dyDescent="0.25">
      <c r="B1088" s="5">
        <f t="shared" si="33"/>
        <v>43454</v>
      </c>
      <c r="C1088" s="6">
        <f>IFERROR(VLOOKUP($B1088,Platts!$E$5:$M$4994,MATCH(C$3,Platts!$F$5:$M$5,0)+1,FALSE),C1087)</f>
        <v>46.91</v>
      </c>
      <c r="D1088" s="6">
        <f>IFERROR(VLOOKUP($B1088,Platts!$E$5:$M$4994,MATCH(D$3,Platts!$F$5:$M$5,0)+1,FALSE),D1087)</f>
        <v>52.35</v>
      </c>
      <c r="E1088" s="6">
        <f>IFERROR(VLOOKUP($B1088,Platts!$E$5:$M$4994,MATCH(E$3,Platts!$F$5:$M$5,0)+1,FALSE),E1087)</f>
        <v>49.69</v>
      </c>
      <c r="F1088" s="6">
        <f>IFERROR(VLOOKUP($B1088,Platts!$E$5:$M$4994,MATCH(F$3,Platts!$F$5:$M$5,0)+1,FALSE),F1087)</f>
        <v>55.32</v>
      </c>
      <c r="G1088" s="6">
        <f>IFERROR(VLOOKUP($B1088,Platts!$E$5:$M$4994,MATCH(G$3,Platts!$F$5:$M$5,0)+1,FALSE),G1087)</f>
        <v>54.79</v>
      </c>
      <c r="H1088" s="6">
        <f>IFERROR(VLOOKUP($B1088,Platts!$E$5:$M$4994,MATCH(H$3,Platts!$F$5:$M$5,0)+1,FALSE),H1087)</f>
        <v>45.64</v>
      </c>
      <c r="I1088" s="6">
        <f>IFERROR(VLOOKUP($B1088,Platts!$E$5:$M$4994,MATCH(I$3,Platts!$F$5:$M$5,0)+1,FALSE),I1087)</f>
        <v>51.79</v>
      </c>
      <c r="J1088" s="6">
        <f t="shared" si="32"/>
        <v>-1.269999999999996</v>
      </c>
    </row>
    <row r="1089" spans="2:10" x14ac:dyDescent="0.25">
      <c r="B1089" s="5">
        <f t="shared" si="33"/>
        <v>43455</v>
      </c>
      <c r="C1089" s="6">
        <f>IFERROR(VLOOKUP($B1089,Platts!$E$5:$M$4994,MATCH(C$3,Platts!$F$5:$M$5,0)+1,FALSE),C1088)</f>
        <v>45.96</v>
      </c>
      <c r="D1089" s="6">
        <f>IFERROR(VLOOKUP($B1089,Platts!$E$5:$M$4994,MATCH(D$3,Platts!$F$5:$M$5,0)+1,FALSE),D1088)</f>
        <v>51.88</v>
      </c>
      <c r="E1089" s="6">
        <f>IFERROR(VLOOKUP($B1089,Platts!$E$5:$M$4994,MATCH(E$3,Platts!$F$5:$M$5,0)+1,FALSE),E1088)</f>
        <v>49.2</v>
      </c>
      <c r="F1089" s="6">
        <f>IFERROR(VLOOKUP($B1089,Platts!$E$5:$M$4994,MATCH(F$3,Platts!$F$5:$M$5,0)+1,FALSE),F1088)</f>
        <v>54.77</v>
      </c>
      <c r="G1089" s="6">
        <f>IFERROR(VLOOKUP($B1089,Platts!$E$5:$M$4994,MATCH(G$3,Platts!$F$5:$M$5,0)+1,FALSE),G1088)</f>
        <v>52.81</v>
      </c>
      <c r="H1089" s="6">
        <f>IFERROR(VLOOKUP($B1089,Platts!$E$5:$M$4994,MATCH(H$3,Platts!$F$5:$M$5,0)+1,FALSE),H1088)</f>
        <v>45.41</v>
      </c>
      <c r="I1089" s="6">
        <f>IFERROR(VLOOKUP($B1089,Platts!$E$5:$M$4994,MATCH(I$3,Platts!$F$5:$M$5,0)+1,FALSE),I1088)</f>
        <v>51.41</v>
      </c>
      <c r="J1089" s="6">
        <f t="shared" si="32"/>
        <v>-0.55000000000000426</v>
      </c>
    </row>
    <row r="1090" spans="2:10" x14ac:dyDescent="0.25">
      <c r="B1090" s="5">
        <f t="shared" si="33"/>
        <v>43456</v>
      </c>
      <c r="C1090" s="6">
        <f>IFERROR(VLOOKUP($B1090,Platts!$E$5:$M$4994,MATCH(C$3,Platts!$F$5:$M$5,0)+1,FALSE),C1089)</f>
        <v>45.96</v>
      </c>
      <c r="D1090" s="6">
        <f>IFERROR(VLOOKUP($B1090,Platts!$E$5:$M$4994,MATCH(D$3,Platts!$F$5:$M$5,0)+1,FALSE),D1089)</f>
        <v>51.88</v>
      </c>
      <c r="E1090" s="6">
        <f>IFERROR(VLOOKUP($B1090,Platts!$E$5:$M$4994,MATCH(E$3,Platts!$F$5:$M$5,0)+1,FALSE),E1089)</f>
        <v>49.2</v>
      </c>
      <c r="F1090" s="6">
        <f>IFERROR(VLOOKUP($B1090,Platts!$E$5:$M$4994,MATCH(F$3,Platts!$F$5:$M$5,0)+1,FALSE),F1089)</f>
        <v>54.77</v>
      </c>
      <c r="G1090" s="6">
        <f>IFERROR(VLOOKUP($B1090,Platts!$E$5:$M$4994,MATCH(G$3,Platts!$F$5:$M$5,0)+1,FALSE),G1089)</f>
        <v>52.81</v>
      </c>
      <c r="H1090" s="6">
        <f>IFERROR(VLOOKUP($B1090,Platts!$E$5:$M$4994,MATCH(H$3,Platts!$F$5:$M$5,0)+1,FALSE),H1089)</f>
        <v>45.41</v>
      </c>
      <c r="I1090" s="6">
        <f>IFERROR(VLOOKUP($B1090,Platts!$E$5:$M$4994,MATCH(I$3,Platts!$F$5:$M$5,0)+1,FALSE),I1089)</f>
        <v>51.41</v>
      </c>
      <c r="J1090" s="6">
        <f t="shared" si="32"/>
        <v>-0.55000000000000426</v>
      </c>
    </row>
    <row r="1091" spans="2:10" x14ac:dyDescent="0.25">
      <c r="B1091" s="5">
        <f t="shared" si="33"/>
        <v>43457</v>
      </c>
      <c r="C1091" s="6">
        <f>IFERROR(VLOOKUP($B1091,Platts!$E$5:$M$4994,MATCH(C$3,Platts!$F$5:$M$5,0)+1,FALSE),C1090)</f>
        <v>45.96</v>
      </c>
      <c r="D1091" s="6">
        <f>IFERROR(VLOOKUP($B1091,Platts!$E$5:$M$4994,MATCH(D$3,Platts!$F$5:$M$5,0)+1,FALSE),D1090)</f>
        <v>51.88</v>
      </c>
      <c r="E1091" s="6">
        <f>IFERROR(VLOOKUP($B1091,Platts!$E$5:$M$4994,MATCH(E$3,Platts!$F$5:$M$5,0)+1,FALSE),E1090)</f>
        <v>49.2</v>
      </c>
      <c r="F1091" s="6">
        <f>IFERROR(VLOOKUP($B1091,Platts!$E$5:$M$4994,MATCH(F$3,Platts!$F$5:$M$5,0)+1,FALSE),F1090)</f>
        <v>54.77</v>
      </c>
      <c r="G1091" s="6">
        <f>IFERROR(VLOOKUP($B1091,Platts!$E$5:$M$4994,MATCH(G$3,Platts!$F$5:$M$5,0)+1,FALSE),G1090)</f>
        <v>52.81</v>
      </c>
      <c r="H1091" s="6">
        <f>IFERROR(VLOOKUP($B1091,Platts!$E$5:$M$4994,MATCH(H$3,Platts!$F$5:$M$5,0)+1,FALSE),H1090)</f>
        <v>45.41</v>
      </c>
      <c r="I1091" s="6">
        <f>IFERROR(VLOOKUP($B1091,Platts!$E$5:$M$4994,MATCH(I$3,Platts!$F$5:$M$5,0)+1,FALSE),I1090)</f>
        <v>51.41</v>
      </c>
      <c r="J1091" s="6">
        <f t="shared" si="32"/>
        <v>-0.55000000000000426</v>
      </c>
    </row>
    <row r="1092" spans="2:10" x14ac:dyDescent="0.25">
      <c r="B1092" s="5">
        <f t="shared" si="33"/>
        <v>43458</v>
      </c>
      <c r="C1092" s="6">
        <f>IFERROR(VLOOKUP($B1092,Platts!$E$5:$M$4994,MATCH(C$3,Platts!$F$5:$M$5,0)+1,FALSE),C1091)</f>
        <v>45.96</v>
      </c>
      <c r="D1092" s="6">
        <f>IFERROR(VLOOKUP($B1092,Platts!$E$5:$M$4994,MATCH(D$3,Platts!$F$5:$M$5,0)+1,FALSE),D1091)</f>
        <v>48.8</v>
      </c>
      <c r="E1092" s="6">
        <f>IFERROR(VLOOKUP($B1092,Platts!$E$5:$M$4994,MATCH(E$3,Platts!$F$5:$M$5,0)+1,FALSE),E1091)</f>
        <v>47.36</v>
      </c>
      <c r="F1092" s="6">
        <f>IFERROR(VLOOKUP($B1092,Platts!$E$5:$M$4994,MATCH(F$3,Platts!$F$5:$M$5,0)+1,FALSE),F1091)</f>
        <v>51.68</v>
      </c>
      <c r="G1092" s="6">
        <f>IFERROR(VLOOKUP($B1092,Platts!$E$5:$M$4994,MATCH(G$3,Platts!$F$5:$M$5,0)+1,FALSE),G1091)</f>
        <v>52.81</v>
      </c>
      <c r="H1092" s="6">
        <f>IFERROR(VLOOKUP($B1092,Platts!$E$5:$M$4994,MATCH(H$3,Platts!$F$5:$M$5,0)+1,FALSE),H1091)</f>
        <v>45.41</v>
      </c>
      <c r="I1092" s="6">
        <f>IFERROR(VLOOKUP($B1092,Platts!$E$5:$M$4994,MATCH(I$3,Platts!$F$5:$M$5,0)+1,FALSE),I1091)</f>
        <v>51.41</v>
      </c>
      <c r="J1092" s="6">
        <f t="shared" ref="J1092:J1155" si="34">H1092-C1092</f>
        <v>-0.55000000000000426</v>
      </c>
    </row>
    <row r="1093" spans="2:10" x14ac:dyDescent="0.25">
      <c r="B1093" s="5">
        <f t="shared" si="33"/>
        <v>43459</v>
      </c>
      <c r="C1093" s="6">
        <f>IFERROR(VLOOKUP($B1093,Platts!$E$5:$M$4994,MATCH(C$3,Platts!$F$5:$M$5,0)+1,FALSE),C1092)</f>
        <v>45.96</v>
      </c>
      <c r="D1093" s="6">
        <f>IFERROR(VLOOKUP($B1093,Platts!$E$5:$M$4994,MATCH(D$3,Platts!$F$5:$M$5,0)+1,FALSE),D1092)</f>
        <v>48.8</v>
      </c>
      <c r="E1093" s="6">
        <f>IFERROR(VLOOKUP($B1093,Platts!$E$5:$M$4994,MATCH(E$3,Platts!$F$5:$M$5,0)+1,FALSE),E1092)</f>
        <v>47.36</v>
      </c>
      <c r="F1093" s="6">
        <f>IFERROR(VLOOKUP($B1093,Platts!$E$5:$M$4994,MATCH(F$3,Platts!$F$5:$M$5,0)+1,FALSE),F1092)</f>
        <v>51.68</v>
      </c>
      <c r="G1093" s="6">
        <f>IFERROR(VLOOKUP($B1093,Platts!$E$5:$M$4994,MATCH(G$3,Platts!$F$5:$M$5,0)+1,FALSE),G1092)</f>
        <v>52.81</v>
      </c>
      <c r="H1093" s="6">
        <f>IFERROR(VLOOKUP($B1093,Platts!$E$5:$M$4994,MATCH(H$3,Platts!$F$5:$M$5,0)+1,FALSE),H1092)</f>
        <v>45.41</v>
      </c>
      <c r="I1093" s="6">
        <f>IFERROR(VLOOKUP($B1093,Platts!$E$5:$M$4994,MATCH(I$3,Platts!$F$5:$M$5,0)+1,FALSE),I1092)</f>
        <v>51.41</v>
      </c>
      <c r="J1093" s="6">
        <f t="shared" si="34"/>
        <v>-0.55000000000000426</v>
      </c>
    </row>
    <row r="1094" spans="2:10" x14ac:dyDescent="0.25">
      <c r="B1094" s="5">
        <f t="shared" ref="B1094:B1157" si="35">B1093+1</f>
        <v>43460</v>
      </c>
      <c r="C1094" s="6">
        <f>IFERROR(VLOOKUP($B1094,Platts!$E$5:$M$4994,MATCH(C$3,Platts!$F$5:$M$5,0)+1,FALSE),C1093)</f>
        <v>45.96</v>
      </c>
      <c r="D1094" s="6">
        <f>IFERROR(VLOOKUP($B1094,Platts!$E$5:$M$4994,MATCH(D$3,Platts!$F$5:$M$5,0)+1,FALSE),D1093)</f>
        <v>52.68</v>
      </c>
      <c r="E1094" s="6">
        <f>IFERROR(VLOOKUP($B1094,Platts!$E$5:$M$4994,MATCH(E$3,Platts!$F$5:$M$5,0)+1,FALSE),E1093)</f>
        <v>48.17</v>
      </c>
      <c r="F1094" s="6">
        <f>IFERROR(VLOOKUP($B1094,Platts!$E$5:$M$4994,MATCH(F$3,Platts!$F$5:$M$5,0)+1,FALSE),F1093)</f>
        <v>55.66</v>
      </c>
      <c r="G1094" s="6">
        <f>IFERROR(VLOOKUP($B1094,Platts!$E$5:$M$4994,MATCH(G$3,Platts!$F$5:$M$5,0)+1,FALSE),G1093)</f>
        <v>52.81</v>
      </c>
      <c r="H1094" s="6">
        <f>IFERROR(VLOOKUP($B1094,Platts!$E$5:$M$4994,MATCH(H$3,Platts!$F$5:$M$5,0)+1,FALSE),H1093)</f>
        <v>46.22</v>
      </c>
      <c r="I1094" s="6">
        <f>IFERROR(VLOOKUP($B1094,Platts!$E$5:$M$4994,MATCH(I$3,Platts!$F$5:$M$5,0)+1,FALSE),I1093)</f>
        <v>51.87</v>
      </c>
      <c r="J1094" s="6">
        <f t="shared" si="34"/>
        <v>0.25999999999999801</v>
      </c>
    </row>
    <row r="1095" spans="2:10" x14ac:dyDescent="0.25">
      <c r="B1095" s="5">
        <f t="shared" si="35"/>
        <v>43461</v>
      </c>
      <c r="C1095" s="6">
        <f>IFERROR(VLOOKUP($B1095,Platts!$E$5:$M$4994,MATCH(C$3,Platts!$F$5:$M$5,0)+1,FALSE),C1094)</f>
        <v>45.18</v>
      </c>
      <c r="D1095" s="6">
        <f>IFERROR(VLOOKUP($B1095,Platts!$E$5:$M$4994,MATCH(D$3,Platts!$F$5:$M$5,0)+1,FALSE),D1094)</f>
        <v>50.89</v>
      </c>
      <c r="E1095" s="6">
        <f>IFERROR(VLOOKUP($B1095,Platts!$E$5:$M$4994,MATCH(E$3,Platts!$F$5:$M$5,0)+1,FALSE),E1094)</f>
        <v>48.57</v>
      </c>
      <c r="F1095" s="6">
        <f>IFERROR(VLOOKUP($B1095,Platts!$E$5:$M$4994,MATCH(F$3,Platts!$F$5:$M$5,0)+1,FALSE),F1094)</f>
        <v>53.83</v>
      </c>
      <c r="G1095" s="6">
        <f>IFERROR(VLOOKUP($B1095,Platts!$E$5:$M$4994,MATCH(G$3,Platts!$F$5:$M$5,0)+1,FALSE),G1094)</f>
        <v>53.13</v>
      </c>
      <c r="H1095" s="6">
        <f>IFERROR(VLOOKUP($B1095,Platts!$E$5:$M$4994,MATCH(H$3,Platts!$F$5:$M$5,0)+1,FALSE),H1094)</f>
        <v>44.61</v>
      </c>
      <c r="I1095" s="6">
        <f>IFERROR(VLOOKUP($B1095,Platts!$E$5:$M$4994,MATCH(I$3,Platts!$F$5:$M$5,0)+1,FALSE),I1094)</f>
        <v>50.26</v>
      </c>
      <c r="J1095" s="6">
        <f t="shared" si="34"/>
        <v>-0.57000000000000028</v>
      </c>
    </row>
    <row r="1096" spans="2:10" x14ac:dyDescent="0.25">
      <c r="B1096" s="5">
        <f t="shared" si="35"/>
        <v>43462</v>
      </c>
      <c r="C1096" s="6">
        <f>IFERROR(VLOOKUP($B1096,Platts!$E$5:$M$4994,MATCH(C$3,Platts!$F$5:$M$5,0)+1,FALSE),C1095)</f>
        <v>44.69</v>
      </c>
      <c r="D1096" s="6">
        <f>IFERROR(VLOOKUP($B1096,Platts!$E$5:$M$4994,MATCH(D$3,Platts!$F$5:$M$5,0)+1,FALSE),D1095)</f>
        <v>51.15</v>
      </c>
      <c r="E1096" s="6">
        <f>IFERROR(VLOOKUP($B1096,Platts!$E$5:$M$4994,MATCH(E$3,Platts!$F$5:$M$5,0)+1,FALSE),E1095)</f>
        <v>48.43</v>
      </c>
      <c r="F1096" s="6">
        <f>IFERROR(VLOOKUP($B1096,Platts!$E$5:$M$4994,MATCH(F$3,Platts!$F$5:$M$5,0)+1,FALSE),F1095)</f>
        <v>54.09</v>
      </c>
      <c r="G1096" s="6">
        <f>IFERROR(VLOOKUP($B1096,Platts!$E$5:$M$4994,MATCH(G$3,Platts!$F$5:$M$5,0)+1,FALSE),G1095)</f>
        <v>51.29</v>
      </c>
      <c r="H1096" s="6">
        <f>IFERROR(VLOOKUP($B1096,Platts!$E$5:$M$4994,MATCH(H$3,Platts!$F$5:$M$5,0)+1,FALSE),H1095)</f>
        <v>45.33</v>
      </c>
      <c r="I1096" s="6">
        <f>IFERROR(VLOOKUP($B1096,Platts!$E$5:$M$4994,MATCH(I$3,Platts!$F$5:$M$5,0)+1,FALSE),I1095)</f>
        <v>49.93</v>
      </c>
      <c r="J1096" s="6">
        <f t="shared" si="34"/>
        <v>0.64000000000000057</v>
      </c>
    </row>
    <row r="1097" spans="2:10" x14ac:dyDescent="0.25">
      <c r="B1097" s="5">
        <f t="shared" si="35"/>
        <v>43463</v>
      </c>
      <c r="C1097" s="6">
        <f>IFERROR(VLOOKUP($B1097,Platts!$E$5:$M$4994,MATCH(C$3,Platts!$F$5:$M$5,0)+1,FALSE),C1096)</f>
        <v>44.69</v>
      </c>
      <c r="D1097" s="6">
        <f>IFERROR(VLOOKUP($B1097,Platts!$E$5:$M$4994,MATCH(D$3,Platts!$F$5:$M$5,0)+1,FALSE),D1096)</f>
        <v>51.15</v>
      </c>
      <c r="E1097" s="6">
        <f>IFERROR(VLOOKUP($B1097,Platts!$E$5:$M$4994,MATCH(E$3,Platts!$F$5:$M$5,0)+1,FALSE),E1096)</f>
        <v>48.43</v>
      </c>
      <c r="F1097" s="6">
        <f>IFERROR(VLOOKUP($B1097,Platts!$E$5:$M$4994,MATCH(F$3,Platts!$F$5:$M$5,0)+1,FALSE),F1096)</f>
        <v>54.09</v>
      </c>
      <c r="G1097" s="6">
        <f>IFERROR(VLOOKUP($B1097,Platts!$E$5:$M$4994,MATCH(G$3,Platts!$F$5:$M$5,0)+1,FALSE),G1096)</f>
        <v>51.29</v>
      </c>
      <c r="H1097" s="6">
        <f>IFERROR(VLOOKUP($B1097,Platts!$E$5:$M$4994,MATCH(H$3,Platts!$F$5:$M$5,0)+1,FALSE),H1096)</f>
        <v>45.33</v>
      </c>
      <c r="I1097" s="6">
        <f>IFERROR(VLOOKUP($B1097,Platts!$E$5:$M$4994,MATCH(I$3,Platts!$F$5:$M$5,0)+1,FALSE),I1096)</f>
        <v>49.93</v>
      </c>
      <c r="J1097" s="6">
        <f t="shared" si="34"/>
        <v>0.64000000000000057</v>
      </c>
    </row>
    <row r="1098" spans="2:10" x14ac:dyDescent="0.25">
      <c r="B1098" s="5">
        <f t="shared" si="35"/>
        <v>43464</v>
      </c>
      <c r="C1098" s="6">
        <f>IFERROR(VLOOKUP($B1098,Platts!$E$5:$M$4994,MATCH(C$3,Platts!$F$5:$M$5,0)+1,FALSE),C1097)</f>
        <v>44.69</v>
      </c>
      <c r="D1098" s="6">
        <f>IFERROR(VLOOKUP($B1098,Platts!$E$5:$M$4994,MATCH(D$3,Platts!$F$5:$M$5,0)+1,FALSE),D1097)</f>
        <v>51.15</v>
      </c>
      <c r="E1098" s="6">
        <f>IFERROR(VLOOKUP($B1098,Platts!$E$5:$M$4994,MATCH(E$3,Platts!$F$5:$M$5,0)+1,FALSE),E1097)</f>
        <v>48.43</v>
      </c>
      <c r="F1098" s="6">
        <f>IFERROR(VLOOKUP($B1098,Platts!$E$5:$M$4994,MATCH(F$3,Platts!$F$5:$M$5,0)+1,FALSE),F1097)</f>
        <v>54.09</v>
      </c>
      <c r="G1098" s="6">
        <f>IFERROR(VLOOKUP($B1098,Platts!$E$5:$M$4994,MATCH(G$3,Platts!$F$5:$M$5,0)+1,FALSE),G1097)</f>
        <v>51.29</v>
      </c>
      <c r="H1098" s="6">
        <f>IFERROR(VLOOKUP($B1098,Platts!$E$5:$M$4994,MATCH(H$3,Platts!$F$5:$M$5,0)+1,FALSE),H1097)</f>
        <v>45.33</v>
      </c>
      <c r="I1098" s="6">
        <f>IFERROR(VLOOKUP($B1098,Platts!$E$5:$M$4994,MATCH(I$3,Platts!$F$5:$M$5,0)+1,FALSE),I1097)</f>
        <v>49.93</v>
      </c>
      <c r="J1098" s="6">
        <f t="shared" si="34"/>
        <v>0.64000000000000057</v>
      </c>
    </row>
    <row r="1099" spans="2:10" x14ac:dyDescent="0.25">
      <c r="B1099" s="5">
        <f t="shared" si="35"/>
        <v>43465</v>
      </c>
      <c r="C1099" s="6">
        <f>IFERROR(VLOOKUP($B1099,Platts!$E$5:$M$4994,MATCH(C$3,Platts!$F$5:$M$5,0)+1,FALSE),C1098)</f>
        <v>44.69</v>
      </c>
      <c r="D1099" s="6">
        <f>IFERROR(VLOOKUP($B1099,Platts!$E$5:$M$4994,MATCH(D$3,Platts!$F$5:$M$5,0)+1,FALSE),D1098)</f>
        <v>51.92</v>
      </c>
      <c r="E1099" s="6">
        <f>IFERROR(VLOOKUP($B1099,Platts!$E$5:$M$4994,MATCH(E$3,Platts!$F$5:$M$5,0)+1,FALSE),E1098)</f>
        <v>48.94</v>
      </c>
      <c r="F1099" s="6">
        <f>IFERROR(VLOOKUP($B1099,Platts!$E$5:$M$4994,MATCH(F$3,Platts!$F$5:$M$5,0)+1,FALSE),F1098)</f>
        <v>54.86</v>
      </c>
      <c r="G1099" s="6">
        <f>IFERROR(VLOOKUP($B1099,Platts!$E$5:$M$4994,MATCH(G$3,Platts!$F$5:$M$5,0)+1,FALSE),G1098)</f>
        <v>51.29</v>
      </c>
      <c r="H1099" s="6">
        <f>IFERROR(VLOOKUP($B1099,Platts!$E$5:$M$4994,MATCH(H$3,Platts!$F$5:$M$5,0)+1,FALSE),H1098)</f>
        <v>45.33</v>
      </c>
      <c r="I1099" s="6">
        <f>IFERROR(VLOOKUP($B1099,Platts!$E$5:$M$4994,MATCH(I$3,Platts!$F$5:$M$5,0)+1,FALSE),I1098)</f>
        <v>49.93</v>
      </c>
      <c r="J1099" s="6">
        <f t="shared" si="34"/>
        <v>0.64000000000000057</v>
      </c>
    </row>
    <row r="1100" spans="2:10" x14ac:dyDescent="0.25">
      <c r="B1100" s="5">
        <f t="shared" si="35"/>
        <v>43466</v>
      </c>
      <c r="C1100" s="6">
        <f>IFERROR(VLOOKUP($B1100,Platts!$E$5:$M$4994,MATCH(C$3,Platts!$F$5:$M$5,0)+1,FALSE),C1099)</f>
        <v>44.69</v>
      </c>
      <c r="D1100" s="6">
        <f>IFERROR(VLOOKUP($B1100,Platts!$E$5:$M$4994,MATCH(D$3,Platts!$F$5:$M$5,0)+1,FALSE),D1099)</f>
        <v>51.92</v>
      </c>
      <c r="E1100" s="6">
        <f>IFERROR(VLOOKUP($B1100,Platts!$E$5:$M$4994,MATCH(E$3,Platts!$F$5:$M$5,0)+1,FALSE),E1099)</f>
        <v>48.94</v>
      </c>
      <c r="F1100" s="6">
        <f>IFERROR(VLOOKUP($B1100,Platts!$E$5:$M$4994,MATCH(F$3,Platts!$F$5:$M$5,0)+1,FALSE),F1099)</f>
        <v>54.86</v>
      </c>
      <c r="G1100" s="6">
        <f>IFERROR(VLOOKUP($B1100,Platts!$E$5:$M$4994,MATCH(G$3,Platts!$F$5:$M$5,0)+1,FALSE),G1099)</f>
        <v>51.29</v>
      </c>
      <c r="H1100" s="6">
        <f>IFERROR(VLOOKUP($B1100,Platts!$E$5:$M$4994,MATCH(H$3,Platts!$F$5:$M$5,0)+1,FALSE),H1099)</f>
        <v>45.33</v>
      </c>
      <c r="I1100" s="6">
        <f>IFERROR(VLOOKUP($B1100,Platts!$E$5:$M$4994,MATCH(I$3,Platts!$F$5:$M$5,0)+1,FALSE),I1099)</f>
        <v>49.93</v>
      </c>
      <c r="J1100" s="6">
        <f t="shared" si="34"/>
        <v>0.64000000000000057</v>
      </c>
    </row>
    <row r="1101" spans="2:10" x14ac:dyDescent="0.25">
      <c r="B1101" s="5">
        <f t="shared" si="35"/>
        <v>43467</v>
      </c>
      <c r="C1101" s="6">
        <f>IFERROR(VLOOKUP($B1101,Platts!$E$5:$M$4994,MATCH(C$3,Platts!$F$5:$M$5,0)+1,FALSE),C1100)</f>
        <v>43.65</v>
      </c>
      <c r="D1101" s="6">
        <f>IFERROR(VLOOKUP($B1101,Platts!$E$5:$M$4994,MATCH(D$3,Platts!$F$5:$M$5,0)+1,FALSE),D1100)</f>
        <v>51.78</v>
      </c>
      <c r="E1101" s="6">
        <f>IFERROR(VLOOKUP($B1101,Platts!$E$5:$M$4994,MATCH(E$3,Platts!$F$5:$M$5,0)+1,FALSE),E1100)</f>
        <v>48.77</v>
      </c>
      <c r="F1101" s="6">
        <f>IFERROR(VLOOKUP($B1101,Platts!$E$5:$M$4994,MATCH(F$3,Platts!$F$5:$M$5,0)+1,FALSE),F1100)</f>
        <v>54.94</v>
      </c>
      <c r="G1101" s="6">
        <f>IFERROR(VLOOKUP($B1101,Platts!$E$5:$M$4994,MATCH(G$3,Platts!$F$5:$M$5,0)+1,FALSE),G1100)</f>
        <v>55.69</v>
      </c>
      <c r="H1101" s="6">
        <f>IFERROR(VLOOKUP($B1101,Platts!$E$5:$M$4994,MATCH(H$3,Platts!$F$5:$M$5,0)+1,FALSE),H1100)</f>
        <v>46.54</v>
      </c>
      <c r="I1101" s="6">
        <f>IFERROR(VLOOKUP($B1101,Platts!$E$5:$M$4994,MATCH(I$3,Platts!$F$5:$M$5,0)+1,FALSE),I1100)</f>
        <v>51.69</v>
      </c>
      <c r="J1101" s="6">
        <f t="shared" si="34"/>
        <v>2.8900000000000006</v>
      </c>
    </row>
    <row r="1102" spans="2:10" x14ac:dyDescent="0.25">
      <c r="B1102" s="5">
        <f t="shared" si="35"/>
        <v>43468</v>
      </c>
      <c r="C1102" s="6">
        <f>IFERROR(VLOOKUP($B1102,Platts!$E$5:$M$4994,MATCH(C$3,Platts!$F$5:$M$5,0)+1,FALSE),C1101)</f>
        <v>45.48</v>
      </c>
      <c r="D1102" s="6">
        <f>IFERROR(VLOOKUP($B1102,Platts!$E$5:$M$4994,MATCH(D$3,Platts!$F$5:$M$5,0)+1,FALSE),D1101)</f>
        <v>51.91</v>
      </c>
      <c r="E1102" s="6">
        <f>IFERROR(VLOOKUP($B1102,Platts!$E$5:$M$4994,MATCH(E$3,Platts!$F$5:$M$5,0)+1,FALSE),E1101)</f>
        <v>49.04</v>
      </c>
      <c r="F1102" s="6">
        <f>IFERROR(VLOOKUP($B1102,Platts!$E$5:$M$4994,MATCH(F$3,Platts!$F$5:$M$5,0)+1,FALSE),F1101)</f>
        <v>55.19</v>
      </c>
      <c r="G1102" s="6">
        <f>IFERROR(VLOOKUP($B1102,Platts!$E$5:$M$4994,MATCH(G$3,Platts!$F$5:$M$5,0)+1,FALSE),G1101)</f>
        <v>54.87</v>
      </c>
      <c r="H1102" s="6">
        <f>IFERROR(VLOOKUP($B1102,Platts!$E$5:$M$4994,MATCH(H$3,Platts!$F$5:$M$5,0)+1,FALSE),H1101)</f>
        <v>47.09</v>
      </c>
      <c r="I1102" s="6">
        <f>IFERROR(VLOOKUP($B1102,Platts!$E$5:$M$4994,MATCH(I$3,Platts!$F$5:$M$5,0)+1,FALSE),I1101)</f>
        <v>52.99</v>
      </c>
      <c r="J1102" s="6">
        <f t="shared" si="34"/>
        <v>1.6100000000000065</v>
      </c>
    </row>
    <row r="1103" spans="2:10" x14ac:dyDescent="0.25">
      <c r="B1103" s="5">
        <f t="shared" si="35"/>
        <v>43469</v>
      </c>
      <c r="C1103" s="6">
        <f>IFERROR(VLOOKUP($B1103,Platts!$E$5:$M$4994,MATCH(C$3,Platts!$F$5:$M$5,0)+1,FALSE),C1102)</f>
        <v>47.02</v>
      </c>
      <c r="D1103" s="6">
        <f>IFERROR(VLOOKUP($B1103,Platts!$E$5:$M$4994,MATCH(D$3,Platts!$F$5:$M$5,0)+1,FALSE),D1102)</f>
        <v>52.99</v>
      </c>
      <c r="E1103" s="6">
        <f>IFERROR(VLOOKUP($B1103,Platts!$E$5:$M$4994,MATCH(E$3,Platts!$F$5:$M$5,0)+1,FALSE),E1102)</f>
        <v>50.03</v>
      </c>
      <c r="F1103" s="6">
        <f>IFERROR(VLOOKUP($B1103,Platts!$E$5:$M$4994,MATCH(F$3,Platts!$F$5:$M$5,0)+1,FALSE),F1102)</f>
        <v>56.35</v>
      </c>
      <c r="G1103" s="6">
        <f>IFERROR(VLOOKUP($B1103,Platts!$E$5:$M$4994,MATCH(G$3,Platts!$F$5:$M$5,0)+1,FALSE),G1102)</f>
        <v>56.74</v>
      </c>
      <c r="H1103" s="6">
        <f>IFERROR(VLOOKUP($B1103,Platts!$E$5:$M$4994,MATCH(H$3,Platts!$F$5:$M$5,0)+1,FALSE),H1102)</f>
        <v>47.96</v>
      </c>
      <c r="I1103" s="6">
        <f>IFERROR(VLOOKUP($B1103,Platts!$E$5:$M$4994,MATCH(I$3,Platts!$F$5:$M$5,0)+1,FALSE),I1102)</f>
        <v>54.16</v>
      </c>
      <c r="J1103" s="6">
        <f t="shared" si="34"/>
        <v>0.93999999999999773</v>
      </c>
    </row>
    <row r="1104" spans="2:10" x14ac:dyDescent="0.25">
      <c r="B1104" s="5">
        <f t="shared" si="35"/>
        <v>43470</v>
      </c>
      <c r="C1104" s="6">
        <f>IFERROR(VLOOKUP($B1104,Platts!$E$5:$M$4994,MATCH(C$3,Platts!$F$5:$M$5,0)+1,FALSE),C1103)</f>
        <v>47.02</v>
      </c>
      <c r="D1104" s="6">
        <f>IFERROR(VLOOKUP($B1104,Platts!$E$5:$M$4994,MATCH(D$3,Platts!$F$5:$M$5,0)+1,FALSE),D1103)</f>
        <v>52.99</v>
      </c>
      <c r="E1104" s="6">
        <f>IFERROR(VLOOKUP($B1104,Platts!$E$5:$M$4994,MATCH(E$3,Platts!$F$5:$M$5,0)+1,FALSE),E1103)</f>
        <v>50.03</v>
      </c>
      <c r="F1104" s="6">
        <f>IFERROR(VLOOKUP($B1104,Platts!$E$5:$M$4994,MATCH(F$3,Platts!$F$5:$M$5,0)+1,FALSE),F1103)</f>
        <v>56.35</v>
      </c>
      <c r="G1104" s="6">
        <f>IFERROR(VLOOKUP($B1104,Platts!$E$5:$M$4994,MATCH(G$3,Platts!$F$5:$M$5,0)+1,FALSE),G1103)</f>
        <v>56.74</v>
      </c>
      <c r="H1104" s="6">
        <f>IFERROR(VLOOKUP($B1104,Platts!$E$5:$M$4994,MATCH(H$3,Platts!$F$5:$M$5,0)+1,FALSE),H1103)</f>
        <v>47.96</v>
      </c>
      <c r="I1104" s="6">
        <f>IFERROR(VLOOKUP($B1104,Platts!$E$5:$M$4994,MATCH(I$3,Platts!$F$5:$M$5,0)+1,FALSE),I1103)</f>
        <v>54.16</v>
      </c>
      <c r="J1104" s="6">
        <f t="shared" si="34"/>
        <v>0.93999999999999773</v>
      </c>
    </row>
    <row r="1105" spans="2:10" x14ac:dyDescent="0.25">
      <c r="B1105" s="5">
        <f t="shared" si="35"/>
        <v>43471</v>
      </c>
      <c r="C1105" s="6">
        <f>IFERROR(VLOOKUP($B1105,Platts!$E$5:$M$4994,MATCH(C$3,Platts!$F$5:$M$5,0)+1,FALSE),C1104)</f>
        <v>47.02</v>
      </c>
      <c r="D1105" s="6">
        <f>IFERROR(VLOOKUP($B1105,Platts!$E$5:$M$4994,MATCH(D$3,Platts!$F$5:$M$5,0)+1,FALSE),D1104)</f>
        <v>52.99</v>
      </c>
      <c r="E1105" s="6">
        <f>IFERROR(VLOOKUP($B1105,Platts!$E$5:$M$4994,MATCH(E$3,Platts!$F$5:$M$5,0)+1,FALSE),E1104)</f>
        <v>50.03</v>
      </c>
      <c r="F1105" s="6">
        <f>IFERROR(VLOOKUP($B1105,Platts!$E$5:$M$4994,MATCH(F$3,Platts!$F$5:$M$5,0)+1,FALSE),F1104)</f>
        <v>56.35</v>
      </c>
      <c r="G1105" s="6">
        <f>IFERROR(VLOOKUP($B1105,Platts!$E$5:$M$4994,MATCH(G$3,Platts!$F$5:$M$5,0)+1,FALSE),G1104)</f>
        <v>56.74</v>
      </c>
      <c r="H1105" s="6">
        <f>IFERROR(VLOOKUP($B1105,Platts!$E$5:$M$4994,MATCH(H$3,Platts!$F$5:$M$5,0)+1,FALSE),H1104)</f>
        <v>47.96</v>
      </c>
      <c r="I1105" s="6">
        <f>IFERROR(VLOOKUP($B1105,Platts!$E$5:$M$4994,MATCH(I$3,Platts!$F$5:$M$5,0)+1,FALSE),I1104)</f>
        <v>54.16</v>
      </c>
      <c r="J1105" s="6">
        <f t="shared" si="34"/>
        <v>0.93999999999999773</v>
      </c>
    </row>
    <row r="1106" spans="2:10" x14ac:dyDescent="0.25">
      <c r="B1106" s="5">
        <f t="shared" si="35"/>
        <v>43472</v>
      </c>
      <c r="C1106" s="6">
        <f>IFERROR(VLOOKUP($B1106,Platts!$E$5:$M$4994,MATCH(C$3,Platts!$F$5:$M$5,0)+1,FALSE),C1105)</f>
        <v>48.11</v>
      </c>
      <c r="D1106" s="6">
        <f>IFERROR(VLOOKUP($B1106,Platts!$E$5:$M$4994,MATCH(D$3,Platts!$F$5:$M$5,0)+1,FALSE),D1105)</f>
        <v>53.73</v>
      </c>
      <c r="E1106" s="6">
        <f>IFERROR(VLOOKUP($B1106,Platts!$E$5:$M$4994,MATCH(E$3,Platts!$F$5:$M$5,0)+1,FALSE),E1105)</f>
        <v>50.77</v>
      </c>
      <c r="F1106" s="6">
        <f>IFERROR(VLOOKUP($B1106,Platts!$E$5:$M$4994,MATCH(F$3,Platts!$F$5:$M$5,0)+1,FALSE),F1105)</f>
        <v>57.04</v>
      </c>
      <c r="G1106" s="6">
        <f>IFERROR(VLOOKUP($B1106,Platts!$E$5:$M$4994,MATCH(G$3,Platts!$F$5:$M$5,0)+1,FALSE),G1105)</f>
        <v>58.28</v>
      </c>
      <c r="H1106" s="6">
        <f>IFERROR(VLOOKUP($B1106,Platts!$E$5:$M$4994,MATCH(H$3,Platts!$F$5:$M$5,0)+1,FALSE),H1105)</f>
        <v>48.52</v>
      </c>
      <c r="I1106" s="6">
        <f>IFERROR(VLOOKUP($B1106,Platts!$E$5:$M$4994,MATCH(I$3,Platts!$F$5:$M$5,0)+1,FALSE),I1105)</f>
        <v>54.92</v>
      </c>
      <c r="J1106" s="6">
        <f t="shared" si="34"/>
        <v>0.41000000000000369</v>
      </c>
    </row>
    <row r="1107" spans="2:10" x14ac:dyDescent="0.25">
      <c r="B1107" s="5">
        <f t="shared" si="35"/>
        <v>43473</v>
      </c>
      <c r="C1107" s="6">
        <f>IFERROR(VLOOKUP($B1107,Platts!$E$5:$M$4994,MATCH(C$3,Platts!$F$5:$M$5,0)+1,FALSE),C1106)</f>
        <v>48.74</v>
      </c>
      <c r="D1107" s="6">
        <f>IFERROR(VLOOKUP($B1107,Platts!$E$5:$M$4994,MATCH(D$3,Platts!$F$5:$M$5,0)+1,FALSE),D1106)</f>
        <v>55.21</v>
      </c>
      <c r="E1107" s="6">
        <f>IFERROR(VLOOKUP($B1107,Platts!$E$5:$M$4994,MATCH(E$3,Platts!$F$5:$M$5,0)+1,FALSE),E1106)</f>
        <v>52.2</v>
      </c>
      <c r="F1107" s="6">
        <f>IFERROR(VLOOKUP($B1107,Platts!$E$5:$M$4994,MATCH(F$3,Platts!$F$5:$M$5,0)+1,FALSE),F1106)</f>
        <v>58.43</v>
      </c>
      <c r="G1107" s="6">
        <f>IFERROR(VLOOKUP($B1107,Platts!$E$5:$M$4994,MATCH(G$3,Platts!$F$5:$M$5,0)+1,FALSE),G1106)</f>
        <v>58.23</v>
      </c>
      <c r="H1107" s="6">
        <f>IFERROR(VLOOKUP($B1107,Platts!$E$5:$M$4994,MATCH(H$3,Platts!$F$5:$M$5,0)+1,FALSE),H1106)</f>
        <v>49.78</v>
      </c>
      <c r="I1107" s="6">
        <f>IFERROR(VLOOKUP($B1107,Platts!$E$5:$M$4994,MATCH(I$3,Platts!$F$5:$M$5,0)+1,FALSE),I1106)</f>
        <v>56.43</v>
      </c>
      <c r="J1107" s="6">
        <f t="shared" si="34"/>
        <v>1.0399999999999991</v>
      </c>
    </row>
    <row r="1108" spans="2:10" x14ac:dyDescent="0.25">
      <c r="B1108" s="5">
        <f t="shared" si="35"/>
        <v>43474</v>
      </c>
      <c r="C1108" s="6">
        <f>IFERROR(VLOOKUP($B1108,Platts!$E$5:$M$4994,MATCH(C$3,Platts!$F$5:$M$5,0)+1,FALSE),C1107)</f>
        <v>51.61</v>
      </c>
      <c r="D1108" s="6">
        <f>IFERROR(VLOOKUP($B1108,Platts!$E$5:$M$4994,MATCH(D$3,Platts!$F$5:$M$5,0)+1,FALSE),D1107)</f>
        <v>58.14</v>
      </c>
      <c r="E1108" s="6">
        <f>IFERROR(VLOOKUP($B1108,Platts!$E$5:$M$4994,MATCH(E$3,Platts!$F$5:$M$5,0)+1,FALSE),E1107)</f>
        <v>55.33</v>
      </c>
      <c r="F1108" s="6">
        <f>IFERROR(VLOOKUP($B1108,Platts!$E$5:$M$4994,MATCH(F$3,Platts!$F$5:$M$5,0)+1,FALSE),F1107)</f>
        <v>61.34</v>
      </c>
      <c r="G1108" s="6">
        <f>IFERROR(VLOOKUP($B1108,Platts!$E$5:$M$4994,MATCH(G$3,Platts!$F$5:$M$5,0)+1,FALSE),G1107)</f>
        <v>60.68</v>
      </c>
      <c r="H1108" s="6">
        <f>IFERROR(VLOOKUP($B1108,Platts!$E$5:$M$4994,MATCH(H$3,Platts!$F$5:$M$5,0)+1,FALSE),H1107)</f>
        <v>52.36</v>
      </c>
      <c r="I1108" s="6">
        <f>IFERROR(VLOOKUP($B1108,Platts!$E$5:$M$4994,MATCH(I$3,Platts!$F$5:$M$5,0)+1,FALSE),I1107)</f>
        <v>59.21</v>
      </c>
      <c r="J1108" s="6">
        <f t="shared" si="34"/>
        <v>0.75</v>
      </c>
    </row>
    <row r="1109" spans="2:10" x14ac:dyDescent="0.25">
      <c r="B1109" s="5">
        <f t="shared" si="35"/>
        <v>43475</v>
      </c>
      <c r="C1109" s="6">
        <f>IFERROR(VLOOKUP($B1109,Platts!$E$5:$M$4994,MATCH(C$3,Platts!$F$5:$M$5,0)+1,FALSE),C1108)</f>
        <v>52.4</v>
      </c>
      <c r="D1109" s="6">
        <f>IFERROR(VLOOKUP($B1109,Platts!$E$5:$M$4994,MATCH(D$3,Platts!$F$5:$M$5,0)+1,FALSE),D1108)</f>
        <v>58.59</v>
      </c>
      <c r="E1109" s="6">
        <f>IFERROR(VLOOKUP($B1109,Platts!$E$5:$M$4994,MATCH(E$3,Platts!$F$5:$M$5,0)+1,FALSE),E1108)</f>
        <v>55.67</v>
      </c>
      <c r="F1109" s="6">
        <f>IFERROR(VLOOKUP($B1109,Platts!$E$5:$M$4994,MATCH(F$3,Platts!$F$5:$M$5,0)+1,FALSE),F1108)</f>
        <v>61.75</v>
      </c>
      <c r="G1109" s="6">
        <f>IFERROR(VLOOKUP($B1109,Platts!$E$5:$M$4994,MATCH(G$3,Platts!$F$5:$M$5,0)+1,FALSE),G1108)</f>
        <v>61.41</v>
      </c>
      <c r="H1109" s="6">
        <f>IFERROR(VLOOKUP($B1109,Platts!$E$5:$M$4994,MATCH(H$3,Platts!$F$5:$M$5,0)+1,FALSE),H1108)</f>
        <v>52.59</v>
      </c>
      <c r="I1109" s="6">
        <f>IFERROR(VLOOKUP($B1109,Platts!$E$5:$M$4994,MATCH(I$3,Platts!$F$5:$M$5,0)+1,FALSE),I1108)</f>
        <v>59.54</v>
      </c>
      <c r="J1109" s="6">
        <f t="shared" si="34"/>
        <v>0.19000000000000483</v>
      </c>
    </row>
    <row r="1110" spans="2:10" x14ac:dyDescent="0.25">
      <c r="B1110" s="5">
        <f t="shared" si="35"/>
        <v>43476</v>
      </c>
      <c r="C1110" s="6">
        <f>IFERROR(VLOOKUP($B1110,Platts!$E$5:$M$4994,MATCH(C$3,Platts!$F$5:$M$5,0)+1,FALSE),C1109)</f>
        <v>51.65</v>
      </c>
      <c r="D1110" s="6">
        <f>IFERROR(VLOOKUP($B1110,Platts!$E$5:$M$4994,MATCH(D$3,Platts!$F$5:$M$5,0)+1,FALSE),D1109)</f>
        <v>57.36</v>
      </c>
      <c r="E1110" s="6">
        <f>IFERROR(VLOOKUP($B1110,Platts!$E$5:$M$4994,MATCH(E$3,Platts!$F$5:$M$5,0)+1,FALSE),E1109)</f>
        <v>54.56</v>
      </c>
      <c r="F1110" s="6">
        <f>IFERROR(VLOOKUP($B1110,Platts!$E$5:$M$4994,MATCH(F$3,Platts!$F$5:$M$5,0)+1,FALSE),F1109)</f>
        <v>60.55</v>
      </c>
      <c r="G1110" s="6">
        <f>IFERROR(VLOOKUP($B1110,Platts!$E$5:$M$4994,MATCH(G$3,Platts!$F$5:$M$5,0)+1,FALSE),G1109)</f>
        <v>60.72</v>
      </c>
      <c r="H1110" s="6">
        <f>IFERROR(VLOOKUP($B1110,Platts!$E$5:$M$4994,MATCH(H$3,Platts!$F$5:$M$5,0)+1,FALSE),H1109)</f>
        <v>51.59</v>
      </c>
      <c r="I1110" s="6">
        <f>IFERROR(VLOOKUP($B1110,Platts!$E$5:$M$4994,MATCH(I$3,Platts!$F$5:$M$5,0)+1,FALSE),I1109)</f>
        <v>58.54</v>
      </c>
      <c r="J1110" s="6">
        <f t="shared" si="34"/>
        <v>-5.9999999999995168E-2</v>
      </c>
    </row>
    <row r="1111" spans="2:10" x14ac:dyDescent="0.25">
      <c r="B1111" s="5">
        <f t="shared" si="35"/>
        <v>43477</v>
      </c>
      <c r="C1111" s="6">
        <f>IFERROR(VLOOKUP($B1111,Platts!$E$5:$M$4994,MATCH(C$3,Platts!$F$5:$M$5,0)+1,FALSE),C1110)</f>
        <v>51.65</v>
      </c>
      <c r="D1111" s="6">
        <f>IFERROR(VLOOKUP($B1111,Platts!$E$5:$M$4994,MATCH(D$3,Platts!$F$5:$M$5,0)+1,FALSE),D1110)</f>
        <v>57.36</v>
      </c>
      <c r="E1111" s="6">
        <f>IFERROR(VLOOKUP($B1111,Platts!$E$5:$M$4994,MATCH(E$3,Platts!$F$5:$M$5,0)+1,FALSE),E1110)</f>
        <v>54.56</v>
      </c>
      <c r="F1111" s="6">
        <f>IFERROR(VLOOKUP($B1111,Platts!$E$5:$M$4994,MATCH(F$3,Platts!$F$5:$M$5,0)+1,FALSE),F1110)</f>
        <v>60.55</v>
      </c>
      <c r="G1111" s="6">
        <f>IFERROR(VLOOKUP($B1111,Platts!$E$5:$M$4994,MATCH(G$3,Platts!$F$5:$M$5,0)+1,FALSE),G1110)</f>
        <v>60.72</v>
      </c>
      <c r="H1111" s="6">
        <f>IFERROR(VLOOKUP($B1111,Platts!$E$5:$M$4994,MATCH(H$3,Platts!$F$5:$M$5,0)+1,FALSE),H1110)</f>
        <v>51.59</v>
      </c>
      <c r="I1111" s="6">
        <f>IFERROR(VLOOKUP($B1111,Platts!$E$5:$M$4994,MATCH(I$3,Platts!$F$5:$M$5,0)+1,FALSE),I1110)</f>
        <v>58.54</v>
      </c>
      <c r="J1111" s="6">
        <f t="shared" si="34"/>
        <v>-5.9999999999995168E-2</v>
      </c>
    </row>
    <row r="1112" spans="2:10" x14ac:dyDescent="0.25">
      <c r="B1112" s="5">
        <f t="shared" si="35"/>
        <v>43478</v>
      </c>
      <c r="C1112" s="6">
        <f>IFERROR(VLOOKUP($B1112,Platts!$E$5:$M$4994,MATCH(C$3,Platts!$F$5:$M$5,0)+1,FALSE),C1111)</f>
        <v>51.65</v>
      </c>
      <c r="D1112" s="6">
        <f>IFERROR(VLOOKUP($B1112,Platts!$E$5:$M$4994,MATCH(D$3,Platts!$F$5:$M$5,0)+1,FALSE),D1111)</f>
        <v>57.36</v>
      </c>
      <c r="E1112" s="6">
        <f>IFERROR(VLOOKUP($B1112,Platts!$E$5:$M$4994,MATCH(E$3,Platts!$F$5:$M$5,0)+1,FALSE),E1111)</f>
        <v>54.56</v>
      </c>
      <c r="F1112" s="6">
        <f>IFERROR(VLOOKUP($B1112,Platts!$E$5:$M$4994,MATCH(F$3,Platts!$F$5:$M$5,0)+1,FALSE),F1111)</f>
        <v>60.55</v>
      </c>
      <c r="G1112" s="6">
        <f>IFERROR(VLOOKUP($B1112,Platts!$E$5:$M$4994,MATCH(G$3,Platts!$F$5:$M$5,0)+1,FALSE),G1111)</f>
        <v>60.72</v>
      </c>
      <c r="H1112" s="6">
        <f>IFERROR(VLOOKUP($B1112,Platts!$E$5:$M$4994,MATCH(H$3,Platts!$F$5:$M$5,0)+1,FALSE),H1111)</f>
        <v>51.59</v>
      </c>
      <c r="I1112" s="6">
        <f>IFERROR(VLOOKUP($B1112,Platts!$E$5:$M$4994,MATCH(I$3,Platts!$F$5:$M$5,0)+1,FALSE),I1111)</f>
        <v>58.54</v>
      </c>
      <c r="J1112" s="6">
        <f t="shared" si="34"/>
        <v>-5.9999999999995168E-2</v>
      </c>
    </row>
    <row r="1113" spans="2:10" x14ac:dyDescent="0.25">
      <c r="B1113" s="5">
        <f t="shared" si="35"/>
        <v>43479</v>
      </c>
      <c r="C1113" s="6">
        <f>IFERROR(VLOOKUP($B1113,Platts!$E$5:$M$4994,MATCH(C$3,Platts!$F$5:$M$5,0)+1,FALSE),C1112)</f>
        <v>50.61</v>
      </c>
      <c r="D1113" s="6">
        <f>IFERROR(VLOOKUP($B1113,Platts!$E$5:$M$4994,MATCH(D$3,Platts!$F$5:$M$5,0)+1,FALSE),D1112)</f>
        <v>56.37</v>
      </c>
      <c r="E1113" s="6">
        <f>IFERROR(VLOOKUP($B1113,Platts!$E$5:$M$4994,MATCH(E$3,Platts!$F$5:$M$5,0)+1,FALSE),E1112)</f>
        <v>54.06</v>
      </c>
      <c r="F1113" s="6">
        <f>IFERROR(VLOOKUP($B1113,Platts!$E$5:$M$4994,MATCH(F$3,Platts!$F$5:$M$5,0)+1,FALSE),F1112)</f>
        <v>59.48</v>
      </c>
      <c r="G1113" s="6">
        <f>IFERROR(VLOOKUP($B1113,Platts!$E$5:$M$4994,MATCH(G$3,Platts!$F$5:$M$5,0)+1,FALSE),G1112)</f>
        <v>60.33</v>
      </c>
      <c r="H1113" s="6">
        <f>IFERROR(VLOOKUP($B1113,Platts!$E$5:$M$4994,MATCH(H$3,Platts!$F$5:$M$5,0)+1,FALSE),H1112)</f>
        <v>50.51</v>
      </c>
      <c r="I1113" s="6">
        <f>IFERROR(VLOOKUP($B1113,Platts!$E$5:$M$4994,MATCH(I$3,Platts!$F$5:$M$5,0)+1,FALSE),I1112)</f>
        <v>57.41</v>
      </c>
      <c r="J1113" s="6">
        <f t="shared" si="34"/>
        <v>-0.10000000000000142</v>
      </c>
    </row>
    <row r="1114" spans="2:10" x14ac:dyDescent="0.25">
      <c r="B1114" s="5">
        <f t="shared" si="35"/>
        <v>43480</v>
      </c>
      <c r="C1114" s="6">
        <f>IFERROR(VLOOKUP($B1114,Platts!$E$5:$M$4994,MATCH(C$3,Platts!$F$5:$M$5,0)+1,FALSE),C1113)</f>
        <v>51.2</v>
      </c>
      <c r="D1114" s="6">
        <f>IFERROR(VLOOKUP($B1114,Platts!$E$5:$M$4994,MATCH(D$3,Platts!$F$5:$M$5,0)+1,FALSE),D1113)</f>
        <v>57.83</v>
      </c>
      <c r="E1114" s="6">
        <f>IFERROR(VLOOKUP($B1114,Platts!$E$5:$M$4994,MATCH(E$3,Platts!$F$5:$M$5,0)+1,FALSE),E1113)</f>
        <v>54.67</v>
      </c>
      <c r="F1114" s="6">
        <f>IFERROR(VLOOKUP($B1114,Platts!$E$5:$M$4994,MATCH(F$3,Platts!$F$5:$M$5,0)+1,FALSE),F1113)</f>
        <v>60.9</v>
      </c>
      <c r="G1114" s="6">
        <f>IFERROR(VLOOKUP($B1114,Platts!$E$5:$M$4994,MATCH(G$3,Platts!$F$5:$M$5,0)+1,FALSE),G1113)</f>
        <v>59.96</v>
      </c>
      <c r="H1114" s="6">
        <f>IFERROR(VLOOKUP($B1114,Platts!$E$5:$M$4994,MATCH(H$3,Platts!$F$5:$M$5,0)+1,FALSE),H1113)</f>
        <v>52.11</v>
      </c>
      <c r="I1114" s="6">
        <f>IFERROR(VLOOKUP($B1114,Platts!$E$5:$M$4994,MATCH(I$3,Platts!$F$5:$M$5,0)+1,FALSE),I1113)</f>
        <v>58.66</v>
      </c>
      <c r="J1114" s="6">
        <f t="shared" si="34"/>
        <v>0.90999999999999659</v>
      </c>
    </row>
    <row r="1115" spans="2:10" x14ac:dyDescent="0.25">
      <c r="B1115" s="5">
        <f t="shared" si="35"/>
        <v>43481</v>
      </c>
      <c r="C1115" s="6">
        <f>IFERROR(VLOOKUP($B1115,Platts!$E$5:$M$4994,MATCH(C$3,Platts!$F$5:$M$5,0)+1,FALSE),C1114)</f>
        <v>52.06</v>
      </c>
      <c r="D1115" s="6">
        <f>IFERROR(VLOOKUP($B1115,Platts!$E$5:$M$4994,MATCH(D$3,Platts!$F$5:$M$5,0)+1,FALSE),D1114)</f>
        <v>58.72</v>
      </c>
      <c r="E1115" s="6">
        <f>IFERROR(VLOOKUP($B1115,Platts!$E$5:$M$4994,MATCH(E$3,Platts!$F$5:$M$5,0)+1,FALSE),E1114)</f>
        <v>55.23</v>
      </c>
      <c r="F1115" s="6">
        <f>IFERROR(VLOOKUP($B1115,Platts!$E$5:$M$4994,MATCH(F$3,Platts!$F$5:$M$5,0)+1,FALSE),F1114)</f>
        <v>61.83</v>
      </c>
      <c r="G1115" s="6">
        <f>IFERROR(VLOOKUP($B1115,Platts!$E$5:$M$4994,MATCH(G$3,Platts!$F$5:$M$5,0)+1,FALSE),G1114)</f>
        <v>61</v>
      </c>
      <c r="H1115" s="6">
        <f>IFERROR(VLOOKUP($B1115,Platts!$E$5:$M$4994,MATCH(H$3,Platts!$F$5:$M$5,0)+1,FALSE),H1114)</f>
        <v>52.31</v>
      </c>
      <c r="I1115" s="6">
        <f>IFERROR(VLOOKUP($B1115,Platts!$E$5:$M$4994,MATCH(I$3,Platts!$F$5:$M$5,0)+1,FALSE),I1114)</f>
        <v>59.06</v>
      </c>
      <c r="J1115" s="6">
        <f t="shared" si="34"/>
        <v>0.25</v>
      </c>
    </row>
    <row r="1116" spans="2:10" x14ac:dyDescent="0.25">
      <c r="B1116" s="5">
        <f t="shared" si="35"/>
        <v>43482</v>
      </c>
      <c r="C1116" s="6">
        <f>IFERROR(VLOOKUP($B1116,Platts!$E$5:$M$4994,MATCH(C$3,Platts!$F$5:$M$5,0)+1,FALSE),C1115)</f>
        <v>52.02</v>
      </c>
      <c r="D1116" s="6">
        <f>IFERROR(VLOOKUP($B1116,Platts!$E$5:$M$4994,MATCH(D$3,Platts!$F$5:$M$5,0)+1,FALSE),D1115)</f>
        <v>58.74</v>
      </c>
      <c r="E1116" s="6">
        <f>IFERROR(VLOOKUP($B1116,Platts!$E$5:$M$4994,MATCH(E$3,Platts!$F$5:$M$5,0)+1,FALSE),E1115)</f>
        <v>55.37</v>
      </c>
      <c r="F1116" s="6">
        <f>IFERROR(VLOOKUP($B1116,Platts!$E$5:$M$4994,MATCH(F$3,Platts!$F$5:$M$5,0)+1,FALSE),F1115)</f>
        <v>61.84</v>
      </c>
      <c r="G1116" s="6">
        <f>IFERROR(VLOOKUP($B1116,Platts!$E$5:$M$4994,MATCH(G$3,Platts!$F$5:$M$5,0)+1,FALSE),G1115)</f>
        <v>60.97</v>
      </c>
      <c r="H1116" s="6">
        <f>IFERROR(VLOOKUP($B1116,Platts!$E$5:$M$4994,MATCH(H$3,Platts!$F$5:$M$5,0)+1,FALSE),H1115)</f>
        <v>52.07</v>
      </c>
      <c r="I1116" s="6">
        <f>IFERROR(VLOOKUP($B1116,Platts!$E$5:$M$4994,MATCH(I$3,Platts!$F$5:$M$5,0)+1,FALSE),I1115)</f>
        <v>59.12</v>
      </c>
      <c r="J1116" s="6">
        <f t="shared" si="34"/>
        <v>4.9999999999997158E-2</v>
      </c>
    </row>
    <row r="1117" spans="2:10" x14ac:dyDescent="0.25">
      <c r="B1117" s="5">
        <f t="shared" si="35"/>
        <v>43483</v>
      </c>
      <c r="C1117" s="6">
        <f>IFERROR(VLOOKUP($B1117,Platts!$E$5:$M$4994,MATCH(C$3,Platts!$F$5:$M$5,0)+1,FALSE),C1116)</f>
        <v>54.14</v>
      </c>
      <c r="D1117" s="6">
        <f>IFERROR(VLOOKUP($B1117,Platts!$E$5:$M$4994,MATCH(D$3,Platts!$F$5:$M$5,0)+1,FALSE),D1116)</f>
        <v>61.06</v>
      </c>
      <c r="E1117" s="6">
        <f>IFERROR(VLOOKUP($B1117,Platts!$E$5:$M$4994,MATCH(E$3,Platts!$F$5:$M$5,0)+1,FALSE),E1116)</f>
        <v>57.59</v>
      </c>
      <c r="F1117" s="6">
        <f>IFERROR(VLOOKUP($B1117,Platts!$E$5:$M$4994,MATCH(F$3,Platts!$F$5:$M$5,0)+1,FALSE),F1116)</f>
        <v>64.02</v>
      </c>
      <c r="G1117" s="6">
        <f>IFERROR(VLOOKUP($B1117,Platts!$E$5:$M$4994,MATCH(G$3,Platts!$F$5:$M$5,0)+1,FALSE),G1116)</f>
        <v>62.83</v>
      </c>
      <c r="H1117" s="6">
        <f>IFERROR(VLOOKUP($B1117,Platts!$E$5:$M$4994,MATCH(H$3,Platts!$F$5:$M$5,0)+1,FALSE),H1116)</f>
        <v>53.8</v>
      </c>
      <c r="I1117" s="6">
        <f>IFERROR(VLOOKUP($B1117,Platts!$E$5:$M$4994,MATCH(I$3,Platts!$F$5:$M$5,0)+1,FALSE),I1116)</f>
        <v>60.85</v>
      </c>
      <c r="J1117" s="6">
        <f t="shared" si="34"/>
        <v>-0.34000000000000341</v>
      </c>
    </row>
    <row r="1118" spans="2:10" x14ac:dyDescent="0.25">
      <c r="B1118" s="5">
        <f t="shared" si="35"/>
        <v>43484</v>
      </c>
      <c r="C1118" s="6">
        <f>IFERROR(VLOOKUP($B1118,Platts!$E$5:$M$4994,MATCH(C$3,Platts!$F$5:$M$5,0)+1,FALSE),C1117)</f>
        <v>54.14</v>
      </c>
      <c r="D1118" s="6">
        <f>IFERROR(VLOOKUP($B1118,Platts!$E$5:$M$4994,MATCH(D$3,Platts!$F$5:$M$5,0)+1,FALSE),D1117)</f>
        <v>61.06</v>
      </c>
      <c r="E1118" s="6">
        <f>IFERROR(VLOOKUP($B1118,Platts!$E$5:$M$4994,MATCH(E$3,Platts!$F$5:$M$5,0)+1,FALSE),E1117)</f>
        <v>57.59</v>
      </c>
      <c r="F1118" s="6">
        <f>IFERROR(VLOOKUP($B1118,Platts!$E$5:$M$4994,MATCH(F$3,Platts!$F$5:$M$5,0)+1,FALSE),F1117)</f>
        <v>64.02</v>
      </c>
      <c r="G1118" s="6">
        <f>IFERROR(VLOOKUP($B1118,Platts!$E$5:$M$4994,MATCH(G$3,Platts!$F$5:$M$5,0)+1,FALSE),G1117)</f>
        <v>62.83</v>
      </c>
      <c r="H1118" s="6">
        <f>IFERROR(VLOOKUP($B1118,Platts!$E$5:$M$4994,MATCH(H$3,Platts!$F$5:$M$5,0)+1,FALSE),H1117)</f>
        <v>53.8</v>
      </c>
      <c r="I1118" s="6">
        <f>IFERROR(VLOOKUP($B1118,Platts!$E$5:$M$4994,MATCH(I$3,Platts!$F$5:$M$5,0)+1,FALSE),I1117)</f>
        <v>60.85</v>
      </c>
      <c r="J1118" s="6">
        <f t="shared" si="34"/>
        <v>-0.34000000000000341</v>
      </c>
    </row>
    <row r="1119" spans="2:10" x14ac:dyDescent="0.25">
      <c r="B1119" s="5">
        <f t="shared" si="35"/>
        <v>43485</v>
      </c>
      <c r="C1119" s="6">
        <f>IFERROR(VLOOKUP($B1119,Platts!$E$5:$M$4994,MATCH(C$3,Platts!$F$5:$M$5,0)+1,FALSE),C1118)</f>
        <v>54.14</v>
      </c>
      <c r="D1119" s="6">
        <f>IFERROR(VLOOKUP($B1119,Platts!$E$5:$M$4994,MATCH(D$3,Platts!$F$5:$M$5,0)+1,FALSE),D1118)</f>
        <v>61.06</v>
      </c>
      <c r="E1119" s="6">
        <f>IFERROR(VLOOKUP($B1119,Platts!$E$5:$M$4994,MATCH(E$3,Platts!$F$5:$M$5,0)+1,FALSE),E1118)</f>
        <v>57.59</v>
      </c>
      <c r="F1119" s="6">
        <f>IFERROR(VLOOKUP($B1119,Platts!$E$5:$M$4994,MATCH(F$3,Platts!$F$5:$M$5,0)+1,FALSE),F1118)</f>
        <v>64.02</v>
      </c>
      <c r="G1119" s="6">
        <f>IFERROR(VLOOKUP($B1119,Platts!$E$5:$M$4994,MATCH(G$3,Platts!$F$5:$M$5,0)+1,FALSE),G1118)</f>
        <v>62.83</v>
      </c>
      <c r="H1119" s="6">
        <f>IFERROR(VLOOKUP($B1119,Platts!$E$5:$M$4994,MATCH(H$3,Platts!$F$5:$M$5,0)+1,FALSE),H1118)</f>
        <v>53.8</v>
      </c>
      <c r="I1119" s="6">
        <f>IFERROR(VLOOKUP($B1119,Platts!$E$5:$M$4994,MATCH(I$3,Platts!$F$5:$M$5,0)+1,FALSE),I1118)</f>
        <v>60.85</v>
      </c>
      <c r="J1119" s="6">
        <f t="shared" si="34"/>
        <v>-0.34000000000000341</v>
      </c>
    </row>
    <row r="1120" spans="2:10" x14ac:dyDescent="0.25">
      <c r="B1120" s="5">
        <f t="shared" si="35"/>
        <v>43486</v>
      </c>
      <c r="C1120" s="6">
        <f>IFERROR(VLOOKUP($B1120,Platts!$E$5:$M$4994,MATCH(C$3,Platts!$F$5:$M$5,0)+1,FALSE),C1119)</f>
        <v>54.14</v>
      </c>
      <c r="D1120" s="6">
        <f>IFERROR(VLOOKUP($B1120,Platts!$E$5:$M$4994,MATCH(D$3,Platts!$F$5:$M$5,0)+1,FALSE),D1119)</f>
        <v>61.06</v>
      </c>
      <c r="E1120" s="6">
        <f>IFERROR(VLOOKUP($B1120,Platts!$E$5:$M$4994,MATCH(E$3,Platts!$F$5:$M$5,0)+1,FALSE),E1119)</f>
        <v>57.59</v>
      </c>
      <c r="F1120" s="6">
        <f>IFERROR(VLOOKUP($B1120,Platts!$E$5:$M$4994,MATCH(F$3,Platts!$F$5:$M$5,0)+1,FALSE),F1119)</f>
        <v>64.02</v>
      </c>
      <c r="G1120" s="6">
        <f>IFERROR(VLOOKUP($B1120,Platts!$E$5:$M$4994,MATCH(G$3,Platts!$F$5:$M$5,0)+1,FALSE),G1119)</f>
        <v>62.63</v>
      </c>
      <c r="H1120" s="6">
        <f>IFERROR(VLOOKUP($B1120,Platts!$E$5:$M$4994,MATCH(H$3,Platts!$F$5:$M$5,0)+1,FALSE),H1119)</f>
        <v>53.8</v>
      </c>
      <c r="I1120" s="6">
        <f>IFERROR(VLOOKUP($B1120,Platts!$E$5:$M$4994,MATCH(I$3,Platts!$F$5:$M$5,0)+1,FALSE),I1119)</f>
        <v>60.85</v>
      </c>
      <c r="J1120" s="6">
        <f t="shared" si="34"/>
        <v>-0.34000000000000341</v>
      </c>
    </row>
    <row r="1121" spans="2:10" x14ac:dyDescent="0.25">
      <c r="B1121" s="5">
        <f t="shared" si="35"/>
        <v>43487</v>
      </c>
      <c r="C1121" s="6">
        <f>IFERROR(VLOOKUP($B1121,Platts!$E$5:$M$4994,MATCH(C$3,Platts!$F$5:$M$5,0)+1,FALSE),C1120)</f>
        <v>53.45</v>
      </c>
      <c r="D1121" s="6">
        <f>IFERROR(VLOOKUP($B1121,Platts!$E$5:$M$4994,MATCH(D$3,Platts!$F$5:$M$5,0)+1,FALSE),D1120)</f>
        <v>60.13</v>
      </c>
      <c r="E1121" s="6">
        <f>IFERROR(VLOOKUP($B1121,Platts!$E$5:$M$4994,MATCH(E$3,Platts!$F$5:$M$5,0)+1,FALSE),E1120)</f>
        <v>56.73</v>
      </c>
      <c r="F1121" s="6">
        <f>IFERROR(VLOOKUP($B1121,Platts!$E$5:$M$4994,MATCH(F$3,Platts!$F$5:$M$5,0)+1,FALSE),F1120)</f>
        <v>63.04</v>
      </c>
      <c r="G1121" s="6">
        <f>IFERROR(VLOOKUP($B1121,Platts!$E$5:$M$4994,MATCH(G$3,Platts!$F$5:$M$5,0)+1,FALSE),G1120)</f>
        <v>61.19</v>
      </c>
      <c r="H1121" s="6">
        <f>IFERROR(VLOOKUP($B1121,Platts!$E$5:$M$4994,MATCH(H$3,Platts!$F$5:$M$5,0)+1,FALSE),H1120)</f>
        <v>52.57</v>
      </c>
      <c r="I1121" s="6">
        <f>IFERROR(VLOOKUP($B1121,Platts!$E$5:$M$4994,MATCH(I$3,Platts!$F$5:$M$5,0)+1,FALSE),I1120)</f>
        <v>60.07</v>
      </c>
      <c r="J1121" s="6">
        <f t="shared" si="34"/>
        <v>-0.88000000000000256</v>
      </c>
    </row>
    <row r="1122" spans="2:10" x14ac:dyDescent="0.25">
      <c r="B1122" s="5">
        <f t="shared" si="35"/>
        <v>43488</v>
      </c>
      <c r="C1122" s="6">
        <f>IFERROR(VLOOKUP($B1122,Platts!$E$5:$M$4994,MATCH(C$3,Platts!$F$5:$M$5,0)+1,FALSE),C1121)</f>
        <v>53.66</v>
      </c>
      <c r="D1122" s="6">
        <f>IFERROR(VLOOKUP($B1122,Platts!$E$5:$M$4994,MATCH(D$3,Platts!$F$5:$M$5,0)+1,FALSE),D1121)</f>
        <v>60.86</v>
      </c>
      <c r="E1122" s="6">
        <f>IFERROR(VLOOKUP($B1122,Platts!$E$5:$M$4994,MATCH(E$3,Platts!$F$5:$M$5,0)+1,FALSE),E1121)</f>
        <v>57.36</v>
      </c>
      <c r="F1122" s="6">
        <f>IFERROR(VLOOKUP($B1122,Platts!$E$5:$M$4994,MATCH(F$3,Platts!$F$5:$M$5,0)+1,FALSE),F1121)</f>
        <v>63.64</v>
      </c>
      <c r="G1122" s="6">
        <f>IFERROR(VLOOKUP($B1122,Platts!$E$5:$M$4994,MATCH(G$3,Platts!$F$5:$M$5,0)+1,FALSE),G1121)</f>
        <v>61.18</v>
      </c>
      <c r="H1122" s="6">
        <f>IFERROR(VLOOKUP($B1122,Platts!$E$5:$M$4994,MATCH(H$3,Platts!$F$5:$M$5,0)+1,FALSE),H1121)</f>
        <v>52.42</v>
      </c>
      <c r="I1122" s="6">
        <f>IFERROR(VLOOKUP($B1122,Platts!$E$5:$M$4994,MATCH(I$3,Platts!$F$5:$M$5,0)+1,FALSE),I1121)</f>
        <v>59.92</v>
      </c>
      <c r="J1122" s="6">
        <f t="shared" si="34"/>
        <v>-1.2399999999999949</v>
      </c>
    </row>
    <row r="1123" spans="2:10" x14ac:dyDescent="0.25">
      <c r="B1123" s="5">
        <f t="shared" si="35"/>
        <v>43489</v>
      </c>
      <c r="C1123" s="6">
        <f>IFERROR(VLOOKUP($B1123,Platts!$E$5:$M$4994,MATCH(C$3,Platts!$F$5:$M$5,0)+1,FALSE),C1122)</f>
        <v>53.59</v>
      </c>
      <c r="D1123" s="6">
        <f>IFERROR(VLOOKUP($B1123,Platts!$E$5:$M$4994,MATCH(D$3,Platts!$F$5:$M$5,0)+1,FALSE),D1122)</f>
        <v>61.2</v>
      </c>
      <c r="E1123" s="6">
        <f>IFERROR(VLOOKUP($B1123,Platts!$E$5:$M$4994,MATCH(E$3,Platts!$F$5:$M$5,0)+1,FALSE),E1122)</f>
        <v>57.46</v>
      </c>
      <c r="F1123" s="6">
        <f>IFERROR(VLOOKUP($B1123,Platts!$E$5:$M$4994,MATCH(F$3,Platts!$F$5:$M$5,0)+1,FALSE),F1122)</f>
        <v>63.92</v>
      </c>
      <c r="G1123" s="6">
        <f>IFERROR(VLOOKUP($B1123,Platts!$E$5:$M$4994,MATCH(G$3,Platts!$F$5:$M$5,0)+1,FALSE),G1122)</f>
        <v>61.03</v>
      </c>
      <c r="H1123" s="6">
        <f>IFERROR(VLOOKUP($B1123,Platts!$E$5:$M$4994,MATCH(H$3,Platts!$F$5:$M$5,0)+1,FALSE),H1122)</f>
        <v>52.89</v>
      </c>
      <c r="I1123" s="6">
        <f>IFERROR(VLOOKUP($B1123,Platts!$E$5:$M$4994,MATCH(I$3,Platts!$F$5:$M$5,0)+1,FALSE),I1122)</f>
        <v>60.79</v>
      </c>
      <c r="J1123" s="6">
        <f t="shared" si="34"/>
        <v>-0.70000000000000284</v>
      </c>
    </row>
    <row r="1124" spans="2:10" x14ac:dyDescent="0.25">
      <c r="B1124" s="5">
        <f t="shared" si="35"/>
        <v>43490</v>
      </c>
      <c r="C1124" s="6">
        <f>IFERROR(VLOOKUP($B1124,Platts!$E$5:$M$4994,MATCH(C$3,Platts!$F$5:$M$5,0)+1,FALSE),C1123)</f>
        <v>54.12</v>
      </c>
      <c r="D1124" s="6">
        <f>IFERROR(VLOOKUP($B1124,Platts!$E$5:$M$4994,MATCH(D$3,Platts!$F$5:$M$5,0)+1,FALSE),D1123)</f>
        <v>62.31</v>
      </c>
      <c r="E1124" s="6">
        <f>IFERROR(VLOOKUP($B1124,Platts!$E$5:$M$4994,MATCH(E$3,Platts!$F$5:$M$5,0)+1,FALSE),E1123)</f>
        <v>58.57</v>
      </c>
      <c r="F1124" s="6">
        <f>IFERROR(VLOOKUP($B1124,Platts!$E$5:$M$4994,MATCH(F$3,Platts!$F$5:$M$5,0)+1,FALSE),F1123)</f>
        <v>64.92</v>
      </c>
      <c r="G1124" s="6">
        <f>IFERROR(VLOOKUP($B1124,Platts!$E$5:$M$4994,MATCH(G$3,Platts!$F$5:$M$5,0)+1,FALSE),G1123)</f>
        <v>61.59</v>
      </c>
      <c r="H1124" s="6">
        <f>IFERROR(VLOOKUP($B1124,Platts!$E$5:$M$4994,MATCH(H$3,Platts!$F$5:$M$5,0)+1,FALSE),H1123)</f>
        <v>53.45</v>
      </c>
      <c r="I1124" s="6">
        <f>IFERROR(VLOOKUP($B1124,Platts!$E$5:$M$4994,MATCH(I$3,Platts!$F$5:$M$5,0)+1,FALSE),I1123)</f>
        <v>61.65</v>
      </c>
      <c r="J1124" s="6">
        <f t="shared" si="34"/>
        <v>-0.6699999999999946</v>
      </c>
    </row>
    <row r="1125" spans="2:10" x14ac:dyDescent="0.25">
      <c r="B1125" s="5">
        <f t="shared" si="35"/>
        <v>43491</v>
      </c>
      <c r="C1125" s="6">
        <f>IFERROR(VLOOKUP($B1125,Platts!$E$5:$M$4994,MATCH(C$3,Platts!$F$5:$M$5,0)+1,FALSE),C1124)</f>
        <v>54.12</v>
      </c>
      <c r="D1125" s="6">
        <f>IFERROR(VLOOKUP($B1125,Platts!$E$5:$M$4994,MATCH(D$3,Platts!$F$5:$M$5,0)+1,FALSE),D1124)</f>
        <v>62.31</v>
      </c>
      <c r="E1125" s="6">
        <f>IFERROR(VLOOKUP($B1125,Platts!$E$5:$M$4994,MATCH(E$3,Platts!$F$5:$M$5,0)+1,FALSE),E1124)</f>
        <v>58.57</v>
      </c>
      <c r="F1125" s="6">
        <f>IFERROR(VLOOKUP($B1125,Platts!$E$5:$M$4994,MATCH(F$3,Platts!$F$5:$M$5,0)+1,FALSE),F1124)</f>
        <v>64.92</v>
      </c>
      <c r="G1125" s="6">
        <f>IFERROR(VLOOKUP($B1125,Platts!$E$5:$M$4994,MATCH(G$3,Platts!$F$5:$M$5,0)+1,FALSE),G1124)</f>
        <v>61.59</v>
      </c>
      <c r="H1125" s="6">
        <f>IFERROR(VLOOKUP($B1125,Platts!$E$5:$M$4994,MATCH(H$3,Platts!$F$5:$M$5,0)+1,FALSE),H1124)</f>
        <v>53.45</v>
      </c>
      <c r="I1125" s="6">
        <f>IFERROR(VLOOKUP($B1125,Platts!$E$5:$M$4994,MATCH(I$3,Platts!$F$5:$M$5,0)+1,FALSE),I1124)</f>
        <v>61.65</v>
      </c>
      <c r="J1125" s="6">
        <f t="shared" si="34"/>
        <v>-0.6699999999999946</v>
      </c>
    </row>
    <row r="1126" spans="2:10" x14ac:dyDescent="0.25">
      <c r="B1126" s="5">
        <f t="shared" si="35"/>
        <v>43492</v>
      </c>
      <c r="C1126" s="6">
        <f>IFERROR(VLOOKUP($B1126,Platts!$E$5:$M$4994,MATCH(C$3,Platts!$F$5:$M$5,0)+1,FALSE),C1125)</f>
        <v>54.12</v>
      </c>
      <c r="D1126" s="6">
        <f>IFERROR(VLOOKUP($B1126,Platts!$E$5:$M$4994,MATCH(D$3,Platts!$F$5:$M$5,0)+1,FALSE),D1125)</f>
        <v>62.31</v>
      </c>
      <c r="E1126" s="6">
        <f>IFERROR(VLOOKUP($B1126,Platts!$E$5:$M$4994,MATCH(E$3,Platts!$F$5:$M$5,0)+1,FALSE),E1125)</f>
        <v>58.57</v>
      </c>
      <c r="F1126" s="6">
        <f>IFERROR(VLOOKUP($B1126,Platts!$E$5:$M$4994,MATCH(F$3,Platts!$F$5:$M$5,0)+1,FALSE),F1125)</f>
        <v>64.92</v>
      </c>
      <c r="G1126" s="6">
        <f>IFERROR(VLOOKUP($B1126,Platts!$E$5:$M$4994,MATCH(G$3,Platts!$F$5:$M$5,0)+1,FALSE),G1125)</f>
        <v>61.59</v>
      </c>
      <c r="H1126" s="6">
        <f>IFERROR(VLOOKUP($B1126,Platts!$E$5:$M$4994,MATCH(H$3,Platts!$F$5:$M$5,0)+1,FALSE),H1125)</f>
        <v>53.45</v>
      </c>
      <c r="I1126" s="6">
        <f>IFERROR(VLOOKUP($B1126,Platts!$E$5:$M$4994,MATCH(I$3,Platts!$F$5:$M$5,0)+1,FALSE),I1125)</f>
        <v>61.65</v>
      </c>
      <c r="J1126" s="6">
        <f t="shared" si="34"/>
        <v>-0.6699999999999946</v>
      </c>
    </row>
    <row r="1127" spans="2:10" x14ac:dyDescent="0.25">
      <c r="B1127" s="5">
        <f t="shared" si="35"/>
        <v>43493</v>
      </c>
      <c r="C1127" s="6">
        <f>IFERROR(VLOOKUP($B1127,Platts!$E$5:$M$4994,MATCH(C$3,Platts!$F$5:$M$5,0)+1,FALSE),C1126)</f>
        <v>52.18</v>
      </c>
      <c r="D1127" s="6">
        <f>IFERROR(VLOOKUP($B1127,Platts!$E$5:$M$4994,MATCH(D$3,Platts!$F$5:$M$5,0)+1,FALSE),D1126)</f>
        <v>59.32</v>
      </c>
      <c r="E1127" s="6">
        <f>IFERROR(VLOOKUP($B1127,Platts!$E$5:$M$4994,MATCH(E$3,Platts!$F$5:$M$5,0)+1,FALSE),E1126)</f>
        <v>56.03</v>
      </c>
      <c r="F1127" s="6">
        <f>IFERROR(VLOOKUP($B1127,Platts!$E$5:$M$4994,MATCH(F$3,Platts!$F$5:$M$5,0)+1,FALSE),F1126)</f>
        <v>62.13</v>
      </c>
      <c r="G1127" s="6">
        <f>IFERROR(VLOOKUP($B1127,Platts!$E$5:$M$4994,MATCH(G$3,Platts!$F$5:$M$5,0)+1,FALSE),G1126)</f>
        <v>59.77</v>
      </c>
      <c r="H1127" s="6">
        <f>IFERROR(VLOOKUP($B1127,Platts!$E$5:$M$4994,MATCH(H$3,Platts!$F$5:$M$5,0)+1,FALSE),H1126)</f>
        <v>51.99</v>
      </c>
      <c r="I1127" s="6">
        <f>IFERROR(VLOOKUP($B1127,Platts!$E$5:$M$4994,MATCH(I$3,Platts!$F$5:$M$5,0)+1,FALSE),I1126)</f>
        <v>58.39</v>
      </c>
      <c r="J1127" s="6">
        <f t="shared" si="34"/>
        <v>-0.18999999999999773</v>
      </c>
    </row>
    <row r="1128" spans="2:10" x14ac:dyDescent="0.25">
      <c r="B1128" s="5">
        <f t="shared" si="35"/>
        <v>43494</v>
      </c>
      <c r="C1128" s="6">
        <f>IFERROR(VLOOKUP($B1128,Platts!$E$5:$M$4994,MATCH(C$3,Platts!$F$5:$M$5,0)+1,FALSE),C1127)</f>
        <v>54.21</v>
      </c>
      <c r="D1128" s="6">
        <f>IFERROR(VLOOKUP($B1128,Platts!$E$5:$M$4994,MATCH(D$3,Platts!$F$5:$M$5,0)+1,FALSE),D1127)</f>
        <v>60.85</v>
      </c>
      <c r="E1128" s="6">
        <f>IFERROR(VLOOKUP($B1128,Platts!$E$5:$M$4994,MATCH(E$3,Platts!$F$5:$M$5,0)+1,FALSE),E1127)</f>
        <v>58.15</v>
      </c>
      <c r="F1128" s="6">
        <f>IFERROR(VLOOKUP($B1128,Platts!$E$5:$M$4994,MATCH(F$3,Platts!$F$5:$M$5,0)+1,FALSE),F1127)</f>
        <v>63.63</v>
      </c>
      <c r="G1128" s="6">
        <f>IFERROR(VLOOKUP($B1128,Platts!$E$5:$M$4994,MATCH(G$3,Platts!$F$5:$M$5,0)+1,FALSE),G1127)</f>
        <v>61.45</v>
      </c>
      <c r="H1128" s="6">
        <f>IFERROR(VLOOKUP($B1128,Platts!$E$5:$M$4994,MATCH(H$3,Platts!$F$5:$M$5,0)+1,FALSE),H1127)</f>
        <v>53.31</v>
      </c>
      <c r="I1128" s="6">
        <f>IFERROR(VLOOKUP($B1128,Platts!$E$5:$M$4994,MATCH(I$3,Platts!$F$5:$M$5,0)+1,FALSE),I1127)</f>
        <v>59.76</v>
      </c>
      <c r="J1128" s="6">
        <f t="shared" si="34"/>
        <v>-0.89999999999999858</v>
      </c>
    </row>
    <row r="1129" spans="2:10" x14ac:dyDescent="0.25">
      <c r="B1129" s="5">
        <f t="shared" si="35"/>
        <v>43495</v>
      </c>
      <c r="C1129" s="6">
        <f>IFERROR(VLOOKUP($B1129,Platts!$E$5:$M$4994,MATCH(C$3,Platts!$F$5:$M$5,0)+1,FALSE),C1128)</f>
        <v>55.26</v>
      </c>
      <c r="D1129" s="6">
        <f>IFERROR(VLOOKUP($B1129,Platts!$E$5:$M$4994,MATCH(D$3,Platts!$F$5:$M$5,0)+1,FALSE),D1128)</f>
        <v>61.62</v>
      </c>
      <c r="E1129" s="6">
        <f>IFERROR(VLOOKUP($B1129,Platts!$E$5:$M$4994,MATCH(E$3,Platts!$F$5:$M$5,0)+1,FALSE),E1128)</f>
        <v>59.31</v>
      </c>
      <c r="F1129" s="6">
        <f>IFERROR(VLOOKUP($B1129,Platts!$E$5:$M$4994,MATCH(F$3,Platts!$F$5:$M$5,0)+1,FALSE),F1128)</f>
        <v>64.36</v>
      </c>
      <c r="G1129" s="6">
        <f>IFERROR(VLOOKUP($B1129,Platts!$E$5:$M$4994,MATCH(G$3,Platts!$F$5:$M$5,0)+1,FALSE),G1128)</f>
        <v>62.33</v>
      </c>
      <c r="H1129" s="6">
        <f>IFERROR(VLOOKUP($B1129,Platts!$E$5:$M$4994,MATCH(H$3,Platts!$F$5:$M$5,0)+1,FALSE),H1128)</f>
        <v>54.23</v>
      </c>
      <c r="I1129" s="6">
        <f>IFERROR(VLOOKUP($B1129,Platts!$E$5:$M$4994,MATCH(I$3,Platts!$F$5:$M$5,0)+1,FALSE),I1128)</f>
        <v>60.28</v>
      </c>
      <c r="J1129" s="6">
        <f t="shared" si="34"/>
        <v>-1.0300000000000011</v>
      </c>
    </row>
    <row r="1130" spans="2:10" x14ac:dyDescent="0.25">
      <c r="B1130" s="5">
        <f t="shared" si="35"/>
        <v>43496</v>
      </c>
      <c r="C1130" s="6">
        <f>IFERROR(VLOOKUP($B1130,Platts!$E$5:$M$4994,MATCH(C$3,Platts!$F$5:$M$5,0)+1,FALSE),C1129)</f>
        <v>55.03</v>
      </c>
      <c r="D1130" s="6">
        <f>IFERROR(VLOOKUP($B1130,Platts!$E$5:$M$4994,MATCH(D$3,Platts!$F$5:$M$5,0)+1,FALSE),D1129)</f>
        <v>60.98</v>
      </c>
      <c r="E1130" s="6">
        <f>IFERROR(VLOOKUP($B1130,Platts!$E$5:$M$4994,MATCH(E$3,Platts!$F$5:$M$5,0)+1,FALSE),E1129)</f>
        <v>58.96</v>
      </c>
      <c r="F1130" s="6">
        <f>IFERROR(VLOOKUP($B1130,Platts!$E$5:$M$4994,MATCH(F$3,Platts!$F$5:$M$5,0)+1,FALSE),F1129)</f>
        <v>63.73</v>
      </c>
      <c r="G1130" s="6">
        <f>IFERROR(VLOOKUP($B1130,Platts!$E$5:$M$4994,MATCH(G$3,Platts!$F$5:$M$5,0)+1,FALSE),G1129)</f>
        <v>62.21</v>
      </c>
      <c r="H1130" s="6">
        <f>IFERROR(VLOOKUP($B1130,Platts!$E$5:$M$4994,MATCH(H$3,Platts!$F$5:$M$5,0)+1,FALSE),H1129)</f>
        <v>53.79</v>
      </c>
      <c r="I1130" s="6">
        <f>IFERROR(VLOOKUP($B1130,Platts!$E$5:$M$4994,MATCH(I$3,Platts!$F$5:$M$5,0)+1,FALSE),I1129)</f>
        <v>59.59</v>
      </c>
      <c r="J1130" s="6">
        <f t="shared" si="34"/>
        <v>-1.240000000000002</v>
      </c>
    </row>
    <row r="1131" spans="2:10" x14ac:dyDescent="0.25">
      <c r="B1131" s="5">
        <f t="shared" si="35"/>
        <v>43497</v>
      </c>
      <c r="C1131" s="6">
        <f>IFERROR(VLOOKUP($B1131,Platts!$E$5:$M$4994,MATCH(C$3,Platts!$F$5:$M$5,0)+1,FALSE),C1130)</f>
        <v>54.71</v>
      </c>
      <c r="D1131" s="6">
        <f>IFERROR(VLOOKUP($B1131,Platts!$E$5:$M$4994,MATCH(D$3,Platts!$F$5:$M$5,0)+1,FALSE),D1130)</f>
        <v>62.86</v>
      </c>
      <c r="E1131" s="6">
        <f>IFERROR(VLOOKUP($B1131,Platts!$E$5:$M$4994,MATCH(E$3,Platts!$F$5:$M$5,0)+1,FALSE),E1130)</f>
        <v>58.25</v>
      </c>
      <c r="F1131" s="6">
        <f>IFERROR(VLOOKUP($B1131,Platts!$E$5:$M$4994,MATCH(F$3,Platts!$F$5:$M$5,0)+1,FALSE),F1130)</f>
        <v>65.760000000000005</v>
      </c>
      <c r="G1131" s="6">
        <f>IFERROR(VLOOKUP($B1131,Platts!$E$5:$M$4994,MATCH(G$3,Platts!$F$5:$M$5,0)+1,FALSE),G1130)</f>
        <v>62.17</v>
      </c>
      <c r="H1131" s="6">
        <f>IFERROR(VLOOKUP($B1131,Platts!$E$5:$M$4994,MATCH(H$3,Platts!$F$5:$M$5,0)+1,FALSE),H1130)</f>
        <v>55.26</v>
      </c>
      <c r="I1131" s="6">
        <f>IFERROR(VLOOKUP($B1131,Platts!$E$5:$M$4994,MATCH(I$3,Platts!$F$5:$M$5,0)+1,FALSE),I1130)</f>
        <v>61.56</v>
      </c>
      <c r="J1131" s="6">
        <f t="shared" si="34"/>
        <v>0.54999999999999716</v>
      </c>
    </row>
    <row r="1132" spans="2:10" x14ac:dyDescent="0.25">
      <c r="B1132" s="5">
        <f t="shared" si="35"/>
        <v>43498</v>
      </c>
      <c r="C1132" s="6">
        <f>IFERROR(VLOOKUP($B1132,Platts!$E$5:$M$4994,MATCH(C$3,Platts!$F$5:$M$5,0)+1,FALSE),C1131)</f>
        <v>54.71</v>
      </c>
      <c r="D1132" s="6">
        <f>IFERROR(VLOOKUP($B1132,Platts!$E$5:$M$4994,MATCH(D$3,Platts!$F$5:$M$5,0)+1,FALSE),D1131)</f>
        <v>62.86</v>
      </c>
      <c r="E1132" s="6">
        <f>IFERROR(VLOOKUP($B1132,Platts!$E$5:$M$4994,MATCH(E$3,Platts!$F$5:$M$5,0)+1,FALSE),E1131)</f>
        <v>58.25</v>
      </c>
      <c r="F1132" s="6">
        <f>IFERROR(VLOOKUP($B1132,Platts!$E$5:$M$4994,MATCH(F$3,Platts!$F$5:$M$5,0)+1,FALSE),F1131)</f>
        <v>65.760000000000005</v>
      </c>
      <c r="G1132" s="6">
        <f>IFERROR(VLOOKUP($B1132,Platts!$E$5:$M$4994,MATCH(G$3,Platts!$F$5:$M$5,0)+1,FALSE),G1131)</f>
        <v>62.17</v>
      </c>
      <c r="H1132" s="6">
        <f>IFERROR(VLOOKUP($B1132,Platts!$E$5:$M$4994,MATCH(H$3,Platts!$F$5:$M$5,0)+1,FALSE),H1131)</f>
        <v>55.26</v>
      </c>
      <c r="I1132" s="6">
        <f>IFERROR(VLOOKUP($B1132,Platts!$E$5:$M$4994,MATCH(I$3,Platts!$F$5:$M$5,0)+1,FALSE),I1131)</f>
        <v>61.56</v>
      </c>
      <c r="J1132" s="6">
        <f t="shared" si="34"/>
        <v>0.54999999999999716</v>
      </c>
    </row>
    <row r="1133" spans="2:10" x14ac:dyDescent="0.25">
      <c r="B1133" s="5">
        <f t="shared" si="35"/>
        <v>43499</v>
      </c>
      <c r="C1133" s="6">
        <f>IFERROR(VLOOKUP($B1133,Platts!$E$5:$M$4994,MATCH(C$3,Platts!$F$5:$M$5,0)+1,FALSE),C1132)</f>
        <v>54.71</v>
      </c>
      <c r="D1133" s="6">
        <f>IFERROR(VLOOKUP($B1133,Platts!$E$5:$M$4994,MATCH(D$3,Platts!$F$5:$M$5,0)+1,FALSE),D1132)</f>
        <v>62.86</v>
      </c>
      <c r="E1133" s="6">
        <f>IFERROR(VLOOKUP($B1133,Platts!$E$5:$M$4994,MATCH(E$3,Platts!$F$5:$M$5,0)+1,FALSE),E1132)</f>
        <v>58.25</v>
      </c>
      <c r="F1133" s="6">
        <f>IFERROR(VLOOKUP($B1133,Platts!$E$5:$M$4994,MATCH(F$3,Platts!$F$5:$M$5,0)+1,FALSE),F1132)</f>
        <v>65.760000000000005</v>
      </c>
      <c r="G1133" s="6">
        <f>IFERROR(VLOOKUP($B1133,Platts!$E$5:$M$4994,MATCH(G$3,Platts!$F$5:$M$5,0)+1,FALSE),G1132)</f>
        <v>62.17</v>
      </c>
      <c r="H1133" s="6">
        <f>IFERROR(VLOOKUP($B1133,Platts!$E$5:$M$4994,MATCH(H$3,Platts!$F$5:$M$5,0)+1,FALSE),H1132)</f>
        <v>55.26</v>
      </c>
      <c r="I1133" s="6">
        <f>IFERROR(VLOOKUP($B1133,Platts!$E$5:$M$4994,MATCH(I$3,Platts!$F$5:$M$5,0)+1,FALSE),I1132)</f>
        <v>61.56</v>
      </c>
      <c r="J1133" s="6">
        <f t="shared" si="34"/>
        <v>0.54999999999999716</v>
      </c>
    </row>
    <row r="1134" spans="2:10" x14ac:dyDescent="0.25">
      <c r="B1134" s="5">
        <f t="shared" si="35"/>
        <v>43500</v>
      </c>
      <c r="C1134" s="6">
        <f>IFERROR(VLOOKUP($B1134,Platts!$E$5:$M$4994,MATCH(C$3,Platts!$F$5:$M$5,0)+1,FALSE),C1133)</f>
        <v>54.96</v>
      </c>
      <c r="D1134" s="6">
        <f>IFERROR(VLOOKUP($B1134,Platts!$E$5:$M$4994,MATCH(D$3,Platts!$F$5:$M$5,0)+1,FALSE),D1133)</f>
        <v>62.26</v>
      </c>
      <c r="E1134" s="6">
        <f>IFERROR(VLOOKUP($B1134,Platts!$E$5:$M$4994,MATCH(E$3,Platts!$F$5:$M$5,0)+1,FALSE),E1133)</f>
        <v>57.89</v>
      </c>
      <c r="F1134" s="6">
        <f>IFERROR(VLOOKUP($B1134,Platts!$E$5:$M$4994,MATCH(F$3,Platts!$F$5:$M$5,0)+1,FALSE),F1133)</f>
        <v>65.260000000000005</v>
      </c>
      <c r="G1134" s="6">
        <f>IFERROR(VLOOKUP($B1134,Platts!$E$5:$M$4994,MATCH(G$3,Platts!$F$5:$M$5,0)+1,FALSE),G1133)</f>
        <v>62.47</v>
      </c>
      <c r="H1134" s="6">
        <f>IFERROR(VLOOKUP($B1134,Platts!$E$5:$M$4994,MATCH(H$3,Platts!$F$5:$M$5,0)+1,FALSE),H1133)</f>
        <v>54.56</v>
      </c>
      <c r="I1134" s="6">
        <f>IFERROR(VLOOKUP($B1134,Platts!$E$5:$M$4994,MATCH(I$3,Platts!$F$5:$M$5,0)+1,FALSE),I1133)</f>
        <v>61.51</v>
      </c>
      <c r="J1134" s="6">
        <f t="shared" si="34"/>
        <v>-0.39999999999999858</v>
      </c>
    </row>
    <row r="1135" spans="2:10" x14ac:dyDescent="0.25">
      <c r="B1135" s="5">
        <f t="shared" si="35"/>
        <v>43501</v>
      </c>
      <c r="C1135" s="6">
        <f>IFERROR(VLOOKUP($B1135,Platts!$E$5:$M$4994,MATCH(C$3,Platts!$F$5:$M$5,0)+1,FALSE),C1134)</f>
        <v>54.96</v>
      </c>
      <c r="D1135" s="6">
        <f>IFERROR(VLOOKUP($B1135,Platts!$E$5:$M$4994,MATCH(D$3,Platts!$F$5:$M$5,0)+1,FALSE),D1134)</f>
        <v>61.53</v>
      </c>
      <c r="E1135" s="6">
        <f>IFERROR(VLOOKUP($B1135,Platts!$E$5:$M$4994,MATCH(E$3,Platts!$F$5:$M$5,0)+1,FALSE),E1134)</f>
        <v>57.56</v>
      </c>
      <c r="F1135" s="6">
        <f>IFERROR(VLOOKUP($B1135,Platts!$E$5:$M$4994,MATCH(F$3,Platts!$F$5:$M$5,0)+1,FALSE),F1134)</f>
        <v>64.5</v>
      </c>
      <c r="G1135" s="6">
        <f>IFERROR(VLOOKUP($B1135,Platts!$E$5:$M$4994,MATCH(G$3,Platts!$F$5:$M$5,0)+1,FALSE),G1134)</f>
        <v>62.24</v>
      </c>
      <c r="H1135" s="6">
        <f>IFERROR(VLOOKUP($B1135,Platts!$E$5:$M$4994,MATCH(H$3,Platts!$F$5:$M$5,0)+1,FALSE),H1134)</f>
        <v>53.66</v>
      </c>
      <c r="I1135" s="6">
        <f>IFERROR(VLOOKUP($B1135,Platts!$E$5:$M$4994,MATCH(I$3,Platts!$F$5:$M$5,0)+1,FALSE),I1134)</f>
        <v>60.76</v>
      </c>
      <c r="J1135" s="6">
        <f t="shared" si="34"/>
        <v>-1.3000000000000043</v>
      </c>
    </row>
    <row r="1136" spans="2:10" x14ac:dyDescent="0.25">
      <c r="B1136" s="5">
        <f t="shared" si="35"/>
        <v>43502</v>
      </c>
      <c r="C1136" s="6">
        <f>IFERROR(VLOOKUP($B1136,Platts!$E$5:$M$4994,MATCH(C$3,Platts!$F$5:$M$5,0)+1,FALSE),C1135)</f>
        <v>54.96</v>
      </c>
      <c r="D1136" s="6">
        <f>IFERROR(VLOOKUP($B1136,Platts!$E$5:$M$4994,MATCH(D$3,Platts!$F$5:$M$5,0)+1,FALSE),D1135)</f>
        <v>61.94</v>
      </c>
      <c r="E1136" s="6">
        <f>IFERROR(VLOOKUP($B1136,Platts!$E$5:$M$4994,MATCH(E$3,Platts!$F$5:$M$5,0)+1,FALSE),E1135)</f>
        <v>57.85</v>
      </c>
      <c r="F1136" s="6">
        <f>IFERROR(VLOOKUP($B1136,Platts!$E$5:$M$4994,MATCH(F$3,Platts!$F$5:$M$5,0)+1,FALSE),F1135)</f>
        <v>64.95</v>
      </c>
      <c r="G1136" s="6">
        <f>IFERROR(VLOOKUP($B1136,Platts!$E$5:$M$4994,MATCH(G$3,Platts!$F$5:$M$5,0)+1,FALSE),G1135)</f>
        <v>62.61</v>
      </c>
      <c r="H1136" s="6">
        <f>IFERROR(VLOOKUP($B1136,Platts!$E$5:$M$4994,MATCH(H$3,Platts!$F$5:$M$5,0)+1,FALSE),H1135)</f>
        <v>54.01</v>
      </c>
      <c r="I1136" s="6">
        <f>IFERROR(VLOOKUP($B1136,Platts!$E$5:$M$4994,MATCH(I$3,Platts!$F$5:$M$5,0)+1,FALSE),I1135)</f>
        <v>61.46</v>
      </c>
      <c r="J1136" s="6">
        <f t="shared" si="34"/>
        <v>-0.95000000000000284</v>
      </c>
    </row>
    <row r="1137" spans="2:10" x14ac:dyDescent="0.25">
      <c r="B1137" s="5">
        <f t="shared" si="35"/>
        <v>43503</v>
      </c>
      <c r="C1137" s="6">
        <f>IFERROR(VLOOKUP($B1137,Platts!$E$5:$M$4994,MATCH(C$3,Platts!$F$5:$M$5,0)+1,FALSE),C1136)</f>
        <v>54.1</v>
      </c>
      <c r="D1137" s="6">
        <f>IFERROR(VLOOKUP($B1137,Platts!$E$5:$M$4994,MATCH(D$3,Platts!$F$5:$M$5,0)+1,FALSE),D1136)</f>
        <v>61.07</v>
      </c>
      <c r="E1137" s="6">
        <f>IFERROR(VLOOKUP($B1137,Platts!$E$5:$M$4994,MATCH(E$3,Platts!$F$5:$M$5,0)+1,FALSE),E1136)</f>
        <v>57.08</v>
      </c>
      <c r="F1137" s="6">
        <f>IFERROR(VLOOKUP($B1137,Platts!$E$5:$M$4994,MATCH(F$3,Platts!$F$5:$M$5,0)+1,FALSE),F1136)</f>
        <v>64.11</v>
      </c>
      <c r="G1137" s="6">
        <f>IFERROR(VLOOKUP($B1137,Platts!$E$5:$M$4994,MATCH(G$3,Platts!$F$5:$M$5,0)+1,FALSE),G1136)</f>
        <v>61.34</v>
      </c>
      <c r="H1137" s="6">
        <f>IFERROR(VLOOKUP($B1137,Platts!$E$5:$M$4994,MATCH(H$3,Platts!$F$5:$M$5,0)+1,FALSE),H1136)</f>
        <v>52.64</v>
      </c>
      <c r="I1137" s="6">
        <f>IFERROR(VLOOKUP($B1137,Platts!$E$5:$M$4994,MATCH(I$3,Platts!$F$5:$M$5,0)+1,FALSE),I1136)</f>
        <v>60.64</v>
      </c>
      <c r="J1137" s="6">
        <f t="shared" si="34"/>
        <v>-1.4600000000000009</v>
      </c>
    </row>
    <row r="1138" spans="2:10" x14ac:dyDescent="0.25">
      <c r="B1138" s="5">
        <f t="shared" si="35"/>
        <v>43504</v>
      </c>
      <c r="C1138" s="6">
        <f>IFERROR(VLOOKUP($B1138,Platts!$E$5:$M$4994,MATCH(C$3,Platts!$F$5:$M$5,0)+1,FALSE),C1137)</f>
        <v>54.6</v>
      </c>
      <c r="D1138" s="6">
        <f>IFERROR(VLOOKUP($B1138,Platts!$E$5:$M$4994,MATCH(D$3,Platts!$F$5:$M$5,0)+1,FALSE),D1137)</f>
        <v>61.48</v>
      </c>
      <c r="E1138" s="6">
        <f>IFERROR(VLOOKUP($B1138,Platts!$E$5:$M$4994,MATCH(E$3,Platts!$F$5:$M$5,0)+1,FALSE),E1137)</f>
        <v>57.6</v>
      </c>
      <c r="F1138" s="6">
        <f>IFERROR(VLOOKUP($B1138,Platts!$E$5:$M$4994,MATCH(F$3,Platts!$F$5:$M$5,0)+1,FALSE),F1137)</f>
        <v>64.510000000000005</v>
      </c>
      <c r="G1138" s="6">
        <f>IFERROR(VLOOKUP($B1138,Platts!$E$5:$M$4994,MATCH(G$3,Platts!$F$5:$M$5,0)+1,FALSE),G1137)</f>
        <v>61.97</v>
      </c>
      <c r="H1138" s="6">
        <f>IFERROR(VLOOKUP($B1138,Platts!$E$5:$M$4994,MATCH(H$3,Platts!$F$5:$M$5,0)+1,FALSE),H1137)</f>
        <v>52.72</v>
      </c>
      <c r="I1138" s="6">
        <f>IFERROR(VLOOKUP($B1138,Platts!$E$5:$M$4994,MATCH(I$3,Platts!$F$5:$M$5,0)+1,FALSE),I1137)</f>
        <v>60.82</v>
      </c>
      <c r="J1138" s="6">
        <f t="shared" si="34"/>
        <v>-1.8800000000000026</v>
      </c>
    </row>
    <row r="1139" spans="2:10" x14ac:dyDescent="0.25">
      <c r="B1139" s="5">
        <f t="shared" si="35"/>
        <v>43505</v>
      </c>
      <c r="C1139" s="6">
        <f>IFERROR(VLOOKUP($B1139,Platts!$E$5:$M$4994,MATCH(C$3,Platts!$F$5:$M$5,0)+1,FALSE),C1138)</f>
        <v>54.6</v>
      </c>
      <c r="D1139" s="6">
        <f>IFERROR(VLOOKUP($B1139,Platts!$E$5:$M$4994,MATCH(D$3,Platts!$F$5:$M$5,0)+1,FALSE),D1138)</f>
        <v>61.48</v>
      </c>
      <c r="E1139" s="6">
        <f>IFERROR(VLOOKUP($B1139,Platts!$E$5:$M$4994,MATCH(E$3,Platts!$F$5:$M$5,0)+1,FALSE),E1138)</f>
        <v>57.6</v>
      </c>
      <c r="F1139" s="6">
        <f>IFERROR(VLOOKUP($B1139,Platts!$E$5:$M$4994,MATCH(F$3,Platts!$F$5:$M$5,0)+1,FALSE),F1138)</f>
        <v>64.510000000000005</v>
      </c>
      <c r="G1139" s="6">
        <f>IFERROR(VLOOKUP($B1139,Platts!$E$5:$M$4994,MATCH(G$3,Platts!$F$5:$M$5,0)+1,FALSE),G1138)</f>
        <v>61.97</v>
      </c>
      <c r="H1139" s="6">
        <f>IFERROR(VLOOKUP($B1139,Platts!$E$5:$M$4994,MATCH(H$3,Platts!$F$5:$M$5,0)+1,FALSE),H1138)</f>
        <v>52.72</v>
      </c>
      <c r="I1139" s="6">
        <f>IFERROR(VLOOKUP($B1139,Platts!$E$5:$M$4994,MATCH(I$3,Platts!$F$5:$M$5,0)+1,FALSE),I1138)</f>
        <v>60.82</v>
      </c>
      <c r="J1139" s="6">
        <f t="shared" si="34"/>
        <v>-1.8800000000000026</v>
      </c>
    </row>
    <row r="1140" spans="2:10" x14ac:dyDescent="0.25">
      <c r="B1140" s="5">
        <f t="shared" si="35"/>
        <v>43506</v>
      </c>
      <c r="C1140" s="6">
        <f>IFERROR(VLOOKUP($B1140,Platts!$E$5:$M$4994,MATCH(C$3,Platts!$F$5:$M$5,0)+1,FALSE),C1139)</f>
        <v>54.6</v>
      </c>
      <c r="D1140" s="6">
        <f>IFERROR(VLOOKUP($B1140,Platts!$E$5:$M$4994,MATCH(D$3,Platts!$F$5:$M$5,0)+1,FALSE),D1139)</f>
        <v>61.48</v>
      </c>
      <c r="E1140" s="6">
        <f>IFERROR(VLOOKUP($B1140,Platts!$E$5:$M$4994,MATCH(E$3,Platts!$F$5:$M$5,0)+1,FALSE),E1139)</f>
        <v>57.6</v>
      </c>
      <c r="F1140" s="6">
        <f>IFERROR(VLOOKUP($B1140,Platts!$E$5:$M$4994,MATCH(F$3,Platts!$F$5:$M$5,0)+1,FALSE),F1139)</f>
        <v>64.510000000000005</v>
      </c>
      <c r="G1140" s="6">
        <f>IFERROR(VLOOKUP($B1140,Platts!$E$5:$M$4994,MATCH(G$3,Platts!$F$5:$M$5,0)+1,FALSE),G1139)</f>
        <v>61.97</v>
      </c>
      <c r="H1140" s="6">
        <f>IFERROR(VLOOKUP($B1140,Platts!$E$5:$M$4994,MATCH(H$3,Platts!$F$5:$M$5,0)+1,FALSE),H1139)</f>
        <v>52.72</v>
      </c>
      <c r="I1140" s="6">
        <f>IFERROR(VLOOKUP($B1140,Platts!$E$5:$M$4994,MATCH(I$3,Platts!$F$5:$M$5,0)+1,FALSE),I1139)</f>
        <v>60.82</v>
      </c>
      <c r="J1140" s="6">
        <f t="shared" si="34"/>
        <v>-1.8800000000000026</v>
      </c>
    </row>
    <row r="1141" spans="2:10" x14ac:dyDescent="0.25">
      <c r="B1141" s="5">
        <f t="shared" si="35"/>
        <v>43507</v>
      </c>
      <c r="C1141" s="6">
        <f>IFERROR(VLOOKUP($B1141,Platts!$E$5:$M$4994,MATCH(C$3,Platts!$F$5:$M$5,0)+1,FALSE),C1140)</f>
        <v>54.39</v>
      </c>
      <c r="D1141" s="6">
        <f>IFERROR(VLOOKUP($B1141,Platts!$E$5:$M$4994,MATCH(D$3,Platts!$F$5:$M$5,0)+1,FALSE),D1140)</f>
        <v>61.39</v>
      </c>
      <c r="E1141" s="6">
        <f>IFERROR(VLOOKUP($B1141,Platts!$E$5:$M$4994,MATCH(E$3,Platts!$F$5:$M$5,0)+1,FALSE),E1140)</f>
        <v>57.31</v>
      </c>
      <c r="F1141" s="6">
        <f>IFERROR(VLOOKUP($B1141,Platts!$E$5:$M$4994,MATCH(F$3,Platts!$F$5:$M$5,0)+1,FALSE),F1140)</f>
        <v>64.349999999999994</v>
      </c>
      <c r="G1141" s="6">
        <f>IFERROR(VLOOKUP($B1141,Platts!$E$5:$M$4994,MATCH(G$3,Platts!$F$5:$M$5,0)+1,FALSE),G1140)</f>
        <v>61.41</v>
      </c>
      <c r="H1141" s="6">
        <f>IFERROR(VLOOKUP($B1141,Platts!$E$5:$M$4994,MATCH(H$3,Platts!$F$5:$M$5,0)+1,FALSE),H1140)</f>
        <v>52.41</v>
      </c>
      <c r="I1141" s="6">
        <f>IFERROR(VLOOKUP($B1141,Platts!$E$5:$M$4994,MATCH(I$3,Platts!$F$5:$M$5,0)+1,FALSE),I1140)</f>
        <v>61.16</v>
      </c>
      <c r="J1141" s="6">
        <f t="shared" si="34"/>
        <v>-1.980000000000004</v>
      </c>
    </row>
    <row r="1142" spans="2:10" x14ac:dyDescent="0.25">
      <c r="B1142" s="5">
        <f t="shared" si="35"/>
        <v>43508</v>
      </c>
      <c r="C1142" s="6">
        <f>IFERROR(VLOOKUP($B1142,Platts!$E$5:$M$4994,MATCH(C$3,Platts!$F$5:$M$5,0)+1,FALSE),C1141)</f>
        <v>55.43</v>
      </c>
      <c r="D1142" s="6">
        <f>IFERROR(VLOOKUP($B1142,Platts!$E$5:$M$4994,MATCH(D$3,Platts!$F$5:$M$5,0)+1,FALSE),D1141)</f>
        <v>62.15</v>
      </c>
      <c r="E1142" s="6">
        <f>IFERROR(VLOOKUP($B1142,Platts!$E$5:$M$4994,MATCH(E$3,Platts!$F$5:$M$5,0)+1,FALSE),E1141)</f>
        <v>58.43</v>
      </c>
      <c r="F1142" s="6">
        <f>IFERROR(VLOOKUP($B1142,Platts!$E$5:$M$4994,MATCH(F$3,Platts!$F$5:$M$5,0)+1,FALSE),F1141)</f>
        <v>65.14</v>
      </c>
      <c r="G1142" s="6">
        <f>IFERROR(VLOOKUP($B1142,Platts!$E$5:$M$4994,MATCH(G$3,Platts!$F$5:$M$5,0)+1,FALSE),G1141)</f>
        <v>62.7</v>
      </c>
      <c r="H1142" s="6">
        <f>IFERROR(VLOOKUP($B1142,Platts!$E$5:$M$4994,MATCH(H$3,Platts!$F$5:$M$5,0)+1,FALSE),H1141)</f>
        <v>53.1</v>
      </c>
      <c r="I1142" s="6">
        <f>IFERROR(VLOOKUP($B1142,Platts!$E$5:$M$4994,MATCH(I$3,Platts!$F$5:$M$5,0)+1,FALSE),I1141)</f>
        <v>61.45</v>
      </c>
      <c r="J1142" s="6">
        <f t="shared" si="34"/>
        <v>-2.3299999999999983</v>
      </c>
    </row>
    <row r="1143" spans="2:10" x14ac:dyDescent="0.25">
      <c r="B1143" s="5">
        <f t="shared" si="35"/>
        <v>43509</v>
      </c>
      <c r="C1143" s="6">
        <f>IFERROR(VLOOKUP($B1143,Platts!$E$5:$M$4994,MATCH(C$3,Platts!$F$5:$M$5,0)+1,FALSE),C1142)</f>
        <v>56.58</v>
      </c>
      <c r="D1143" s="6">
        <f>IFERROR(VLOOKUP($B1143,Platts!$E$5:$M$4994,MATCH(D$3,Platts!$F$5:$M$5,0)+1,FALSE),D1142)</f>
        <v>62.98</v>
      </c>
      <c r="E1143" s="6">
        <f>IFERROR(VLOOKUP($B1143,Platts!$E$5:$M$4994,MATCH(E$3,Platts!$F$5:$M$5,0)+1,FALSE),E1142)</f>
        <v>59.5</v>
      </c>
      <c r="F1143" s="6">
        <f>IFERROR(VLOOKUP($B1143,Platts!$E$5:$M$4994,MATCH(F$3,Platts!$F$5:$M$5,0)+1,FALSE),F1142)</f>
        <v>66.02</v>
      </c>
      <c r="G1143" s="6">
        <f>IFERROR(VLOOKUP($B1143,Platts!$E$5:$M$4994,MATCH(G$3,Platts!$F$5:$M$5,0)+1,FALSE),G1142)</f>
        <v>63.84</v>
      </c>
      <c r="H1143" s="6">
        <f>IFERROR(VLOOKUP($B1143,Platts!$E$5:$M$4994,MATCH(H$3,Platts!$F$5:$M$5,0)+1,FALSE),H1142)</f>
        <v>53.9</v>
      </c>
      <c r="I1143" s="6">
        <f>IFERROR(VLOOKUP($B1143,Platts!$E$5:$M$4994,MATCH(I$3,Platts!$F$5:$M$5,0)+1,FALSE),I1142)</f>
        <v>62.5</v>
      </c>
      <c r="J1143" s="6">
        <f t="shared" si="34"/>
        <v>-2.6799999999999997</v>
      </c>
    </row>
    <row r="1144" spans="2:10" x14ac:dyDescent="0.25">
      <c r="B1144" s="5">
        <f t="shared" si="35"/>
        <v>43510</v>
      </c>
      <c r="C1144" s="6">
        <f>IFERROR(VLOOKUP($B1144,Platts!$E$5:$M$4994,MATCH(C$3,Platts!$F$5:$M$5,0)+1,FALSE),C1143)</f>
        <v>57.39</v>
      </c>
      <c r="D1144" s="6">
        <f>IFERROR(VLOOKUP($B1144,Platts!$E$5:$M$4994,MATCH(D$3,Platts!$F$5:$M$5,0)+1,FALSE),D1143)</f>
        <v>64.12</v>
      </c>
      <c r="E1144" s="6">
        <f>IFERROR(VLOOKUP($B1144,Platts!$E$5:$M$4994,MATCH(E$3,Platts!$F$5:$M$5,0)+1,FALSE),E1143)</f>
        <v>60.69</v>
      </c>
      <c r="F1144" s="6">
        <f>IFERROR(VLOOKUP($B1144,Platts!$E$5:$M$4994,MATCH(F$3,Platts!$F$5:$M$5,0)+1,FALSE),F1143)</f>
        <v>67.11</v>
      </c>
      <c r="G1144" s="6">
        <f>IFERROR(VLOOKUP($B1144,Platts!$E$5:$M$4994,MATCH(G$3,Platts!$F$5:$M$5,0)+1,FALSE),G1143)</f>
        <v>64.2</v>
      </c>
      <c r="H1144" s="6">
        <f>IFERROR(VLOOKUP($B1144,Platts!$E$5:$M$4994,MATCH(H$3,Platts!$F$5:$M$5,0)+1,FALSE),H1143)</f>
        <v>54.41</v>
      </c>
      <c r="I1144" s="6">
        <f>IFERROR(VLOOKUP($B1144,Platts!$E$5:$M$4994,MATCH(I$3,Platts!$F$5:$M$5,0)+1,FALSE),I1143)</f>
        <v>63.61</v>
      </c>
      <c r="J1144" s="6">
        <f t="shared" si="34"/>
        <v>-2.980000000000004</v>
      </c>
    </row>
    <row r="1145" spans="2:10" x14ac:dyDescent="0.25">
      <c r="B1145" s="5">
        <f t="shared" si="35"/>
        <v>43511</v>
      </c>
      <c r="C1145" s="6">
        <f>IFERROR(VLOOKUP($B1145,Platts!$E$5:$M$4994,MATCH(C$3,Platts!$F$5:$M$5,0)+1,FALSE),C1144)</f>
        <v>58.55</v>
      </c>
      <c r="D1145" s="6">
        <f>IFERROR(VLOOKUP($B1145,Platts!$E$5:$M$4994,MATCH(D$3,Platts!$F$5:$M$5,0)+1,FALSE),D1144)</f>
        <v>65.319999999999993</v>
      </c>
      <c r="E1145" s="6">
        <f>IFERROR(VLOOKUP($B1145,Platts!$E$5:$M$4994,MATCH(E$3,Platts!$F$5:$M$5,0)+1,FALSE),E1144)</f>
        <v>61.72</v>
      </c>
      <c r="F1145" s="6">
        <f>IFERROR(VLOOKUP($B1145,Platts!$E$5:$M$4994,MATCH(F$3,Platts!$F$5:$M$5,0)+1,FALSE),F1144)</f>
        <v>68.400000000000006</v>
      </c>
      <c r="G1145" s="6">
        <f>IFERROR(VLOOKUP($B1145,Platts!$E$5:$M$4994,MATCH(G$3,Platts!$F$5:$M$5,0)+1,FALSE),G1144)</f>
        <v>66.05</v>
      </c>
      <c r="H1145" s="6">
        <f>IFERROR(VLOOKUP($B1145,Platts!$E$5:$M$4994,MATCH(H$3,Platts!$F$5:$M$5,0)+1,FALSE),H1144)</f>
        <v>55.59</v>
      </c>
      <c r="I1145" s="6">
        <f>IFERROR(VLOOKUP($B1145,Platts!$E$5:$M$4994,MATCH(I$3,Platts!$F$5:$M$5,0)+1,FALSE),I1144)</f>
        <v>64.59</v>
      </c>
      <c r="J1145" s="6">
        <f t="shared" si="34"/>
        <v>-2.9599999999999937</v>
      </c>
    </row>
    <row r="1146" spans="2:10" x14ac:dyDescent="0.25">
      <c r="B1146" s="5">
        <f t="shared" si="35"/>
        <v>43512</v>
      </c>
      <c r="C1146" s="6">
        <f>IFERROR(VLOOKUP($B1146,Platts!$E$5:$M$4994,MATCH(C$3,Platts!$F$5:$M$5,0)+1,FALSE),C1145)</f>
        <v>58.55</v>
      </c>
      <c r="D1146" s="6">
        <f>IFERROR(VLOOKUP($B1146,Platts!$E$5:$M$4994,MATCH(D$3,Platts!$F$5:$M$5,0)+1,FALSE),D1145)</f>
        <v>65.319999999999993</v>
      </c>
      <c r="E1146" s="6">
        <f>IFERROR(VLOOKUP($B1146,Platts!$E$5:$M$4994,MATCH(E$3,Platts!$F$5:$M$5,0)+1,FALSE),E1145)</f>
        <v>61.72</v>
      </c>
      <c r="F1146" s="6">
        <f>IFERROR(VLOOKUP($B1146,Platts!$E$5:$M$4994,MATCH(F$3,Platts!$F$5:$M$5,0)+1,FALSE),F1145)</f>
        <v>68.400000000000006</v>
      </c>
      <c r="G1146" s="6">
        <f>IFERROR(VLOOKUP($B1146,Platts!$E$5:$M$4994,MATCH(G$3,Platts!$F$5:$M$5,0)+1,FALSE),G1145)</f>
        <v>66.05</v>
      </c>
      <c r="H1146" s="6">
        <f>IFERROR(VLOOKUP($B1146,Platts!$E$5:$M$4994,MATCH(H$3,Platts!$F$5:$M$5,0)+1,FALSE),H1145)</f>
        <v>55.59</v>
      </c>
      <c r="I1146" s="6">
        <f>IFERROR(VLOOKUP($B1146,Platts!$E$5:$M$4994,MATCH(I$3,Platts!$F$5:$M$5,0)+1,FALSE),I1145)</f>
        <v>64.59</v>
      </c>
      <c r="J1146" s="6">
        <f t="shared" si="34"/>
        <v>-2.9599999999999937</v>
      </c>
    </row>
    <row r="1147" spans="2:10" x14ac:dyDescent="0.25">
      <c r="B1147" s="5">
        <f t="shared" si="35"/>
        <v>43513</v>
      </c>
      <c r="C1147" s="6">
        <f>IFERROR(VLOOKUP($B1147,Platts!$E$5:$M$4994,MATCH(C$3,Platts!$F$5:$M$5,0)+1,FALSE),C1146)</f>
        <v>58.55</v>
      </c>
      <c r="D1147" s="6">
        <f>IFERROR(VLOOKUP($B1147,Platts!$E$5:$M$4994,MATCH(D$3,Platts!$F$5:$M$5,0)+1,FALSE),D1146)</f>
        <v>65.319999999999993</v>
      </c>
      <c r="E1147" s="6">
        <f>IFERROR(VLOOKUP($B1147,Platts!$E$5:$M$4994,MATCH(E$3,Platts!$F$5:$M$5,0)+1,FALSE),E1146)</f>
        <v>61.72</v>
      </c>
      <c r="F1147" s="6">
        <f>IFERROR(VLOOKUP($B1147,Platts!$E$5:$M$4994,MATCH(F$3,Platts!$F$5:$M$5,0)+1,FALSE),F1146)</f>
        <v>68.400000000000006</v>
      </c>
      <c r="G1147" s="6">
        <f>IFERROR(VLOOKUP($B1147,Platts!$E$5:$M$4994,MATCH(G$3,Platts!$F$5:$M$5,0)+1,FALSE),G1146)</f>
        <v>66.05</v>
      </c>
      <c r="H1147" s="6">
        <f>IFERROR(VLOOKUP($B1147,Platts!$E$5:$M$4994,MATCH(H$3,Platts!$F$5:$M$5,0)+1,FALSE),H1146)</f>
        <v>55.59</v>
      </c>
      <c r="I1147" s="6">
        <f>IFERROR(VLOOKUP($B1147,Platts!$E$5:$M$4994,MATCH(I$3,Platts!$F$5:$M$5,0)+1,FALSE),I1146)</f>
        <v>64.59</v>
      </c>
      <c r="J1147" s="6">
        <f t="shared" si="34"/>
        <v>-2.9599999999999937</v>
      </c>
    </row>
    <row r="1148" spans="2:10" x14ac:dyDescent="0.25">
      <c r="B1148" s="5">
        <f t="shared" si="35"/>
        <v>43514</v>
      </c>
      <c r="C1148" s="6">
        <f>IFERROR(VLOOKUP($B1148,Platts!$E$5:$M$4994,MATCH(C$3,Platts!$F$5:$M$5,0)+1,FALSE),C1147)</f>
        <v>58.55</v>
      </c>
      <c r="D1148" s="6">
        <f>IFERROR(VLOOKUP($B1148,Platts!$E$5:$M$4994,MATCH(D$3,Platts!$F$5:$M$5,0)+1,FALSE),D1147)</f>
        <v>65.319999999999993</v>
      </c>
      <c r="E1148" s="6">
        <f>IFERROR(VLOOKUP($B1148,Platts!$E$5:$M$4994,MATCH(E$3,Platts!$F$5:$M$5,0)+1,FALSE),E1147)</f>
        <v>61.72</v>
      </c>
      <c r="F1148" s="6">
        <f>IFERROR(VLOOKUP($B1148,Platts!$E$5:$M$4994,MATCH(F$3,Platts!$F$5:$M$5,0)+1,FALSE),F1147)</f>
        <v>68.400000000000006</v>
      </c>
      <c r="G1148" s="6">
        <f>IFERROR(VLOOKUP($B1148,Platts!$E$5:$M$4994,MATCH(G$3,Platts!$F$5:$M$5,0)+1,FALSE),G1147)</f>
        <v>66.61</v>
      </c>
      <c r="H1148" s="6">
        <f>IFERROR(VLOOKUP($B1148,Platts!$E$5:$M$4994,MATCH(H$3,Platts!$F$5:$M$5,0)+1,FALSE),H1147)</f>
        <v>55.59</v>
      </c>
      <c r="I1148" s="6">
        <f>IFERROR(VLOOKUP($B1148,Platts!$E$5:$M$4994,MATCH(I$3,Platts!$F$5:$M$5,0)+1,FALSE),I1147)</f>
        <v>64.59</v>
      </c>
      <c r="J1148" s="6">
        <f t="shared" si="34"/>
        <v>-2.9599999999999937</v>
      </c>
    </row>
    <row r="1149" spans="2:10" x14ac:dyDescent="0.25">
      <c r="B1149" s="5">
        <f t="shared" si="35"/>
        <v>43515</v>
      </c>
      <c r="C1149" s="6">
        <f>IFERROR(VLOOKUP($B1149,Platts!$E$5:$M$4994,MATCH(C$3,Platts!$F$5:$M$5,0)+1,FALSE),C1148)</f>
        <v>58.73</v>
      </c>
      <c r="D1149" s="6">
        <f>IFERROR(VLOOKUP($B1149,Platts!$E$5:$M$4994,MATCH(D$3,Platts!$F$5:$M$5,0)+1,FALSE),D1148)</f>
        <v>65.709999999999994</v>
      </c>
      <c r="E1149" s="6">
        <f>IFERROR(VLOOKUP($B1149,Platts!$E$5:$M$4994,MATCH(E$3,Platts!$F$5:$M$5,0)+1,FALSE),E1148)</f>
        <v>61.97</v>
      </c>
      <c r="F1149" s="6">
        <f>IFERROR(VLOOKUP($B1149,Platts!$E$5:$M$4994,MATCH(F$3,Platts!$F$5:$M$5,0)+1,FALSE),F1148)</f>
        <v>68.680000000000007</v>
      </c>
      <c r="G1149" s="6">
        <f>IFERROR(VLOOKUP($B1149,Platts!$E$5:$M$4994,MATCH(G$3,Platts!$F$5:$M$5,0)+1,FALSE),G1148)</f>
        <v>66.11</v>
      </c>
      <c r="H1149" s="6">
        <f>IFERROR(VLOOKUP($B1149,Platts!$E$5:$M$4994,MATCH(H$3,Platts!$F$5:$M$5,0)+1,FALSE),H1148)</f>
        <v>56.09</v>
      </c>
      <c r="I1149" s="6">
        <f>IFERROR(VLOOKUP($B1149,Platts!$E$5:$M$4994,MATCH(I$3,Platts!$F$5:$M$5,0)+1,FALSE),I1148)</f>
        <v>65.44</v>
      </c>
      <c r="J1149" s="6">
        <f t="shared" si="34"/>
        <v>-2.6399999999999935</v>
      </c>
    </row>
    <row r="1150" spans="2:10" x14ac:dyDescent="0.25">
      <c r="B1150" s="5">
        <f t="shared" si="35"/>
        <v>43516</v>
      </c>
      <c r="C1150" s="6">
        <f>IFERROR(VLOOKUP($B1150,Platts!$E$5:$M$4994,MATCH(C$3,Platts!$F$5:$M$5,0)+1,FALSE),C1149)</f>
        <v>59.68</v>
      </c>
      <c r="D1150" s="6">
        <f>IFERROR(VLOOKUP($B1150,Platts!$E$5:$M$4994,MATCH(D$3,Platts!$F$5:$M$5,0)+1,FALSE),D1149)</f>
        <v>66.55</v>
      </c>
      <c r="E1150" s="6">
        <f>IFERROR(VLOOKUP($B1150,Platts!$E$5:$M$4994,MATCH(E$3,Platts!$F$5:$M$5,0)+1,FALSE),E1149)</f>
        <v>62.95</v>
      </c>
      <c r="F1150" s="6">
        <f>IFERROR(VLOOKUP($B1150,Platts!$E$5:$M$4994,MATCH(F$3,Platts!$F$5:$M$5,0)+1,FALSE),F1149)</f>
        <v>69.52</v>
      </c>
      <c r="G1150" s="6">
        <f>IFERROR(VLOOKUP($B1150,Platts!$E$5:$M$4994,MATCH(G$3,Platts!$F$5:$M$5,0)+1,FALSE),G1149)</f>
        <v>67.040000000000006</v>
      </c>
      <c r="H1150" s="6">
        <f>IFERROR(VLOOKUP($B1150,Platts!$E$5:$M$4994,MATCH(H$3,Platts!$F$5:$M$5,0)+1,FALSE),H1149)</f>
        <v>56.92</v>
      </c>
      <c r="I1150" s="6">
        <f>IFERROR(VLOOKUP($B1150,Platts!$E$5:$M$4994,MATCH(I$3,Platts!$F$5:$M$5,0)+1,FALSE),I1149)</f>
        <v>66.22</v>
      </c>
      <c r="J1150" s="6">
        <f t="shared" si="34"/>
        <v>-2.759999999999998</v>
      </c>
    </row>
    <row r="1151" spans="2:10" x14ac:dyDescent="0.25">
      <c r="B1151" s="5">
        <f t="shared" si="35"/>
        <v>43517</v>
      </c>
      <c r="C1151" s="6">
        <f>IFERROR(VLOOKUP($B1151,Platts!$E$5:$M$4994,MATCH(C$3,Platts!$F$5:$M$5,0)+1,FALSE),C1150)</f>
        <v>59.67</v>
      </c>
      <c r="D1151" s="6">
        <f>IFERROR(VLOOKUP($B1151,Platts!$E$5:$M$4994,MATCH(D$3,Platts!$F$5:$M$5,0)+1,FALSE),D1150)</f>
        <v>66.150000000000006</v>
      </c>
      <c r="E1151" s="6">
        <f>IFERROR(VLOOKUP($B1151,Platts!$E$5:$M$4994,MATCH(E$3,Platts!$F$5:$M$5,0)+1,FALSE),E1150)</f>
        <v>62.48</v>
      </c>
      <c r="F1151" s="6">
        <f>IFERROR(VLOOKUP($B1151,Platts!$E$5:$M$4994,MATCH(F$3,Platts!$F$5:$M$5,0)+1,FALSE),F1150)</f>
        <v>69.17</v>
      </c>
      <c r="G1151" s="6">
        <f>IFERROR(VLOOKUP($B1151,Platts!$E$5:$M$4994,MATCH(G$3,Platts!$F$5:$M$5,0)+1,FALSE),G1150)</f>
        <v>67.11</v>
      </c>
      <c r="H1151" s="6">
        <f>IFERROR(VLOOKUP($B1151,Platts!$E$5:$M$4994,MATCH(H$3,Platts!$F$5:$M$5,0)+1,FALSE),H1150)</f>
        <v>56.74</v>
      </c>
      <c r="I1151" s="6">
        <f>IFERROR(VLOOKUP($B1151,Platts!$E$5:$M$4994,MATCH(I$3,Platts!$F$5:$M$5,0)+1,FALSE),I1150)</f>
        <v>65.64</v>
      </c>
      <c r="J1151" s="6">
        <f t="shared" si="34"/>
        <v>-2.9299999999999997</v>
      </c>
    </row>
    <row r="1152" spans="2:10" x14ac:dyDescent="0.25">
      <c r="B1152" s="5">
        <f t="shared" si="35"/>
        <v>43518</v>
      </c>
      <c r="C1152" s="6">
        <f>IFERROR(VLOOKUP($B1152,Platts!$E$5:$M$4994,MATCH(C$3,Platts!$F$5:$M$5,0)+1,FALSE),C1151)</f>
        <v>59.22</v>
      </c>
      <c r="D1152" s="6">
        <f>IFERROR(VLOOKUP($B1152,Platts!$E$5:$M$4994,MATCH(D$3,Platts!$F$5:$M$5,0)+1,FALSE),D1151)</f>
        <v>66.02</v>
      </c>
      <c r="E1152" s="6">
        <f>IFERROR(VLOOKUP($B1152,Platts!$E$5:$M$4994,MATCH(E$3,Platts!$F$5:$M$5,0)+1,FALSE),E1151)</f>
        <v>62.17</v>
      </c>
      <c r="F1152" s="6">
        <f>IFERROR(VLOOKUP($B1152,Platts!$E$5:$M$4994,MATCH(F$3,Platts!$F$5:$M$5,0)+1,FALSE),F1151)</f>
        <v>69.06</v>
      </c>
      <c r="G1152" s="6">
        <f>IFERROR(VLOOKUP($B1152,Platts!$E$5:$M$4994,MATCH(G$3,Platts!$F$5:$M$5,0)+1,FALSE),G1151)</f>
        <v>67.180000000000007</v>
      </c>
      <c r="H1152" s="6">
        <f>IFERROR(VLOOKUP($B1152,Platts!$E$5:$M$4994,MATCH(H$3,Platts!$F$5:$M$5,0)+1,FALSE),H1151)</f>
        <v>57.03</v>
      </c>
      <c r="I1152" s="6">
        <f>IFERROR(VLOOKUP($B1152,Platts!$E$5:$M$4994,MATCH(I$3,Platts!$F$5:$M$5,0)+1,FALSE),I1151)</f>
        <v>65.48</v>
      </c>
      <c r="J1152" s="6">
        <f t="shared" si="34"/>
        <v>-2.1899999999999977</v>
      </c>
    </row>
    <row r="1153" spans="2:10" x14ac:dyDescent="0.25">
      <c r="B1153" s="5">
        <f t="shared" si="35"/>
        <v>43519</v>
      </c>
      <c r="C1153" s="6">
        <f>IFERROR(VLOOKUP($B1153,Platts!$E$5:$M$4994,MATCH(C$3,Platts!$F$5:$M$5,0)+1,FALSE),C1152)</f>
        <v>59.22</v>
      </c>
      <c r="D1153" s="6">
        <f>IFERROR(VLOOKUP($B1153,Platts!$E$5:$M$4994,MATCH(D$3,Platts!$F$5:$M$5,0)+1,FALSE),D1152)</f>
        <v>66.02</v>
      </c>
      <c r="E1153" s="6">
        <f>IFERROR(VLOOKUP($B1153,Platts!$E$5:$M$4994,MATCH(E$3,Platts!$F$5:$M$5,0)+1,FALSE),E1152)</f>
        <v>62.17</v>
      </c>
      <c r="F1153" s="6">
        <f>IFERROR(VLOOKUP($B1153,Platts!$E$5:$M$4994,MATCH(F$3,Platts!$F$5:$M$5,0)+1,FALSE),F1152)</f>
        <v>69.06</v>
      </c>
      <c r="G1153" s="6">
        <f>IFERROR(VLOOKUP($B1153,Platts!$E$5:$M$4994,MATCH(G$3,Platts!$F$5:$M$5,0)+1,FALSE),G1152)</f>
        <v>67.180000000000007</v>
      </c>
      <c r="H1153" s="6">
        <f>IFERROR(VLOOKUP($B1153,Platts!$E$5:$M$4994,MATCH(H$3,Platts!$F$5:$M$5,0)+1,FALSE),H1152)</f>
        <v>57.03</v>
      </c>
      <c r="I1153" s="6">
        <f>IFERROR(VLOOKUP($B1153,Platts!$E$5:$M$4994,MATCH(I$3,Platts!$F$5:$M$5,0)+1,FALSE),I1152)</f>
        <v>65.48</v>
      </c>
      <c r="J1153" s="6">
        <f t="shared" si="34"/>
        <v>-2.1899999999999977</v>
      </c>
    </row>
    <row r="1154" spans="2:10" x14ac:dyDescent="0.25">
      <c r="B1154" s="5">
        <f t="shared" si="35"/>
        <v>43520</v>
      </c>
      <c r="C1154" s="6">
        <f>IFERROR(VLOOKUP($B1154,Platts!$E$5:$M$4994,MATCH(C$3,Platts!$F$5:$M$5,0)+1,FALSE),C1153)</f>
        <v>59.22</v>
      </c>
      <c r="D1154" s="6">
        <f>IFERROR(VLOOKUP($B1154,Platts!$E$5:$M$4994,MATCH(D$3,Platts!$F$5:$M$5,0)+1,FALSE),D1153)</f>
        <v>66.02</v>
      </c>
      <c r="E1154" s="6">
        <f>IFERROR(VLOOKUP($B1154,Platts!$E$5:$M$4994,MATCH(E$3,Platts!$F$5:$M$5,0)+1,FALSE),E1153)</f>
        <v>62.17</v>
      </c>
      <c r="F1154" s="6">
        <f>IFERROR(VLOOKUP($B1154,Platts!$E$5:$M$4994,MATCH(F$3,Platts!$F$5:$M$5,0)+1,FALSE),F1153)</f>
        <v>69.06</v>
      </c>
      <c r="G1154" s="6">
        <f>IFERROR(VLOOKUP($B1154,Platts!$E$5:$M$4994,MATCH(G$3,Platts!$F$5:$M$5,0)+1,FALSE),G1153)</f>
        <v>67.180000000000007</v>
      </c>
      <c r="H1154" s="6">
        <f>IFERROR(VLOOKUP($B1154,Platts!$E$5:$M$4994,MATCH(H$3,Platts!$F$5:$M$5,0)+1,FALSE),H1153)</f>
        <v>57.03</v>
      </c>
      <c r="I1154" s="6">
        <f>IFERROR(VLOOKUP($B1154,Platts!$E$5:$M$4994,MATCH(I$3,Platts!$F$5:$M$5,0)+1,FALSE),I1153)</f>
        <v>65.48</v>
      </c>
      <c r="J1154" s="6">
        <f t="shared" si="34"/>
        <v>-2.1899999999999977</v>
      </c>
    </row>
    <row r="1155" spans="2:10" x14ac:dyDescent="0.25">
      <c r="B1155" s="5">
        <f t="shared" si="35"/>
        <v>43521</v>
      </c>
      <c r="C1155" s="6">
        <f>IFERROR(VLOOKUP($B1155,Platts!$E$5:$M$4994,MATCH(C$3,Platts!$F$5:$M$5,0)+1,FALSE),C1154)</f>
        <v>57.05</v>
      </c>
      <c r="D1155" s="6">
        <f>IFERROR(VLOOKUP($B1155,Platts!$E$5:$M$4994,MATCH(D$3,Platts!$F$5:$M$5,0)+1,FALSE),D1154)</f>
        <v>63.98</v>
      </c>
      <c r="E1155" s="6">
        <f>IFERROR(VLOOKUP($B1155,Platts!$E$5:$M$4994,MATCH(E$3,Platts!$F$5:$M$5,0)+1,FALSE),E1154)</f>
        <v>59.79</v>
      </c>
      <c r="F1155" s="6">
        <f>IFERROR(VLOOKUP($B1155,Platts!$E$5:$M$4994,MATCH(F$3,Platts!$F$5:$M$5,0)+1,FALSE),F1154)</f>
        <v>66.97</v>
      </c>
      <c r="G1155" s="6">
        <f>IFERROR(VLOOKUP($B1155,Platts!$E$5:$M$4994,MATCH(G$3,Platts!$F$5:$M$5,0)+1,FALSE),G1154)</f>
        <v>64.91</v>
      </c>
      <c r="H1155" s="6">
        <f>IFERROR(VLOOKUP($B1155,Platts!$E$5:$M$4994,MATCH(H$3,Platts!$F$5:$M$5,0)+1,FALSE),H1154)</f>
        <v>55.33</v>
      </c>
      <c r="I1155" s="6">
        <f>IFERROR(VLOOKUP($B1155,Platts!$E$5:$M$4994,MATCH(I$3,Platts!$F$5:$M$5,0)+1,FALSE),I1154)</f>
        <v>63.78</v>
      </c>
      <c r="J1155" s="6">
        <f t="shared" si="34"/>
        <v>-1.7199999999999989</v>
      </c>
    </row>
    <row r="1156" spans="2:10" x14ac:dyDescent="0.25">
      <c r="B1156" s="5">
        <f t="shared" si="35"/>
        <v>43522</v>
      </c>
      <c r="C1156" s="6">
        <f>IFERROR(VLOOKUP($B1156,Platts!$E$5:$M$4994,MATCH(C$3,Platts!$F$5:$M$5,0)+1,FALSE),C1155)</f>
        <v>57.31</v>
      </c>
      <c r="D1156" s="6">
        <f>IFERROR(VLOOKUP($B1156,Platts!$E$5:$M$4994,MATCH(D$3,Platts!$F$5:$M$5,0)+1,FALSE),D1155)</f>
        <v>64.34</v>
      </c>
      <c r="E1156" s="6">
        <f>IFERROR(VLOOKUP($B1156,Platts!$E$5:$M$4994,MATCH(E$3,Platts!$F$5:$M$5,0)+1,FALSE),E1155)</f>
        <v>60.22</v>
      </c>
      <c r="F1156" s="6">
        <f>IFERROR(VLOOKUP($B1156,Platts!$E$5:$M$4994,MATCH(F$3,Platts!$F$5:$M$5,0)+1,FALSE),F1155)</f>
        <v>67.39</v>
      </c>
      <c r="G1156" s="6">
        <f>IFERROR(VLOOKUP($B1156,Platts!$E$5:$M$4994,MATCH(G$3,Platts!$F$5:$M$5,0)+1,FALSE),G1155)</f>
        <v>65.37</v>
      </c>
      <c r="H1156" s="6">
        <f>IFERROR(VLOOKUP($B1156,Platts!$E$5:$M$4994,MATCH(H$3,Platts!$F$5:$M$5,0)+1,FALSE),H1155)</f>
        <v>55.5</v>
      </c>
      <c r="I1156" s="6">
        <f>IFERROR(VLOOKUP($B1156,Platts!$E$5:$M$4994,MATCH(I$3,Platts!$F$5:$M$5,0)+1,FALSE),I1155)</f>
        <v>63.4</v>
      </c>
      <c r="J1156" s="6">
        <f t="shared" ref="J1156:J1219" si="36">H1156-C1156</f>
        <v>-1.8100000000000023</v>
      </c>
    </row>
    <row r="1157" spans="2:10" x14ac:dyDescent="0.25">
      <c r="B1157" s="5">
        <f t="shared" si="35"/>
        <v>43523</v>
      </c>
      <c r="C1157" s="6">
        <f>IFERROR(VLOOKUP($B1157,Platts!$E$5:$M$4994,MATCH(C$3,Platts!$F$5:$M$5,0)+1,FALSE),C1156)</f>
        <v>58.4</v>
      </c>
      <c r="D1157" s="6">
        <f>IFERROR(VLOOKUP($B1157,Platts!$E$5:$M$4994,MATCH(D$3,Platts!$F$5:$M$5,0)+1,FALSE),D1156)</f>
        <v>65.66</v>
      </c>
      <c r="E1157" s="6">
        <f>IFERROR(VLOOKUP($B1157,Platts!$E$5:$M$4994,MATCH(E$3,Platts!$F$5:$M$5,0)+1,FALSE),E1156)</f>
        <v>61.57</v>
      </c>
      <c r="F1157" s="6">
        <f>IFERROR(VLOOKUP($B1157,Platts!$E$5:$M$4994,MATCH(F$3,Platts!$F$5:$M$5,0)+1,FALSE),F1156)</f>
        <v>68.650000000000006</v>
      </c>
      <c r="G1157" s="6">
        <f>IFERROR(VLOOKUP($B1157,Platts!$E$5:$M$4994,MATCH(G$3,Platts!$F$5:$M$5,0)+1,FALSE),G1156)</f>
        <v>66.48</v>
      </c>
      <c r="H1157" s="6">
        <f>IFERROR(VLOOKUP($B1157,Platts!$E$5:$M$4994,MATCH(H$3,Platts!$F$5:$M$5,0)+1,FALSE),H1156)</f>
        <v>56.94</v>
      </c>
      <c r="I1157" s="6">
        <f>IFERROR(VLOOKUP($B1157,Platts!$E$5:$M$4994,MATCH(I$3,Platts!$F$5:$M$5,0)+1,FALSE),I1156)</f>
        <v>64.790000000000006</v>
      </c>
      <c r="J1157" s="6">
        <f t="shared" si="36"/>
        <v>-1.4600000000000009</v>
      </c>
    </row>
    <row r="1158" spans="2:10" x14ac:dyDescent="0.25">
      <c r="B1158" s="5">
        <f t="shared" ref="B1158:B1221" si="37">B1157+1</f>
        <v>43524</v>
      </c>
      <c r="C1158" s="6">
        <f>IFERROR(VLOOKUP($B1158,Platts!$E$5:$M$4994,MATCH(C$3,Platts!$F$5:$M$5,0)+1,FALSE),C1157)</f>
        <v>58.62</v>
      </c>
      <c r="D1158" s="6">
        <f>IFERROR(VLOOKUP($B1158,Platts!$E$5:$M$4994,MATCH(D$3,Platts!$F$5:$M$5,0)+1,FALSE),D1157)</f>
        <v>65.5</v>
      </c>
      <c r="E1158" s="6">
        <f>IFERROR(VLOOKUP($B1158,Platts!$E$5:$M$4994,MATCH(E$3,Platts!$F$5:$M$5,0)+1,FALSE),E1157)</f>
        <v>61.68</v>
      </c>
      <c r="F1158" s="6">
        <f>IFERROR(VLOOKUP($B1158,Platts!$E$5:$M$4994,MATCH(F$3,Platts!$F$5:$M$5,0)+1,FALSE),F1157)</f>
        <v>68.489999999999995</v>
      </c>
      <c r="G1158" s="6">
        <f>IFERROR(VLOOKUP($B1158,Platts!$E$5:$M$4994,MATCH(G$3,Platts!$F$5:$M$5,0)+1,FALSE),G1157)</f>
        <v>66.02</v>
      </c>
      <c r="H1158" s="6">
        <f>IFERROR(VLOOKUP($B1158,Platts!$E$5:$M$4994,MATCH(H$3,Platts!$F$5:$M$5,0)+1,FALSE),H1157)</f>
        <v>57.22</v>
      </c>
      <c r="I1158" s="6">
        <f>IFERROR(VLOOKUP($B1158,Platts!$E$5:$M$4994,MATCH(I$3,Platts!$F$5:$M$5,0)+1,FALSE),I1157)</f>
        <v>65.52</v>
      </c>
      <c r="J1158" s="6">
        <f t="shared" si="36"/>
        <v>-1.3999999999999986</v>
      </c>
    </row>
    <row r="1159" spans="2:10" x14ac:dyDescent="0.25">
      <c r="B1159" s="5">
        <f t="shared" si="37"/>
        <v>43525</v>
      </c>
      <c r="C1159" s="6">
        <f>IFERROR(VLOOKUP($B1159,Platts!$E$5:$M$4994,MATCH(C$3,Platts!$F$5:$M$5,0)+1,FALSE),C1158)</f>
        <v>58.96</v>
      </c>
      <c r="D1159" s="6">
        <f>IFERROR(VLOOKUP($B1159,Platts!$E$5:$M$4994,MATCH(D$3,Platts!$F$5:$M$5,0)+1,FALSE),D1158)</f>
        <v>64.180000000000007</v>
      </c>
      <c r="E1159" s="6">
        <f>IFERROR(VLOOKUP($B1159,Platts!$E$5:$M$4994,MATCH(E$3,Platts!$F$5:$M$5,0)+1,FALSE),E1158)</f>
        <v>60.94</v>
      </c>
      <c r="F1159" s="6">
        <f>IFERROR(VLOOKUP($B1159,Platts!$E$5:$M$4994,MATCH(F$3,Platts!$F$5:$M$5,0)+1,FALSE),F1158)</f>
        <v>67.150000000000006</v>
      </c>
      <c r="G1159" s="6">
        <f>IFERROR(VLOOKUP($B1159,Platts!$E$5:$M$4994,MATCH(G$3,Platts!$F$5:$M$5,0)+1,FALSE),G1158)</f>
        <v>65.22</v>
      </c>
      <c r="H1159" s="6">
        <f>IFERROR(VLOOKUP($B1159,Platts!$E$5:$M$4994,MATCH(H$3,Platts!$F$5:$M$5,0)+1,FALSE),H1158)</f>
        <v>55.8</v>
      </c>
      <c r="I1159" s="6">
        <f>IFERROR(VLOOKUP($B1159,Platts!$E$5:$M$4994,MATCH(I$3,Platts!$F$5:$M$5,0)+1,FALSE),I1158)</f>
        <v>63.7</v>
      </c>
      <c r="J1159" s="6">
        <f t="shared" si="36"/>
        <v>-3.1600000000000037</v>
      </c>
    </row>
    <row r="1160" spans="2:10" x14ac:dyDescent="0.25">
      <c r="B1160" s="5">
        <f t="shared" si="37"/>
        <v>43526</v>
      </c>
      <c r="C1160" s="6">
        <f>IFERROR(VLOOKUP($B1160,Platts!$E$5:$M$4994,MATCH(C$3,Platts!$F$5:$M$5,0)+1,FALSE),C1159)</f>
        <v>58.96</v>
      </c>
      <c r="D1160" s="6">
        <f>IFERROR(VLOOKUP($B1160,Platts!$E$5:$M$4994,MATCH(D$3,Platts!$F$5:$M$5,0)+1,FALSE),D1159)</f>
        <v>64.180000000000007</v>
      </c>
      <c r="E1160" s="6">
        <f>IFERROR(VLOOKUP($B1160,Platts!$E$5:$M$4994,MATCH(E$3,Platts!$F$5:$M$5,0)+1,FALSE),E1159)</f>
        <v>60.94</v>
      </c>
      <c r="F1160" s="6">
        <f>IFERROR(VLOOKUP($B1160,Platts!$E$5:$M$4994,MATCH(F$3,Platts!$F$5:$M$5,0)+1,FALSE),F1159)</f>
        <v>67.150000000000006</v>
      </c>
      <c r="G1160" s="6">
        <f>IFERROR(VLOOKUP($B1160,Platts!$E$5:$M$4994,MATCH(G$3,Platts!$F$5:$M$5,0)+1,FALSE),G1159)</f>
        <v>65.22</v>
      </c>
      <c r="H1160" s="6">
        <f>IFERROR(VLOOKUP($B1160,Platts!$E$5:$M$4994,MATCH(H$3,Platts!$F$5:$M$5,0)+1,FALSE),H1159)</f>
        <v>55.8</v>
      </c>
      <c r="I1160" s="6">
        <f>IFERROR(VLOOKUP($B1160,Platts!$E$5:$M$4994,MATCH(I$3,Platts!$F$5:$M$5,0)+1,FALSE),I1159)</f>
        <v>63.7</v>
      </c>
      <c r="J1160" s="6">
        <f t="shared" si="36"/>
        <v>-3.1600000000000037</v>
      </c>
    </row>
    <row r="1161" spans="2:10" x14ac:dyDescent="0.25">
      <c r="B1161" s="5">
        <f t="shared" si="37"/>
        <v>43527</v>
      </c>
      <c r="C1161" s="6">
        <f>IFERROR(VLOOKUP($B1161,Platts!$E$5:$M$4994,MATCH(C$3,Platts!$F$5:$M$5,0)+1,FALSE),C1160)</f>
        <v>58.96</v>
      </c>
      <c r="D1161" s="6">
        <f>IFERROR(VLOOKUP($B1161,Platts!$E$5:$M$4994,MATCH(D$3,Platts!$F$5:$M$5,0)+1,FALSE),D1160)</f>
        <v>64.180000000000007</v>
      </c>
      <c r="E1161" s="6">
        <f>IFERROR(VLOOKUP($B1161,Platts!$E$5:$M$4994,MATCH(E$3,Platts!$F$5:$M$5,0)+1,FALSE),E1160)</f>
        <v>60.94</v>
      </c>
      <c r="F1161" s="6">
        <f>IFERROR(VLOOKUP($B1161,Platts!$E$5:$M$4994,MATCH(F$3,Platts!$F$5:$M$5,0)+1,FALSE),F1160)</f>
        <v>67.150000000000006</v>
      </c>
      <c r="G1161" s="6">
        <f>IFERROR(VLOOKUP($B1161,Platts!$E$5:$M$4994,MATCH(G$3,Platts!$F$5:$M$5,0)+1,FALSE),G1160)</f>
        <v>65.22</v>
      </c>
      <c r="H1161" s="6">
        <f>IFERROR(VLOOKUP($B1161,Platts!$E$5:$M$4994,MATCH(H$3,Platts!$F$5:$M$5,0)+1,FALSE),H1160)</f>
        <v>55.8</v>
      </c>
      <c r="I1161" s="6">
        <f>IFERROR(VLOOKUP($B1161,Platts!$E$5:$M$4994,MATCH(I$3,Platts!$F$5:$M$5,0)+1,FALSE),I1160)</f>
        <v>63.7</v>
      </c>
      <c r="J1161" s="6">
        <f t="shared" si="36"/>
        <v>-3.1600000000000037</v>
      </c>
    </row>
    <row r="1162" spans="2:10" x14ac:dyDescent="0.25">
      <c r="B1162" s="5">
        <f t="shared" si="37"/>
        <v>43528</v>
      </c>
      <c r="C1162" s="6">
        <f>IFERROR(VLOOKUP($B1162,Platts!$E$5:$M$4994,MATCH(C$3,Platts!$F$5:$M$5,0)+1,FALSE),C1161)</f>
        <v>59.48</v>
      </c>
      <c r="D1162" s="6">
        <f>IFERROR(VLOOKUP($B1162,Platts!$E$5:$M$4994,MATCH(D$3,Platts!$F$5:$M$5,0)+1,FALSE),D1161)</f>
        <v>64.959999999999994</v>
      </c>
      <c r="E1162" s="6">
        <f>IFERROR(VLOOKUP($B1162,Platts!$E$5:$M$4994,MATCH(E$3,Platts!$F$5:$M$5,0)+1,FALSE),E1161)</f>
        <v>61.5</v>
      </c>
      <c r="F1162" s="6">
        <f>IFERROR(VLOOKUP($B1162,Platts!$E$5:$M$4994,MATCH(F$3,Platts!$F$5:$M$5,0)+1,FALSE),F1161)</f>
        <v>67.89</v>
      </c>
      <c r="G1162" s="6">
        <f>IFERROR(VLOOKUP($B1162,Platts!$E$5:$M$4994,MATCH(G$3,Platts!$F$5:$M$5,0)+1,FALSE),G1161)</f>
        <v>65.97</v>
      </c>
      <c r="H1162" s="6">
        <f>IFERROR(VLOOKUP($B1162,Platts!$E$5:$M$4994,MATCH(H$3,Platts!$F$5:$M$5,0)+1,FALSE),H1161)</f>
        <v>56.59</v>
      </c>
      <c r="I1162" s="6">
        <f>IFERROR(VLOOKUP($B1162,Platts!$E$5:$M$4994,MATCH(I$3,Platts!$F$5:$M$5,0)+1,FALSE),I1161)</f>
        <v>64.59</v>
      </c>
      <c r="J1162" s="6">
        <f t="shared" si="36"/>
        <v>-2.8899999999999935</v>
      </c>
    </row>
    <row r="1163" spans="2:10" x14ac:dyDescent="0.25">
      <c r="B1163" s="5">
        <f t="shared" si="37"/>
        <v>43529</v>
      </c>
      <c r="C1163" s="6">
        <f>IFERROR(VLOOKUP($B1163,Platts!$E$5:$M$4994,MATCH(C$3,Platts!$F$5:$M$5,0)+1,FALSE),C1162)</f>
        <v>59.34</v>
      </c>
      <c r="D1163" s="6">
        <f>IFERROR(VLOOKUP($B1163,Platts!$E$5:$M$4994,MATCH(D$3,Platts!$F$5:$M$5,0)+1,FALSE),D1162)</f>
        <v>65.040000000000006</v>
      </c>
      <c r="E1163" s="6">
        <f>IFERROR(VLOOKUP($B1163,Platts!$E$5:$M$4994,MATCH(E$3,Platts!$F$5:$M$5,0)+1,FALSE),E1162)</f>
        <v>61.59</v>
      </c>
      <c r="F1163" s="6">
        <f>IFERROR(VLOOKUP($B1163,Platts!$E$5:$M$4994,MATCH(F$3,Platts!$F$5:$M$5,0)+1,FALSE),F1162)</f>
        <v>68.010000000000005</v>
      </c>
      <c r="G1163" s="6">
        <f>IFERROR(VLOOKUP($B1163,Platts!$E$5:$M$4994,MATCH(G$3,Platts!$F$5:$M$5,0)+1,FALSE),G1162)</f>
        <v>65.84</v>
      </c>
      <c r="H1163" s="6">
        <f>IFERROR(VLOOKUP($B1163,Platts!$E$5:$M$4994,MATCH(H$3,Platts!$F$5:$M$5,0)+1,FALSE),H1162)</f>
        <v>56.56</v>
      </c>
      <c r="I1163" s="6">
        <f>IFERROR(VLOOKUP($B1163,Platts!$E$5:$M$4994,MATCH(I$3,Platts!$F$5:$M$5,0)+1,FALSE),I1162)</f>
        <v>64.56</v>
      </c>
      <c r="J1163" s="6">
        <f t="shared" si="36"/>
        <v>-2.7800000000000011</v>
      </c>
    </row>
    <row r="1164" spans="2:10" x14ac:dyDescent="0.25">
      <c r="B1164" s="5">
        <f t="shared" si="37"/>
        <v>43530</v>
      </c>
      <c r="C1164" s="6">
        <f>IFERROR(VLOOKUP($B1164,Platts!$E$5:$M$4994,MATCH(C$3,Platts!$F$5:$M$5,0)+1,FALSE),C1163)</f>
        <v>58.96</v>
      </c>
      <c r="D1164" s="6">
        <f>IFERROR(VLOOKUP($B1164,Platts!$E$5:$M$4994,MATCH(D$3,Platts!$F$5:$M$5,0)+1,FALSE),D1163)</f>
        <v>65.010000000000005</v>
      </c>
      <c r="E1164" s="6">
        <f>IFERROR(VLOOKUP($B1164,Platts!$E$5:$M$4994,MATCH(E$3,Platts!$F$5:$M$5,0)+1,FALSE),E1163)</f>
        <v>61.52</v>
      </c>
      <c r="F1164" s="6">
        <f>IFERROR(VLOOKUP($B1164,Platts!$E$5:$M$4994,MATCH(F$3,Platts!$F$5:$M$5,0)+1,FALSE),F1163)</f>
        <v>68.010000000000005</v>
      </c>
      <c r="G1164" s="6">
        <f>IFERROR(VLOOKUP($B1164,Platts!$E$5:$M$4994,MATCH(G$3,Platts!$F$5:$M$5,0)+1,FALSE),G1163)</f>
        <v>65.5</v>
      </c>
      <c r="H1164" s="6">
        <f>IFERROR(VLOOKUP($B1164,Platts!$E$5:$M$4994,MATCH(H$3,Platts!$F$5:$M$5,0)+1,FALSE),H1163)</f>
        <v>56.22</v>
      </c>
      <c r="I1164" s="6">
        <f>IFERROR(VLOOKUP($B1164,Platts!$E$5:$M$4994,MATCH(I$3,Platts!$F$5:$M$5,0)+1,FALSE),I1163)</f>
        <v>64.069999999999993</v>
      </c>
      <c r="J1164" s="6">
        <f t="shared" si="36"/>
        <v>-2.740000000000002</v>
      </c>
    </row>
    <row r="1165" spans="2:10" x14ac:dyDescent="0.25">
      <c r="B1165" s="5">
        <f t="shared" si="37"/>
        <v>43531</v>
      </c>
      <c r="C1165" s="6">
        <f>IFERROR(VLOOKUP($B1165,Platts!$E$5:$M$4994,MATCH(C$3,Platts!$F$5:$M$5,0)+1,FALSE),C1164)</f>
        <v>59.34</v>
      </c>
      <c r="D1165" s="6">
        <f>IFERROR(VLOOKUP($B1165,Platts!$E$5:$M$4994,MATCH(D$3,Platts!$F$5:$M$5,0)+1,FALSE),D1164)</f>
        <v>65.47</v>
      </c>
      <c r="E1165" s="6">
        <f>IFERROR(VLOOKUP($B1165,Platts!$E$5:$M$4994,MATCH(E$3,Platts!$F$5:$M$5,0)+1,FALSE),E1164)</f>
        <v>61.36</v>
      </c>
      <c r="F1165" s="6">
        <f>IFERROR(VLOOKUP($B1165,Platts!$E$5:$M$4994,MATCH(F$3,Platts!$F$5:$M$5,0)+1,FALSE),F1164)</f>
        <v>68.459999999999994</v>
      </c>
      <c r="G1165" s="6">
        <f>IFERROR(VLOOKUP($B1165,Platts!$E$5:$M$4994,MATCH(G$3,Platts!$F$5:$M$5,0)+1,FALSE),G1164)</f>
        <v>65.97</v>
      </c>
      <c r="H1165" s="6">
        <f>IFERROR(VLOOKUP($B1165,Platts!$E$5:$M$4994,MATCH(H$3,Platts!$F$5:$M$5,0)+1,FALSE),H1164)</f>
        <v>56.66</v>
      </c>
      <c r="I1165" s="6">
        <f>IFERROR(VLOOKUP($B1165,Platts!$E$5:$M$4994,MATCH(I$3,Platts!$F$5:$M$5,0)+1,FALSE),I1164)</f>
        <v>64.91</v>
      </c>
      <c r="J1165" s="6">
        <f t="shared" si="36"/>
        <v>-2.6800000000000068</v>
      </c>
    </row>
    <row r="1166" spans="2:10" x14ac:dyDescent="0.25">
      <c r="B1166" s="5">
        <f t="shared" si="37"/>
        <v>43532</v>
      </c>
      <c r="C1166" s="6">
        <f>IFERROR(VLOOKUP($B1166,Platts!$E$5:$M$4994,MATCH(C$3,Platts!$F$5:$M$5,0)+1,FALSE),C1165)</f>
        <v>58.49</v>
      </c>
      <c r="D1166" s="6">
        <f>IFERROR(VLOOKUP($B1166,Platts!$E$5:$M$4994,MATCH(D$3,Platts!$F$5:$M$5,0)+1,FALSE),D1165)</f>
        <v>65.099999999999994</v>
      </c>
      <c r="E1166" s="6">
        <f>IFERROR(VLOOKUP($B1166,Platts!$E$5:$M$4994,MATCH(E$3,Platts!$F$5:$M$5,0)+1,FALSE),E1165)</f>
        <v>60.67</v>
      </c>
      <c r="F1166" s="6">
        <f>IFERROR(VLOOKUP($B1166,Platts!$E$5:$M$4994,MATCH(F$3,Platts!$F$5:$M$5,0)+1,FALSE),F1165)</f>
        <v>68.069999999999993</v>
      </c>
      <c r="G1166" s="6">
        <f>IFERROR(VLOOKUP($B1166,Platts!$E$5:$M$4994,MATCH(G$3,Platts!$F$5:$M$5,0)+1,FALSE),G1165)</f>
        <v>64.81</v>
      </c>
      <c r="H1166" s="6">
        <f>IFERROR(VLOOKUP($B1166,Platts!$E$5:$M$4994,MATCH(H$3,Platts!$F$5:$M$5,0)+1,FALSE),H1165)</f>
        <v>56.07</v>
      </c>
      <c r="I1166" s="6">
        <f>IFERROR(VLOOKUP($B1166,Platts!$E$5:$M$4994,MATCH(I$3,Platts!$F$5:$M$5,0)+1,FALSE),I1165)</f>
        <v>64.319999999999993</v>
      </c>
      <c r="J1166" s="6">
        <f t="shared" si="36"/>
        <v>-2.4200000000000017</v>
      </c>
    </row>
    <row r="1167" spans="2:10" x14ac:dyDescent="0.25">
      <c r="B1167" s="5">
        <f t="shared" si="37"/>
        <v>43533</v>
      </c>
      <c r="C1167" s="6">
        <f>IFERROR(VLOOKUP($B1167,Platts!$E$5:$M$4994,MATCH(C$3,Platts!$F$5:$M$5,0)+1,FALSE),C1166)</f>
        <v>58.49</v>
      </c>
      <c r="D1167" s="6">
        <f>IFERROR(VLOOKUP($B1167,Platts!$E$5:$M$4994,MATCH(D$3,Platts!$F$5:$M$5,0)+1,FALSE),D1166)</f>
        <v>65.099999999999994</v>
      </c>
      <c r="E1167" s="6">
        <f>IFERROR(VLOOKUP($B1167,Platts!$E$5:$M$4994,MATCH(E$3,Platts!$F$5:$M$5,0)+1,FALSE),E1166)</f>
        <v>60.67</v>
      </c>
      <c r="F1167" s="6">
        <f>IFERROR(VLOOKUP($B1167,Platts!$E$5:$M$4994,MATCH(F$3,Platts!$F$5:$M$5,0)+1,FALSE),F1166)</f>
        <v>68.069999999999993</v>
      </c>
      <c r="G1167" s="6">
        <f>IFERROR(VLOOKUP($B1167,Platts!$E$5:$M$4994,MATCH(G$3,Platts!$F$5:$M$5,0)+1,FALSE),G1166)</f>
        <v>64.81</v>
      </c>
      <c r="H1167" s="6">
        <f>IFERROR(VLOOKUP($B1167,Platts!$E$5:$M$4994,MATCH(H$3,Platts!$F$5:$M$5,0)+1,FALSE),H1166)</f>
        <v>56.07</v>
      </c>
      <c r="I1167" s="6">
        <f>IFERROR(VLOOKUP($B1167,Platts!$E$5:$M$4994,MATCH(I$3,Platts!$F$5:$M$5,0)+1,FALSE),I1166)</f>
        <v>64.319999999999993</v>
      </c>
      <c r="J1167" s="6">
        <f t="shared" si="36"/>
        <v>-2.4200000000000017</v>
      </c>
    </row>
    <row r="1168" spans="2:10" x14ac:dyDescent="0.25">
      <c r="B1168" s="5">
        <f t="shared" si="37"/>
        <v>43534</v>
      </c>
      <c r="C1168" s="6">
        <f>IFERROR(VLOOKUP($B1168,Platts!$E$5:$M$4994,MATCH(C$3,Platts!$F$5:$M$5,0)+1,FALSE),C1167)</f>
        <v>58.49</v>
      </c>
      <c r="D1168" s="6">
        <f>IFERROR(VLOOKUP($B1168,Platts!$E$5:$M$4994,MATCH(D$3,Platts!$F$5:$M$5,0)+1,FALSE),D1167)</f>
        <v>65.099999999999994</v>
      </c>
      <c r="E1168" s="6">
        <f>IFERROR(VLOOKUP($B1168,Platts!$E$5:$M$4994,MATCH(E$3,Platts!$F$5:$M$5,0)+1,FALSE),E1167)</f>
        <v>60.67</v>
      </c>
      <c r="F1168" s="6">
        <f>IFERROR(VLOOKUP($B1168,Platts!$E$5:$M$4994,MATCH(F$3,Platts!$F$5:$M$5,0)+1,FALSE),F1167)</f>
        <v>68.069999999999993</v>
      </c>
      <c r="G1168" s="6">
        <f>IFERROR(VLOOKUP($B1168,Platts!$E$5:$M$4994,MATCH(G$3,Platts!$F$5:$M$5,0)+1,FALSE),G1167)</f>
        <v>64.81</v>
      </c>
      <c r="H1168" s="6">
        <f>IFERROR(VLOOKUP($B1168,Platts!$E$5:$M$4994,MATCH(H$3,Platts!$F$5:$M$5,0)+1,FALSE),H1167)</f>
        <v>56.07</v>
      </c>
      <c r="I1168" s="6">
        <f>IFERROR(VLOOKUP($B1168,Platts!$E$5:$M$4994,MATCH(I$3,Platts!$F$5:$M$5,0)+1,FALSE),I1167)</f>
        <v>64.319999999999993</v>
      </c>
      <c r="J1168" s="6">
        <f t="shared" si="36"/>
        <v>-2.4200000000000017</v>
      </c>
    </row>
    <row r="1169" spans="2:10" x14ac:dyDescent="0.25">
      <c r="B1169" s="5">
        <f t="shared" si="37"/>
        <v>43535</v>
      </c>
      <c r="C1169" s="6">
        <f>IFERROR(VLOOKUP($B1169,Platts!$E$5:$M$4994,MATCH(C$3,Platts!$F$5:$M$5,0)+1,FALSE),C1168)</f>
        <v>59.69</v>
      </c>
      <c r="D1169" s="6">
        <f>IFERROR(VLOOKUP($B1169,Platts!$E$5:$M$4994,MATCH(D$3,Platts!$F$5:$M$5,0)+1,FALSE),D1168)</f>
        <v>65.97</v>
      </c>
      <c r="E1169" s="6">
        <f>IFERROR(VLOOKUP($B1169,Platts!$E$5:$M$4994,MATCH(E$3,Platts!$F$5:$M$5,0)+1,FALSE),E1168)</f>
        <v>61.69</v>
      </c>
      <c r="F1169" s="6">
        <f>IFERROR(VLOOKUP($B1169,Platts!$E$5:$M$4994,MATCH(F$3,Platts!$F$5:$M$5,0)+1,FALSE),F1168)</f>
        <v>68.930000000000007</v>
      </c>
      <c r="G1169" s="6">
        <f>IFERROR(VLOOKUP($B1169,Platts!$E$5:$M$4994,MATCH(G$3,Platts!$F$5:$M$5,0)+1,FALSE),G1168)</f>
        <v>66.319999999999993</v>
      </c>
      <c r="H1169" s="6">
        <f>IFERROR(VLOOKUP($B1169,Platts!$E$5:$M$4994,MATCH(H$3,Platts!$F$5:$M$5,0)+1,FALSE),H1168)</f>
        <v>56.79</v>
      </c>
      <c r="I1169" s="6">
        <f>IFERROR(VLOOKUP($B1169,Platts!$E$5:$M$4994,MATCH(I$3,Platts!$F$5:$M$5,0)+1,FALSE),I1168)</f>
        <v>65.040000000000006</v>
      </c>
      <c r="J1169" s="6">
        <f t="shared" si="36"/>
        <v>-2.8999999999999986</v>
      </c>
    </row>
    <row r="1170" spans="2:10" x14ac:dyDescent="0.25">
      <c r="B1170" s="5">
        <f t="shared" si="37"/>
        <v>43536</v>
      </c>
      <c r="C1170" s="6">
        <f>IFERROR(VLOOKUP($B1170,Platts!$E$5:$M$4994,MATCH(C$3,Platts!$F$5:$M$5,0)+1,FALSE),C1169)</f>
        <v>59.76</v>
      </c>
      <c r="D1170" s="6">
        <f>IFERROR(VLOOKUP($B1170,Platts!$E$5:$M$4994,MATCH(D$3,Platts!$F$5:$M$5,0)+1,FALSE),D1169)</f>
        <v>66.05</v>
      </c>
      <c r="E1170" s="6">
        <f>IFERROR(VLOOKUP($B1170,Platts!$E$5:$M$4994,MATCH(E$3,Platts!$F$5:$M$5,0)+1,FALSE),E1169)</f>
        <v>61.81</v>
      </c>
      <c r="F1170" s="6">
        <f>IFERROR(VLOOKUP($B1170,Platts!$E$5:$M$4994,MATCH(F$3,Platts!$F$5:$M$5,0)+1,FALSE),F1169)</f>
        <v>69.02</v>
      </c>
      <c r="G1170" s="6">
        <f>IFERROR(VLOOKUP($B1170,Platts!$E$5:$M$4994,MATCH(G$3,Platts!$F$5:$M$5,0)+1,FALSE),G1169)</f>
        <v>66.64</v>
      </c>
      <c r="H1170" s="6">
        <f>IFERROR(VLOOKUP($B1170,Platts!$E$5:$M$4994,MATCH(H$3,Platts!$F$5:$M$5,0)+1,FALSE),H1169)</f>
        <v>56.87</v>
      </c>
      <c r="I1170" s="6">
        <f>IFERROR(VLOOKUP($B1170,Platts!$E$5:$M$4994,MATCH(I$3,Platts!$F$5:$M$5,0)+1,FALSE),I1169)</f>
        <v>65.17</v>
      </c>
      <c r="J1170" s="6">
        <f t="shared" si="36"/>
        <v>-2.8900000000000006</v>
      </c>
    </row>
    <row r="1171" spans="2:10" x14ac:dyDescent="0.25">
      <c r="B1171" s="5">
        <f t="shared" si="37"/>
        <v>43537</v>
      </c>
      <c r="C1171" s="6">
        <f>IFERROR(VLOOKUP($B1171,Platts!$E$5:$M$4994,MATCH(C$3,Platts!$F$5:$M$5,0)+1,FALSE),C1170)</f>
        <v>60.3</v>
      </c>
      <c r="D1171" s="6">
        <f>IFERROR(VLOOKUP($B1171,Platts!$E$5:$M$4994,MATCH(D$3,Platts!$F$5:$M$5,0)+1,FALSE),D1170)</f>
        <v>67.31</v>
      </c>
      <c r="E1171" s="6">
        <f>IFERROR(VLOOKUP($B1171,Platts!$E$5:$M$4994,MATCH(E$3,Platts!$F$5:$M$5,0)+1,FALSE),E1170)</f>
        <v>62.3</v>
      </c>
      <c r="F1171" s="6">
        <f>IFERROR(VLOOKUP($B1171,Platts!$E$5:$M$4994,MATCH(F$3,Platts!$F$5:$M$5,0)+1,FALSE),F1170)</f>
        <v>70.25</v>
      </c>
      <c r="G1171" s="6">
        <f>IFERROR(VLOOKUP($B1171,Platts!$E$5:$M$4994,MATCH(G$3,Platts!$F$5:$M$5,0)+1,FALSE),G1170)</f>
        <v>67.17</v>
      </c>
      <c r="H1171" s="6">
        <f>IFERROR(VLOOKUP($B1171,Platts!$E$5:$M$4994,MATCH(H$3,Platts!$F$5:$M$5,0)+1,FALSE),H1170)</f>
        <v>58.26</v>
      </c>
      <c r="I1171" s="6">
        <f>IFERROR(VLOOKUP($B1171,Platts!$E$5:$M$4994,MATCH(I$3,Platts!$F$5:$M$5,0)+1,FALSE),I1170)</f>
        <v>66.56</v>
      </c>
      <c r="J1171" s="6">
        <f t="shared" si="36"/>
        <v>-2.0399999999999991</v>
      </c>
    </row>
    <row r="1172" spans="2:10" x14ac:dyDescent="0.25">
      <c r="B1172" s="5">
        <f t="shared" si="37"/>
        <v>43538</v>
      </c>
      <c r="C1172" s="6">
        <f>IFERROR(VLOOKUP($B1172,Platts!$E$5:$M$4994,MATCH(C$3,Platts!$F$5:$M$5,0)+1,FALSE),C1171)</f>
        <v>60.4</v>
      </c>
      <c r="D1172" s="6">
        <f>IFERROR(VLOOKUP($B1172,Platts!$E$5:$M$4994,MATCH(D$3,Platts!$F$5:$M$5,0)+1,FALSE),D1171)</f>
        <v>67.459999999999994</v>
      </c>
      <c r="E1172" s="6">
        <f>IFERROR(VLOOKUP($B1172,Platts!$E$5:$M$4994,MATCH(E$3,Platts!$F$5:$M$5,0)+1,FALSE),E1171)</f>
        <v>62.22</v>
      </c>
      <c r="F1172" s="6">
        <f>IFERROR(VLOOKUP($B1172,Platts!$E$5:$M$4994,MATCH(F$3,Platts!$F$5:$M$5,0)+1,FALSE),F1171)</f>
        <v>70.290000000000006</v>
      </c>
      <c r="G1172" s="6">
        <f>IFERROR(VLOOKUP($B1172,Platts!$E$5:$M$4994,MATCH(G$3,Platts!$F$5:$M$5,0)+1,FALSE),G1171)</f>
        <v>67.28</v>
      </c>
      <c r="H1172" s="6">
        <f>IFERROR(VLOOKUP($B1172,Platts!$E$5:$M$4994,MATCH(H$3,Platts!$F$5:$M$5,0)+1,FALSE),H1171)</f>
        <v>58.61</v>
      </c>
      <c r="I1172" s="6">
        <f>IFERROR(VLOOKUP($B1172,Platts!$E$5:$M$4994,MATCH(I$3,Platts!$F$5:$M$5,0)+1,FALSE),I1171)</f>
        <v>66.86</v>
      </c>
      <c r="J1172" s="6">
        <f t="shared" si="36"/>
        <v>-1.7899999999999991</v>
      </c>
    </row>
    <row r="1173" spans="2:10" x14ac:dyDescent="0.25">
      <c r="B1173" s="5">
        <f t="shared" si="37"/>
        <v>43539</v>
      </c>
      <c r="C1173" s="6">
        <f>IFERROR(VLOOKUP($B1173,Platts!$E$5:$M$4994,MATCH(C$3,Platts!$F$5:$M$5,0)+1,FALSE),C1172)</f>
        <v>60.08</v>
      </c>
      <c r="D1173" s="6">
        <f>IFERROR(VLOOKUP($B1173,Platts!$E$5:$M$4994,MATCH(D$3,Platts!$F$5:$M$5,0)+1,FALSE),D1172)</f>
        <v>67.099999999999994</v>
      </c>
      <c r="E1173" s="6">
        <f>IFERROR(VLOOKUP($B1173,Platts!$E$5:$M$4994,MATCH(E$3,Platts!$F$5:$M$5,0)+1,FALSE),E1172)</f>
        <v>61.93</v>
      </c>
      <c r="F1173" s="6">
        <f>IFERROR(VLOOKUP($B1173,Platts!$E$5:$M$4994,MATCH(F$3,Platts!$F$5:$M$5,0)+1,FALSE),F1172)</f>
        <v>69.959999999999994</v>
      </c>
      <c r="G1173" s="6">
        <f>IFERROR(VLOOKUP($B1173,Platts!$E$5:$M$4994,MATCH(G$3,Platts!$F$5:$M$5,0)+1,FALSE),G1172)</f>
        <v>66.930000000000007</v>
      </c>
      <c r="H1173" s="6">
        <f>IFERROR(VLOOKUP($B1173,Platts!$E$5:$M$4994,MATCH(H$3,Platts!$F$5:$M$5,0)+1,FALSE),H1172)</f>
        <v>58.52</v>
      </c>
      <c r="I1173" s="6">
        <f>IFERROR(VLOOKUP($B1173,Platts!$E$5:$M$4994,MATCH(I$3,Platts!$F$5:$M$5,0)+1,FALSE),I1172)</f>
        <v>66.47</v>
      </c>
      <c r="J1173" s="6">
        <f t="shared" si="36"/>
        <v>-1.5599999999999952</v>
      </c>
    </row>
    <row r="1174" spans="2:10" x14ac:dyDescent="0.25">
      <c r="B1174" s="5">
        <f t="shared" si="37"/>
        <v>43540</v>
      </c>
      <c r="C1174" s="6">
        <f>IFERROR(VLOOKUP($B1174,Platts!$E$5:$M$4994,MATCH(C$3,Platts!$F$5:$M$5,0)+1,FALSE),C1173)</f>
        <v>60.08</v>
      </c>
      <c r="D1174" s="6">
        <f>IFERROR(VLOOKUP($B1174,Platts!$E$5:$M$4994,MATCH(D$3,Platts!$F$5:$M$5,0)+1,FALSE),D1173)</f>
        <v>67.099999999999994</v>
      </c>
      <c r="E1174" s="6">
        <f>IFERROR(VLOOKUP($B1174,Platts!$E$5:$M$4994,MATCH(E$3,Platts!$F$5:$M$5,0)+1,FALSE),E1173)</f>
        <v>61.93</v>
      </c>
      <c r="F1174" s="6">
        <f>IFERROR(VLOOKUP($B1174,Platts!$E$5:$M$4994,MATCH(F$3,Platts!$F$5:$M$5,0)+1,FALSE),F1173)</f>
        <v>69.959999999999994</v>
      </c>
      <c r="G1174" s="6">
        <f>IFERROR(VLOOKUP($B1174,Platts!$E$5:$M$4994,MATCH(G$3,Platts!$F$5:$M$5,0)+1,FALSE),G1173)</f>
        <v>66.930000000000007</v>
      </c>
      <c r="H1174" s="6">
        <f>IFERROR(VLOOKUP($B1174,Platts!$E$5:$M$4994,MATCH(H$3,Platts!$F$5:$M$5,0)+1,FALSE),H1173)</f>
        <v>58.52</v>
      </c>
      <c r="I1174" s="6">
        <f>IFERROR(VLOOKUP($B1174,Platts!$E$5:$M$4994,MATCH(I$3,Platts!$F$5:$M$5,0)+1,FALSE),I1173)</f>
        <v>66.47</v>
      </c>
      <c r="J1174" s="6">
        <f t="shared" si="36"/>
        <v>-1.5599999999999952</v>
      </c>
    </row>
    <row r="1175" spans="2:10" x14ac:dyDescent="0.25">
      <c r="B1175" s="5">
        <f t="shared" si="37"/>
        <v>43541</v>
      </c>
      <c r="C1175" s="6">
        <f>IFERROR(VLOOKUP($B1175,Platts!$E$5:$M$4994,MATCH(C$3,Platts!$F$5:$M$5,0)+1,FALSE),C1174)</f>
        <v>60.08</v>
      </c>
      <c r="D1175" s="6">
        <f>IFERROR(VLOOKUP($B1175,Platts!$E$5:$M$4994,MATCH(D$3,Platts!$F$5:$M$5,0)+1,FALSE),D1174)</f>
        <v>67.099999999999994</v>
      </c>
      <c r="E1175" s="6">
        <f>IFERROR(VLOOKUP($B1175,Platts!$E$5:$M$4994,MATCH(E$3,Platts!$F$5:$M$5,0)+1,FALSE),E1174)</f>
        <v>61.93</v>
      </c>
      <c r="F1175" s="6">
        <f>IFERROR(VLOOKUP($B1175,Platts!$E$5:$M$4994,MATCH(F$3,Platts!$F$5:$M$5,0)+1,FALSE),F1174)</f>
        <v>69.959999999999994</v>
      </c>
      <c r="G1175" s="6">
        <f>IFERROR(VLOOKUP($B1175,Platts!$E$5:$M$4994,MATCH(G$3,Platts!$F$5:$M$5,0)+1,FALSE),G1174)</f>
        <v>66.930000000000007</v>
      </c>
      <c r="H1175" s="6">
        <f>IFERROR(VLOOKUP($B1175,Platts!$E$5:$M$4994,MATCH(H$3,Platts!$F$5:$M$5,0)+1,FALSE),H1174)</f>
        <v>58.52</v>
      </c>
      <c r="I1175" s="6">
        <f>IFERROR(VLOOKUP($B1175,Platts!$E$5:$M$4994,MATCH(I$3,Platts!$F$5:$M$5,0)+1,FALSE),I1174)</f>
        <v>66.47</v>
      </c>
      <c r="J1175" s="6">
        <f t="shared" si="36"/>
        <v>-1.5599999999999952</v>
      </c>
    </row>
    <row r="1176" spans="2:10" x14ac:dyDescent="0.25">
      <c r="B1176" s="5">
        <f t="shared" si="37"/>
        <v>43542</v>
      </c>
      <c r="C1176" s="6">
        <f>IFERROR(VLOOKUP($B1176,Platts!$E$5:$M$4994,MATCH(C$3,Platts!$F$5:$M$5,0)+1,FALSE),C1175)</f>
        <v>60.34</v>
      </c>
      <c r="D1176" s="6">
        <f>IFERROR(VLOOKUP($B1176,Platts!$E$5:$M$4994,MATCH(D$3,Platts!$F$5:$M$5,0)+1,FALSE),D1175)</f>
        <v>67.7</v>
      </c>
      <c r="E1176" s="6">
        <f>IFERROR(VLOOKUP($B1176,Platts!$E$5:$M$4994,MATCH(E$3,Platts!$F$5:$M$5,0)+1,FALSE),E1175)</f>
        <v>62.29</v>
      </c>
      <c r="F1176" s="6">
        <f>IFERROR(VLOOKUP($B1176,Platts!$E$5:$M$4994,MATCH(F$3,Platts!$F$5:$M$5,0)+1,FALSE),F1175)</f>
        <v>70.540000000000006</v>
      </c>
      <c r="G1176" s="6">
        <f>IFERROR(VLOOKUP($B1176,Platts!$E$5:$M$4994,MATCH(G$3,Platts!$F$5:$M$5,0)+1,FALSE),G1175)</f>
        <v>67.400000000000006</v>
      </c>
      <c r="H1176" s="6">
        <f>IFERROR(VLOOKUP($B1176,Platts!$E$5:$M$4994,MATCH(H$3,Platts!$F$5:$M$5,0)+1,FALSE),H1175)</f>
        <v>59.09</v>
      </c>
      <c r="I1176" s="6">
        <f>IFERROR(VLOOKUP($B1176,Platts!$E$5:$M$4994,MATCH(I$3,Platts!$F$5:$M$5,0)+1,FALSE),I1175)</f>
        <v>67.040000000000006</v>
      </c>
      <c r="J1176" s="6">
        <f t="shared" si="36"/>
        <v>-1.25</v>
      </c>
    </row>
    <row r="1177" spans="2:10" x14ac:dyDescent="0.25">
      <c r="B1177" s="5">
        <f t="shared" si="37"/>
        <v>43543</v>
      </c>
      <c r="C1177" s="6">
        <f>IFERROR(VLOOKUP($B1177,Platts!$E$5:$M$4994,MATCH(C$3,Platts!$F$5:$M$5,0)+1,FALSE),C1176)</f>
        <v>60.44</v>
      </c>
      <c r="D1177" s="6">
        <f>IFERROR(VLOOKUP($B1177,Platts!$E$5:$M$4994,MATCH(D$3,Platts!$F$5:$M$5,0)+1,FALSE),D1176)</f>
        <v>67.599999999999994</v>
      </c>
      <c r="E1177" s="6">
        <f>IFERROR(VLOOKUP($B1177,Platts!$E$5:$M$4994,MATCH(E$3,Platts!$F$5:$M$5,0)+1,FALSE),E1176)</f>
        <v>62.08</v>
      </c>
      <c r="F1177" s="6">
        <f>IFERROR(VLOOKUP($B1177,Platts!$E$5:$M$4994,MATCH(F$3,Platts!$F$5:$M$5,0)+1,FALSE),F1176)</f>
        <v>70.489999999999995</v>
      </c>
      <c r="G1177" s="6">
        <f>IFERROR(VLOOKUP($B1177,Platts!$E$5:$M$4994,MATCH(G$3,Platts!$F$5:$M$5,0)+1,FALSE),G1176)</f>
        <v>67.67</v>
      </c>
      <c r="H1177" s="6">
        <f>IFERROR(VLOOKUP($B1177,Platts!$E$5:$M$4994,MATCH(H$3,Platts!$F$5:$M$5,0)+1,FALSE),H1176)</f>
        <v>59.03</v>
      </c>
      <c r="I1177" s="6">
        <f>IFERROR(VLOOKUP($B1177,Platts!$E$5:$M$4994,MATCH(I$3,Platts!$F$5:$M$5,0)+1,FALSE),I1176)</f>
        <v>67.03</v>
      </c>
      <c r="J1177" s="6">
        <f t="shared" si="36"/>
        <v>-1.4099999999999966</v>
      </c>
    </row>
    <row r="1178" spans="2:10" x14ac:dyDescent="0.25">
      <c r="B1178" s="5">
        <f t="shared" si="37"/>
        <v>43544</v>
      </c>
      <c r="C1178" s="6">
        <f>IFERROR(VLOOKUP($B1178,Platts!$E$5:$M$4994,MATCH(C$3,Platts!$F$5:$M$5,0)+1,FALSE),C1177)</f>
        <v>60.98</v>
      </c>
      <c r="D1178" s="6">
        <f>IFERROR(VLOOKUP($B1178,Platts!$E$5:$M$4994,MATCH(D$3,Platts!$F$5:$M$5,0)+1,FALSE),D1177)</f>
        <v>68.39</v>
      </c>
      <c r="E1178" s="6">
        <f>IFERROR(VLOOKUP($B1178,Platts!$E$5:$M$4994,MATCH(E$3,Platts!$F$5:$M$5,0)+1,FALSE),E1177)</f>
        <v>62.62</v>
      </c>
      <c r="F1178" s="6">
        <f>IFERROR(VLOOKUP($B1178,Platts!$E$5:$M$4994,MATCH(F$3,Platts!$F$5:$M$5,0)+1,FALSE),F1177)</f>
        <v>71.319999999999993</v>
      </c>
      <c r="G1178" s="6">
        <f>IFERROR(VLOOKUP($B1178,Platts!$E$5:$M$4994,MATCH(G$3,Platts!$F$5:$M$5,0)+1,FALSE),G1177)</f>
        <v>68.39</v>
      </c>
      <c r="H1178" s="6">
        <f>IFERROR(VLOOKUP($B1178,Platts!$E$5:$M$4994,MATCH(H$3,Platts!$F$5:$M$5,0)+1,FALSE),H1177)</f>
        <v>59.83</v>
      </c>
      <c r="I1178" s="6">
        <f>IFERROR(VLOOKUP($B1178,Platts!$E$5:$M$4994,MATCH(I$3,Platts!$F$5:$M$5,0)+1,FALSE),I1177)</f>
        <v>67.680000000000007</v>
      </c>
      <c r="J1178" s="6">
        <f t="shared" si="36"/>
        <v>-1.1499999999999986</v>
      </c>
    </row>
    <row r="1179" spans="2:10" x14ac:dyDescent="0.25">
      <c r="B1179" s="5">
        <f t="shared" si="37"/>
        <v>43545</v>
      </c>
      <c r="C1179" s="6">
        <f>IFERROR(VLOOKUP($B1179,Platts!$E$5:$M$4994,MATCH(C$3,Platts!$F$5:$M$5,0)+1,FALSE),C1178)</f>
        <v>60.88</v>
      </c>
      <c r="D1179" s="6">
        <f>IFERROR(VLOOKUP($B1179,Platts!$E$5:$M$4994,MATCH(D$3,Platts!$F$5:$M$5,0)+1,FALSE),D1178)</f>
        <v>67.62</v>
      </c>
      <c r="E1179" s="6">
        <f>IFERROR(VLOOKUP($B1179,Platts!$E$5:$M$4994,MATCH(E$3,Platts!$F$5:$M$5,0)+1,FALSE),E1178)</f>
        <v>62.38</v>
      </c>
      <c r="F1179" s="6">
        <f>IFERROR(VLOOKUP($B1179,Platts!$E$5:$M$4994,MATCH(F$3,Platts!$F$5:$M$5,0)+1,FALSE),F1178)</f>
        <v>70.569999999999993</v>
      </c>
      <c r="G1179" s="6">
        <f>IFERROR(VLOOKUP($B1179,Platts!$E$5:$M$4994,MATCH(G$3,Platts!$F$5:$M$5,0)+1,FALSE),G1178)</f>
        <v>68.150000000000006</v>
      </c>
      <c r="H1179" s="6">
        <f>IFERROR(VLOOKUP($B1179,Platts!$E$5:$M$4994,MATCH(H$3,Platts!$F$5:$M$5,0)+1,FALSE),H1178)</f>
        <v>59.58</v>
      </c>
      <c r="I1179" s="6">
        <f>IFERROR(VLOOKUP($B1179,Platts!$E$5:$M$4994,MATCH(I$3,Platts!$F$5:$M$5,0)+1,FALSE),I1178)</f>
        <v>67.33</v>
      </c>
      <c r="J1179" s="6">
        <f t="shared" si="36"/>
        <v>-1.3000000000000043</v>
      </c>
    </row>
    <row r="1180" spans="2:10" x14ac:dyDescent="0.25">
      <c r="B1180" s="5">
        <f t="shared" si="37"/>
        <v>43546</v>
      </c>
      <c r="C1180" s="6">
        <f>IFERROR(VLOOKUP($B1180,Platts!$E$5:$M$4994,MATCH(C$3,Platts!$F$5:$M$5,0)+1,FALSE),C1179)</f>
        <v>59.68</v>
      </c>
      <c r="D1180" s="6">
        <f>IFERROR(VLOOKUP($B1180,Platts!$E$5:$M$4994,MATCH(D$3,Platts!$F$5:$M$5,0)+1,FALSE),D1179)</f>
        <v>66.44</v>
      </c>
      <c r="E1180" s="6">
        <f>IFERROR(VLOOKUP($B1180,Platts!$E$5:$M$4994,MATCH(E$3,Platts!$F$5:$M$5,0)+1,FALSE),E1179)</f>
        <v>61.04</v>
      </c>
      <c r="F1180" s="6">
        <f>IFERROR(VLOOKUP($B1180,Platts!$E$5:$M$4994,MATCH(F$3,Platts!$F$5:$M$5,0)+1,FALSE),F1179)</f>
        <v>69.38</v>
      </c>
      <c r="G1180" s="6">
        <f>IFERROR(VLOOKUP($B1180,Platts!$E$5:$M$4994,MATCH(G$3,Platts!$F$5:$M$5,0)+1,FALSE),G1179)</f>
        <v>66.58</v>
      </c>
      <c r="H1180" s="6">
        <f>IFERROR(VLOOKUP($B1180,Platts!$E$5:$M$4994,MATCH(H$3,Platts!$F$5:$M$5,0)+1,FALSE),H1179)</f>
        <v>58.94</v>
      </c>
      <c r="I1180" s="6">
        <f>IFERROR(VLOOKUP($B1180,Platts!$E$5:$M$4994,MATCH(I$3,Platts!$F$5:$M$5,0)+1,FALSE),I1179)</f>
        <v>66.239999999999995</v>
      </c>
      <c r="J1180" s="6">
        <f t="shared" si="36"/>
        <v>-0.74000000000000199</v>
      </c>
    </row>
    <row r="1181" spans="2:10" x14ac:dyDescent="0.25">
      <c r="B1181" s="5">
        <f t="shared" si="37"/>
        <v>43547</v>
      </c>
      <c r="C1181" s="6">
        <f>IFERROR(VLOOKUP($B1181,Platts!$E$5:$M$4994,MATCH(C$3,Platts!$F$5:$M$5,0)+1,FALSE),C1180)</f>
        <v>59.68</v>
      </c>
      <c r="D1181" s="6">
        <f>IFERROR(VLOOKUP($B1181,Platts!$E$5:$M$4994,MATCH(D$3,Platts!$F$5:$M$5,0)+1,FALSE),D1180)</f>
        <v>66.44</v>
      </c>
      <c r="E1181" s="6">
        <f>IFERROR(VLOOKUP($B1181,Platts!$E$5:$M$4994,MATCH(E$3,Platts!$F$5:$M$5,0)+1,FALSE),E1180)</f>
        <v>61.04</v>
      </c>
      <c r="F1181" s="6">
        <f>IFERROR(VLOOKUP($B1181,Platts!$E$5:$M$4994,MATCH(F$3,Platts!$F$5:$M$5,0)+1,FALSE),F1180)</f>
        <v>69.38</v>
      </c>
      <c r="G1181" s="6">
        <f>IFERROR(VLOOKUP($B1181,Platts!$E$5:$M$4994,MATCH(G$3,Platts!$F$5:$M$5,0)+1,FALSE),G1180)</f>
        <v>66.58</v>
      </c>
      <c r="H1181" s="6">
        <f>IFERROR(VLOOKUP($B1181,Platts!$E$5:$M$4994,MATCH(H$3,Platts!$F$5:$M$5,0)+1,FALSE),H1180)</f>
        <v>58.94</v>
      </c>
      <c r="I1181" s="6">
        <f>IFERROR(VLOOKUP($B1181,Platts!$E$5:$M$4994,MATCH(I$3,Platts!$F$5:$M$5,0)+1,FALSE),I1180)</f>
        <v>66.239999999999995</v>
      </c>
      <c r="J1181" s="6">
        <f t="shared" si="36"/>
        <v>-0.74000000000000199</v>
      </c>
    </row>
    <row r="1182" spans="2:10" x14ac:dyDescent="0.25">
      <c r="B1182" s="5">
        <f t="shared" si="37"/>
        <v>43548</v>
      </c>
      <c r="C1182" s="6">
        <f>IFERROR(VLOOKUP($B1182,Platts!$E$5:$M$4994,MATCH(C$3,Platts!$F$5:$M$5,0)+1,FALSE),C1181)</f>
        <v>59.68</v>
      </c>
      <c r="D1182" s="6">
        <f>IFERROR(VLOOKUP($B1182,Platts!$E$5:$M$4994,MATCH(D$3,Platts!$F$5:$M$5,0)+1,FALSE),D1181)</f>
        <v>66.44</v>
      </c>
      <c r="E1182" s="6">
        <f>IFERROR(VLOOKUP($B1182,Platts!$E$5:$M$4994,MATCH(E$3,Platts!$F$5:$M$5,0)+1,FALSE),E1181)</f>
        <v>61.04</v>
      </c>
      <c r="F1182" s="6">
        <f>IFERROR(VLOOKUP($B1182,Platts!$E$5:$M$4994,MATCH(F$3,Platts!$F$5:$M$5,0)+1,FALSE),F1181)</f>
        <v>69.38</v>
      </c>
      <c r="G1182" s="6">
        <f>IFERROR(VLOOKUP($B1182,Platts!$E$5:$M$4994,MATCH(G$3,Platts!$F$5:$M$5,0)+1,FALSE),G1181)</f>
        <v>66.58</v>
      </c>
      <c r="H1182" s="6">
        <f>IFERROR(VLOOKUP($B1182,Platts!$E$5:$M$4994,MATCH(H$3,Platts!$F$5:$M$5,0)+1,FALSE),H1181)</f>
        <v>58.94</v>
      </c>
      <c r="I1182" s="6">
        <f>IFERROR(VLOOKUP($B1182,Platts!$E$5:$M$4994,MATCH(I$3,Platts!$F$5:$M$5,0)+1,FALSE),I1181)</f>
        <v>66.239999999999995</v>
      </c>
      <c r="J1182" s="6">
        <f t="shared" si="36"/>
        <v>-0.74000000000000199</v>
      </c>
    </row>
    <row r="1183" spans="2:10" x14ac:dyDescent="0.25">
      <c r="B1183" s="5">
        <f t="shared" si="37"/>
        <v>43549</v>
      </c>
      <c r="C1183" s="6">
        <f>IFERROR(VLOOKUP($B1183,Platts!$E$5:$M$4994,MATCH(C$3,Platts!$F$5:$M$5,0)+1,FALSE),C1182)</f>
        <v>59.72</v>
      </c>
      <c r="D1183" s="6">
        <f>IFERROR(VLOOKUP($B1183,Platts!$E$5:$M$4994,MATCH(D$3,Platts!$F$5:$M$5,0)+1,FALSE),D1182)</f>
        <v>66.59</v>
      </c>
      <c r="E1183" s="6">
        <f>IFERROR(VLOOKUP($B1183,Platts!$E$5:$M$4994,MATCH(E$3,Platts!$F$5:$M$5,0)+1,FALSE),E1182)</f>
        <v>61.85</v>
      </c>
      <c r="F1183" s="6">
        <f>IFERROR(VLOOKUP($B1183,Platts!$E$5:$M$4994,MATCH(F$3,Platts!$F$5:$M$5,0)+1,FALSE),F1182)</f>
        <v>69.55</v>
      </c>
      <c r="G1183" s="6">
        <f>IFERROR(VLOOKUP($B1183,Platts!$E$5:$M$4994,MATCH(G$3,Platts!$F$5:$M$5,0)+1,FALSE),G1182)</f>
        <v>67.260000000000005</v>
      </c>
      <c r="H1183" s="6">
        <f>IFERROR(VLOOKUP($B1183,Platts!$E$5:$M$4994,MATCH(H$3,Platts!$F$5:$M$5,0)+1,FALSE),H1182)</f>
        <v>58.72</v>
      </c>
      <c r="I1183" s="6">
        <f>IFERROR(VLOOKUP($B1183,Platts!$E$5:$M$4994,MATCH(I$3,Platts!$F$5:$M$5,0)+1,FALSE),I1182)</f>
        <v>65.92</v>
      </c>
      <c r="J1183" s="6">
        <f t="shared" si="36"/>
        <v>-1</v>
      </c>
    </row>
    <row r="1184" spans="2:10" x14ac:dyDescent="0.25">
      <c r="B1184" s="5">
        <f t="shared" si="37"/>
        <v>43550</v>
      </c>
      <c r="C1184" s="6">
        <f>IFERROR(VLOOKUP($B1184,Platts!$E$5:$M$4994,MATCH(C$3,Platts!$F$5:$M$5,0)+1,FALSE),C1183)</f>
        <v>60.56</v>
      </c>
      <c r="D1184" s="6">
        <f>IFERROR(VLOOKUP($B1184,Platts!$E$5:$M$4994,MATCH(D$3,Platts!$F$5:$M$5,0)+1,FALSE),D1183)</f>
        <v>67.34</v>
      </c>
      <c r="E1184" s="6">
        <f>IFERROR(VLOOKUP($B1184,Platts!$E$5:$M$4994,MATCH(E$3,Platts!$F$5:$M$5,0)+1,FALSE),E1183)</f>
        <v>62.15</v>
      </c>
      <c r="F1184" s="6">
        <f>IFERROR(VLOOKUP($B1184,Platts!$E$5:$M$4994,MATCH(F$3,Platts!$F$5:$M$5,0)+1,FALSE),F1183)</f>
        <v>70.290000000000006</v>
      </c>
      <c r="G1184" s="6">
        <f>IFERROR(VLOOKUP($B1184,Platts!$E$5:$M$4994,MATCH(G$3,Platts!$F$5:$M$5,0)+1,FALSE),G1183)</f>
        <v>67.900000000000006</v>
      </c>
      <c r="H1184" s="6">
        <f>IFERROR(VLOOKUP($B1184,Platts!$E$5:$M$4994,MATCH(H$3,Platts!$F$5:$M$5,0)+1,FALSE),H1183)</f>
        <v>59.94</v>
      </c>
      <c r="I1184" s="6">
        <f>IFERROR(VLOOKUP($B1184,Platts!$E$5:$M$4994,MATCH(I$3,Platts!$F$5:$M$5,0)+1,FALSE),I1183)</f>
        <v>66.64</v>
      </c>
      <c r="J1184" s="6">
        <f t="shared" si="36"/>
        <v>-0.62000000000000455</v>
      </c>
    </row>
    <row r="1185" spans="2:10" x14ac:dyDescent="0.25">
      <c r="B1185" s="5">
        <f t="shared" si="37"/>
        <v>43551</v>
      </c>
      <c r="C1185" s="6">
        <f>IFERROR(VLOOKUP($B1185,Platts!$E$5:$M$4994,MATCH(C$3,Platts!$F$5:$M$5,0)+1,FALSE),C1184)</f>
        <v>60.47</v>
      </c>
      <c r="D1185" s="6">
        <f>IFERROR(VLOOKUP($B1185,Platts!$E$5:$M$4994,MATCH(D$3,Platts!$F$5:$M$5,0)+1,FALSE),D1184)</f>
        <v>66.87</v>
      </c>
      <c r="E1185" s="6">
        <f>IFERROR(VLOOKUP($B1185,Platts!$E$5:$M$4994,MATCH(E$3,Platts!$F$5:$M$5,0)+1,FALSE),E1184)</f>
        <v>61.99</v>
      </c>
      <c r="F1185" s="6">
        <f>IFERROR(VLOOKUP($B1185,Platts!$E$5:$M$4994,MATCH(F$3,Platts!$F$5:$M$5,0)+1,FALSE),F1184)</f>
        <v>69.86</v>
      </c>
      <c r="G1185" s="6">
        <f>IFERROR(VLOOKUP($B1185,Platts!$E$5:$M$4994,MATCH(G$3,Platts!$F$5:$M$5,0)+1,FALSE),G1184)</f>
        <v>67.94</v>
      </c>
      <c r="H1185" s="6">
        <f>IFERROR(VLOOKUP($B1185,Platts!$E$5:$M$4994,MATCH(H$3,Platts!$F$5:$M$5,0)+1,FALSE),H1184)</f>
        <v>59.41</v>
      </c>
      <c r="I1185" s="6">
        <f>IFERROR(VLOOKUP($B1185,Platts!$E$5:$M$4994,MATCH(I$3,Platts!$F$5:$M$5,0)+1,FALSE),I1184)</f>
        <v>65.61</v>
      </c>
      <c r="J1185" s="6">
        <f t="shared" si="36"/>
        <v>-1.0600000000000023</v>
      </c>
    </row>
    <row r="1186" spans="2:10" x14ac:dyDescent="0.25">
      <c r="B1186" s="5">
        <f t="shared" si="37"/>
        <v>43552</v>
      </c>
      <c r="C1186" s="6">
        <f>IFERROR(VLOOKUP($B1186,Platts!$E$5:$M$4994,MATCH(C$3,Platts!$F$5:$M$5,0)+1,FALSE),C1185)</f>
        <v>60.05</v>
      </c>
      <c r="D1186" s="6">
        <f>IFERROR(VLOOKUP($B1186,Platts!$E$5:$M$4994,MATCH(D$3,Platts!$F$5:$M$5,0)+1,FALSE),D1185)</f>
        <v>66.989999999999995</v>
      </c>
      <c r="E1186" s="6">
        <f>IFERROR(VLOOKUP($B1186,Platts!$E$5:$M$4994,MATCH(E$3,Platts!$F$5:$M$5,0)+1,FALSE),E1185)</f>
        <v>62.03</v>
      </c>
      <c r="F1186" s="6">
        <f>IFERROR(VLOOKUP($B1186,Platts!$E$5:$M$4994,MATCH(F$3,Platts!$F$5:$M$5,0)+1,FALSE),F1185)</f>
        <v>69.95</v>
      </c>
      <c r="G1186" s="6">
        <f>IFERROR(VLOOKUP($B1186,Platts!$E$5:$M$4994,MATCH(G$3,Platts!$F$5:$M$5,0)+1,FALSE),G1185)</f>
        <v>67.19</v>
      </c>
      <c r="H1186" s="6">
        <f>IFERROR(VLOOKUP($B1186,Platts!$E$5:$M$4994,MATCH(H$3,Platts!$F$5:$M$5,0)+1,FALSE),H1185)</f>
        <v>59.3</v>
      </c>
      <c r="I1186" s="6">
        <f>IFERROR(VLOOKUP($B1186,Platts!$E$5:$M$4994,MATCH(I$3,Platts!$F$5:$M$5,0)+1,FALSE),I1185)</f>
        <v>65.5</v>
      </c>
      <c r="J1186" s="6">
        <f t="shared" si="36"/>
        <v>-0.75</v>
      </c>
    </row>
    <row r="1187" spans="2:10" x14ac:dyDescent="0.25">
      <c r="B1187" s="5">
        <f t="shared" si="37"/>
        <v>43553</v>
      </c>
      <c r="C1187" s="6">
        <f>IFERROR(VLOOKUP($B1187,Platts!$E$5:$M$4994,MATCH(C$3,Platts!$F$5:$M$5,0)+1,FALSE),C1186)</f>
        <v>61.28</v>
      </c>
      <c r="D1187" s="6">
        <f>IFERROR(VLOOKUP($B1187,Platts!$E$5:$M$4994,MATCH(D$3,Platts!$F$5:$M$5,0)+1,FALSE),D1186)</f>
        <v>67.709999999999994</v>
      </c>
      <c r="E1187" s="6">
        <f>IFERROR(VLOOKUP($B1187,Platts!$E$5:$M$4994,MATCH(E$3,Platts!$F$5:$M$5,0)+1,FALSE),E1186)</f>
        <v>62.37</v>
      </c>
      <c r="F1187" s="6">
        <f>IFERROR(VLOOKUP($B1187,Platts!$E$5:$M$4994,MATCH(F$3,Platts!$F$5:$M$5,0)+1,FALSE),F1186)</f>
        <v>70.63</v>
      </c>
      <c r="G1187" s="6">
        <f>IFERROR(VLOOKUP($B1187,Platts!$E$5:$M$4994,MATCH(G$3,Platts!$F$5:$M$5,0)+1,FALSE),G1186)</f>
        <v>68.25</v>
      </c>
      <c r="H1187" s="6">
        <f>IFERROR(VLOOKUP($B1187,Platts!$E$5:$M$4994,MATCH(H$3,Platts!$F$5:$M$5,0)+1,FALSE),H1186)</f>
        <v>60.14</v>
      </c>
      <c r="I1187" s="6">
        <f>IFERROR(VLOOKUP($B1187,Platts!$E$5:$M$4994,MATCH(I$3,Platts!$F$5:$M$5,0)+1,FALSE),I1186)</f>
        <v>66.39</v>
      </c>
      <c r="J1187" s="6">
        <f t="shared" si="36"/>
        <v>-1.1400000000000006</v>
      </c>
    </row>
    <row r="1188" spans="2:10" x14ac:dyDescent="0.25">
      <c r="B1188" s="5">
        <f t="shared" si="37"/>
        <v>43554</v>
      </c>
      <c r="C1188" s="6">
        <f>IFERROR(VLOOKUP($B1188,Platts!$E$5:$M$4994,MATCH(C$3,Platts!$F$5:$M$5,0)+1,FALSE),C1187)</f>
        <v>61.28</v>
      </c>
      <c r="D1188" s="6">
        <f>IFERROR(VLOOKUP($B1188,Platts!$E$5:$M$4994,MATCH(D$3,Platts!$F$5:$M$5,0)+1,FALSE),D1187)</f>
        <v>67.709999999999994</v>
      </c>
      <c r="E1188" s="6">
        <f>IFERROR(VLOOKUP($B1188,Platts!$E$5:$M$4994,MATCH(E$3,Platts!$F$5:$M$5,0)+1,FALSE),E1187)</f>
        <v>62.37</v>
      </c>
      <c r="F1188" s="6">
        <f>IFERROR(VLOOKUP($B1188,Platts!$E$5:$M$4994,MATCH(F$3,Platts!$F$5:$M$5,0)+1,FALSE),F1187)</f>
        <v>70.63</v>
      </c>
      <c r="G1188" s="6">
        <f>IFERROR(VLOOKUP($B1188,Platts!$E$5:$M$4994,MATCH(G$3,Platts!$F$5:$M$5,0)+1,FALSE),G1187)</f>
        <v>68.25</v>
      </c>
      <c r="H1188" s="6">
        <f>IFERROR(VLOOKUP($B1188,Platts!$E$5:$M$4994,MATCH(H$3,Platts!$F$5:$M$5,0)+1,FALSE),H1187)</f>
        <v>60.14</v>
      </c>
      <c r="I1188" s="6">
        <f>IFERROR(VLOOKUP($B1188,Platts!$E$5:$M$4994,MATCH(I$3,Platts!$F$5:$M$5,0)+1,FALSE),I1187)</f>
        <v>66.39</v>
      </c>
      <c r="J1188" s="6">
        <f t="shared" si="36"/>
        <v>-1.1400000000000006</v>
      </c>
    </row>
    <row r="1189" spans="2:10" x14ac:dyDescent="0.25">
      <c r="B1189" s="5">
        <f t="shared" si="37"/>
        <v>43555</v>
      </c>
      <c r="C1189" s="6">
        <f>IFERROR(VLOOKUP($B1189,Platts!$E$5:$M$4994,MATCH(C$3,Platts!$F$5:$M$5,0)+1,FALSE),C1188)</f>
        <v>61.28</v>
      </c>
      <c r="D1189" s="6">
        <f>IFERROR(VLOOKUP($B1189,Platts!$E$5:$M$4994,MATCH(D$3,Platts!$F$5:$M$5,0)+1,FALSE),D1188)</f>
        <v>67.709999999999994</v>
      </c>
      <c r="E1189" s="6">
        <f>IFERROR(VLOOKUP($B1189,Platts!$E$5:$M$4994,MATCH(E$3,Platts!$F$5:$M$5,0)+1,FALSE),E1188)</f>
        <v>62.37</v>
      </c>
      <c r="F1189" s="6">
        <f>IFERROR(VLOOKUP($B1189,Platts!$E$5:$M$4994,MATCH(F$3,Platts!$F$5:$M$5,0)+1,FALSE),F1188)</f>
        <v>70.63</v>
      </c>
      <c r="G1189" s="6">
        <f>IFERROR(VLOOKUP($B1189,Platts!$E$5:$M$4994,MATCH(G$3,Platts!$F$5:$M$5,0)+1,FALSE),G1188)</f>
        <v>68.25</v>
      </c>
      <c r="H1189" s="6">
        <f>IFERROR(VLOOKUP($B1189,Platts!$E$5:$M$4994,MATCH(H$3,Platts!$F$5:$M$5,0)+1,FALSE),H1188)</f>
        <v>60.14</v>
      </c>
      <c r="I1189" s="6">
        <f>IFERROR(VLOOKUP($B1189,Platts!$E$5:$M$4994,MATCH(I$3,Platts!$F$5:$M$5,0)+1,FALSE),I1188)</f>
        <v>66.39</v>
      </c>
      <c r="J1189" s="6">
        <f t="shared" si="36"/>
        <v>-1.1400000000000006</v>
      </c>
    </row>
    <row r="1190" spans="2:10" x14ac:dyDescent="0.25">
      <c r="B1190" s="5">
        <f t="shared" si="37"/>
        <v>43556</v>
      </c>
      <c r="C1190" s="6">
        <f>IFERROR(VLOOKUP($B1190,Platts!$E$5:$M$4994,MATCH(C$3,Platts!$F$5:$M$5,0)+1,FALSE),C1189)</f>
        <v>62.5</v>
      </c>
      <c r="D1190" s="6">
        <f>IFERROR(VLOOKUP($B1190,Platts!$E$5:$M$4994,MATCH(D$3,Platts!$F$5:$M$5,0)+1,FALSE),D1189)</f>
        <v>69.75</v>
      </c>
      <c r="E1190" s="6">
        <f>IFERROR(VLOOKUP($B1190,Platts!$E$5:$M$4994,MATCH(E$3,Platts!$F$5:$M$5,0)+1,FALSE),E1189)</f>
        <v>64.290000000000006</v>
      </c>
      <c r="F1190" s="6">
        <f>IFERROR(VLOOKUP($B1190,Platts!$E$5:$M$4994,MATCH(F$3,Platts!$F$5:$M$5,0)+1,FALSE),F1189)</f>
        <v>72.56</v>
      </c>
      <c r="G1190" s="6">
        <f>IFERROR(VLOOKUP($B1190,Platts!$E$5:$M$4994,MATCH(G$3,Platts!$F$5:$M$5,0)+1,FALSE),G1189)</f>
        <v>69.010000000000005</v>
      </c>
      <c r="H1190" s="6">
        <f>IFERROR(VLOOKUP($B1190,Platts!$E$5:$M$4994,MATCH(H$3,Platts!$F$5:$M$5,0)+1,FALSE),H1189)</f>
        <v>61.59</v>
      </c>
      <c r="I1190" s="6">
        <f>IFERROR(VLOOKUP($B1190,Platts!$E$5:$M$4994,MATCH(I$3,Platts!$F$5:$M$5,0)+1,FALSE),I1189)</f>
        <v>67.790000000000006</v>
      </c>
      <c r="J1190" s="6">
        <f t="shared" si="36"/>
        <v>-0.90999999999999659</v>
      </c>
    </row>
    <row r="1191" spans="2:10" x14ac:dyDescent="0.25">
      <c r="B1191" s="5">
        <f t="shared" si="37"/>
        <v>43557</v>
      </c>
      <c r="C1191" s="6">
        <f>IFERROR(VLOOKUP($B1191,Platts!$E$5:$M$4994,MATCH(C$3,Platts!$F$5:$M$5,0)+1,FALSE),C1190)</f>
        <v>63.09</v>
      </c>
      <c r="D1191" s="6">
        <f>IFERROR(VLOOKUP($B1191,Platts!$E$5:$M$4994,MATCH(D$3,Platts!$F$5:$M$5,0)+1,FALSE),D1190)</f>
        <v>70.39</v>
      </c>
      <c r="E1191" s="6">
        <f>IFERROR(VLOOKUP($B1191,Platts!$E$5:$M$4994,MATCH(E$3,Platts!$F$5:$M$5,0)+1,FALSE),E1190)</f>
        <v>64.72</v>
      </c>
      <c r="F1191" s="6">
        <f>IFERROR(VLOOKUP($B1191,Platts!$E$5:$M$4994,MATCH(F$3,Platts!$F$5:$M$5,0)+1,FALSE),F1190)</f>
        <v>73.150000000000006</v>
      </c>
      <c r="G1191" s="6">
        <f>IFERROR(VLOOKUP($B1191,Platts!$E$5:$M$4994,MATCH(G$3,Platts!$F$5:$M$5,0)+1,FALSE),G1190)</f>
        <v>69.58</v>
      </c>
      <c r="H1191" s="6">
        <f>IFERROR(VLOOKUP($B1191,Platts!$E$5:$M$4994,MATCH(H$3,Platts!$F$5:$M$5,0)+1,FALSE),H1190)</f>
        <v>62.58</v>
      </c>
      <c r="I1191" s="6">
        <f>IFERROR(VLOOKUP($B1191,Platts!$E$5:$M$4994,MATCH(I$3,Platts!$F$5:$M$5,0)+1,FALSE),I1190)</f>
        <v>68.680000000000007</v>
      </c>
      <c r="J1191" s="6">
        <f t="shared" si="36"/>
        <v>-0.51000000000000512</v>
      </c>
    </row>
    <row r="1192" spans="2:10" x14ac:dyDescent="0.25">
      <c r="B1192" s="5">
        <f t="shared" si="37"/>
        <v>43558</v>
      </c>
      <c r="C1192" s="6">
        <f>IFERROR(VLOOKUP($B1192,Platts!$E$5:$M$4994,MATCH(C$3,Platts!$F$5:$M$5,0)+1,FALSE),C1191)</f>
        <v>63.04</v>
      </c>
      <c r="D1192" s="6">
        <f>IFERROR(VLOOKUP($B1192,Platts!$E$5:$M$4994,MATCH(D$3,Platts!$F$5:$M$5,0)+1,FALSE),D1191)</f>
        <v>69.819999999999993</v>
      </c>
      <c r="E1192" s="6">
        <f>IFERROR(VLOOKUP($B1192,Platts!$E$5:$M$4994,MATCH(E$3,Platts!$F$5:$M$5,0)+1,FALSE),E1191)</f>
        <v>64.3</v>
      </c>
      <c r="F1192" s="6">
        <f>IFERROR(VLOOKUP($B1192,Platts!$E$5:$M$4994,MATCH(F$3,Platts!$F$5:$M$5,0)+1,FALSE),F1191)</f>
        <v>72.650000000000006</v>
      </c>
      <c r="G1192" s="6">
        <f>IFERROR(VLOOKUP($B1192,Platts!$E$5:$M$4994,MATCH(G$3,Platts!$F$5:$M$5,0)+1,FALSE),G1191)</f>
        <v>69.27</v>
      </c>
      <c r="H1192" s="6">
        <f>IFERROR(VLOOKUP($B1192,Platts!$E$5:$M$4994,MATCH(H$3,Platts!$F$5:$M$5,0)+1,FALSE),H1191)</f>
        <v>62.46</v>
      </c>
      <c r="I1192" s="6">
        <f>IFERROR(VLOOKUP($B1192,Platts!$E$5:$M$4994,MATCH(I$3,Platts!$F$5:$M$5,0)+1,FALSE),I1191)</f>
        <v>68.459999999999994</v>
      </c>
      <c r="J1192" s="6">
        <f t="shared" si="36"/>
        <v>-0.57999999999999829</v>
      </c>
    </row>
    <row r="1193" spans="2:10" x14ac:dyDescent="0.25">
      <c r="B1193" s="5">
        <f t="shared" si="37"/>
        <v>43559</v>
      </c>
      <c r="C1193" s="6">
        <f>IFERROR(VLOOKUP($B1193,Platts!$E$5:$M$4994,MATCH(C$3,Platts!$F$5:$M$5,0)+1,FALSE),C1192)</f>
        <v>63.01</v>
      </c>
      <c r="D1193" s="6">
        <f>IFERROR(VLOOKUP($B1193,Platts!$E$5:$M$4994,MATCH(D$3,Platts!$F$5:$M$5,0)+1,FALSE),D1192)</f>
        <v>69.78</v>
      </c>
      <c r="E1193" s="6">
        <f>IFERROR(VLOOKUP($B1193,Platts!$E$5:$M$4994,MATCH(E$3,Platts!$F$5:$M$5,0)+1,FALSE),E1192)</f>
        <v>64.349999999999994</v>
      </c>
      <c r="F1193" s="6">
        <f>IFERROR(VLOOKUP($B1193,Platts!$E$5:$M$4994,MATCH(F$3,Platts!$F$5:$M$5,0)+1,FALSE),F1192)</f>
        <v>72.58</v>
      </c>
      <c r="G1193" s="6">
        <f>IFERROR(VLOOKUP($B1193,Platts!$E$5:$M$4994,MATCH(G$3,Platts!$F$5:$M$5,0)+1,FALSE),G1192)</f>
        <v>69.760000000000005</v>
      </c>
      <c r="H1193" s="6">
        <f>IFERROR(VLOOKUP($B1193,Platts!$E$5:$M$4994,MATCH(H$3,Platts!$F$5:$M$5,0)+1,FALSE),H1192)</f>
        <v>62.1</v>
      </c>
      <c r="I1193" s="6">
        <f>IFERROR(VLOOKUP($B1193,Platts!$E$5:$M$4994,MATCH(I$3,Platts!$F$5:$M$5,0)+1,FALSE),I1192)</f>
        <v>68.099999999999994</v>
      </c>
      <c r="J1193" s="6">
        <f t="shared" si="36"/>
        <v>-0.90999999999999659</v>
      </c>
    </row>
    <row r="1194" spans="2:10" x14ac:dyDescent="0.25">
      <c r="B1194" s="5">
        <f t="shared" si="37"/>
        <v>43560</v>
      </c>
      <c r="C1194" s="6">
        <f>IFERROR(VLOOKUP($B1194,Platts!$E$5:$M$4994,MATCH(C$3,Platts!$F$5:$M$5,0)+1,FALSE),C1193)</f>
        <v>63.49</v>
      </c>
      <c r="D1194" s="6">
        <f>IFERROR(VLOOKUP($B1194,Platts!$E$5:$M$4994,MATCH(D$3,Platts!$F$5:$M$5,0)+1,FALSE),D1193)</f>
        <v>70.349999999999994</v>
      </c>
      <c r="E1194" s="6">
        <f>IFERROR(VLOOKUP($B1194,Platts!$E$5:$M$4994,MATCH(E$3,Platts!$F$5:$M$5,0)+1,FALSE),E1193)</f>
        <v>64.91</v>
      </c>
      <c r="F1194" s="6">
        <f>IFERROR(VLOOKUP($B1194,Platts!$E$5:$M$4994,MATCH(F$3,Platts!$F$5:$M$5,0)+1,FALSE),F1193)</f>
        <v>73.25</v>
      </c>
      <c r="G1194" s="6">
        <f>IFERROR(VLOOKUP($B1194,Platts!$E$5:$M$4994,MATCH(G$3,Platts!$F$5:$M$5,0)+1,FALSE),G1193)</f>
        <v>70.03</v>
      </c>
      <c r="H1194" s="6">
        <f>IFERROR(VLOOKUP($B1194,Platts!$E$5:$M$4994,MATCH(H$3,Platts!$F$5:$M$5,0)+1,FALSE),H1193)</f>
        <v>63.08</v>
      </c>
      <c r="I1194" s="6">
        <f>IFERROR(VLOOKUP($B1194,Platts!$E$5:$M$4994,MATCH(I$3,Platts!$F$5:$M$5,0)+1,FALSE),I1193)</f>
        <v>69.03</v>
      </c>
      <c r="J1194" s="6">
        <f t="shared" si="36"/>
        <v>-0.41000000000000369</v>
      </c>
    </row>
    <row r="1195" spans="2:10" x14ac:dyDescent="0.25">
      <c r="B1195" s="5">
        <f t="shared" si="37"/>
        <v>43561</v>
      </c>
      <c r="C1195" s="6">
        <f>IFERROR(VLOOKUP($B1195,Platts!$E$5:$M$4994,MATCH(C$3,Platts!$F$5:$M$5,0)+1,FALSE),C1194)</f>
        <v>63.49</v>
      </c>
      <c r="D1195" s="6">
        <f>IFERROR(VLOOKUP($B1195,Platts!$E$5:$M$4994,MATCH(D$3,Platts!$F$5:$M$5,0)+1,FALSE),D1194)</f>
        <v>70.349999999999994</v>
      </c>
      <c r="E1195" s="6">
        <f>IFERROR(VLOOKUP($B1195,Platts!$E$5:$M$4994,MATCH(E$3,Platts!$F$5:$M$5,0)+1,FALSE),E1194)</f>
        <v>64.91</v>
      </c>
      <c r="F1195" s="6">
        <f>IFERROR(VLOOKUP($B1195,Platts!$E$5:$M$4994,MATCH(F$3,Platts!$F$5:$M$5,0)+1,FALSE),F1194)</f>
        <v>73.25</v>
      </c>
      <c r="G1195" s="6">
        <f>IFERROR(VLOOKUP($B1195,Platts!$E$5:$M$4994,MATCH(G$3,Platts!$F$5:$M$5,0)+1,FALSE),G1194)</f>
        <v>70.03</v>
      </c>
      <c r="H1195" s="6">
        <f>IFERROR(VLOOKUP($B1195,Platts!$E$5:$M$4994,MATCH(H$3,Platts!$F$5:$M$5,0)+1,FALSE),H1194)</f>
        <v>63.08</v>
      </c>
      <c r="I1195" s="6">
        <f>IFERROR(VLOOKUP($B1195,Platts!$E$5:$M$4994,MATCH(I$3,Platts!$F$5:$M$5,0)+1,FALSE),I1194)</f>
        <v>69.03</v>
      </c>
      <c r="J1195" s="6">
        <f t="shared" si="36"/>
        <v>-0.41000000000000369</v>
      </c>
    </row>
    <row r="1196" spans="2:10" x14ac:dyDescent="0.25">
      <c r="B1196" s="5">
        <f t="shared" si="37"/>
        <v>43562</v>
      </c>
      <c r="C1196" s="6">
        <f>IFERROR(VLOOKUP($B1196,Platts!$E$5:$M$4994,MATCH(C$3,Platts!$F$5:$M$5,0)+1,FALSE),C1195)</f>
        <v>63.49</v>
      </c>
      <c r="D1196" s="6">
        <f>IFERROR(VLOOKUP($B1196,Platts!$E$5:$M$4994,MATCH(D$3,Platts!$F$5:$M$5,0)+1,FALSE),D1195)</f>
        <v>70.349999999999994</v>
      </c>
      <c r="E1196" s="6">
        <f>IFERROR(VLOOKUP($B1196,Platts!$E$5:$M$4994,MATCH(E$3,Platts!$F$5:$M$5,0)+1,FALSE),E1195)</f>
        <v>64.91</v>
      </c>
      <c r="F1196" s="6">
        <f>IFERROR(VLOOKUP($B1196,Platts!$E$5:$M$4994,MATCH(F$3,Platts!$F$5:$M$5,0)+1,FALSE),F1195)</f>
        <v>73.25</v>
      </c>
      <c r="G1196" s="6">
        <f>IFERROR(VLOOKUP($B1196,Platts!$E$5:$M$4994,MATCH(G$3,Platts!$F$5:$M$5,0)+1,FALSE),G1195)</f>
        <v>70.03</v>
      </c>
      <c r="H1196" s="6">
        <f>IFERROR(VLOOKUP($B1196,Platts!$E$5:$M$4994,MATCH(H$3,Platts!$F$5:$M$5,0)+1,FALSE),H1195)</f>
        <v>63.08</v>
      </c>
      <c r="I1196" s="6">
        <f>IFERROR(VLOOKUP($B1196,Platts!$E$5:$M$4994,MATCH(I$3,Platts!$F$5:$M$5,0)+1,FALSE),I1195)</f>
        <v>69.03</v>
      </c>
      <c r="J1196" s="6">
        <f t="shared" si="36"/>
        <v>-0.41000000000000369</v>
      </c>
    </row>
    <row r="1197" spans="2:10" x14ac:dyDescent="0.25">
      <c r="B1197" s="5">
        <f t="shared" si="37"/>
        <v>43563</v>
      </c>
      <c r="C1197" s="6">
        <f>IFERROR(VLOOKUP($B1197,Platts!$E$5:$M$4994,MATCH(C$3,Platts!$F$5:$M$5,0)+1,FALSE),C1196)</f>
        <v>64.56</v>
      </c>
      <c r="D1197" s="6">
        <f>IFERROR(VLOOKUP($B1197,Platts!$E$5:$M$4994,MATCH(D$3,Platts!$F$5:$M$5,0)+1,FALSE),D1196)</f>
        <v>71.58</v>
      </c>
      <c r="E1197" s="6">
        <f>IFERROR(VLOOKUP($B1197,Platts!$E$5:$M$4994,MATCH(E$3,Platts!$F$5:$M$5,0)+1,FALSE),E1196)</f>
        <v>65.849999999999994</v>
      </c>
      <c r="F1197" s="6">
        <f>IFERROR(VLOOKUP($B1197,Platts!$E$5:$M$4994,MATCH(F$3,Platts!$F$5:$M$5,0)+1,FALSE),F1196)</f>
        <v>74.41</v>
      </c>
      <c r="G1197" s="6">
        <f>IFERROR(VLOOKUP($B1197,Platts!$E$5:$M$4994,MATCH(G$3,Platts!$F$5:$M$5,0)+1,FALSE),G1196)</f>
        <v>71.05</v>
      </c>
      <c r="H1197" s="6">
        <f>IFERROR(VLOOKUP($B1197,Platts!$E$5:$M$4994,MATCH(H$3,Platts!$F$5:$M$5,0)+1,FALSE),H1196)</f>
        <v>64.400000000000006</v>
      </c>
      <c r="I1197" s="6">
        <f>IFERROR(VLOOKUP($B1197,Platts!$E$5:$M$4994,MATCH(I$3,Platts!$F$5:$M$5,0)+1,FALSE),I1196)</f>
        <v>70.3</v>
      </c>
      <c r="J1197" s="6">
        <f t="shared" si="36"/>
        <v>-0.15999999999999659</v>
      </c>
    </row>
    <row r="1198" spans="2:10" x14ac:dyDescent="0.25">
      <c r="B1198" s="5">
        <f t="shared" si="37"/>
        <v>43564</v>
      </c>
      <c r="C1198" s="6">
        <f>IFERROR(VLOOKUP($B1198,Platts!$E$5:$M$4994,MATCH(C$3,Platts!$F$5:$M$5,0)+1,FALSE),C1197)</f>
        <v>63.84</v>
      </c>
      <c r="D1198" s="6">
        <f>IFERROR(VLOOKUP($B1198,Platts!$E$5:$M$4994,MATCH(D$3,Platts!$F$5:$M$5,0)+1,FALSE),D1197)</f>
        <v>70.58</v>
      </c>
      <c r="E1198" s="6">
        <f>IFERROR(VLOOKUP($B1198,Platts!$E$5:$M$4994,MATCH(E$3,Platts!$F$5:$M$5,0)+1,FALSE),E1197)</f>
        <v>64.92</v>
      </c>
      <c r="F1198" s="6">
        <f>IFERROR(VLOOKUP($B1198,Platts!$E$5:$M$4994,MATCH(F$3,Platts!$F$5:$M$5,0)+1,FALSE),F1197)</f>
        <v>73.52</v>
      </c>
      <c r="G1198" s="6">
        <f>IFERROR(VLOOKUP($B1198,Platts!$E$5:$M$4994,MATCH(G$3,Platts!$F$5:$M$5,0)+1,FALSE),G1197)</f>
        <v>70.84</v>
      </c>
      <c r="H1198" s="6">
        <f>IFERROR(VLOOKUP($B1198,Platts!$E$5:$M$4994,MATCH(H$3,Platts!$F$5:$M$5,0)+1,FALSE),H1197)</f>
        <v>63.98</v>
      </c>
      <c r="I1198" s="6">
        <f>IFERROR(VLOOKUP($B1198,Platts!$E$5:$M$4994,MATCH(I$3,Platts!$F$5:$M$5,0)+1,FALSE),I1197)</f>
        <v>69.83</v>
      </c>
      <c r="J1198" s="6">
        <f t="shared" si="36"/>
        <v>0.13999999999999346</v>
      </c>
    </row>
    <row r="1199" spans="2:10" x14ac:dyDescent="0.25">
      <c r="B1199" s="5">
        <f t="shared" si="37"/>
        <v>43565</v>
      </c>
      <c r="C1199" s="6">
        <f>IFERROR(VLOOKUP($B1199,Platts!$E$5:$M$4994,MATCH(C$3,Platts!$F$5:$M$5,0)+1,FALSE),C1198)</f>
        <v>64.09</v>
      </c>
      <c r="D1199" s="6">
        <f>IFERROR(VLOOKUP($B1199,Platts!$E$5:$M$4994,MATCH(D$3,Platts!$F$5:$M$5,0)+1,FALSE),D1198)</f>
        <v>70.819999999999993</v>
      </c>
      <c r="E1199" s="6">
        <f>IFERROR(VLOOKUP($B1199,Platts!$E$5:$M$4994,MATCH(E$3,Platts!$F$5:$M$5,0)+1,FALSE),E1198)</f>
        <v>64.97</v>
      </c>
      <c r="F1199" s="6">
        <f>IFERROR(VLOOKUP($B1199,Platts!$E$5:$M$4994,MATCH(F$3,Platts!$F$5:$M$5,0)+1,FALSE),F1198)</f>
        <v>73.86</v>
      </c>
      <c r="G1199" s="6">
        <f>IFERROR(VLOOKUP($B1199,Platts!$E$5:$M$4994,MATCH(G$3,Platts!$F$5:$M$5,0)+1,FALSE),G1198)</f>
        <v>71.58</v>
      </c>
      <c r="H1199" s="6">
        <f>IFERROR(VLOOKUP($B1199,Platts!$E$5:$M$4994,MATCH(H$3,Platts!$F$5:$M$5,0)+1,FALSE),H1198)</f>
        <v>64.61</v>
      </c>
      <c r="I1199" s="6">
        <f>IFERROR(VLOOKUP($B1199,Platts!$E$5:$M$4994,MATCH(I$3,Platts!$F$5:$M$5,0)+1,FALSE),I1198)</f>
        <v>70.459999999999994</v>
      </c>
      <c r="J1199" s="6">
        <f t="shared" si="36"/>
        <v>0.51999999999999602</v>
      </c>
    </row>
    <row r="1200" spans="2:10" x14ac:dyDescent="0.25">
      <c r="B1200" s="5">
        <f t="shared" si="37"/>
        <v>43566</v>
      </c>
      <c r="C1200" s="6">
        <f>IFERROR(VLOOKUP($B1200,Platts!$E$5:$M$4994,MATCH(C$3,Platts!$F$5:$M$5,0)+1,FALSE),C1199)</f>
        <v>63.48</v>
      </c>
      <c r="D1200" s="6">
        <f>IFERROR(VLOOKUP($B1200,Platts!$E$5:$M$4994,MATCH(D$3,Platts!$F$5:$M$5,0)+1,FALSE),D1199)</f>
        <v>69.47</v>
      </c>
      <c r="E1200" s="6">
        <f>IFERROR(VLOOKUP($B1200,Platts!$E$5:$M$4994,MATCH(E$3,Platts!$F$5:$M$5,0)+1,FALSE),E1199)</f>
        <v>63.84</v>
      </c>
      <c r="F1200" s="6">
        <f>IFERROR(VLOOKUP($B1200,Platts!$E$5:$M$4994,MATCH(F$3,Platts!$F$5:$M$5,0)+1,FALSE),F1199)</f>
        <v>72.61</v>
      </c>
      <c r="G1200" s="6">
        <f>IFERROR(VLOOKUP($B1200,Platts!$E$5:$M$4994,MATCH(G$3,Platts!$F$5:$M$5,0)+1,FALSE),G1199)</f>
        <v>71.430000000000007</v>
      </c>
      <c r="H1200" s="6">
        <f>IFERROR(VLOOKUP($B1200,Platts!$E$5:$M$4994,MATCH(H$3,Platts!$F$5:$M$5,0)+1,FALSE),H1199)</f>
        <v>63.58</v>
      </c>
      <c r="I1200" s="6">
        <f>IFERROR(VLOOKUP($B1200,Platts!$E$5:$M$4994,MATCH(I$3,Platts!$F$5:$M$5,0)+1,FALSE),I1199)</f>
        <v>69.78</v>
      </c>
      <c r="J1200" s="6">
        <f t="shared" si="36"/>
        <v>0.10000000000000142</v>
      </c>
    </row>
    <row r="1201" spans="2:10" x14ac:dyDescent="0.25">
      <c r="B1201" s="5">
        <f t="shared" si="37"/>
        <v>43567</v>
      </c>
      <c r="C1201" s="6">
        <f>IFERROR(VLOOKUP($B1201,Platts!$E$5:$M$4994,MATCH(C$3,Platts!$F$5:$M$5,0)+1,FALSE),C1200)</f>
        <v>63.59</v>
      </c>
      <c r="D1201" s="6">
        <f>IFERROR(VLOOKUP($B1201,Platts!$E$5:$M$4994,MATCH(D$3,Platts!$F$5:$M$5,0)+1,FALSE),D1200)</f>
        <v>69.69</v>
      </c>
      <c r="E1201" s="6">
        <f>IFERROR(VLOOKUP($B1201,Platts!$E$5:$M$4994,MATCH(E$3,Platts!$F$5:$M$5,0)+1,FALSE),E1200)</f>
        <v>64.16</v>
      </c>
      <c r="F1201" s="6">
        <f>IFERROR(VLOOKUP($B1201,Platts!$E$5:$M$4994,MATCH(F$3,Platts!$F$5:$M$5,0)+1,FALSE),F1200)</f>
        <v>72.89</v>
      </c>
      <c r="G1201" s="6">
        <f>IFERROR(VLOOKUP($B1201,Platts!$E$5:$M$4994,MATCH(G$3,Platts!$F$5:$M$5,0)+1,FALSE),G1200)</f>
        <v>71.760000000000005</v>
      </c>
      <c r="H1201" s="6">
        <f>IFERROR(VLOOKUP($B1201,Platts!$E$5:$M$4994,MATCH(H$3,Platts!$F$5:$M$5,0)+1,FALSE),H1200)</f>
        <v>63.89</v>
      </c>
      <c r="I1201" s="6">
        <f>IFERROR(VLOOKUP($B1201,Platts!$E$5:$M$4994,MATCH(I$3,Platts!$F$5:$M$5,0)+1,FALSE),I1200)</f>
        <v>70.14</v>
      </c>
      <c r="J1201" s="6">
        <f t="shared" si="36"/>
        <v>0.29999999999999716</v>
      </c>
    </row>
    <row r="1202" spans="2:10" x14ac:dyDescent="0.25">
      <c r="B1202" s="5">
        <f t="shared" si="37"/>
        <v>43568</v>
      </c>
      <c r="C1202" s="6">
        <f>IFERROR(VLOOKUP($B1202,Platts!$E$5:$M$4994,MATCH(C$3,Platts!$F$5:$M$5,0)+1,FALSE),C1201)</f>
        <v>63.59</v>
      </c>
      <c r="D1202" s="6">
        <f>IFERROR(VLOOKUP($B1202,Platts!$E$5:$M$4994,MATCH(D$3,Platts!$F$5:$M$5,0)+1,FALSE),D1201)</f>
        <v>69.69</v>
      </c>
      <c r="E1202" s="6">
        <f>IFERROR(VLOOKUP($B1202,Platts!$E$5:$M$4994,MATCH(E$3,Platts!$F$5:$M$5,0)+1,FALSE),E1201)</f>
        <v>64.16</v>
      </c>
      <c r="F1202" s="6">
        <f>IFERROR(VLOOKUP($B1202,Platts!$E$5:$M$4994,MATCH(F$3,Platts!$F$5:$M$5,0)+1,FALSE),F1201)</f>
        <v>72.89</v>
      </c>
      <c r="G1202" s="6">
        <f>IFERROR(VLOOKUP($B1202,Platts!$E$5:$M$4994,MATCH(G$3,Platts!$F$5:$M$5,0)+1,FALSE),G1201)</f>
        <v>71.760000000000005</v>
      </c>
      <c r="H1202" s="6">
        <f>IFERROR(VLOOKUP($B1202,Platts!$E$5:$M$4994,MATCH(H$3,Platts!$F$5:$M$5,0)+1,FALSE),H1201)</f>
        <v>63.89</v>
      </c>
      <c r="I1202" s="6">
        <f>IFERROR(VLOOKUP($B1202,Platts!$E$5:$M$4994,MATCH(I$3,Platts!$F$5:$M$5,0)+1,FALSE),I1201)</f>
        <v>70.14</v>
      </c>
      <c r="J1202" s="6">
        <f t="shared" si="36"/>
        <v>0.29999999999999716</v>
      </c>
    </row>
    <row r="1203" spans="2:10" x14ac:dyDescent="0.25">
      <c r="B1203" s="5">
        <f t="shared" si="37"/>
        <v>43569</v>
      </c>
      <c r="C1203" s="6">
        <f>IFERROR(VLOOKUP($B1203,Platts!$E$5:$M$4994,MATCH(C$3,Platts!$F$5:$M$5,0)+1,FALSE),C1202)</f>
        <v>63.59</v>
      </c>
      <c r="D1203" s="6">
        <f>IFERROR(VLOOKUP($B1203,Platts!$E$5:$M$4994,MATCH(D$3,Platts!$F$5:$M$5,0)+1,FALSE),D1202)</f>
        <v>69.69</v>
      </c>
      <c r="E1203" s="6">
        <f>IFERROR(VLOOKUP($B1203,Platts!$E$5:$M$4994,MATCH(E$3,Platts!$F$5:$M$5,0)+1,FALSE),E1202)</f>
        <v>64.16</v>
      </c>
      <c r="F1203" s="6">
        <f>IFERROR(VLOOKUP($B1203,Platts!$E$5:$M$4994,MATCH(F$3,Platts!$F$5:$M$5,0)+1,FALSE),F1202)</f>
        <v>72.89</v>
      </c>
      <c r="G1203" s="6">
        <f>IFERROR(VLOOKUP($B1203,Platts!$E$5:$M$4994,MATCH(G$3,Platts!$F$5:$M$5,0)+1,FALSE),G1202)</f>
        <v>71.760000000000005</v>
      </c>
      <c r="H1203" s="6">
        <f>IFERROR(VLOOKUP($B1203,Platts!$E$5:$M$4994,MATCH(H$3,Platts!$F$5:$M$5,0)+1,FALSE),H1202)</f>
        <v>63.89</v>
      </c>
      <c r="I1203" s="6">
        <f>IFERROR(VLOOKUP($B1203,Platts!$E$5:$M$4994,MATCH(I$3,Platts!$F$5:$M$5,0)+1,FALSE),I1202)</f>
        <v>70.14</v>
      </c>
      <c r="J1203" s="6">
        <f t="shared" si="36"/>
        <v>0.29999999999999716</v>
      </c>
    </row>
    <row r="1204" spans="2:10" x14ac:dyDescent="0.25">
      <c r="B1204" s="5">
        <f t="shared" si="37"/>
        <v>43570</v>
      </c>
      <c r="C1204" s="6">
        <f>IFERROR(VLOOKUP($B1204,Platts!$E$5:$M$4994,MATCH(C$3,Platts!$F$5:$M$5,0)+1,FALSE),C1203)</f>
        <v>62.98</v>
      </c>
      <c r="D1204" s="6">
        <f>IFERROR(VLOOKUP($B1204,Platts!$E$5:$M$4994,MATCH(D$3,Platts!$F$5:$M$5,0)+1,FALSE),D1203)</f>
        <v>69.81</v>
      </c>
      <c r="E1204" s="6">
        <f>IFERROR(VLOOKUP($B1204,Platts!$E$5:$M$4994,MATCH(E$3,Platts!$F$5:$M$5,0)+1,FALSE),E1203)</f>
        <v>64.11</v>
      </c>
      <c r="F1204" s="6">
        <f>IFERROR(VLOOKUP($B1204,Platts!$E$5:$M$4994,MATCH(F$3,Platts!$F$5:$M$5,0)+1,FALSE),F1203)</f>
        <v>72.95</v>
      </c>
      <c r="G1204" s="6">
        <f>IFERROR(VLOOKUP($B1204,Platts!$E$5:$M$4994,MATCH(G$3,Platts!$F$5:$M$5,0)+1,FALSE),G1203)</f>
        <v>71.25</v>
      </c>
      <c r="H1204" s="6">
        <f>IFERROR(VLOOKUP($B1204,Platts!$E$5:$M$4994,MATCH(H$3,Platts!$F$5:$M$5,0)+1,FALSE),H1203)</f>
        <v>63.4</v>
      </c>
      <c r="I1204" s="6">
        <f>IFERROR(VLOOKUP($B1204,Platts!$E$5:$M$4994,MATCH(I$3,Platts!$F$5:$M$5,0)+1,FALSE),I1203)</f>
        <v>69.95</v>
      </c>
      <c r="J1204" s="6">
        <f t="shared" si="36"/>
        <v>0.42000000000000171</v>
      </c>
    </row>
    <row r="1205" spans="2:10" x14ac:dyDescent="0.25">
      <c r="B1205" s="5">
        <f t="shared" si="37"/>
        <v>43571</v>
      </c>
      <c r="C1205" s="6">
        <f>IFERROR(VLOOKUP($B1205,Platts!$E$5:$M$4994,MATCH(C$3,Platts!$F$5:$M$5,0)+1,FALSE),C1204)</f>
        <v>62.82</v>
      </c>
      <c r="D1205" s="6">
        <f>IFERROR(VLOOKUP($B1205,Platts!$E$5:$M$4994,MATCH(D$3,Platts!$F$5:$M$5,0)+1,FALSE),D1204)</f>
        <v>70.36</v>
      </c>
      <c r="E1205" s="6">
        <f>IFERROR(VLOOKUP($B1205,Platts!$E$5:$M$4994,MATCH(E$3,Platts!$F$5:$M$5,0)+1,FALSE),E1204)</f>
        <v>63.91</v>
      </c>
      <c r="F1205" s="6">
        <f>IFERROR(VLOOKUP($B1205,Platts!$E$5:$M$4994,MATCH(F$3,Platts!$F$5:$M$5,0)+1,FALSE),F1204)</f>
        <v>73.44</v>
      </c>
      <c r="G1205" s="6">
        <f>IFERROR(VLOOKUP($B1205,Platts!$E$5:$M$4994,MATCH(G$3,Platts!$F$5:$M$5,0)+1,FALSE),G1204)</f>
        <v>71.260000000000005</v>
      </c>
      <c r="H1205" s="6">
        <f>IFERROR(VLOOKUP($B1205,Platts!$E$5:$M$4994,MATCH(H$3,Platts!$F$5:$M$5,0)+1,FALSE),H1204)</f>
        <v>64.05</v>
      </c>
      <c r="I1205" s="6">
        <f>IFERROR(VLOOKUP($B1205,Platts!$E$5:$M$4994,MATCH(I$3,Platts!$F$5:$M$5,0)+1,FALSE),I1204)</f>
        <v>70.599999999999994</v>
      </c>
      <c r="J1205" s="6">
        <f t="shared" si="36"/>
        <v>1.2299999999999969</v>
      </c>
    </row>
    <row r="1206" spans="2:10" x14ac:dyDescent="0.25">
      <c r="B1206" s="5">
        <f t="shared" si="37"/>
        <v>43572</v>
      </c>
      <c r="C1206" s="6">
        <f>IFERROR(VLOOKUP($B1206,Platts!$E$5:$M$4994,MATCH(C$3,Platts!$F$5:$M$5,0)+1,FALSE),C1205)</f>
        <v>63.03</v>
      </c>
      <c r="D1206" s="6">
        <f>IFERROR(VLOOKUP($B1206,Platts!$E$5:$M$4994,MATCH(D$3,Platts!$F$5:$M$5,0)+1,FALSE),D1205)</f>
        <v>69.33</v>
      </c>
      <c r="E1206" s="6">
        <f>IFERROR(VLOOKUP($B1206,Platts!$E$5:$M$4994,MATCH(E$3,Platts!$F$5:$M$5,0)+1,FALSE),E1205)</f>
        <v>62.98</v>
      </c>
      <c r="F1206" s="6">
        <f>IFERROR(VLOOKUP($B1206,Platts!$E$5:$M$4994,MATCH(F$3,Platts!$F$5:$M$5,0)+1,FALSE),F1205)</f>
        <v>72.569999999999993</v>
      </c>
      <c r="G1206" s="6">
        <f>IFERROR(VLOOKUP($B1206,Platts!$E$5:$M$4994,MATCH(G$3,Platts!$F$5:$M$5,0)+1,FALSE),G1205)</f>
        <v>71.930000000000007</v>
      </c>
      <c r="H1206" s="6">
        <f>IFERROR(VLOOKUP($B1206,Platts!$E$5:$M$4994,MATCH(H$3,Platts!$F$5:$M$5,0)+1,FALSE),H1205)</f>
        <v>63.76</v>
      </c>
      <c r="I1206" s="6">
        <f>IFERROR(VLOOKUP($B1206,Platts!$E$5:$M$4994,MATCH(I$3,Platts!$F$5:$M$5,0)+1,FALSE),I1205)</f>
        <v>70.760000000000005</v>
      </c>
      <c r="J1206" s="6">
        <f t="shared" si="36"/>
        <v>0.72999999999999687</v>
      </c>
    </row>
    <row r="1207" spans="2:10" x14ac:dyDescent="0.25">
      <c r="B1207" s="5">
        <f t="shared" si="37"/>
        <v>43573</v>
      </c>
      <c r="C1207" s="6">
        <f>IFERROR(VLOOKUP($B1207,Platts!$E$5:$M$4994,MATCH(C$3,Platts!$F$5:$M$5,0)+1,FALSE),C1206)</f>
        <v>62.71</v>
      </c>
      <c r="D1207" s="6">
        <f>IFERROR(VLOOKUP($B1207,Platts!$E$5:$M$4994,MATCH(D$3,Platts!$F$5:$M$5,0)+1,FALSE),D1206)</f>
        <v>70.150000000000006</v>
      </c>
      <c r="E1207" s="6">
        <f>IFERROR(VLOOKUP($B1207,Platts!$E$5:$M$4994,MATCH(E$3,Platts!$F$5:$M$5,0)+1,FALSE),E1206)</f>
        <v>63.47</v>
      </c>
      <c r="F1207" s="6">
        <f>IFERROR(VLOOKUP($B1207,Platts!$E$5:$M$4994,MATCH(F$3,Platts!$F$5:$M$5,0)+1,FALSE),F1206)</f>
        <v>73.319999999999993</v>
      </c>
      <c r="G1207" s="6">
        <f>IFERROR(VLOOKUP($B1207,Platts!$E$5:$M$4994,MATCH(G$3,Platts!$F$5:$M$5,0)+1,FALSE),G1206)</f>
        <v>72.03</v>
      </c>
      <c r="H1207" s="6">
        <f>IFERROR(VLOOKUP($B1207,Platts!$E$5:$M$4994,MATCH(H$3,Platts!$F$5:$M$5,0)+1,FALSE),H1206)</f>
        <v>64</v>
      </c>
      <c r="I1207" s="6">
        <f>IFERROR(VLOOKUP($B1207,Platts!$E$5:$M$4994,MATCH(I$3,Platts!$F$5:$M$5,0)+1,FALSE),I1206)</f>
        <v>71</v>
      </c>
      <c r="J1207" s="6">
        <f t="shared" si="36"/>
        <v>1.2899999999999991</v>
      </c>
    </row>
    <row r="1208" spans="2:10" x14ac:dyDescent="0.25">
      <c r="B1208" s="5">
        <f t="shared" si="37"/>
        <v>43574</v>
      </c>
      <c r="C1208" s="6">
        <f>IFERROR(VLOOKUP($B1208,Platts!$E$5:$M$4994,MATCH(C$3,Platts!$F$5:$M$5,0)+1,FALSE),C1207)</f>
        <v>62.71</v>
      </c>
      <c r="D1208" s="6">
        <f>IFERROR(VLOOKUP($B1208,Platts!$E$5:$M$4994,MATCH(D$3,Platts!$F$5:$M$5,0)+1,FALSE),D1207)</f>
        <v>70.150000000000006</v>
      </c>
      <c r="E1208" s="6">
        <f>IFERROR(VLOOKUP($B1208,Platts!$E$5:$M$4994,MATCH(E$3,Platts!$F$5:$M$5,0)+1,FALSE),E1207)</f>
        <v>63.47</v>
      </c>
      <c r="F1208" s="6">
        <f>IFERROR(VLOOKUP($B1208,Platts!$E$5:$M$4994,MATCH(F$3,Platts!$F$5:$M$5,0)+1,FALSE),F1207)</f>
        <v>73.319999999999993</v>
      </c>
      <c r="G1208" s="6">
        <f>IFERROR(VLOOKUP($B1208,Platts!$E$5:$M$4994,MATCH(G$3,Platts!$F$5:$M$5,0)+1,FALSE),G1207)</f>
        <v>72.03</v>
      </c>
      <c r="H1208" s="6">
        <f>IFERROR(VLOOKUP($B1208,Platts!$E$5:$M$4994,MATCH(H$3,Platts!$F$5:$M$5,0)+1,FALSE),H1207)</f>
        <v>64</v>
      </c>
      <c r="I1208" s="6">
        <f>IFERROR(VLOOKUP($B1208,Platts!$E$5:$M$4994,MATCH(I$3,Platts!$F$5:$M$5,0)+1,FALSE),I1207)</f>
        <v>71</v>
      </c>
      <c r="J1208" s="6">
        <f t="shared" si="36"/>
        <v>1.2899999999999991</v>
      </c>
    </row>
    <row r="1209" spans="2:10" x14ac:dyDescent="0.25">
      <c r="B1209" s="5">
        <f t="shared" si="37"/>
        <v>43575</v>
      </c>
      <c r="C1209" s="6">
        <f>IFERROR(VLOOKUP($B1209,Platts!$E$5:$M$4994,MATCH(C$3,Platts!$F$5:$M$5,0)+1,FALSE),C1208)</f>
        <v>62.71</v>
      </c>
      <c r="D1209" s="6">
        <f>IFERROR(VLOOKUP($B1209,Platts!$E$5:$M$4994,MATCH(D$3,Platts!$F$5:$M$5,0)+1,FALSE),D1208)</f>
        <v>70.150000000000006</v>
      </c>
      <c r="E1209" s="6">
        <f>IFERROR(VLOOKUP($B1209,Platts!$E$5:$M$4994,MATCH(E$3,Platts!$F$5:$M$5,0)+1,FALSE),E1208)</f>
        <v>63.47</v>
      </c>
      <c r="F1209" s="6">
        <f>IFERROR(VLOOKUP($B1209,Platts!$E$5:$M$4994,MATCH(F$3,Platts!$F$5:$M$5,0)+1,FALSE),F1208)</f>
        <v>73.319999999999993</v>
      </c>
      <c r="G1209" s="6">
        <f>IFERROR(VLOOKUP($B1209,Platts!$E$5:$M$4994,MATCH(G$3,Platts!$F$5:$M$5,0)+1,FALSE),G1208)</f>
        <v>72.03</v>
      </c>
      <c r="H1209" s="6">
        <f>IFERROR(VLOOKUP($B1209,Platts!$E$5:$M$4994,MATCH(H$3,Platts!$F$5:$M$5,0)+1,FALSE),H1208)</f>
        <v>64</v>
      </c>
      <c r="I1209" s="6">
        <f>IFERROR(VLOOKUP($B1209,Platts!$E$5:$M$4994,MATCH(I$3,Platts!$F$5:$M$5,0)+1,FALSE),I1208)</f>
        <v>71</v>
      </c>
      <c r="J1209" s="6">
        <f t="shared" si="36"/>
        <v>1.2899999999999991</v>
      </c>
    </row>
    <row r="1210" spans="2:10" x14ac:dyDescent="0.25">
      <c r="B1210" s="5">
        <f t="shared" si="37"/>
        <v>43576</v>
      </c>
      <c r="C1210" s="6">
        <f>IFERROR(VLOOKUP($B1210,Platts!$E$5:$M$4994,MATCH(C$3,Platts!$F$5:$M$5,0)+1,FALSE),C1209)</f>
        <v>62.71</v>
      </c>
      <c r="D1210" s="6">
        <f>IFERROR(VLOOKUP($B1210,Platts!$E$5:$M$4994,MATCH(D$3,Platts!$F$5:$M$5,0)+1,FALSE),D1209)</f>
        <v>70.150000000000006</v>
      </c>
      <c r="E1210" s="6">
        <f>IFERROR(VLOOKUP($B1210,Platts!$E$5:$M$4994,MATCH(E$3,Platts!$F$5:$M$5,0)+1,FALSE),E1209)</f>
        <v>63.47</v>
      </c>
      <c r="F1210" s="6">
        <f>IFERROR(VLOOKUP($B1210,Platts!$E$5:$M$4994,MATCH(F$3,Platts!$F$5:$M$5,0)+1,FALSE),F1209)</f>
        <v>73.319999999999993</v>
      </c>
      <c r="G1210" s="6">
        <f>IFERROR(VLOOKUP($B1210,Platts!$E$5:$M$4994,MATCH(G$3,Platts!$F$5:$M$5,0)+1,FALSE),G1209)</f>
        <v>72.03</v>
      </c>
      <c r="H1210" s="6">
        <f>IFERROR(VLOOKUP($B1210,Platts!$E$5:$M$4994,MATCH(H$3,Platts!$F$5:$M$5,0)+1,FALSE),H1209)</f>
        <v>64</v>
      </c>
      <c r="I1210" s="6">
        <f>IFERROR(VLOOKUP($B1210,Platts!$E$5:$M$4994,MATCH(I$3,Platts!$F$5:$M$5,0)+1,FALSE),I1209)</f>
        <v>71</v>
      </c>
      <c r="J1210" s="6">
        <f t="shared" si="36"/>
        <v>1.2899999999999991</v>
      </c>
    </row>
    <row r="1211" spans="2:10" x14ac:dyDescent="0.25">
      <c r="B1211" s="5">
        <f t="shared" si="37"/>
        <v>43577</v>
      </c>
      <c r="C1211" s="6">
        <f>IFERROR(VLOOKUP($B1211,Platts!$E$5:$M$4994,MATCH(C$3,Platts!$F$5:$M$5,0)+1,FALSE),C1210)</f>
        <v>62.71</v>
      </c>
      <c r="D1211" s="6">
        <f>IFERROR(VLOOKUP($B1211,Platts!$E$5:$M$4994,MATCH(D$3,Platts!$F$5:$M$5,0)+1,FALSE),D1210)</f>
        <v>72.06</v>
      </c>
      <c r="E1211" s="6">
        <f>IFERROR(VLOOKUP($B1211,Platts!$E$5:$M$4994,MATCH(E$3,Platts!$F$5:$M$5,0)+1,FALSE),E1210)</f>
        <v>64.63</v>
      </c>
      <c r="F1211" s="6">
        <f>IFERROR(VLOOKUP($B1211,Platts!$E$5:$M$4994,MATCH(F$3,Platts!$F$5:$M$5,0)+1,FALSE),F1210)</f>
        <v>75.239999999999995</v>
      </c>
      <c r="G1211" s="6">
        <f>IFERROR(VLOOKUP($B1211,Platts!$E$5:$M$4994,MATCH(G$3,Platts!$F$5:$M$5,0)+1,FALSE),G1210)</f>
        <v>72.03</v>
      </c>
      <c r="H1211" s="6">
        <f>IFERROR(VLOOKUP($B1211,Platts!$E$5:$M$4994,MATCH(H$3,Platts!$F$5:$M$5,0)+1,FALSE),H1210)</f>
        <v>65.7</v>
      </c>
      <c r="I1211" s="6">
        <f>IFERROR(VLOOKUP($B1211,Platts!$E$5:$M$4994,MATCH(I$3,Platts!$F$5:$M$5,0)+1,FALSE),I1210)</f>
        <v>73.150000000000006</v>
      </c>
      <c r="J1211" s="6">
        <f t="shared" si="36"/>
        <v>2.990000000000002</v>
      </c>
    </row>
    <row r="1212" spans="2:10" x14ac:dyDescent="0.25">
      <c r="B1212" s="5">
        <f t="shared" si="37"/>
        <v>43578</v>
      </c>
      <c r="C1212" s="6">
        <f>IFERROR(VLOOKUP($B1212,Platts!$E$5:$M$4994,MATCH(C$3,Platts!$F$5:$M$5,0)+1,FALSE),C1211)</f>
        <v>65.510000000000005</v>
      </c>
      <c r="D1212" s="6">
        <f>IFERROR(VLOOKUP($B1212,Platts!$E$5:$M$4994,MATCH(D$3,Platts!$F$5:$M$5,0)+1,FALSE),D1211)</f>
        <v>72.459999999999994</v>
      </c>
      <c r="E1212" s="6">
        <f>IFERROR(VLOOKUP($B1212,Platts!$E$5:$M$4994,MATCH(E$3,Platts!$F$5:$M$5,0)+1,FALSE),E1211)</f>
        <v>65.849999999999994</v>
      </c>
      <c r="F1212" s="6">
        <f>IFERROR(VLOOKUP($B1212,Platts!$E$5:$M$4994,MATCH(F$3,Platts!$F$5:$M$5,0)+1,FALSE),F1211)</f>
        <v>75.66</v>
      </c>
      <c r="G1212" s="6">
        <f>IFERROR(VLOOKUP($B1212,Platts!$E$5:$M$4994,MATCH(G$3,Platts!$F$5:$M$5,0)+1,FALSE),G1211)</f>
        <v>74.53</v>
      </c>
      <c r="H1212" s="6">
        <f>IFERROR(VLOOKUP($B1212,Platts!$E$5:$M$4994,MATCH(H$3,Platts!$F$5:$M$5,0)+1,FALSE),H1211)</f>
        <v>66.45</v>
      </c>
      <c r="I1212" s="6">
        <f>IFERROR(VLOOKUP($B1212,Platts!$E$5:$M$4994,MATCH(I$3,Platts!$F$5:$M$5,0)+1,FALSE),I1211)</f>
        <v>73.900000000000006</v>
      </c>
      <c r="J1212" s="6">
        <f t="shared" si="36"/>
        <v>0.93999999999999773</v>
      </c>
    </row>
    <row r="1213" spans="2:10" x14ac:dyDescent="0.25">
      <c r="B1213" s="5">
        <f t="shared" si="37"/>
        <v>43579</v>
      </c>
      <c r="C1213" s="6">
        <f>IFERROR(VLOOKUP($B1213,Platts!$E$5:$M$4994,MATCH(C$3,Platts!$F$5:$M$5,0)+1,FALSE),C1212)</f>
        <v>65.47</v>
      </c>
      <c r="D1213" s="6">
        <f>IFERROR(VLOOKUP($B1213,Platts!$E$5:$M$4994,MATCH(D$3,Platts!$F$5:$M$5,0)+1,FALSE),D1212)</f>
        <v>71.95</v>
      </c>
      <c r="E1213" s="6">
        <f>IFERROR(VLOOKUP($B1213,Platts!$E$5:$M$4994,MATCH(E$3,Platts!$F$5:$M$5,0)+1,FALSE),E1212)</f>
        <v>66.17</v>
      </c>
      <c r="F1213" s="6">
        <f>IFERROR(VLOOKUP($B1213,Platts!$E$5:$M$4994,MATCH(F$3,Platts!$F$5:$M$5,0)+1,FALSE),F1212)</f>
        <v>75.23</v>
      </c>
      <c r="G1213" s="6">
        <f>IFERROR(VLOOKUP($B1213,Platts!$E$5:$M$4994,MATCH(G$3,Platts!$F$5:$M$5,0)+1,FALSE),G1212)</f>
        <v>74.52</v>
      </c>
      <c r="H1213" s="6">
        <f>IFERROR(VLOOKUP($B1213,Platts!$E$5:$M$4994,MATCH(H$3,Platts!$F$5:$M$5,0)+1,FALSE),H1212)</f>
        <v>65.989999999999995</v>
      </c>
      <c r="I1213" s="6">
        <f>IFERROR(VLOOKUP($B1213,Platts!$E$5:$M$4994,MATCH(I$3,Platts!$F$5:$M$5,0)+1,FALSE),I1212)</f>
        <v>73.540000000000006</v>
      </c>
      <c r="J1213" s="6">
        <f t="shared" si="36"/>
        <v>0.51999999999999602</v>
      </c>
    </row>
    <row r="1214" spans="2:10" x14ac:dyDescent="0.25">
      <c r="B1214" s="5">
        <f t="shared" si="37"/>
        <v>43580</v>
      </c>
      <c r="C1214" s="6">
        <f>IFERROR(VLOOKUP($B1214,Platts!$E$5:$M$4994,MATCH(C$3,Platts!$F$5:$M$5,0)+1,FALSE),C1213)</f>
        <v>65.61</v>
      </c>
      <c r="D1214" s="6">
        <f>IFERROR(VLOOKUP($B1214,Platts!$E$5:$M$4994,MATCH(D$3,Platts!$F$5:$M$5,0)+1,FALSE),D1213)</f>
        <v>71.5</v>
      </c>
      <c r="E1214" s="6">
        <f>IFERROR(VLOOKUP($B1214,Platts!$E$5:$M$4994,MATCH(E$3,Platts!$F$5:$M$5,0)+1,FALSE),E1213)</f>
        <v>65.900000000000006</v>
      </c>
      <c r="F1214" s="6">
        <f>IFERROR(VLOOKUP($B1214,Platts!$E$5:$M$4994,MATCH(F$3,Platts!$F$5:$M$5,0)+1,FALSE),F1213)</f>
        <v>74.84</v>
      </c>
      <c r="G1214" s="6">
        <f>IFERROR(VLOOKUP($B1214,Platts!$E$5:$M$4994,MATCH(G$3,Platts!$F$5:$M$5,0)+1,FALSE),G1213)</f>
        <v>75.099999999999994</v>
      </c>
      <c r="H1214" s="6">
        <f>IFERROR(VLOOKUP($B1214,Platts!$E$5:$M$4994,MATCH(H$3,Platts!$F$5:$M$5,0)+1,FALSE),H1213)</f>
        <v>65.209999999999994</v>
      </c>
      <c r="I1214" s="6">
        <f>IFERROR(VLOOKUP($B1214,Platts!$E$5:$M$4994,MATCH(I$3,Platts!$F$5:$M$5,0)+1,FALSE),I1213)</f>
        <v>72.209999999999994</v>
      </c>
      <c r="J1214" s="6">
        <f t="shared" si="36"/>
        <v>-0.40000000000000568</v>
      </c>
    </row>
    <row r="1215" spans="2:10" x14ac:dyDescent="0.25">
      <c r="B1215" s="5">
        <f t="shared" si="37"/>
        <v>43581</v>
      </c>
      <c r="C1215" s="6">
        <f>IFERROR(VLOOKUP($B1215,Platts!$E$5:$M$4994,MATCH(C$3,Platts!$F$5:$M$5,0)+1,FALSE),C1214)</f>
        <v>63.21</v>
      </c>
      <c r="D1215" s="6">
        <f>IFERROR(VLOOKUP($B1215,Platts!$E$5:$M$4994,MATCH(D$3,Platts!$F$5:$M$5,0)+1,FALSE),D1214)</f>
        <v>69.23</v>
      </c>
      <c r="E1215" s="6">
        <f>IFERROR(VLOOKUP($B1215,Platts!$E$5:$M$4994,MATCH(E$3,Platts!$F$5:$M$5,0)+1,FALSE),E1214)</f>
        <v>63.33</v>
      </c>
      <c r="F1215" s="6">
        <f>IFERROR(VLOOKUP($B1215,Platts!$E$5:$M$4994,MATCH(F$3,Platts!$F$5:$M$5,0)+1,FALSE),F1214)</f>
        <v>72.53</v>
      </c>
      <c r="G1215" s="6">
        <f>IFERROR(VLOOKUP($B1215,Platts!$E$5:$M$4994,MATCH(G$3,Platts!$F$5:$M$5,0)+1,FALSE),G1214)</f>
        <v>71.97</v>
      </c>
      <c r="H1215" s="6">
        <f>IFERROR(VLOOKUP($B1215,Platts!$E$5:$M$4994,MATCH(H$3,Platts!$F$5:$M$5,0)+1,FALSE),H1214)</f>
        <v>63.3</v>
      </c>
      <c r="I1215" s="6">
        <f>IFERROR(VLOOKUP($B1215,Platts!$E$5:$M$4994,MATCH(I$3,Platts!$F$5:$M$5,0)+1,FALSE),I1214)</f>
        <v>70.5</v>
      </c>
      <c r="J1215" s="6">
        <f t="shared" si="36"/>
        <v>8.9999999999996305E-2</v>
      </c>
    </row>
    <row r="1216" spans="2:10" x14ac:dyDescent="0.25">
      <c r="B1216" s="5">
        <f t="shared" si="37"/>
        <v>43582</v>
      </c>
      <c r="C1216" s="6">
        <f>IFERROR(VLOOKUP($B1216,Platts!$E$5:$M$4994,MATCH(C$3,Platts!$F$5:$M$5,0)+1,FALSE),C1215)</f>
        <v>63.21</v>
      </c>
      <c r="D1216" s="6">
        <f>IFERROR(VLOOKUP($B1216,Platts!$E$5:$M$4994,MATCH(D$3,Platts!$F$5:$M$5,0)+1,FALSE),D1215)</f>
        <v>69.23</v>
      </c>
      <c r="E1216" s="6">
        <f>IFERROR(VLOOKUP($B1216,Platts!$E$5:$M$4994,MATCH(E$3,Platts!$F$5:$M$5,0)+1,FALSE),E1215)</f>
        <v>63.33</v>
      </c>
      <c r="F1216" s="6">
        <f>IFERROR(VLOOKUP($B1216,Platts!$E$5:$M$4994,MATCH(F$3,Platts!$F$5:$M$5,0)+1,FALSE),F1215)</f>
        <v>72.53</v>
      </c>
      <c r="G1216" s="6">
        <f>IFERROR(VLOOKUP($B1216,Platts!$E$5:$M$4994,MATCH(G$3,Platts!$F$5:$M$5,0)+1,FALSE),G1215)</f>
        <v>71.97</v>
      </c>
      <c r="H1216" s="6">
        <f>IFERROR(VLOOKUP($B1216,Platts!$E$5:$M$4994,MATCH(H$3,Platts!$F$5:$M$5,0)+1,FALSE),H1215)</f>
        <v>63.3</v>
      </c>
      <c r="I1216" s="6">
        <f>IFERROR(VLOOKUP($B1216,Platts!$E$5:$M$4994,MATCH(I$3,Platts!$F$5:$M$5,0)+1,FALSE),I1215)</f>
        <v>70.5</v>
      </c>
      <c r="J1216" s="6">
        <f t="shared" si="36"/>
        <v>8.9999999999996305E-2</v>
      </c>
    </row>
    <row r="1217" spans="2:10" x14ac:dyDescent="0.25">
      <c r="B1217" s="5">
        <f t="shared" si="37"/>
        <v>43583</v>
      </c>
      <c r="C1217" s="6">
        <f>IFERROR(VLOOKUP($B1217,Platts!$E$5:$M$4994,MATCH(C$3,Platts!$F$5:$M$5,0)+1,FALSE),C1216)</f>
        <v>63.21</v>
      </c>
      <c r="D1217" s="6">
        <f>IFERROR(VLOOKUP($B1217,Platts!$E$5:$M$4994,MATCH(D$3,Platts!$F$5:$M$5,0)+1,FALSE),D1216)</f>
        <v>69.23</v>
      </c>
      <c r="E1217" s="6">
        <f>IFERROR(VLOOKUP($B1217,Platts!$E$5:$M$4994,MATCH(E$3,Platts!$F$5:$M$5,0)+1,FALSE),E1216)</f>
        <v>63.33</v>
      </c>
      <c r="F1217" s="6">
        <f>IFERROR(VLOOKUP($B1217,Platts!$E$5:$M$4994,MATCH(F$3,Platts!$F$5:$M$5,0)+1,FALSE),F1216)</f>
        <v>72.53</v>
      </c>
      <c r="G1217" s="6">
        <f>IFERROR(VLOOKUP($B1217,Platts!$E$5:$M$4994,MATCH(G$3,Platts!$F$5:$M$5,0)+1,FALSE),G1216)</f>
        <v>71.97</v>
      </c>
      <c r="H1217" s="6">
        <f>IFERROR(VLOOKUP($B1217,Platts!$E$5:$M$4994,MATCH(H$3,Platts!$F$5:$M$5,0)+1,FALSE),H1216)</f>
        <v>63.3</v>
      </c>
      <c r="I1217" s="6">
        <f>IFERROR(VLOOKUP($B1217,Platts!$E$5:$M$4994,MATCH(I$3,Platts!$F$5:$M$5,0)+1,FALSE),I1216)</f>
        <v>70.5</v>
      </c>
      <c r="J1217" s="6">
        <f t="shared" si="36"/>
        <v>8.9999999999996305E-2</v>
      </c>
    </row>
    <row r="1218" spans="2:10" x14ac:dyDescent="0.25">
      <c r="B1218" s="5">
        <f t="shared" si="37"/>
        <v>43584</v>
      </c>
      <c r="C1218" s="6">
        <f>IFERROR(VLOOKUP($B1218,Platts!$E$5:$M$4994,MATCH(C$3,Platts!$F$5:$M$5,0)+1,FALSE),C1217)</f>
        <v>63.03</v>
      </c>
      <c r="D1218" s="6">
        <f>IFERROR(VLOOKUP($B1218,Platts!$E$5:$M$4994,MATCH(D$3,Platts!$F$5:$M$5,0)+1,FALSE),D1217)</f>
        <v>69.38</v>
      </c>
      <c r="E1218" s="6">
        <f>IFERROR(VLOOKUP($B1218,Platts!$E$5:$M$4994,MATCH(E$3,Platts!$F$5:$M$5,0)+1,FALSE),E1217)</f>
        <v>63.47</v>
      </c>
      <c r="F1218" s="6">
        <f>IFERROR(VLOOKUP($B1218,Platts!$E$5:$M$4994,MATCH(F$3,Platts!$F$5:$M$5,0)+1,FALSE),F1217)</f>
        <v>72.709999999999994</v>
      </c>
      <c r="G1218" s="6">
        <f>IFERROR(VLOOKUP($B1218,Platts!$E$5:$M$4994,MATCH(G$3,Platts!$F$5:$M$5,0)+1,FALSE),G1217)</f>
        <v>72.05</v>
      </c>
      <c r="H1218" s="6">
        <f>IFERROR(VLOOKUP($B1218,Platts!$E$5:$M$4994,MATCH(H$3,Platts!$F$5:$M$5,0)+1,FALSE),H1217)</f>
        <v>63.5</v>
      </c>
      <c r="I1218" s="6">
        <f>IFERROR(VLOOKUP($B1218,Platts!$E$5:$M$4994,MATCH(I$3,Platts!$F$5:$M$5,0)+1,FALSE),I1217)</f>
        <v>70.7</v>
      </c>
      <c r="J1218" s="6">
        <f t="shared" si="36"/>
        <v>0.46999999999999886</v>
      </c>
    </row>
    <row r="1219" spans="2:10" x14ac:dyDescent="0.25">
      <c r="B1219" s="5">
        <f t="shared" si="37"/>
        <v>43585</v>
      </c>
      <c r="C1219" s="6">
        <f>IFERROR(VLOOKUP($B1219,Platts!$E$5:$M$4994,MATCH(C$3,Platts!$F$5:$M$5,0)+1,FALSE),C1218)</f>
        <v>63.62</v>
      </c>
      <c r="D1219" s="6">
        <f>IFERROR(VLOOKUP($B1219,Platts!$E$5:$M$4994,MATCH(D$3,Platts!$F$5:$M$5,0)+1,FALSE),D1218)</f>
        <v>70.2</v>
      </c>
      <c r="E1219" s="6">
        <f>IFERROR(VLOOKUP($B1219,Platts!$E$5:$M$4994,MATCH(E$3,Platts!$F$5:$M$5,0)+1,FALSE),E1218)</f>
        <v>64.22</v>
      </c>
      <c r="F1219" s="6">
        <f>IFERROR(VLOOKUP($B1219,Platts!$E$5:$M$4994,MATCH(F$3,Platts!$F$5:$M$5,0)+1,FALSE),F1218)</f>
        <v>73.48</v>
      </c>
      <c r="G1219" s="6">
        <f>IFERROR(VLOOKUP($B1219,Platts!$E$5:$M$4994,MATCH(G$3,Platts!$F$5:$M$5,0)+1,FALSE),G1218)</f>
        <v>72.8</v>
      </c>
      <c r="H1219" s="6">
        <f>IFERROR(VLOOKUP($B1219,Platts!$E$5:$M$4994,MATCH(H$3,Platts!$F$5:$M$5,0)+1,FALSE),H1218)</f>
        <v>63.91</v>
      </c>
      <c r="I1219" s="6">
        <f>IFERROR(VLOOKUP($B1219,Platts!$E$5:$M$4994,MATCH(I$3,Platts!$F$5:$M$5,0)+1,FALSE),I1218)</f>
        <v>71.16</v>
      </c>
      <c r="J1219" s="6">
        <f t="shared" si="36"/>
        <v>0.28999999999999915</v>
      </c>
    </row>
    <row r="1220" spans="2:10" x14ac:dyDescent="0.25">
      <c r="B1220" s="5">
        <f t="shared" si="37"/>
        <v>43586</v>
      </c>
      <c r="C1220" s="6">
        <f>IFERROR(VLOOKUP($B1220,Platts!$E$5:$M$4994,MATCH(C$3,Platts!$F$5:$M$5,0)+1,FALSE),C1219)</f>
        <v>63.62</v>
      </c>
      <c r="D1220" s="6">
        <f>IFERROR(VLOOKUP($B1220,Platts!$E$5:$M$4994,MATCH(D$3,Platts!$F$5:$M$5,0)+1,FALSE),D1219)</f>
        <v>70.44</v>
      </c>
      <c r="E1220" s="6">
        <f>IFERROR(VLOOKUP($B1220,Platts!$E$5:$M$4994,MATCH(E$3,Platts!$F$5:$M$5,0)+1,FALSE),E1219)</f>
        <v>65.239999999999995</v>
      </c>
      <c r="F1220" s="6">
        <f>IFERROR(VLOOKUP($B1220,Platts!$E$5:$M$4994,MATCH(F$3,Platts!$F$5:$M$5,0)+1,FALSE),F1219)</f>
        <v>73.489999999999995</v>
      </c>
      <c r="G1220" s="6">
        <f>IFERROR(VLOOKUP($B1220,Platts!$E$5:$M$4994,MATCH(G$3,Platts!$F$5:$M$5,0)+1,FALSE),G1219)</f>
        <v>71.78</v>
      </c>
      <c r="H1220" s="6">
        <f>IFERROR(VLOOKUP($B1220,Platts!$E$5:$M$4994,MATCH(H$3,Platts!$F$5:$M$5,0)+1,FALSE),H1219)</f>
        <v>63.6</v>
      </c>
      <c r="I1220" s="6">
        <f>IFERROR(VLOOKUP($B1220,Platts!$E$5:$M$4994,MATCH(I$3,Platts!$F$5:$M$5,0)+1,FALSE),I1219)</f>
        <v>70.849999999999994</v>
      </c>
      <c r="J1220" s="6">
        <f t="shared" ref="J1220:J1283" si="38">H1220-C1220</f>
        <v>-1.9999999999996021E-2</v>
      </c>
    </row>
    <row r="1221" spans="2:10" x14ac:dyDescent="0.25">
      <c r="B1221" s="5">
        <f t="shared" si="37"/>
        <v>43587</v>
      </c>
      <c r="C1221" s="6">
        <f>IFERROR(VLOOKUP($B1221,Platts!$E$5:$M$4994,MATCH(C$3,Platts!$F$5:$M$5,0)+1,FALSE),C1220)</f>
        <v>62.98</v>
      </c>
      <c r="D1221" s="6">
        <f>IFERROR(VLOOKUP($B1221,Platts!$E$5:$M$4994,MATCH(D$3,Platts!$F$5:$M$5,0)+1,FALSE),D1220)</f>
        <v>68.95</v>
      </c>
      <c r="E1221" s="6">
        <f>IFERROR(VLOOKUP($B1221,Platts!$E$5:$M$4994,MATCH(E$3,Platts!$F$5:$M$5,0)+1,FALSE),E1220)</f>
        <v>63.85</v>
      </c>
      <c r="F1221" s="6">
        <f>IFERROR(VLOOKUP($B1221,Platts!$E$5:$M$4994,MATCH(F$3,Platts!$F$5:$M$5,0)+1,FALSE),F1220)</f>
        <v>71.98</v>
      </c>
      <c r="G1221" s="6">
        <f>IFERROR(VLOOKUP($B1221,Platts!$E$5:$M$4994,MATCH(G$3,Platts!$F$5:$M$5,0)+1,FALSE),G1220)</f>
        <v>70.06</v>
      </c>
      <c r="H1221" s="6">
        <f>IFERROR(VLOOKUP($B1221,Platts!$E$5:$M$4994,MATCH(H$3,Platts!$F$5:$M$5,0)+1,FALSE),H1220)</f>
        <v>61.81</v>
      </c>
      <c r="I1221" s="6">
        <f>IFERROR(VLOOKUP($B1221,Platts!$E$5:$M$4994,MATCH(I$3,Platts!$F$5:$M$5,0)+1,FALSE),I1220)</f>
        <v>69.31</v>
      </c>
      <c r="J1221" s="6">
        <f t="shared" si="38"/>
        <v>-1.1699999999999946</v>
      </c>
    </row>
    <row r="1222" spans="2:10" x14ac:dyDescent="0.25">
      <c r="B1222" s="5">
        <f t="shared" ref="B1222:B1285" si="39">B1221+1</f>
        <v>43588</v>
      </c>
      <c r="C1222" s="6">
        <f>IFERROR(VLOOKUP($B1222,Platts!$E$5:$M$4994,MATCH(C$3,Platts!$F$5:$M$5,0)+1,FALSE),C1221)</f>
        <v>63.11</v>
      </c>
      <c r="D1222" s="6">
        <f>IFERROR(VLOOKUP($B1222,Platts!$E$5:$M$4994,MATCH(D$3,Platts!$F$5:$M$5,0)+1,FALSE),D1221)</f>
        <v>69.459999999999994</v>
      </c>
      <c r="E1222" s="6">
        <f>IFERROR(VLOOKUP($B1222,Platts!$E$5:$M$4994,MATCH(E$3,Platts!$F$5:$M$5,0)+1,FALSE),E1221)</f>
        <v>64.040000000000006</v>
      </c>
      <c r="F1222" s="6">
        <f>IFERROR(VLOOKUP($B1222,Platts!$E$5:$M$4994,MATCH(F$3,Platts!$F$5:$M$5,0)+1,FALSE),F1221)</f>
        <v>72.47</v>
      </c>
      <c r="G1222" s="6">
        <f>IFERROR(VLOOKUP($B1222,Platts!$E$5:$M$4994,MATCH(G$3,Platts!$F$5:$M$5,0)+1,FALSE),G1221)</f>
        <v>71.459999999999994</v>
      </c>
      <c r="H1222" s="6">
        <f>IFERROR(VLOOKUP($B1222,Platts!$E$5:$M$4994,MATCH(H$3,Platts!$F$5:$M$5,0)+1,FALSE),H1221)</f>
        <v>61.94</v>
      </c>
      <c r="I1222" s="6">
        <f>IFERROR(VLOOKUP($B1222,Platts!$E$5:$M$4994,MATCH(I$3,Platts!$F$5:$M$5,0)+1,FALSE),I1221)</f>
        <v>69.44</v>
      </c>
      <c r="J1222" s="6">
        <f t="shared" si="38"/>
        <v>-1.1700000000000017</v>
      </c>
    </row>
    <row r="1223" spans="2:10" x14ac:dyDescent="0.25">
      <c r="B1223" s="5">
        <f t="shared" si="39"/>
        <v>43589</v>
      </c>
      <c r="C1223" s="6">
        <f>IFERROR(VLOOKUP($B1223,Platts!$E$5:$M$4994,MATCH(C$3,Platts!$F$5:$M$5,0)+1,FALSE),C1222)</f>
        <v>63.11</v>
      </c>
      <c r="D1223" s="6">
        <f>IFERROR(VLOOKUP($B1223,Platts!$E$5:$M$4994,MATCH(D$3,Platts!$F$5:$M$5,0)+1,FALSE),D1222)</f>
        <v>69.459999999999994</v>
      </c>
      <c r="E1223" s="6">
        <f>IFERROR(VLOOKUP($B1223,Platts!$E$5:$M$4994,MATCH(E$3,Platts!$F$5:$M$5,0)+1,FALSE),E1222)</f>
        <v>64.040000000000006</v>
      </c>
      <c r="F1223" s="6">
        <f>IFERROR(VLOOKUP($B1223,Platts!$E$5:$M$4994,MATCH(F$3,Platts!$F$5:$M$5,0)+1,FALSE),F1222)</f>
        <v>72.47</v>
      </c>
      <c r="G1223" s="6">
        <f>IFERROR(VLOOKUP($B1223,Platts!$E$5:$M$4994,MATCH(G$3,Platts!$F$5:$M$5,0)+1,FALSE),G1222)</f>
        <v>71.459999999999994</v>
      </c>
      <c r="H1223" s="6">
        <f>IFERROR(VLOOKUP($B1223,Platts!$E$5:$M$4994,MATCH(H$3,Platts!$F$5:$M$5,0)+1,FALSE),H1222)</f>
        <v>61.94</v>
      </c>
      <c r="I1223" s="6">
        <f>IFERROR(VLOOKUP($B1223,Platts!$E$5:$M$4994,MATCH(I$3,Platts!$F$5:$M$5,0)+1,FALSE),I1222)</f>
        <v>69.44</v>
      </c>
      <c r="J1223" s="6">
        <f t="shared" si="38"/>
        <v>-1.1700000000000017</v>
      </c>
    </row>
    <row r="1224" spans="2:10" x14ac:dyDescent="0.25">
      <c r="B1224" s="5">
        <f t="shared" si="39"/>
        <v>43590</v>
      </c>
      <c r="C1224" s="6">
        <f>IFERROR(VLOOKUP($B1224,Platts!$E$5:$M$4994,MATCH(C$3,Platts!$F$5:$M$5,0)+1,FALSE),C1223)</f>
        <v>63.11</v>
      </c>
      <c r="D1224" s="6">
        <f>IFERROR(VLOOKUP($B1224,Platts!$E$5:$M$4994,MATCH(D$3,Platts!$F$5:$M$5,0)+1,FALSE),D1223)</f>
        <v>69.459999999999994</v>
      </c>
      <c r="E1224" s="6">
        <f>IFERROR(VLOOKUP($B1224,Platts!$E$5:$M$4994,MATCH(E$3,Platts!$F$5:$M$5,0)+1,FALSE),E1223)</f>
        <v>64.040000000000006</v>
      </c>
      <c r="F1224" s="6">
        <f>IFERROR(VLOOKUP($B1224,Platts!$E$5:$M$4994,MATCH(F$3,Platts!$F$5:$M$5,0)+1,FALSE),F1223)</f>
        <v>72.47</v>
      </c>
      <c r="G1224" s="6">
        <f>IFERROR(VLOOKUP($B1224,Platts!$E$5:$M$4994,MATCH(G$3,Platts!$F$5:$M$5,0)+1,FALSE),G1223)</f>
        <v>71.459999999999994</v>
      </c>
      <c r="H1224" s="6">
        <f>IFERROR(VLOOKUP($B1224,Platts!$E$5:$M$4994,MATCH(H$3,Platts!$F$5:$M$5,0)+1,FALSE),H1223)</f>
        <v>61.94</v>
      </c>
      <c r="I1224" s="6">
        <f>IFERROR(VLOOKUP($B1224,Platts!$E$5:$M$4994,MATCH(I$3,Platts!$F$5:$M$5,0)+1,FALSE),I1223)</f>
        <v>69.44</v>
      </c>
      <c r="J1224" s="6">
        <f t="shared" si="38"/>
        <v>-1.1700000000000017</v>
      </c>
    </row>
    <row r="1225" spans="2:10" x14ac:dyDescent="0.25">
      <c r="B1225" s="5">
        <f t="shared" si="39"/>
        <v>43591</v>
      </c>
      <c r="C1225" s="6">
        <f>IFERROR(VLOOKUP($B1225,Platts!$E$5:$M$4994,MATCH(C$3,Platts!$F$5:$M$5,0)+1,FALSE),C1224)</f>
        <v>63.11</v>
      </c>
      <c r="D1225" s="6">
        <f>IFERROR(VLOOKUP($B1225,Platts!$E$5:$M$4994,MATCH(D$3,Platts!$F$5:$M$5,0)+1,FALSE),D1224)</f>
        <v>70.290000000000006</v>
      </c>
      <c r="E1225" s="6">
        <f>IFERROR(VLOOKUP($B1225,Platts!$E$5:$M$4994,MATCH(E$3,Platts!$F$5:$M$5,0)+1,FALSE),E1224)</f>
        <v>64.33</v>
      </c>
      <c r="F1225" s="6">
        <f>IFERROR(VLOOKUP($B1225,Platts!$E$5:$M$4994,MATCH(F$3,Platts!$F$5:$M$5,0)+1,FALSE),F1224)</f>
        <v>73.31</v>
      </c>
      <c r="G1225" s="6">
        <f>IFERROR(VLOOKUP($B1225,Platts!$E$5:$M$4994,MATCH(G$3,Platts!$F$5:$M$5,0)+1,FALSE),G1224)</f>
        <v>71.459999999999994</v>
      </c>
      <c r="H1225" s="6">
        <f>IFERROR(VLOOKUP($B1225,Platts!$E$5:$M$4994,MATCH(H$3,Platts!$F$5:$M$5,0)+1,FALSE),H1224)</f>
        <v>62.25</v>
      </c>
      <c r="I1225" s="6">
        <f>IFERROR(VLOOKUP($B1225,Platts!$E$5:$M$4994,MATCH(I$3,Platts!$F$5:$M$5,0)+1,FALSE),I1224)</f>
        <v>70.349999999999994</v>
      </c>
      <c r="J1225" s="6">
        <f t="shared" si="38"/>
        <v>-0.85999999999999943</v>
      </c>
    </row>
    <row r="1226" spans="2:10" x14ac:dyDescent="0.25">
      <c r="B1226" s="5">
        <f t="shared" si="39"/>
        <v>43592</v>
      </c>
      <c r="C1226" s="6">
        <f>IFERROR(VLOOKUP($B1226,Platts!$E$5:$M$4994,MATCH(C$3,Platts!$F$5:$M$5,0)+1,FALSE),C1225)</f>
        <v>62.28</v>
      </c>
      <c r="D1226" s="6">
        <f>IFERROR(VLOOKUP($B1226,Platts!$E$5:$M$4994,MATCH(D$3,Platts!$F$5:$M$5,0)+1,FALSE),D1225)</f>
        <v>68.709999999999994</v>
      </c>
      <c r="E1226" s="6">
        <f>IFERROR(VLOOKUP($B1226,Platts!$E$5:$M$4994,MATCH(E$3,Platts!$F$5:$M$5,0)+1,FALSE),E1225)</f>
        <v>62.8</v>
      </c>
      <c r="F1226" s="6">
        <f>IFERROR(VLOOKUP($B1226,Platts!$E$5:$M$4994,MATCH(F$3,Platts!$F$5:$M$5,0)+1,FALSE),F1225)</f>
        <v>71.63</v>
      </c>
      <c r="G1226" s="6">
        <f>IFERROR(VLOOKUP($B1226,Platts!$E$5:$M$4994,MATCH(G$3,Platts!$F$5:$M$5,0)+1,FALSE),G1225)</f>
        <v>70.33</v>
      </c>
      <c r="H1226" s="6">
        <f>IFERROR(VLOOKUP($B1226,Platts!$E$5:$M$4994,MATCH(H$3,Platts!$F$5:$M$5,0)+1,FALSE),H1225)</f>
        <v>61.4</v>
      </c>
      <c r="I1226" s="6">
        <f>IFERROR(VLOOKUP($B1226,Platts!$E$5:$M$4994,MATCH(I$3,Platts!$F$5:$M$5,0)+1,FALSE),I1225)</f>
        <v>69.2</v>
      </c>
      <c r="J1226" s="6">
        <f t="shared" si="38"/>
        <v>-0.88000000000000256</v>
      </c>
    </row>
    <row r="1227" spans="2:10" x14ac:dyDescent="0.25">
      <c r="B1227" s="5">
        <f t="shared" si="39"/>
        <v>43593</v>
      </c>
      <c r="C1227" s="6">
        <f>IFERROR(VLOOKUP($B1227,Platts!$E$5:$M$4994,MATCH(C$3,Platts!$F$5:$M$5,0)+1,FALSE),C1226)</f>
        <v>62.76</v>
      </c>
      <c r="D1227" s="6">
        <f>IFERROR(VLOOKUP($B1227,Platts!$E$5:$M$4994,MATCH(D$3,Platts!$F$5:$M$5,0)+1,FALSE),D1226)</f>
        <v>69.14</v>
      </c>
      <c r="E1227" s="6">
        <f>IFERROR(VLOOKUP($B1227,Platts!$E$5:$M$4994,MATCH(E$3,Platts!$F$5:$M$5,0)+1,FALSE),E1226)</f>
        <v>63.21</v>
      </c>
      <c r="F1227" s="6">
        <f>IFERROR(VLOOKUP($B1227,Platts!$E$5:$M$4994,MATCH(F$3,Platts!$F$5:$M$5,0)+1,FALSE),F1226)</f>
        <v>72.11</v>
      </c>
      <c r="G1227" s="6">
        <f>IFERROR(VLOOKUP($B1227,Platts!$E$5:$M$4994,MATCH(G$3,Platts!$F$5:$M$5,0)+1,FALSE),G1226)</f>
        <v>70.77</v>
      </c>
      <c r="H1227" s="6">
        <f>IFERROR(VLOOKUP($B1227,Platts!$E$5:$M$4994,MATCH(H$3,Platts!$F$5:$M$5,0)+1,FALSE),H1226)</f>
        <v>62.12</v>
      </c>
      <c r="I1227" s="6">
        <f>IFERROR(VLOOKUP($B1227,Platts!$E$5:$M$4994,MATCH(I$3,Platts!$F$5:$M$5,0)+1,FALSE),I1226)</f>
        <v>69.67</v>
      </c>
      <c r="J1227" s="6">
        <f t="shared" si="38"/>
        <v>-0.64000000000000057</v>
      </c>
    </row>
    <row r="1228" spans="2:10" x14ac:dyDescent="0.25">
      <c r="B1228" s="5">
        <f t="shared" si="39"/>
        <v>43594</v>
      </c>
      <c r="C1228" s="6">
        <f>IFERROR(VLOOKUP($B1228,Platts!$E$5:$M$4994,MATCH(C$3,Platts!$F$5:$M$5,0)+1,FALSE),C1227)</f>
        <v>62.38</v>
      </c>
      <c r="D1228" s="6">
        <f>IFERROR(VLOOKUP($B1228,Platts!$E$5:$M$4994,MATCH(D$3,Platts!$F$5:$M$5,0)+1,FALSE),D1227)</f>
        <v>68.78</v>
      </c>
      <c r="E1228" s="6">
        <f>IFERROR(VLOOKUP($B1228,Platts!$E$5:$M$4994,MATCH(E$3,Platts!$F$5:$M$5,0)+1,FALSE),E1227)</f>
        <v>63.06</v>
      </c>
      <c r="F1228" s="6">
        <f>IFERROR(VLOOKUP($B1228,Platts!$E$5:$M$4994,MATCH(F$3,Platts!$F$5:$M$5,0)+1,FALSE),F1227)</f>
        <v>71.8</v>
      </c>
      <c r="G1228" s="6">
        <f>IFERROR(VLOOKUP($B1228,Platts!$E$5:$M$4994,MATCH(G$3,Platts!$F$5:$M$5,0)+1,FALSE),G1227)</f>
        <v>69.84</v>
      </c>
      <c r="H1228" s="6">
        <f>IFERROR(VLOOKUP($B1228,Platts!$E$5:$M$4994,MATCH(H$3,Platts!$F$5:$M$5,0)+1,FALSE),H1227)</f>
        <v>61.7</v>
      </c>
      <c r="I1228" s="6">
        <f>IFERROR(VLOOKUP($B1228,Platts!$E$5:$M$4994,MATCH(I$3,Platts!$F$5:$M$5,0)+1,FALSE),I1227)</f>
        <v>69.099999999999994</v>
      </c>
      <c r="J1228" s="6">
        <f t="shared" si="38"/>
        <v>-0.67999999999999972</v>
      </c>
    </row>
    <row r="1229" spans="2:10" x14ac:dyDescent="0.25">
      <c r="B1229" s="5">
        <f t="shared" si="39"/>
        <v>43595</v>
      </c>
      <c r="C1229" s="6">
        <f>IFERROR(VLOOKUP($B1229,Platts!$E$5:$M$4994,MATCH(C$3,Platts!$F$5:$M$5,0)+1,FALSE),C1228)</f>
        <v>62.99</v>
      </c>
      <c r="D1229" s="6">
        <f>IFERROR(VLOOKUP($B1229,Platts!$E$5:$M$4994,MATCH(D$3,Platts!$F$5:$M$5,0)+1,FALSE),D1228)</f>
        <v>69.650000000000006</v>
      </c>
      <c r="E1229" s="6">
        <f>IFERROR(VLOOKUP($B1229,Platts!$E$5:$M$4994,MATCH(E$3,Platts!$F$5:$M$5,0)+1,FALSE),E1228)</f>
        <v>63.66</v>
      </c>
      <c r="F1229" s="6">
        <f>IFERROR(VLOOKUP($B1229,Platts!$E$5:$M$4994,MATCH(F$3,Platts!$F$5:$M$5,0)+1,FALSE),F1228)</f>
        <v>72.67</v>
      </c>
      <c r="G1229" s="6">
        <f>IFERROR(VLOOKUP($B1229,Platts!$E$5:$M$4994,MATCH(G$3,Platts!$F$5:$M$5,0)+1,FALSE),G1228)</f>
        <v>70.959999999999994</v>
      </c>
      <c r="H1229" s="6">
        <f>IFERROR(VLOOKUP($B1229,Platts!$E$5:$M$4994,MATCH(H$3,Platts!$F$5:$M$5,0)+1,FALSE),H1228)</f>
        <v>61.66</v>
      </c>
      <c r="I1229" s="6">
        <f>IFERROR(VLOOKUP($B1229,Platts!$E$5:$M$4994,MATCH(I$3,Platts!$F$5:$M$5,0)+1,FALSE),I1228)</f>
        <v>69.61</v>
      </c>
      <c r="J1229" s="6">
        <f t="shared" si="38"/>
        <v>-1.3300000000000054</v>
      </c>
    </row>
    <row r="1230" spans="2:10" x14ac:dyDescent="0.25">
      <c r="B1230" s="5">
        <f t="shared" si="39"/>
        <v>43596</v>
      </c>
      <c r="C1230" s="6">
        <f>IFERROR(VLOOKUP($B1230,Platts!$E$5:$M$4994,MATCH(C$3,Platts!$F$5:$M$5,0)+1,FALSE),C1229)</f>
        <v>62.99</v>
      </c>
      <c r="D1230" s="6">
        <f>IFERROR(VLOOKUP($B1230,Platts!$E$5:$M$4994,MATCH(D$3,Platts!$F$5:$M$5,0)+1,FALSE),D1229)</f>
        <v>69.650000000000006</v>
      </c>
      <c r="E1230" s="6">
        <f>IFERROR(VLOOKUP($B1230,Platts!$E$5:$M$4994,MATCH(E$3,Platts!$F$5:$M$5,0)+1,FALSE),E1229)</f>
        <v>63.66</v>
      </c>
      <c r="F1230" s="6">
        <f>IFERROR(VLOOKUP($B1230,Platts!$E$5:$M$4994,MATCH(F$3,Platts!$F$5:$M$5,0)+1,FALSE),F1229)</f>
        <v>72.67</v>
      </c>
      <c r="G1230" s="6">
        <f>IFERROR(VLOOKUP($B1230,Platts!$E$5:$M$4994,MATCH(G$3,Platts!$F$5:$M$5,0)+1,FALSE),G1229)</f>
        <v>70.959999999999994</v>
      </c>
      <c r="H1230" s="6">
        <f>IFERROR(VLOOKUP($B1230,Platts!$E$5:$M$4994,MATCH(H$3,Platts!$F$5:$M$5,0)+1,FALSE),H1229)</f>
        <v>61.66</v>
      </c>
      <c r="I1230" s="6">
        <f>IFERROR(VLOOKUP($B1230,Platts!$E$5:$M$4994,MATCH(I$3,Platts!$F$5:$M$5,0)+1,FALSE),I1229)</f>
        <v>69.61</v>
      </c>
      <c r="J1230" s="6">
        <f t="shared" si="38"/>
        <v>-1.3300000000000054</v>
      </c>
    </row>
    <row r="1231" spans="2:10" x14ac:dyDescent="0.25">
      <c r="B1231" s="5">
        <f t="shared" si="39"/>
        <v>43597</v>
      </c>
      <c r="C1231" s="6">
        <f>IFERROR(VLOOKUP($B1231,Platts!$E$5:$M$4994,MATCH(C$3,Platts!$F$5:$M$5,0)+1,FALSE),C1230)</f>
        <v>62.99</v>
      </c>
      <c r="D1231" s="6">
        <f>IFERROR(VLOOKUP($B1231,Platts!$E$5:$M$4994,MATCH(D$3,Platts!$F$5:$M$5,0)+1,FALSE),D1230)</f>
        <v>69.650000000000006</v>
      </c>
      <c r="E1231" s="6">
        <f>IFERROR(VLOOKUP($B1231,Platts!$E$5:$M$4994,MATCH(E$3,Platts!$F$5:$M$5,0)+1,FALSE),E1230)</f>
        <v>63.66</v>
      </c>
      <c r="F1231" s="6">
        <f>IFERROR(VLOOKUP($B1231,Platts!$E$5:$M$4994,MATCH(F$3,Platts!$F$5:$M$5,0)+1,FALSE),F1230)</f>
        <v>72.67</v>
      </c>
      <c r="G1231" s="6">
        <f>IFERROR(VLOOKUP($B1231,Platts!$E$5:$M$4994,MATCH(G$3,Platts!$F$5:$M$5,0)+1,FALSE),G1230)</f>
        <v>70.959999999999994</v>
      </c>
      <c r="H1231" s="6">
        <f>IFERROR(VLOOKUP($B1231,Platts!$E$5:$M$4994,MATCH(H$3,Platts!$F$5:$M$5,0)+1,FALSE),H1230)</f>
        <v>61.66</v>
      </c>
      <c r="I1231" s="6">
        <f>IFERROR(VLOOKUP($B1231,Platts!$E$5:$M$4994,MATCH(I$3,Platts!$F$5:$M$5,0)+1,FALSE),I1230)</f>
        <v>69.61</v>
      </c>
      <c r="J1231" s="6">
        <f t="shared" si="38"/>
        <v>-1.3300000000000054</v>
      </c>
    </row>
    <row r="1232" spans="2:10" x14ac:dyDescent="0.25">
      <c r="B1232" s="5">
        <f t="shared" si="39"/>
        <v>43598</v>
      </c>
      <c r="C1232" s="6">
        <f>IFERROR(VLOOKUP($B1232,Platts!$E$5:$M$4994,MATCH(C$3,Platts!$F$5:$M$5,0)+1,FALSE),C1231)</f>
        <v>62.86</v>
      </c>
      <c r="D1232" s="6">
        <f>IFERROR(VLOOKUP($B1232,Platts!$E$5:$M$4994,MATCH(D$3,Platts!$F$5:$M$5,0)+1,FALSE),D1231)</f>
        <v>69.239999999999995</v>
      </c>
      <c r="E1232" s="6">
        <f>IFERROR(VLOOKUP($B1232,Platts!$E$5:$M$4994,MATCH(E$3,Platts!$F$5:$M$5,0)+1,FALSE),E1231)</f>
        <v>63.45</v>
      </c>
      <c r="F1232" s="6">
        <f>IFERROR(VLOOKUP($B1232,Platts!$E$5:$M$4994,MATCH(F$3,Platts!$F$5:$M$5,0)+1,FALSE),F1231)</f>
        <v>72.25</v>
      </c>
      <c r="G1232" s="6">
        <f>IFERROR(VLOOKUP($B1232,Platts!$E$5:$M$4994,MATCH(G$3,Platts!$F$5:$M$5,0)+1,FALSE),G1231)</f>
        <v>71.05</v>
      </c>
      <c r="H1232" s="6">
        <f>IFERROR(VLOOKUP($B1232,Platts!$E$5:$M$4994,MATCH(H$3,Platts!$F$5:$M$5,0)+1,FALSE),H1231)</f>
        <v>61.04</v>
      </c>
      <c r="I1232" s="6">
        <f>IFERROR(VLOOKUP($B1232,Platts!$E$5:$M$4994,MATCH(I$3,Platts!$F$5:$M$5,0)+1,FALSE),I1231)</f>
        <v>69.19</v>
      </c>
      <c r="J1232" s="6">
        <f t="shared" si="38"/>
        <v>-1.8200000000000003</v>
      </c>
    </row>
    <row r="1233" spans="2:10" x14ac:dyDescent="0.25">
      <c r="B1233" s="5">
        <f t="shared" si="39"/>
        <v>43599</v>
      </c>
      <c r="C1233" s="6">
        <f>IFERROR(VLOOKUP($B1233,Platts!$E$5:$M$4994,MATCH(C$3,Platts!$F$5:$M$5,0)+1,FALSE),C1232)</f>
        <v>62.59</v>
      </c>
      <c r="D1233" s="6">
        <f>IFERROR(VLOOKUP($B1233,Platts!$E$5:$M$4994,MATCH(D$3,Platts!$F$5:$M$5,0)+1,FALSE),D1232)</f>
        <v>69.58</v>
      </c>
      <c r="E1233" s="6">
        <f>IFERROR(VLOOKUP($B1233,Platts!$E$5:$M$4994,MATCH(E$3,Platts!$F$5:$M$5,0)+1,FALSE),E1232)</f>
        <v>62.71</v>
      </c>
      <c r="F1233" s="6">
        <f>IFERROR(VLOOKUP($B1233,Platts!$E$5:$M$4994,MATCH(F$3,Platts!$F$5:$M$5,0)+1,FALSE),F1232)</f>
        <v>72.680000000000007</v>
      </c>
      <c r="G1233" s="6">
        <f>IFERROR(VLOOKUP($B1233,Platts!$E$5:$M$4994,MATCH(G$3,Platts!$F$5:$M$5,0)+1,FALSE),G1232)</f>
        <v>71.53</v>
      </c>
      <c r="H1233" s="6">
        <f>IFERROR(VLOOKUP($B1233,Platts!$E$5:$M$4994,MATCH(H$3,Platts!$F$5:$M$5,0)+1,FALSE),H1232)</f>
        <v>61.78</v>
      </c>
      <c r="I1233" s="6">
        <f>IFERROR(VLOOKUP($B1233,Platts!$E$5:$M$4994,MATCH(I$3,Platts!$F$5:$M$5,0)+1,FALSE),I1232)</f>
        <v>70.08</v>
      </c>
      <c r="J1233" s="6">
        <f t="shared" si="38"/>
        <v>-0.81000000000000227</v>
      </c>
    </row>
    <row r="1234" spans="2:10" x14ac:dyDescent="0.25">
      <c r="B1234" s="5">
        <f t="shared" si="39"/>
        <v>43600</v>
      </c>
      <c r="C1234" s="6">
        <f>IFERROR(VLOOKUP($B1234,Platts!$E$5:$M$4994,MATCH(C$3,Platts!$F$5:$M$5,0)+1,FALSE),C1233)</f>
        <v>63.35</v>
      </c>
      <c r="D1234" s="6">
        <f>IFERROR(VLOOKUP($B1234,Platts!$E$5:$M$4994,MATCH(D$3,Platts!$F$5:$M$5,0)+1,FALSE),D1233)</f>
        <v>70.540000000000006</v>
      </c>
      <c r="E1234" s="6">
        <f>IFERROR(VLOOKUP($B1234,Platts!$E$5:$M$4994,MATCH(E$3,Platts!$F$5:$M$5,0)+1,FALSE),E1233)</f>
        <v>63.49</v>
      </c>
      <c r="F1234" s="6">
        <f>IFERROR(VLOOKUP($B1234,Platts!$E$5:$M$4994,MATCH(F$3,Platts!$F$5:$M$5,0)+1,FALSE),F1233)</f>
        <v>73.67</v>
      </c>
      <c r="G1234" s="6">
        <f>IFERROR(VLOOKUP($B1234,Platts!$E$5:$M$4994,MATCH(G$3,Platts!$F$5:$M$5,0)+1,FALSE),G1233)</f>
        <v>72.31</v>
      </c>
      <c r="H1234" s="6">
        <f>IFERROR(VLOOKUP($B1234,Platts!$E$5:$M$4994,MATCH(H$3,Platts!$F$5:$M$5,0)+1,FALSE),H1233)</f>
        <v>62.02</v>
      </c>
      <c r="I1234" s="6">
        <f>IFERROR(VLOOKUP($B1234,Platts!$E$5:$M$4994,MATCH(I$3,Platts!$F$5:$M$5,0)+1,FALSE),I1233)</f>
        <v>70.569999999999993</v>
      </c>
      <c r="J1234" s="6">
        <f t="shared" si="38"/>
        <v>-1.3299999999999983</v>
      </c>
    </row>
    <row r="1235" spans="2:10" x14ac:dyDescent="0.25">
      <c r="B1235" s="5">
        <f t="shared" si="39"/>
        <v>43601</v>
      </c>
      <c r="C1235" s="6">
        <f>IFERROR(VLOOKUP($B1235,Platts!$E$5:$M$4994,MATCH(C$3,Platts!$F$5:$M$5,0)+1,FALSE),C1234)</f>
        <v>64.63</v>
      </c>
      <c r="D1235" s="6">
        <f>IFERROR(VLOOKUP($B1235,Platts!$E$5:$M$4994,MATCH(D$3,Platts!$F$5:$M$5,0)+1,FALSE),D1234)</f>
        <v>71.36</v>
      </c>
      <c r="E1235" s="6">
        <f>IFERROR(VLOOKUP($B1235,Platts!$E$5:$M$4994,MATCH(E$3,Platts!$F$5:$M$5,0)+1,FALSE),E1234)</f>
        <v>64.69</v>
      </c>
      <c r="F1235" s="6">
        <f>IFERROR(VLOOKUP($B1235,Platts!$E$5:$M$4994,MATCH(F$3,Platts!$F$5:$M$5,0)+1,FALSE),F1234)</f>
        <v>74.48</v>
      </c>
      <c r="G1235" s="6">
        <f>IFERROR(VLOOKUP($B1235,Platts!$E$5:$M$4994,MATCH(G$3,Platts!$F$5:$M$5,0)+1,FALSE),G1234)</f>
        <v>73.42</v>
      </c>
      <c r="H1235" s="6">
        <f>IFERROR(VLOOKUP($B1235,Platts!$E$5:$M$4994,MATCH(H$3,Platts!$F$5:$M$5,0)+1,FALSE),H1234)</f>
        <v>62.87</v>
      </c>
      <c r="I1235" s="6">
        <f>IFERROR(VLOOKUP($B1235,Platts!$E$5:$M$4994,MATCH(I$3,Platts!$F$5:$M$5,0)+1,FALSE),I1234)</f>
        <v>71.77</v>
      </c>
      <c r="J1235" s="6">
        <f t="shared" si="38"/>
        <v>-1.759999999999998</v>
      </c>
    </row>
    <row r="1236" spans="2:10" x14ac:dyDescent="0.25">
      <c r="B1236" s="5">
        <f t="shared" si="39"/>
        <v>43602</v>
      </c>
      <c r="C1236" s="6">
        <f>IFERROR(VLOOKUP($B1236,Platts!$E$5:$M$4994,MATCH(C$3,Platts!$F$5:$M$5,0)+1,FALSE),C1235)</f>
        <v>64.569999999999993</v>
      </c>
      <c r="D1236" s="6">
        <f>IFERROR(VLOOKUP($B1236,Platts!$E$5:$M$4994,MATCH(D$3,Platts!$F$5:$M$5,0)+1,FALSE),D1235)</f>
        <v>71.209999999999994</v>
      </c>
      <c r="E1236" s="6">
        <f>IFERROR(VLOOKUP($B1236,Platts!$E$5:$M$4994,MATCH(E$3,Platts!$F$5:$M$5,0)+1,FALSE),E1235)</f>
        <v>64.37</v>
      </c>
      <c r="F1236" s="6">
        <f>IFERROR(VLOOKUP($B1236,Platts!$E$5:$M$4994,MATCH(F$3,Platts!$F$5:$M$5,0)+1,FALSE),F1235)</f>
        <v>74.260000000000005</v>
      </c>
      <c r="G1236" s="6">
        <f>IFERROR(VLOOKUP($B1236,Platts!$E$5:$M$4994,MATCH(G$3,Platts!$F$5:$M$5,0)+1,FALSE),G1235)</f>
        <v>72.75</v>
      </c>
      <c r="H1236" s="6">
        <f>IFERROR(VLOOKUP($B1236,Platts!$E$5:$M$4994,MATCH(H$3,Platts!$F$5:$M$5,0)+1,FALSE),H1235)</f>
        <v>62.76</v>
      </c>
      <c r="I1236" s="6">
        <f>IFERROR(VLOOKUP($B1236,Platts!$E$5:$M$4994,MATCH(I$3,Platts!$F$5:$M$5,0)+1,FALSE),I1235)</f>
        <v>70.81</v>
      </c>
      <c r="J1236" s="6">
        <f t="shared" si="38"/>
        <v>-1.8099999999999952</v>
      </c>
    </row>
    <row r="1237" spans="2:10" x14ac:dyDescent="0.25">
      <c r="B1237" s="5">
        <f t="shared" si="39"/>
        <v>43603</v>
      </c>
      <c r="C1237" s="6">
        <f>IFERROR(VLOOKUP($B1237,Platts!$E$5:$M$4994,MATCH(C$3,Platts!$F$5:$M$5,0)+1,FALSE),C1236)</f>
        <v>64.569999999999993</v>
      </c>
      <c r="D1237" s="6">
        <f>IFERROR(VLOOKUP($B1237,Platts!$E$5:$M$4994,MATCH(D$3,Platts!$F$5:$M$5,0)+1,FALSE),D1236)</f>
        <v>71.209999999999994</v>
      </c>
      <c r="E1237" s="6">
        <f>IFERROR(VLOOKUP($B1237,Platts!$E$5:$M$4994,MATCH(E$3,Platts!$F$5:$M$5,0)+1,FALSE),E1236)</f>
        <v>64.37</v>
      </c>
      <c r="F1237" s="6">
        <f>IFERROR(VLOOKUP($B1237,Platts!$E$5:$M$4994,MATCH(F$3,Platts!$F$5:$M$5,0)+1,FALSE),F1236)</f>
        <v>74.260000000000005</v>
      </c>
      <c r="G1237" s="6">
        <f>IFERROR(VLOOKUP($B1237,Platts!$E$5:$M$4994,MATCH(G$3,Platts!$F$5:$M$5,0)+1,FALSE),G1236)</f>
        <v>72.75</v>
      </c>
      <c r="H1237" s="6">
        <f>IFERROR(VLOOKUP($B1237,Platts!$E$5:$M$4994,MATCH(H$3,Platts!$F$5:$M$5,0)+1,FALSE),H1236)</f>
        <v>62.76</v>
      </c>
      <c r="I1237" s="6">
        <f>IFERROR(VLOOKUP($B1237,Platts!$E$5:$M$4994,MATCH(I$3,Platts!$F$5:$M$5,0)+1,FALSE),I1236)</f>
        <v>70.81</v>
      </c>
      <c r="J1237" s="6">
        <f t="shared" si="38"/>
        <v>-1.8099999999999952</v>
      </c>
    </row>
    <row r="1238" spans="2:10" x14ac:dyDescent="0.25">
      <c r="B1238" s="5">
        <f t="shared" si="39"/>
        <v>43604</v>
      </c>
      <c r="C1238" s="6">
        <f>IFERROR(VLOOKUP($B1238,Platts!$E$5:$M$4994,MATCH(C$3,Platts!$F$5:$M$5,0)+1,FALSE),C1237)</f>
        <v>64.569999999999993</v>
      </c>
      <c r="D1238" s="6">
        <f>IFERROR(VLOOKUP($B1238,Platts!$E$5:$M$4994,MATCH(D$3,Platts!$F$5:$M$5,0)+1,FALSE),D1237)</f>
        <v>71.209999999999994</v>
      </c>
      <c r="E1238" s="6">
        <f>IFERROR(VLOOKUP($B1238,Platts!$E$5:$M$4994,MATCH(E$3,Platts!$F$5:$M$5,0)+1,FALSE),E1237)</f>
        <v>64.37</v>
      </c>
      <c r="F1238" s="6">
        <f>IFERROR(VLOOKUP($B1238,Platts!$E$5:$M$4994,MATCH(F$3,Platts!$F$5:$M$5,0)+1,FALSE),F1237)</f>
        <v>74.260000000000005</v>
      </c>
      <c r="G1238" s="6">
        <f>IFERROR(VLOOKUP($B1238,Platts!$E$5:$M$4994,MATCH(G$3,Platts!$F$5:$M$5,0)+1,FALSE),G1237)</f>
        <v>72.75</v>
      </c>
      <c r="H1238" s="6">
        <f>IFERROR(VLOOKUP($B1238,Platts!$E$5:$M$4994,MATCH(H$3,Platts!$F$5:$M$5,0)+1,FALSE),H1237)</f>
        <v>62.76</v>
      </c>
      <c r="I1238" s="6">
        <f>IFERROR(VLOOKUP($B1238,Platts!$E$5:$M$4994,MATCH(I$3,Platts!$F$5:$M$5,0)+1,FALSE),I1237)</f>
        <v>70.81</v>
      </c>
      <c r="J1238" s="6">
        <f t="shared" si="38"/>
        <v>-1.8099999999999952</v>
      </c>
    </row>
    <row r="1239" spans="2:10" x14ac:dyDescent="0.25">
      <c r="B1239" s="5">
        <f t="shared" si="39"/>
        <v>43605</v>
      </c>
      <c r="C1239" s="6">
        <f>IFERROR(VLOOKUP($B1239,Platts!$E$5:$M$4994,MATCH(C$3,Platts!$F$5:$M$5,0)+1,FALSE),C1238)</f>
        <v>63.1</v>
      </c>
      <c r="D1239" s="6">
        <f>IFERROR(VLOOKUP($B1239,Platts!$E$5:$M$4994,MATCH(D$3,Platts!$F$5:$M$5,0)+1,FALSE),D1238)</f>
        <v>71.510000000000005</v>
      </c>
      <c r="E1239" s="6">
        <f>IFERROR(VLOOKUP($B1239,Platts!$E$5:$M$4994,MATCH(E$3,Platts!$F$5:$M$5,0)+1,FALSE),E1238)</f>
        <v>64.63</v>
      </c>
      <c r="F1239" s="6">
        <f>IFERROR(VLOOKUP($B1239,Platts!$E$5:$M$4994,MATCH(F$3,Platts!$F$5:$M$5,0)+1,FALSE),F1238)</f>
        <v>74.39</v>
      </c>
      <c r="G1239" s="6">
        <f>IFERROR(VLOOKUP($B1239,Platts!$E$5:$M$4994,MATCH(G$3,Platts!$F$5:$M$5,0)+1,FALSE),G1238)</f>
        <v>72.59</v>
      </c>
      <c r="H1239" s="6">
        <f>IFERROR(VLOOKUP($B1239,Platts!$E$5:$M$4994,MATCH(H$3,Platts!$F$5:$M$5,0)+1,FALSE),H1238)</f>
        <v>63.1</v>
      </c>
      <c r="I1239" s="6">
        <f>IFERROR(VLOOKUP($B1239,Platts!$E$5:$M$4994,MATCH(I$3,Platts!$F$5:$M$5,0)+1,FALSE),I1238)</f>
        <v>71.099999999999994</v>
      </c>
      <c r="J1239" s="6">
        <f t="shared" si="38"/>
        <v>0</v>
      </c>
    </row>
    <row r="1240" spans="2:10" x14ac:dyDescent="0.25">
      <c r="B1240" s="5">
        <f t="shared" si="39"/>
        <v>43606</v>
      </c>
      <c r="C1240" s="6">
        <f>IFERROR(VLOOKUP($B1240,Platts!$E$5:$M$4994,MATCH(C$3,Platts!$F$5:$M$5,0)+1,FALSE),C1239)</f>
        <v>64.08</v>
      </c>
      <c r="D1240" s="6">
        <f>IFERROR(VLOOKUP($B1240,Platts!$E$5:$M$4994,MATCH(D$3,Platts!$F$5:$M$5,0)+1,FALSE),D1239)</f>
        <v>71.69</v>
      </c>
      <c r="E1240" s="6">
        <f>IFERROR(VLOOKUP($B1240,Platts!$E$5:$M$4994,MATCH(E$3,Platts!$F$5:$M$5,0)+1,FALSE),E1239)</f>
        <v>64.83</v>
      </c>
      <c r="F1240" s="6">
        <f>IFERROR(VLOOKUP($B1240,Platts!$E$5:$M$4994,MATCH(F$3,Platts!$F$5:$M$5,0)+1,FALSE),F1239)</f>
        <v>74.5</v>
      </c>
      <c r="G1240" s="6">
        <f>IFERROR(VLOOKUP($B1240,Platts!$E$5:$M$4994,MATCH(G$3,Platts!$F$5:$M$5,0)+1,FALSE),G1239)</f>
        <v>72.150000000000006</v>
      </c>
      <c r="H1240" s="6">
        <f>IFERROR(VLOOKUP($B1240,Platts!$E$5:$M$4994,MATCH(H$3,Platts!$F$5:$M$5,0)+1,FALSE),H1239)</f>
        <v>62.99</v>
      </c>
      <c r="I1240" s="6">
        <f>IFERROR(VLOOKUP($B1240,Platts!$E$5:$M$4994,MATCH(I$3,Platts!$F$5:$M$5,0)+1,FALSE),I1239)</f>
        <v>70.989999999999995</v>
      </c>
      <c r="J1240" s="6">
        <f t="shared" si="38"/>
        <v>-1.0899999999999963</v>
      </c>
    </row>
    <row r="1241" spans="2:10" x14ac:dyDescent="0.25">
      <c r="B1241" s="5">
        <f t="shared" si="39"/>
        <v>43607</v>
      </c>
      <c r="C1241" s="6">
        <f>IFERROR(VLOOKUP($B1241,Platts!$E$5:$M$4994,MATCH(C$3,Platts!$F$5:$M$5,0)+1,FALSE),C1240)</f>
        <v>62.81</v>
      </c>
      <c r="D1241" s="6">
        <f>IFERROR(VLOOKUP($B1241,Platts!$E$5:$M$4994,MATCH(D$3,Platts!$F$5:$M$5,0)+1,FALSE),D1240)</f>
        <v>69.81</v>
      </c>
      <c r="E1241" s="6">
        <f>IFERROR(VLOOKUP($B1241,Platts!$E$5:$M$4994,MATCH(E$3,Platts!$F$5:$M$5,0)+1,FALSE),E1240)</f>
        <v>62.62</v>
      </c>
      <c r="F1241" s="6">
        <f>IFERROR(VLOOKUP($B1241,Platts!$E$5:$M$4994,MATCH(F$3,Platts!$F$5:$M$5,0)+1,FALSE),F1240)</f>
        <v>72.69</v>
      </c>
      <c r="G1241" s="6">
        <f>IFERROR(VLOOKUP($B1241,Platts!$E$5:$M$4994,MATCH(G$3,Platts!$F$5:$M$5,0)+1,FALSE),G1240)</f>
        <v>71.08</v>
      </c>
      <c r="H1241" s="6">
        <f>IFERROR(VLOOKUP($B1241,Platts!$E$5:$M$4994,MATCH(H$3,Platts!$F$5:$M$5,0)+1,FALSE),H1240)</f>
        <v>61.25</v>
      </c>
      <c r="I1241" s="6">
        <f>IFERROR(VLOOKUP($B1241,Platts!$E$5:$M$4994,MATCH(I$3,Platts!$F$5:$M$5,0)+1,FALSE),I1240)</f>
        <v>69.349999999999994</v>
      </c>
      <c r="J1241" s="6">
        <f t="shared" si="38"/>
        <v>-1.5600000000000023</v>
      </c>
    </row>
    <row r="1242" spans="2:10" x14ac:dyDescent="0.25">
      <c r="B1242" s="5">
        <f t="shared" si="39"/>
        <v>43608</v>
      </c>
      <c r="C1242" s="6">
        <f>IFERROR(VLOOKUP($B1242,Platts!$E$5:$M$4994,MATCH(C$3,Platts!$F$5:$M$5,0)+1,FALSE),C1241)</f>
        <v>59.81</v>
      </c>
      <c r="D1242" s="6">
        <f>IFERROR(VLOOKUP($B1242,Platts!$E$5:$M$4994,MATCH(D$3,Platts!$F$5:$M$5,0)+1,FALSE),D1241)</f>
        <v>67.260000000000005</v>
      </c>
      <c r="E1242" s="6">
        <f>IFERROR(VLOOKUP($B1242,Platts!$E$5:$M$4994,MATCH(E$3,Platts!$F$5:$M$5,0)+1,FALSE),E1241)</f>
        <v>60</v>
      </c>
      <c r="F1242" s="6">
        <f>IFERROR(VLOOKUP($B1242,Platts!$E$5:$M$4994,MATCH(F$3,Platts!$F$5:$M$5,0)+1,FALSE),F1241)</f>
        <v>70.010000000000005</v>
      </c>
      <c r="G1242" s="6">
        <f>IFERROR(VLOOKUP($B1242,Platts!$E$5:$M$4994,MATCH(G$3,Platts!$F$5:$M$5,0)+1,FALSE),G1241)</f>
        <v>67.72</v>
      </c>
      <c r="H1242" s="6">
        <f>IFERROR(VLOOKUP($B1242,Platts!$E$5:$M$4994,MATCH(H$3,Platts!$F$5:$M$5,0)+1,FALSE),H1241)</f>
        <v>57.74</v>
      </c>
      <c r="I1242" s="6">
        <f>IFERROR(VLOOKUP($B1242,Platts!$E$5:$M$4994,MATCH(I$3,Platts!$F$5:$M$5,0)+1,FALSE),I1241)</f>
        <v>67.739999999999995</v>
      </c>
      <c r="J1242" s="6">
        <f t="shared" si="38"/>
        <v>-2.0700000000000003</v>
      </c>
    </row>
    <row r="1243" spans="2:10" x14ac:dyDescent="0.25">
      <c r="B1243" s="5">
        <f t="shared" si="39"/>
        <v>43609</v>
      </c>
      <c r="C1243" s="6">
        <f>IFERROR(VLOOKUP($B1243,Platts!$E$5:$M$4994,MATCH(C$3,Platts!$F$5:$M$5,0)+1,FALSE),C1242)</f>
        <v>60.42</v>
      </c>
      <c r="D1243" s="6">
        <f>IFERROR(VLOOKUP($B1243,Platts!$E$5:$M$4994,MATCH(D$3,Platts!$F$5:$M$5,0)+1,FALSE),D1242)</f>
        <v>67.510000000000005</v>
      </c>
      <c r="E1243" s="6">
        <f>IFERROR(VLOOKUP($B1243,Platts!$E$5:$M$4994,MATCH(E$3,Platts!$F$5:$M$5,0)+1,FALSE),E1242)</f>
        <v>60.35</v>
      </c>
      <c r="F1243" s="6">
        <f>IFERROR(VLOOKUP($B1243,Platts!$E$5:$M$4994,MATCH(F$3,Platts!$F$5:$M$5,0)+1,FALSE),F1242)</f>
        <v>70.45</v>
      </c>
      <c r="G1243" s="6">
        <f>IFERROR(VLOOKUP($B1243,Platts!$E$5:$M$4994,MATCH(G$3,Platts!$F$5:$M$5,0)+1,FALSE),G1242)</f>
        <v>67.739999999999995</v>
      </c>
      <c r="H1243" s="6">
        <f>IFERROR(VLOOKUP($B1243,Platts!$E$5:$M$4994,MATCH(H$3,Platts!$F$5:$M$5,0)+1,FALSE),H1242)</f>
        <v>58.46</v>
      </c>
      <c r="I1243" s="6">
        <f>IFERROR(VLOOKUP($B1243,Platts!$E$5:$M$4994,MATCH(I$3,Platts!$F$5:$M$5,0)+1,FALSE),I1242)</f>
        <v>68.36</v>
      </c>
      <c r="J1243" s="6">
        <f t="shared" si="38"/>
        <v>-1.9600000000000009</v>
      </c>
    </row>
    <row r="1244" spans="2:10" x14ac:dyDescent="0.25">
      <c r="B1244" s="5">
        <f t="shared" si="39"/>
        <v>43610</v>
      </c>
      <c r="C1244" s="6">
        <f>IFERROR(VLOOKUP($B1244,Platts!$E$5:$M$4994,MATCH(C$3,Platts!$F$5:$M$5,0)+1,FALSE),C1243)</f>
        <v>60.42</v>
      </c>
      <c r="D1244" s="6">
        <f>IFERROR(VLOOKUP($B1244,Platts!$E$5:$M$4994,MATCH(D$3,Platts!$F$5:$M$5,0)+1,FALSE),D1243)</f>
        <v>67.510000000000005</v>
      </c>
      <c r="E1244" s="6">
        <f>IFERROR(VLOOKUP($B1244,Platts!$E$5:$M$4994,MATCH(E$3,Platts!$F$5:$M$5,0)+1,FALSE),E1243)</f>
        <v>60.35</v>
      </c>
      <c r="F1244" s="6">
        <f>IFERROR(VLOOKUP($B1244,Platts!$E$5:$M$4994,MATCH(F$3,Platts!$F$5:$M$5,0)+1,FALSE),F1243)</f>
        <v>70.45</v>
      </c>
      <c r="G1244" s="6">
        <f>IFERROR(VLOOKUP($B1244,Platts!$E$5:$M$4994,MATCH(G$3,Platts!$F$5:$M$5,0)+1,FALSE),G1243)</f>
        <v>67.739999999999995</v>
      </c>
      <c r="H1244" s="6">
        <f>IFERROR(VLOOKUP($B1244,Platts!$E$5:$M$4994,MATCH(H$3,Platts!$F$5:$M$5,0)+1,FALSE),H1243)</f>
        <v>58.46</v>
      </c>
      <c r="I1244" s="6">
        <f>IFERROR(VLOOKUP($B1244,Platts!$E$5:$M$4994,MATCH(I$3,Platts!$F$5:$M$5,0)+1,FALSE),I1243)</f>
        <v>68.36</v>
      </c>
      <c r="J1244" s="6">
        <f t="shared" si="38"/>
        <v>-1.9600000000000009</v>
      </c>
    </row>
    <row r="1245" spans="2:10" x14ac:dyDescent="0.25">
      <c r="B1245" s="5">
        <f t="shared" si="39"/>
        <v>43611</v>
      </c>
      <c r="C1245" s="6">
        <f>IFERROR(VLOOKUP($B1245,Platts!$E$5:$M$4994,MATCH(C$3,Platts!$F$5:$M$5,0)+1,FALSE),C1244)</f>
        <v>60.42</v>
      </c>
      <c r="D1245" s="6">
        <f>IFERROR(VLOOKUP($B1245,Platts!$E$5:$M$4994,MATCH(D$3,Platts!$F$5:$M$5,0)+1,FALSE),D1244)</f>
        <v>67.510000000000005</v>
      </c>
      <c r="E1245" s="6">
        <f>IFERROR(VLOOKUP($B1245,Platts!$E$5:$M$4994,MATCH(E$3,Platts!$F$5:$M$5,0)+1,FALSE),E1244)</f>
        <v>60.35</v>
      </c>
      <c r="F1245" s="6">
        <f>IFERROR(VLOOKUP($B1245,Platts!$E$5:$M$4994,MATCH(F$3,Platts!$F$5:$M$5,0)+1,FALSE),F1244)</f>
        <v>70.45</v>
      </c>
      <c r="G1245" s="6">
        <f>IFERROR(VLOOKUP($B1245,Platts!$E$5:$M$4994,MATCH(G$3,Platts!$F$5:$M$5,0)+1,FALSE),G1244)</f>
        <v>67.739999999999995</v>
      </c>
      <c r="H1245" s="6">
        <f>IFERROR(VLOOKUP($B1245,Platts!$E$5:$M$4994,MATCH(H$3,Platts!$F$5:$M$5,0)+1,FALSE),H1244)</f>
        <v>58.46</v>
      </c>
      <c r="I1245" s="6">
        <f>IFERROR(VLOOKUP($B1245,Platts!$E$5:$M$4994,MATCH(I$3,Platts!$F$5:$M$5,0)+1,FALSE),I1244)</f>
        <v>68.36</v>
      </c>
      <c r="J1245" s="6">
        <f t="shared" si="38"/>
        <v>-1.9600000000000009</v>
      </c>
    </row>
    <row r="1246" spans="2:10" x14ac:dyDescent="0.25">
      <c r="B1246" s="5">
        <f t="shared" si="39"/>
        <v>43612</v>
      </c>
      <c r="C1246" s="6">
        <f>IFERROR(VLOOKUP($B1246,Platts!$E$5:$M$4994,MATCH(C$3,Platts!$F$5:$M$5,0)+1,FALSE),C1245)</f>
        <v>60.42</v>
      </c>
      <c r="D1246" s="6">
        <f>IFERROR(VLOOKUP($B1246,Platts!$E$5:$M$4994,MATCH(D$3,Platts!$F$5:$M$5,0)+1,FALSE),D1245)</f>
        <v>67.510000000000005</v>
      </c>
      <c r="E1246" s="6">
        <f>IFERROR(VLOOKUP($B1246,Platts!$E$5:$M$4994,MATCH(E$3,Platts!$F$5:$M$5,0)+1,FALSE),E1245)</f>
        <v>60.35</v>
      </c>
      <c r="F1246" s="6">
        <f>IFERROR(VLOOKUP($B1246,Platts!$E$5:$M$4994,MATCH(F$3,Platts!$F$5:$M$5,0)+1,FALSE),F1245)</f>
        <v>70.45</v>
      </c>
      <c r="G1246" s="6">
        <f>IFERROR(VLOOKUP($B1246,Platts!$E$5:$M$4994,MATCH(G$3,Platts!$F$5:$M$5,0)+1,FALSE),G1245)</f>
        <v>67.739999999999995</v>
      </c>
      <c r="H1246" s="6">
        <f>IFERROR(VLOOKUP($B1246,Platts!$E$5:$M$4994,MATCH(H$3,Platts!$F$5:$M$5,0)+1,FALSE),H1245)</f>
        <v>58.46</v>
      </c>
      <c r="I1246" s="6">
        <f>IFERROR(VLOOKUP($B1246,Platts!$E$5:$M$4994,MATCH(I$3,Platts!$F$5:$M$5,0)+1,FALSE),I1245)</f>
        <v>68.36</v>
      </c>
      <c r="J1246" s="6">
        <f t="shared" si="38"/>
        <v>-1.9600000000000009</v>
      </c>
    </row>
    <row r="1247" spans="2:10" x14ac:dyDescent="0.25">
      <c r="B1247" s="5">
        <f t="shared" si="39"/>
        <v>43613</v>
      </c>
      <c r="C1247" s="6">
        <f>IFERROR(VLOOKUP($B1247,Platts!$E$5:$M$4994,MATCH(C$3,Platts!$F$5:$M$5,0)+1,FALSE),C1246)</f>
        <v>61.58</v>
      </c>
      <c r="D1247" s="6">
        <f>IFERROR(VLOOKUP($B1247,Platts!$E$5:$M$4994,MATCH(D$3,Platts!$F$5:$M$5,0)+1,FALSE),D1246)</f>
        <v>68.62</v>
      </c>
      <c r="E1247" s="6">
        <f>IFERROR(VLOOKUP($B1247,Platts!$E$5:$M$4994,MATCH(E$3,Platts!$F$5:$M$5,0)+1,FALSE),E1246)</f>
        <v>61.44</v>
      </c>
      <c r="F1247" s="6">
        <f>IFERROR(VLOOKUP($B1247,Platts!$E$5:$M$4994,MATCH(F$3,Platts!$F$5:$M$5,0)+1,FALSE),F1246)</f>
        <v>71.53</v>
      </c>
      <c r="G1247" s="6">
        <f>IFERROR(VLOOKUP($B1247,Platts!$E$5:$M$4994,MATCH(G$3,Platts!$F$5:$M$5,0)+1,FALSE),G1246)</f>
        <v>69.77</v>
      </c>
      <c r="H1247" s="6">
        <f>IFERROR(VLOOKUP($B1247,Platts!$E$5:$M$4994,MATCH(H$3,Platts!$F$5:$M$5,0)+1,FALSE),H1246)</f>
        <v>59.14</v>
      </c>
      <c r="I1247" s="6">
        <f>IFERROR(VLOOKUP($B1247,Platts!$E$5:$M$4994,MATCH(I$3,Platts!$F$5:$M$5,0)+1,FALSE),I1246)</f>
        <v>67.64</v>
      </c>
      <c r="J1247" s="6">
        <f t="shared" si="38"/>
        <v>-2.4399999999999977</v>
      </c>
    </row>
    <row r="1248" spans="2:10" x14ac:dyDescent="0.25">
      <c r="B1248" s="5">
        <f t="shared" si="39"/>
        <v>43614</v>
      </c>
      <c r="C1248" s="6">
        <f>IFERROR(VLOOKUP($B1248,Platts!$E$5:$M$4994,MATCH(C$3,Platts!$F$5:$M$5,0)+1,FALSE),C1247)</f>
        <v>60.88</v>
      </c>
      <c r="D1248" s="6">
        <f>IFERROR(VLOOKUP($B1248,Platts!$E$5:$M$4994,MATCH(D$3,Platts!$F$5:$M$5,0)+1,FALSE),D1247)</f>
        <v>68.040000000000006</v>
      </c>
      <c r="E1248" s="6">
        <f>IFERROR(VLOOKUP($B1248,Platts!$E$5:$M$4994,MATCH(E$3,Platts!$F$5:$M$5,0)+1,FALSE),E1247)</f>
        <v>61.71</v>
      </c>
      <c r="F1248" s="6">
        <f>IFERROR(VLOOKUP($B1248,Platts!$E$5:$M$4994,MATCH(F$3,Platts!$F$5:$M$5,0)+1,FALSE),F1247)</f>
        <v>70.930000000000007</v>
      </c>
      <c r="G1248" s="6">
        <f>IFERROR(VLOOKUP($B1248,Platts!$E$5:$M$4994,MATCH(G$3,Platts!$F$5:$M$5,0)+1,FALSE),G1247)</f>
        <v>68.819999999999993</v>
      </c>
      <c r="H1248" s="6">
        <f>IFERROR(VLOOKUP($B1248,Platts!$E$5:$M$4994,MATCH(H$3,Platts!$F$5:$M$5,0)+1,FALSE),H1247)</f>
        <v>58.81</v>
      </c>
      <c r="I1248" s="6">
        <f>IFERROR(VLOOKUP($B1248,Platts!$E$5:$M$4994,MATCH(I$3,Platts!$F$5:$M$5,0)+1,FALSE),I1247)</f>
        <v>67.459999999999994</v>
      </c>
      <c r="J1248" s="6">
        <f t="shared" si="38"/>
        <v>-2.0700000000000003</v>
      </c>
    </row>
    <row r="1249" spans="2:10" x14ac:dyDescent="0.25">
      <c r="B1249" s="5">
        <f t="shared" si="39"/>
        <v>43615</v>
      </c>
      <c r="C1249" s="6">
        <f>IFERROR(VLOOKUP($B1249,Platts!$E$5:$M$4994,MATCH(C$3,Platts!$F$5:$M$5,0)+1,FALSE),C1248)</f>
        <v>59.15</v>
      </c>
      <c r="D1249" s="6">
        <f>IFERROR(VLOOKUP($B1249,Platts!$E$5:$M$4994,MATCH(D$3,Platts!$F$5:$M$5,0)+1,FALSE),D1248)</f>
        <v>65.38</v>
      </c>
      <c r="E1249" s="6">
        <f>IFERROR(VLOOKUP($B1249,Platts!$E$5:$M$4994,MATCH(E$3,Platts!$F$5:$M$5,0)+1,FALSE),E1248)</f>
        <v>60.06</v>
      </c>
      <c r="F1249" s="6">
        <f>IFERROR(VLOOKUP($B1249,Platts!$E$5:$M$4994,MATCH(F$3,Platts!$F$5:$M$5,0)+1,FALSE),F1248)</f>
        <v>68.23</v>
      </c>
      <c r="G1249" s="6">
        <f>IFERROR(VLOOKUP($B1249,Platts!$E$5:$M$4994,MATCH(G$3,Platts!$F$5:$M$5,0)+1,FALSE),G1248)</f>
        <v>67.42</v>
      </c>
      <c r="H1249" s="6">
        <f>IFERROR(VLOOKUP($B1249,Platts!$E$5:$M$4994,MATCH(H$3,Platts!$F$5:$M$5,0)+1,FALSE),H1248)</f>
        <v>56.59</v>
      </c>
      <c r="I1249" s="6">
        <f>IFERROR(VLOOKUP($B1249,Platts!$E$5:$M$4994,MATCH(I$3,Platts!$F$5:$M$5,0)+1,FALSE),I1248)</f>
        <v>64.19</v>
      </c>
      <c r="J1249" s="6">
        <f t="shared" si="38"/>
        <v>-2.5599999999999952</v>
      </c>
    </row>
    <row r="1250" spans="2:10" x14ac:dyDescent="0.25">
      <c r="B1250" s="5">
        <f t="shared" si="39"/>
        <v>43616</v>
      </c>
      <c r="C1250" s="6">
        <f>IFERROR(VLOOKUP($B1250,Platts!$E$5:$M$4994,MATCH(C$3,Platts!$F$5:$M$5,0)+1,FALSE),C1249)</f>
        <v>56.57</v>
      </c>
      <c r="D1250" s="6">
        <f>IFERROR(VLOOKUP($B1250,Platts!$E$5:$M$4994,MATCH(D$3,Platts!$F$5:$M$5,0)+1,FALSE),D1249)</f>
        <v>62.02</v>
      </c>
      <c r="E1250" s="6">
        <f>IFERROR(VLOOKUP($B1250,Platts!$E$5:$M$4994,MATCH(E$3,Platts!$F$5:$M$5,0)+1,FALSE),E1249)</f>
        <v>56.75</v>
      </c>
      <c r="F1250" s="6">
        <f>IFERROR(VLOOKUP($B1250,Platts!$E$5:$M$4994,MATCH(F$3,Platts!$F$5:$M$5,0)+1,FALSE),F1249)</f>
        <v>64.849999999999994</v>
      </c>
      <c r="G1250" s="6">
        <f>IFERROR(VLOOKUP($B1250,Platts!$E$5:$M$4994,MATCH(G$3,Platts!$F$5:$M$5,0)+1,FALSE),G1249)</f>
        <v>64.63</v>
      </c>
      <c r="H1250" s="6">
        <f>IFERROR(VLOOKUP($B1250,Platts!$E$5:$M$4994,MATCH(H$3,Platts!$F$5:$M$5,0)+1,FALSE),H1249)</f>
        <v>53.5</v>
      </c>
      <c r="I1250" s="6">
        <f>IFERROR(VLOOKUP($B1250,Platts!$E$5:$M$4994,MATCH(I$3,Platts!$F$5:$M$5,0)+1,FALSE),I1249)</f>
        <v>60.85</v>
      </c>
      <c r="J1250" s="6">
        <f t="shared" si="38"/>
        <v>-3.0700000000000003</v>
      </c>
    </row>
    <row r="1251" spans="2:10" x14ac:dyDescent="0.25">
      <c r="B1251" s="5">
        <f t="shared" si="39"/>
        <v>43617</v>
      </c>
      <c r="C1251" s="6">
        <f>IFERROR(VLOOKUP($B1251,Platts!$E$5:$M$4994,MATCH(C$3,Platts!$F$5:$M$5,0)+1,FALSE),C1250)</f>
        <v>56.57</v>
      </c>
      <c r="D1251" s="6">
        <f>IFERROR(VLOOKUP($B1251,Platts!$E$5:$M$4994,MATCH(D$3,Platts!$F$5:$M$5,0)+1,FALSE),D1250)</f>
        <v>62.02</v>
      </c>
      <c r="E1251" s="6">
        <f>IFERROR(VLOOKUP($B1251,Platts!$E$5:$M$4994,MATCH(E$3,Platts!$F$5:$M$5,0)+1,FALSE),E1250)</f>
        <v>56.75</v>
      </c>
      <c r="F1251" s="6">
        <f>IFERROR(VLOOKUP($B1251,Platts!$E$5:$M$4994,MATCH(F$3,Platts!$F$5:$M$5,0)+1,FALSE),F1250)</f>
        <v>64.849999999999994</v>
      </c>
      <c r="G1251" s="6">
        <f>IFERROR(VLOOKUP($B1251,Platts!$E$5:$M$4994,MATCH(G$3,Platts!$F$5:$M$5,0)+1,FALSE),G1250)</f>
        <v>64.63</v>
      </c>
      <c r="H1251" s="6">
        <f>IFERROR(VLOOKUP($B1251,Platts!$E$5:$M$4994,MATCH(H$3,Platts!$F$5:$M$5,0)+1,FALSE),H1250)</f>
        <v>53.5</v>
      </c>
      <c r="I1251" s="6">
        <f>IFERROR(VLOOKUP($B1251,Platts!$E$5:$M$4994,MATCH(I$3,Platts!$F$5:$M$5,0)+1,FALSE),I1250)</f>
        <v>60.85</v>
      </c>
      <c r="J1251" s="6">
        <f t="shared" si="38"/>
        <v>-3.0700000000000003</v>
      </c>
    </row>
    <row r="1252" spans="2:10" x14ac:dyDescent="0.25">
      <c r="B1252" s="5">
        <f t="shared" si="39"/>
        <v>43618</v>
      </c>
      <c r="C1252" s="6">
        <f>IFERROR(VLOOKUP($B1252,Platts!$E$5:$M$4994,MATCH(C$3,Platts!$F$5:$M$5,0)+1,FALSE),C1251)</f>
        <v>56.57</v>
      </c>
      <c r="D1252" s="6">
        <f>IFERROR(VLOOKUP($B1252,Platts!$E$5:$M$4994,MATCH(D$3,Platts!$F$5:$M$5,0)+1,FALSE),D1251)</f>
        <v>62.02</v>
      </c>
      <c r="E1252" s="6">
        <f>IFERROR(VLOOKUP($B1252,Platts!$E$5:$M$4994,MATCH(E$3,Platts!$F$5:$M$5,0)+1,FALSE),E1251)</f>
        <v>56.75</v>
      </c>
      <c r="F1252" s="6">
        <f>IFERROR(VLOOKUP($B1252,Platts!$E$5:$M$4994,MATCH(F$3,Platts!$F$5:$M$5,0)+1,FALSE),F1251)</f>
        <v>64.849999999999994</v>
      </c>
      <c r="G1252" s="6">
        <f>IFERROR(VLOOKUP($B1252,Platts!$E$5:$M$4994,MATCH(G$3,Platts!$F$5:$M$5,0)+1,FALSE),G1251)</f>
        <v>64.63</v>
      </c>
      <c r="H1252" s="6">
        <f>IFERROR(VLOOKUP($B1252,Platts!$E$5:$M$4994,MATCH(H$3,Platts!$F$5:$M$5,0)+1,FALSE),H1251)</f>
        <v>53.5</v>
      </c>
      <c r="I1252" s="6">
        <f>IFERROR(VLOOKUP($B1252,Platts!$E$5:$M$4994,MATCH(I$3,Platts!$F$5:$M$5,0)+1,FALSE),I1251)</f>
        <v>60.85</v>
      </c>
      <c r="J1252" s="6">
        <f t="shared" si="38"/>
        <v>-3.0700000000000003</v>
      </c>
    </row>
    <row r="1253" spans="2:10" x14ac:dyDescent="0.25">
      <c r="B1253" s="5">
        <f t="shared" si="39"/>
        <v>43619</v>
      </c>
      <c r="C1253" s="6">
        <f>IFERROR(VLOOKUP($B1253,Platts!$E$5:$M$4994,MATCH(C$3,Platts!$F$5:$M$5,0)+1,FALSE),C1252)</f>
        <v>56.54</v>
      </c>
      <c r="D1253" s="6">
        <f>IFERROR(VLOOKUP($B1253,Platts!$E$5:$M$4994,MATCH(D$3,Platts!$F$5:$M$5,0)+1,FALSE),D1252)</f>
        <v>61.79</v>
      </c>
      <c r="E1253" s="6">
        <f>IFERROR(VLOOKUP($B1253,Platts!$E$5:$M$4994,MATCH(E$3,Platts!$F$5:$M$5,0)+1,FALSE),E1252)</f>
        <v>57.22</v>
      </c>
      <c r="F1253" s="6">
        <f>IFERROR(VLOOKUP($B1253,Platts!$E$5:$M$4994,MATCH(F$3,Platts!$F$5:$M$5,0)+1,FALSE),F1252)</f>
        <v>64.37</v>
      </c>
      <c r="G1253" s="6">
        <f>IFERROR(VLOOKUP($B1253,Platts!$E$5:$M$4994,MATCH(G$3,Platts!$F$5:$M$5,0)+1,FALSE),G1252)</f>
        <v>61.52</v>
      </c>
      <c r="H1253" s="6">
        <f>IFERROR(VLOOKUP($B1253,Platts!$E$5:$M$4994,MATCH(H$3,Platts!$F$5:$M$5,0)+1,FALSE),H1252)</f>
        <v>53.25</v>
      </c>
      <c r="I1253" s="6">
        <f>IFERROR(VLOOKUP($B1253,Platts!$E$5:$M$4994,MATCH(I$3,Platts!$F$5:$M$5,0)+1,FALSE),I1252)</f>
        <v>60.25</v>
      </c>
      <c r="J1253" s="6">
        <f t="shared" si="38"/>
        <v>-3.2899999999999991</v>
      </c>
    </row>
    <row r="1254" spans="2:10" x14ac:dyDescent="0.25">
      <c r="B1254" s="5">
        <f t="shared" si="39"/>
        <v>43620</v>
      </c>
      <c r="C1254" s="6">
        <f>IFERROR(VLOOKUP($B1254,Platts!$E$5:$M$4994,MATCH(C$3,Platts!$F$5:$M$5,0)+1,FALSE),C1253)</f>
        <v>57.14</v>
      </c>
      <c r="D1254" s="6">
        <f>IFERROR(VLOOKUP($B1254,Platts!$E$5:$M$4994,MATCH(D$3,Platts!$F$5:$M$5,0)+1,FALSE),D1253)</f>
        <v>62.2</v>
      </c>
      <c r="E1254" s="6">
        <f>IFERROR(VLOOKUP($B1254,Platts!$E$5:$M$4994,MATCH(E$3,Platts!$F$5:$M$5,0)+1,FALSE),E1253)</f>
        <v>58.12</v>
      </c>
      <c r="F1254" s="6">
        <f>IFERROR(VLOOKUP($B1254,Platts!$E$5:$M$4994,MATCH(F$3,Platts!$F$5:$M$5,0)+1,FALSE),F1253)</f>
        <v>64.86</v>
      </c>
      <c r="G1254" s="6">
        <f>IFERROR(VLOOKUP($B1254,Platts!$E$5:$M$4994,MATCH(G$3,Platts!$F$5:$M$5,0)+1,FALSE),G1253)</f>
        <v>61.94</v>
      </c>
      <c r="H1254" s="6">
        <f>IFERROR(VLOOKUP($B1254,Platts!$E$5:$M$4994,MATCH(H$3,Platts!$F$5:$M$5,0)+1,FALSE),H1253)</f>
        <v>53.48</v>
      </c>
      <c r="I1254" s="6">
        <f>IFERROR(VLOOKUP($B1254,Platts!$E$5:$M$4994,MATCH(I$3,Platts!$F$5:$M$5,0)+1,FALSE),I1253)</f>
        <v>60.73</v>
      </c>
      <c r="J1254" s="6">
        <f t="shared" si="38"/>
        <v>-3.6600000000000037</v>
      </c>
    </row>
    <row r="1255" spans="2:10" x14ac:dyDescent="0.25">
      <c r="B1255" s="5">
        <f t="shared" si="39"/>
        <v>43621</v>
      </c>
      <c r="C1255" s="6">
        <f>IFERROR(VLOOKUP($B1255,Platts!$E$5:$M$4994,MATCH(C$3,Platts!$F$5:$M$5,0)+1,FALSE),C1254)</f>
        <v>57.14</v>
      </c>
      <c r="D1255" s="6">
        <f>IFERROR(VLOOKUP($B1255,Platts!$E$5:$M$4994,MATCH(D$3,Platts!$F$5:$M$5,0)+1,FALSE),D1254)</f>
        <v>60.72</v>
      </c>
      <c r="E1255" s="6">
        <f>IFERROR(VLOOKUP($B1255,Platts!$E$5:$M$4994,MATCH(E$3,Platts!$F$5:$M$5,0)+1,FALSE),E1254)</f>
        <v>56.52</v>
      </c>
      <c r="F1255" s="6">
        <f>IFERROR(VLOOKUP($B1255,Platts!$E$5:$M$4994,MATCH(F$3,Platts!$F$5:$M$5,0)+1,FALSE),F1254)</f>
        <v>63.4</v>
      </c>
      <c r="G1255" s="6">
        <f>IFERROR(VLOOKUP($B1255,Platts!$E$5:$M$4994,MATCH(G$3,Platts!$F$5:$M$5,0)+1,FALSE),G1254)</f>
        <v>60.47</v>
      </c>
      <c r="H1255" s="6">
        <f>IFERROR(VLOOKUP($B1255,Platts!$E$5:$M$4994,MATCH(H$3,Platts!$F$5:$M$5,0)+1,FALSE),H1254)</f>
        <v>51.68</v>
      </c>
      <c r="I1255" s="6">
        <f>IFERROR(VLOOKUP($B1255,Platts!$E$5:$M$4994,MATCH(I$3,Platts!$F$5:$M$5,0)+1,FALSE),I1254)</f>
        <v>59.23</v>
      </c>
      <c r="J1255" s="6">
        <f t="shared" si="38"/>
        <v>-5.4600000000000009</v>
      </c>
    </row>
    <row r="1256" spans="2:10" x14ac:dyDescent="0.25">
      <c r="B1256" s="5">
        <f t="shared" si="39"/>
        <v>43622</v>
      </c>
      <c r="C1256" s="6">
        <f>IFERROR(VLOOKUP($B1256,Platts!$E$5:$M$4994,MATCH(C$3,Platts!$F$5:$M$5,0)+1,FALSE),C1255)</f>
        <v>56.09</v>
      </c>
      <c r="D1256" s="6">
        <f>IFERROR(VLOOKUP($B1256,Platts!$E$5:$M$4994,MATCH(D$3,Platts!$F$5:$M$5,0)+1,FALSE),D1255)</f>
        <v>61.92</v>
      </c>
      <c r="E1256" s="6">
        <f>IFERROR(VLOOKUP($B1256,Platts!$E$5:$M$4994,MATCH(E$3,Platts!$F$5:$M$5,0)+1,FALSE),E1255)</f>
        <v>57.56</v>
      </c>
      <c r="F1256" s="6">
        <f>IFERROR(VLOOKUP($B1256,Platts!$E$5:$M$4994,MATCH(F$3,Platts!$F$5:$M$5,0)+1,FALSE),F1255)</f>
        <v>64.650000000000006</v>
      </c>
      <c r="G1256" s="6">
        <f>IFERROR(VLOOKUP($B1256,Platts!$E$5:$M$4994,MATCH(G$3,Platts!$F$5:$M$5,0)+1,FALSE),G1255)</f>
        <v>60.86</v>
      </c>
      <c r="H1256" s="6">
        <f>IFERROR(VLOOKUP($B1256,Platts!$E$5:$M$4994,MATCH(H$3,Platts!$F$5:$M$5,0)+1,FALSE),H1255)</f>
        <v>52.59</v>
      </c>
      <c r="I1256" s="6">
        <f>IFERROR(VLOOKUP($B1256,Platts!$E$5:$M$4994,MATCH(I$3,Platts!$F$5:$M$5,0)+1,FALSE),I1255)</f>
        <v>60.14</v>
      </c>
      <c r="J1256" s="6">
        <f t="shared" si="38"/>
        <v>-3.5</v>
      </c>
    </row>
    <row r="1257" spans="2:10" x14ac:dyDescent="0.25">
      <c r="B1257" s="5">
        <f t="shared" si="39"/>
        <v>43623</v>
      </c>
      <c r="C1257" s="6">
        <f>IFERROR(VLOOKUP($B1257,Platts!$E$5:$M$4994,MATCH(C$3,Platts!$F$5:$M$5,0)+1,FALSE),C1256)</f>
        <v>57.85</v>
      </c>
      <c r="D1257" s="6">
        <f>IFERROR(VLOOKUP($B1257,Platts!$E$5:$M$4994,MATCH(D$3,Platts!$F$5:$M$5,0)+1,FALSE),D1256)</f>
        <v>63.09</v>
      </c>
      <c r="E1257" s="6">
        <f>IFERROR(VLOOKUP($B1257,Platts!$E$5:$M$4994,MATCH(E$3,Platts!$F$5:$M$5,0)+1,FALSE),E1256)</f>
        <v>59.12</v>
      </c>
      <c r="F1257" s="6">
        <f>IFERROR(VLOOKUP($B1257,Platts!$E$5:$M$4994,MATCH(F$3,Platts!$F$5:$M$5,0)+1,FALSE),F1256)</f>
        <v>65.84</v>
      </c>
      <c r="G1257" s="6">
        <f>IFERROR(VLOOKUP($B1257,Platts!$E$5:$M$4994,MATCH(G$3,Platts!$F$5:$M$5,0)+1,FALSE),G1256)</f>
        <v>62.96</v>
      </c>
      <c r="H1257" s="6">
        <f>IFERROR(VLOOKUP($B1257,Platts!$E$5:$M$4994,MATCH(H$3,Platts!$F$5:$M$5,0)+1,FALSE),H1256)</f>
        <v>53.99</v>
      </c>
      <c r="I1257" s="6">
        <f>IFERROR(VLOOKUP($B1257,Platts!$E$5:$M$4994,MATCH(I$3,Platts!$F$5:$M$5,0)+1,FALSE),I1256)</f>
        <v>61.59</v>
      </c>
      <c r="J1257" s="6">
        <f t="shared" si="38"/>
        <v>-3.8599999999999994</v>
      </c>
    </row>
    <row r="1258" spans="2:10" x14ac:dyDescent="0.25">
      <c r="B1258" s="5">
        <f t="shared" si="39"/>
        <v>43624</v>
      </c>
      <c r="C1258" s="6">
        <f>IFERROR(VLOOKUP($B1258,Platts!$E$5:$M$4994,MATCH(C$3,Platts!$F$5:$M$5,0)+1,FALSE),C1257)</f>
        <v>57.85</v>
      </c>
      <c r="D1258" s="6">
        <f>IFERROR(VLOOKUP($B1258,Platts!$E$5:$M$4994,MATCH(D$3,Platts!$F$5:$M$5,0)+1,FALSE),D1257)</f>
        <v>63.09</v>
      </c>
      <c r="E1258" s="6">
        <f>IFERROR(VLOOKUP($B1258,Platts!$E$5:$M$4994,MATCH(E$3,Platts!$F$5:$M$5,0)+1,FALSE),E1257)</f>
        <v>59.12</v>
      </c>
      <c r="F1258" s="6">
        <f>IFERROR(VLOOKUP($B1258,Platts!$E$5:$M$4994,MATCH(F$3,Platts!$F$5:$M$5,0)+1,FALSE),F1257)</f>
        <v>65.84</v>
      </c>
      <c r="G1258" s="6">
        <f>IFERROR(VLOOKUP($B1258,Platts!$E$5:$M$4994,MATCH(G$3,Platts!$F$5:$M$5,0)+1,FALSE),G1257)</f>
        <v>62.96</v>
      </c>
      <c r="H1258" s="6">
        <f>IFERROR(VLOOKUP($B1258,Platts!$E$5:$M$4994,MATCH(H$3,Platts!$F$5:$M$5,0)+1,FALSE),H1257)</f>
        <v>53.99</v>
      </c>
      <c r="I1258" s="6">
        <f>IFERROR(VLOOKUP($B1258,Platts!$E$5:$M$4994,MATCH(I$3,Platts!$F$5:$M$5,0)+1,FALSE),I1257)</f>
        <v>61.59</v>
      </c>
      <c r="J1258" s="6">
        <f t="shared" si="38"/>
        <v>-3.8599999999999994</v>
      </c>
    </row>
    <row r="1259" spans="2:10" x14ac:dyDescent="0.25">
      <c r="B1259" s="5">
        <f t="shared" si="39"/>
        <v>43625</v>
      </c>
      <c r="C1259" s="6">
        <f>IFERROR(VLOOKUP($B1259,Platts!$E$5:$M$4994,MATCH(C$3,Platts!$F$5:$M$5,0)+1,FALSE),C1258)</f>
        <v>57.85</v>
      </c>
      <c r="D1259" s="6">
        <f>IFERROR(VLOOKUP($B1259,Platts!$E$5:$M$4994,MATCH(D$3,Platts!$F$5:$M$5,0)+1,FALSE),D1258)</f>
        <v>63.09</v>
      </c>
      <c r="E1259" s="6">
        <f>IFERROR(VLOOKUP($B1259,Platts!$E$5:$M$4994,MATCH(E$3,Platts!$F$5:$M$5,0)+1,FALSE),E1258)</f>
        <v>59.12</v>
      </c>
      <c r="F1259" s="6">
        <f>IFERROR(VLOOKUP($B1259,Platts!$E$5:$M$4994,MATCH(F$3,Platts!$F$5:$M$5,0)+1,FALSE),F1258)</f>
        <v>65.84</v>
      </c>
      <c r="G1259" s="6">
        <f>IFERROR(VLOOKUP($B1259,Platts!$E$5:$M$4994,MATCH(G$3,Platts!$F$5:$M$5,0)+1,FALSE),G1258)</f>
        <v>62.96</v>
      </c>
      <c r="H1259" s="6">
        <f>IFERROR(VLOOKUP($B1259,Platts!$E$5:$M$4994,MATCH(H$3,Platts!$F$5:$M$5,0)+1,FALSE),H1258)</f>
        <v>53.99</v>
      </c>
      <c r="I1259" s="6">
        <f>IFERROR(VLOOKUP($B1259,Platts!$E$5:$M$4994,MATCH(I$3,Platts!$F$5:$M$5,0)+1,FALSE),I1258)</f>
        <v>61.59</v>
      </c>
      <c r="J1259" s="6">
        <f t="shared" si="38"/>
        <v>-3.8599999999999994</v>
      </c>
    </row>
    <row r="1260" spans="2:10" x14ac:dyDescent="0.25">
      <c r="B1260" s="5">
        <f t="shared" si="39"/>
        <v>43626</v>
      </c>
      <c r="C1260" s="6">
        <f>IFERROR(VLOOKUP($B1260,Platts!$E$5:$M$4994,MATCH(C$3,Platts!$F$5:$M$5,0)+1,FALSE),C1259)</f>
        <v>57.33</v>
      </c>
      <c r="D1260" s="6">
        <f>IFERROR(VLOOKUP($B1260,Platts!$E$5:$M$4994,MATCH(D$3,Platts!$F$5:$M$5,0)+1,FALSE),D1259)</f>
        <v>62.22</v>
      </c>
      <c r="E1260" s="6">
        <f>IFERROR(VLOOKUP($B1260,Platts!$E$5:$M$4994,MATCH(E$3,Platts!$F$5:$M$5,0)+1,FALSE),E1259)</f>
        <v>57.78</v>
      </c>
      <c r="F1260" s="6">
        <f>IFERROR(VLOOKUP($B1260,Platts!$E$5:$M$4994,MATCH(F$3,Platts!$F$5:$M$5,0)+1,FALSE),F1259)</f>
        <v>64.94</v>
      </c>
      <c r="G1260" s="6">
        <f>IFERROR(VLOOKUP($B1260,Platts!$E$5:$M$4994,MATCH(G$3,Platts!$F$5:$M$5,0)+1,FALSE),G1259)</f>
        <v>63.19</v>
      </c>
      <c r="H1260" s="6">
        <f>IFERROR(VLOOKUP($B1260,Platts!$E$5:$M$4994,MATCH(H$3,Platts!$F$5:$M$5,0)+1,FALSE),H1259)</f>
        <v>53.26</v>
      </c>
      <c r="I1260" s="6">
        <f>IFERROR(VLOOKUP($B1260,Platts!$E$5:$M$4994,MATCH(I$3,Platts!$F$5:$M$5,0)+1,FALSE),I1259)</f>
        <v>60.66</v>
      </c>
      <c r="J1260" s="6">
        <f t="shared" si="38"/>
        <v>-4.07</v>
      </c>
    </row>
    <row r="1261" spans="2:10" x14ac:dyDescent="0.25">
      <c r="B1261" s="5">
        <f t="shared" si="39"/>
        <v>43627</v>
      </c>
      <c r="C1261" s="6">
        <f>IFERROR(VLOOKUP($B1261,Platts!$E$5:$M$4994,MATCH(C$3,Platts!$F$5:$M$5,0)+1,FALSE),C1260)</f>
        <v>57.04</v>
      </c>
      <c r="D1261" s="6">
        <f>IFERROR(VLOOKUP($B1261,Platts!$E$5:$M$4994,MATCH(D$3,Platts!$F$5:$M$5,0)+1,FALSE),D1260)</f>
        <v>62.09</v>
      </c>
      <c r="E1261" s="6">
        <f>IFERROR(VLOOKUP($B1261,Platts!$E$5:$M$4994,MATCH(E$3,Platts!$F$5:$M$5,0)+1,FALSE),E1260)</f>
        <v>57.7</v>
      </c>
      <c r="F1261" s="6">
        <f>IFERROR(VLOOKUP($B1261,Platts!$E$5:$M$4994,MATCH(F$3,Platts!$F$5:$M$5,0)+1,FALSE),F1260)</f>
        <v>64.790000000000006</v>
      </c>
      <c r="G1261" s="6">
        <f>IFERROR(VLOOKUP($B1261,Platts!$E$5:$M$4994,MATCH(G$3,Platts!$F$5:$M$5,0)+1,FALSE),G1260)</f>
        <v>62.79</v>
      </c>
      <c r="H1261" s="6">
        <f>IFERROR(VLOOKUP($B1261,Platts!$E$5:$M$4994,MATCH(H$3,Platts!$F$5:$M$5,0)+1,FALSE),H1260)</f>
        <v>53.27</v>
      </c>
      <c r="I1261" s="6">
        <f>IFERROR(VLOOKUP($B1261,Platts!$E$5:$M$4994,MATCH(I$3,Platts!$F$5:$M$5,0)+1,FALSE),I1260)</f>
        <v>60.47</v>
      </c>
      <c r="J1261" s="6">
        <f t="shared" si="38"/>
        <v>-3.769999999999996</v>
      </c>
    </row>
    <row r="1262" spans="2:10" x14ac:dyDescent="0.25">
      <c r="B1262" s="5">
        <f t="shared" si="39"/>
        <v>43628</v>
      </c>
      <c r="C1262" s="6">
        <f>IFERROR(VLOOKUP($B1262,Platts!$E$5:$M$4994,MATCH(C$3,Platts!$F$5:$M$5,0)+1,FALSE),C1261)</f>
        <v>54.67</v>
      </c>
      <c r="D1262" s="6">
        <f>IFERROR(VLOOKUP($B1262,Platts!$E$5:$M$4994,MATCH(D$3,Platts!$F$5:$M$5,0)+1,FALSE),D1261)</f>
        <v>59.96</v>
      </c>
      <c r="E1262" s="6">
        <f>IFERROR(VLOOKUP($B1262,Platts!$E$5:$M$4994,MATCH(E$3,Platts!$F$5:$M$5,0)+1,FALSE),E1261)</f>
        <v>55.17</v>
      </c>
      <c r="F1262" s="6">
        <f>IFERROR(VLOOKUP($B1262,Platts!$E$5:$M$4994,MATCH(F$3,Platts!$F$5:$M$5,0)+1,FALSE),F1261)</f>
        <v>62.65</v>
      </c>
      <c r="G1262" s="6">
        <f>IFERROR(VLOOKUP($B1262,Platts!$E$5:$M$4994,MATCH(G$3,Platts!$F$5:$M$5,0)+1,FALSE),G1261)</f>
        <v>61.11</v>
      </c>
      <c r="H1262" s="6">
        <f>IFERROR(VLOOKUP($B1262,Platts!$E$5:$M$4994,MATCH(H$3,Platts!$F$5:$M$5,0)+1,FALSE),H1261)</f>
        <v>51.14</v>
      </c>
      <c r="I1262" s="6">
        <f>IFERROR(VLOOKUP($B1262,Platts!$E$5:$M$4994,MATCH(I$3,Platts!$F$5:$M$5,0)+1,FALSE),I1261)</f>
        <v>58.64</v>
      </c>
      <c r="J1262" s="6">
        <f t="shared" si="38"/>
        <v>-3.5300000000000011</v>
      </c>
    </row>
    <row r="1263" spans="2:10" x14ac:dyDescent="0.25">
      <c r="B1263" s="5">
        <f t="shared" si="39"/>
        <v>43629</v>
      </c>
      <c r="C1263" s="6">
        <f>IFERROR(VLOOKUP($B1263,Platts!$E$5:$M$4994,MATCH(C$3,Platts!$F$5:$M$5,0)+1,FALSE),C1262)</f>
        <v>55.22</v>
      </c>
      <c r="D1263" s="6">
        <f>IFERROR(VLOOKUP($B1263,Platts!$E$5:$M$4994,MATCH(D$3,Platts!$F$5:$M$5,0)+1,FALSE),D1262)</f>
        <v>61.12</v>
      </c>
      <c r="E1263" s="6">
        <f>IFERROR(VLOOKUP($B1263,Platts!$E$5:$M$4994,MATCH(E$3,Platts!$F$5:$M$5,0)+1,FALSE),E1262)</f>
        <v>56</v>
      </c>
      <c r="F1263" s="6">
        <f>IFERROR(VLOOKUP($B1263,Platts!$E$5:$M$4994,MATCH(F$3,Platts!$F$5:$M$5,0)+1,FALSE),F1262)</f>
        <v>63.87</v>
      </c>
      <c r="G1263" s="6">
        <f>IFERROR(VLOOKUP($B1263,Platts!$E$5:$M$4994,MATCH(G$3,Platts!$F$5:$M$5,0)+1,FALSE),G1262)</f>
        <v>61.73</v>
      </c>
      <c r="H1263" s="6">
        <f>IFERROR(VLOOKUP($B1263,Platts!$E$5:$M$4994,MATCH(H$3,Platts!$F$5:$M$5,0)+1,FALSE),H1262)</f>
        <v>52.28</v>
      </c>
      <c r="I1263" s="6">
        <f>IFERROR(VLOOKUP($B1263,Platts!$E$5:$M$4994,MATCH(I$3,Platts!$F$5:$M$5,0)+1,FALSE),I1262)</f>
        <v>59.68</v>
      </c>
      <c r="J1263" s="6">
        <f t="shared" si="38"/>
        <v>-2.9399999999999977</v>
      </c>
    </row>
    <row r="1264" spans="2:10" x14ac:dyDescent="0.25">
      <c r="B1264" s="5">
        <f t="shared" si="39"/>
        <v>43630</v>
      </c>
      <c r="C1264" s="6">
        <f>IFERROR(VLOOKUP($B1264,Platts!$E$5:$M$4994,MATCH(C$3,Platts!$F$5:$M$5,0)+1,FALSE),C1263)</f>
        <v>55.49</v>
      </c>
      <c r="D1264" s="6">
        <f>IFERROR(VLOOKUP($B1264,Platts!$E$5:$M$4994,MATCH(D$3,Platts!$F$5:$M$5,0)+1,FALSE),D1263)</f>
        <v>61.48</v>
      </c>
      <c r="E1264" s="6">
        <f>IFERROR(VLOOKUP($B1264,Platts!$E$5:$M$4994,MATCH(E$3,Platts!$F$5:$M$5,0)+1,FALSE),E1263)</f>
        <v>56.6</v>
      </c>
      <c r="F1264" s="6">
        <f>IFERROR(VLOOKUP($B1264,Platts!$E$5:$M$4994,MATCH(F$3,Platts!$F$5:$M$5,0)+1,FALSE),F1263)</f>
        <v>64.28</v>
      </c>
      <c r="G1264" s="6">
        <f>IFERROR(VLOOKUP($B1264,Platts!$E$5:$M$4994,MATCH(G$3,Platts!$F$5:$M$5,0)+1,FALSE),G1263)</f>
        <v>62.32</v>
      </c>
      <c r="H1264" s="6">
        <f>IFERROR(VLOOKUP($B1264,Platts!$E$5:$M$4994,MATCH(H$3,Platts!$F$5:$M$5,0)+1,FALSE),H1263)</f>
        <v>52.51</v>
      </c>
      <c r="I1264" s="6">
        <f>IFERROR(VLOOKUP($B1264,Platts!$E$5:$M$4994,MATCH(I$3,Platts!$F$5:$M$5,0)+1,FALSE),I1263)</f>
        <v>60.26</v>
      </c>
      <c r="J1264" s="6">
        <f t="shared" si="38"/>
        <v>-2.980000000000004</v>
      </c>
    </row>
    <row r="1265" spans="2:10" x14ac:dyDescent="0.25">
      <c r="B1265" s="5">
        <f t="shared" si="39"/>
        <v>43631</v>
      </c>
      <c r="C1265" s="6">
        <f>IFERROR(VLOOKUP($B1265,Platts!$E$5:$M$4994,MATCH(C$3,Platts!$F$5:$M$5,0)+1,FALSE),C1264)</f>
        <v>55.49</v>
      </c>
      <c r="D1265" s="6">
        <f>IFERROR(VLOOKUP($B1265,Platts!$E$5:$M$4994,MATCH(D$3,Platts!$F$5:$M$5,0)+1,FALSE),D1264)</f>
        <v>61.48</v>
      </c>
      <c r="E1265" s="6">
        <f>IFERROR(VLOOKUP($B1265,Platts!$E$5:$M$4994,MATCH(E$3,Platts!$F$5:$M$5,0)+1,FALSE),E1264)</f>
        <v>56.6</v>
      </c>
      <c r="F1265" s="6">
        <f>IFERROR(VLOOKUP($B1265,Platts!$E$5:$M$4994,MATCH(F$3,Platts!$F$5:$M$5,0)+1,FALSE),F1264)</f>
        <v>64.28</v>
      </c>
      <c r="G1265" s="6">
        <f>IFERROR(VLOOKUP($B1265,Platts!$E$5:$M$4994,MATCH(G$3,Platts!$F$5:$M$5,0)+1,FALSE),G1264)</f>
        <v>62.32</v>
      </c>
      <c r="H1265" s="6">
        <f>IFERROR(VLOOKUP($B1265,Platts!$E$5:$M$4994,MATCH(H$3,Platts!$F$5:$M$5,0)+1,FALSE),H1264)</f>
        <v>52.51</v>
      </c>
      <c r="I1265" s="6">
        <f>IFERROR(VLOOKUP($B1265,Platts!$E$5:$M$4994,MATCH(I$3,Platts!$F$5:$M$5,0)+1,FALSE),I1264)</f>
        <v>60.26</v>
      </c>
      <c r="J1265" s="6">
        <f t="shared" si="38"/>
        <v>-2.980000000000004</v>
      </c>
    </row>
    <row r="1266" spans="2:10" x14ac:dyDescent="0.25">
      <c r="B1266" s="5">
        <f t="shared" si="39"/>
        <v>43632</v>
      </c>
      <c r="C1266" s="6">
        <f>IFERROR(VLOOKUP($B1266,Platts!$E$5:$M$4994,MATCH(C$3,Platts!$F$5:$M$5,0)+1,FALSE),C1265)</f>
        <v>55.49</v>
      </c>
      <c r="D1266" s="6">
        <f>IFERROR(VLOOKUP($B1266,Platts!$E$5:$M$4994,MATCH(D$3,Platts!$F$5:$M$5,0)+1,FALSE),D1265)</f>
        <v>61.48</v>
      </c>
      <c r="E1266" s="6">
        <f>IFERROR(VLOOKUP($B1266,Platts!$E$5:$M$4994,MATCH(E$3,Platts!$F$5:$M$5,0)+1,FALSE),E1265)</f>
        <v>56.6</v>
      </c>
      <c r="F1266" s="6">
        <f>IFERROR(VLOOKUP($B1266,Platts!$E$5:$M$4994,MATCH(F$3,Platts!$F$5:$M$5,0)+1,FALSE),F1265)</f>
        <v>64.28</v>
      </c>
      <c r="G1266" s="6">
        <f>IFERROR(VLOOKUP($B1266,Platts!$E$5:$M$4994,MATCH(G$3,Platts!$F$5:$M$5,0)+1,FALSE),G1265)</f>
        <v>62.32</v>
      </c>
      <c r="H1266" s="6">
        <f>IFERROR(VLOOKUP($B1266,Platts!$E$5:$M$4994,MATCH(H$3,Platts!$F$5:$M$5,0)+1,FALSE),H1265)</f>
        <v>52.51</v>
      </c>
      <c r="I1266" s="6">
        <f>IFERROR(VLOOKUP($B1266,Platts!$E$5:$M$4994,MATCH(I$3,Platts!$F$5:$M$5,0)+1,FALSE),I1265)</f>
        <v>60.26</v>
      </c>
      <c r="J1266" s="6">
        <f t="shared" si="38"/>
        <v>-2.980000000000004</v>
      </c>
    </row>
    <row r="1267" spans="2:10" x14ac:dyDescent="0.25">
      <c r="B1267" s="5">
        <f t="shared" si="39"/>
        <v>43633</v>
      </c>
      <c r="C1267" s="6">
        <f>IFERROR(VLOOKUP($B1267,Platts!$E$5:$M$4994,MATCH(C$3,Platts!$F$5:$M$5,0)+1,FALSE),C1266)</f>
        <v>54.84</v>
      </c>
      <c r="D1267" s="6">
        <f>IFERROR(VLOOKUP($B1267,Platts!$E$5:$M$4994,MATCH(D$3,Platts!$F$5:$M$5,0)+1,FALSE),D1266)</f>
        <v>60.47</v>
      </c>
      <c r="E1267" s="6">
        <f>IFERROR(VLOOKUP($B1267,Platts!$E$5:$M$4994,MATCH(E$3,Platts!$F$5:$M$5,0)+1,FALSE),E1266)</f>
        <v>55.4</v>
      </c>
      <c r="F1267" s="6">
        <f>IFERROR(VLOOKUP($B1267,Platts!$E$5:$M$4994,MATCH(F$3,Platts!$F$5:$M$5,0)+1,FALSE),F1266)</f>
        <v>63.13</v>
      </c>
      <c r="G1267" s="6">
        <f>IFERROR(VLOOKUP($B1267,Platts!$E$5:$M$4994,MATCH(G$3,Platts!$F$5:$M$5,0)+1,FALSE),G1266)</f>
        <v>61.89</v>
      </c>
      <c r="H1267" s="6">
        <f>IFERROR(VLOOKUP($B1267,Platts!$E$5:$M$4994,MATCH(H$3,Platts!$F$5:$M$5,0)+1,FALSE),H1266)</f>
        <v>51.93</v>
      </c>
      <c r="I1267" s="6">
        <f>IFERROR(VLOOKUP($B1267,Platts!$E$5:$M$4994,MATCH(I$3,Platts!$F$5:$M$5,0)+1,FALSE),I1266)</f>
        <v>59.58</v>
      </c>
      <c r="J1267" s="6">
        <f t="shared" si="38"/>
        <v>-2.9100000000000037</v>
      </c>
    </row>
    <row r="1268" spans="2:10" x14ac:dyDescent="0.25">
      <c r="B1268" s="5">
        <f t="shared" si="39"/>
        <v>43634</v>
      </c>
      <c r="C1268" s="6">
        <f>IFERROR(VLOOKUP($B1268,Platts!$E$5:$M$4994,MATCH(C$3,Platts!$F$5:$M$5,0)+1,FALSE),C1267)</f>
        <v>56.18</v>
      </c>
      <c r="D1268" s="6">
        <f>IFERROR(VLOOKUP($B1268,Platts!$E$5:$M$4994,MATCH(D$3,Platts!$F$5:$M$5,0)+1,FALSE),D1267)</f>
        <v>62.09</v>
      </c>
      <c r="E1268" s="6">
        <f>IFERROR(VLOOKUP($B1268,Platts!$E$5:$M$4994,MATCH(E$3,Platts!$F$5:$M$5,0)+1,FALSE),E1267)</f>
        <v>57.29</v>
      </c>
      <c r="F1268" s="6">
        <f>IFERROR(VLOOKUP($B1268,Platts!$E$5:$M$4994,MATCH(F$3,Platts!$F$5:$M$5,0)+1,FALSE),F1267)</f>
        <v>64.709999999999994</v>
      </c>
      <c r="G1268" s="6">
        <f>IFERROR(VLOOKUP($B1268,Platts!$E$5:$M$4994,MATCH(G$3,Platts!$F$5:$M$5,0)+1,FALSE),G1267)</f>
        <v>62.66</v>
      </c>
      <c r="H1268" s="6">
        <f>IFERROR(VLOOKUP($B1268,Platts!$E$5:$M$4994,MATCH(H$3,Platts!$F$5:$M$5,0)+1,FALSE),H1267)</f>
        <v>53.9</v>
      </c>
      <c r="I1268" s="6">
        <f>IFERROR(VLOOKUP($B1268,Platts!$E$5:$M$4994,MATCH(I$3,Platts!$F$5:$M$5,0)+1,FALSE),I1267)</f>
        <v>60.55</v>
      </c>
      <c r="J1268" s="6">
        <f t="shared" si="38"/>
        <v>-2.2800000000000011</v>
      </c>
    </row>
    <row r="1269" spans="2:10" x14ac:dyDescent="0.25">
      <c r="B1269" s="5">
        <f t="shared" si="39"/>
        <v>43635</v>
      </c>
      <c r="C1269" s="6">
        <f>IFERROR(VLOOKUP($B1269,Platts!$E$5:$M$4994,MATCH(C$3,Platts!$F$5:$M$5,0)+1,FALSE),C1268)</f>
        <v>56.27</v>
      </c>
      <c r="D1269" s="6">
        <f>IFERROR(VLOOKUP($B1269,Platts!$E$5:$M$4994,MATCH(D$3,Platts!$F$5:$M$5,0)+1,FALSE),D1268)</f>
        <v>61.84</v>
      </c>
      <c r="E1269" s="6">
        <f>IFERROR(VLOOKUP($B1269,Platts!$E$5:$M$4994,MATCH(E$3,Platts!$F$5:$M$5,0)+1,FALSE),E1268)</f>
        <v>57.3</v>
      </c>
      <c r="F1269" s="6">
        <f>IFERROR(VLOOKUP($B1269,Platts!$E$5:$M$4994,MATCH(F$3,Platts!$F$5:$M$5,0)+1,FALSE),F1268)</f>
        <v>64.459999999999994</v>
      </c>
      <c r="G1269" s="6">
        <f>IFERROR(VLOOKUP($B1269,Platts!$E$5:$M$4994,MATCH(G$3,Platts!$F$5:$M$5,0)+1,FALSE),G1268)</f>
        <v>62.09</v>
      </c>
      <c r="H1269" s="6">
        <f>IFERROR(VLOOKUP($B1269,Platts!$E$5:$M$4994,MATCH(H$3,Platts!$F$5:$M$5,0)+1,FALSE),H1268)</f>
        <v>53.76</v>
      </c>
      <c r="I1269" s="6">
        <f>IFERROR(VLOOKUP($B1269,Platts!$E$5:$M$4994,MATCH(I$3,Platts!$F$5:$M$5,0)+1,FALSE),I1268)</f>
        <v>60.86</v>
      </c>
      <c r="J1269" s="6">
        <f t="shared" si="38"/>
        <v>-2.5100000000000051</v>
      </c>
    </row>
    <row r="1270" spans="2:10" x14ac:dyDescent="0.25">
      <c r="B1270" s="5">
        <f t="shared" si="39"/>
        <v>43636</v>
      </c>
      <c r="C1270" s="6">
        <f>IFERROR(VLOOKUP($B1270,Platts!$E$5:$M$4994,MATCH(C$3,Platts!$F$5:$M$5,0)+1,FALSE),C1269)</f>
        <v>58.46</v>
      </c>
      <c r="D1270" s="6">
        <f>IFERROR(VLOOKUP($B1270,Platts!$E$5:$M$4994,MATCH(D$3,Platts!$F$5:$M$5,0)+1,FALSE),D1269)</f>
        <v>64.319999999999993</v>
      </c>
      <c r="E1270" s="6">
        <f>IFERROR(VLOOKUP($B1270,Platts!$E$5:$M$4994,MATCH(E$3,Platts!$F$5:$M$5,0)+1,FALSE),E1269)</f>
        <v>59.71</v>
      </c>
      <c r="F1270" s="6">
        <f>IFERROR(VLOOKUP($B1270,Platts!$E$5:$M$4994,MATCH(F$3,Platts!$F$5:$M$5,0)+1,FALSE),F1269)</f>
        <v>66.930000000000007</v>
      </c>
      <c r="G1270" s="6">
        <f>IFERROR(VLOOKUP($B1270,Platts!$E$5:$M$4994,MATCH(G$3,Platts!$F$5:$M$5,0)+1,FALSE),G1269)</f>
        <v>64.290000000000006</v>
      </c>
      <c r="H1270" s="6">
        <f>IFERROR(VLOOKUP($B1270,Platts!$E$5:$M$4994,MATCH(H$3,Platts!$F$5:$M$5,0)+1,FALSE),H1269)</f>
        <v>56.65</v>
      </c>
      <c r="I1270" s="6">
        <f>IFERROR(VLOOKUP($B1270,Platts!$E$5:$M$4994,MATCH(I$3,Platts!$F$5:$M$5,0)+1,FALSE),I1269)</f>
        <v>63.45</v>
      </c>
      <c r="J1270" s="6">
        <f t="shared" si="38"/>
        <v>-1.8100000000000023</v>
      </c>
    </row>
    <row r="1271" spans="2:10" x14ac:dyDescent="0.25">
      <c r="B1271" s="5">
        <f t="shared" si="39"/>
        <v>43637</v>
      </c>
      <c r="C1271" s="6">
        <f>IFERROR(VLOOKUP($B1271,Platts!$E$5:$M$4994,MATCH(C$3,Platts!$F$5:$M$5,0)+1,FALSE),C1270)</f>
        <v>59.91</v>
      </c>
      <c r="D1271" s="6">
        <f>IFERROR(VLOOKUP($B1271,Platts!$E$5:$M$4994,MATCH(D$3,Platts!$F$5:$M$5,0)+1,FALSE),D1270)</f>
        <v>64.69</v>
      </c>
      <c r="E1271" s="6">
        <f>IFERROR(VLOOKUP($B1271,Platts!$E$5:$M$4994,MATCH(E$3,Platts!$F$5:$M$5,0)+1,FALSE),E1270)</f>
        <v>60.47</v>
      </c>
      <c r="F1271" s="6">
        <f>IFERROR(VLOOKUP($B1271,Platts!$E$5:$M$4994,MATCH(F$3,Platts!$F$5:$M$5,0)+1,FALSE),F1270)</f>
        <v>67.239999999999995</v>
      </c>
      <c r="G1271" s="6">
        <f>IFERROR(VLOOKUP($B1271,Platts!$E$5:$M$4994,MATCH(G$3,Platts!$F$5:$M$5,0)+1,FALSE),G1270)</f>
        <v>65.44</v>
      </c>
      <c r="H1271" s="6">
        <f>IFERROR(VLOOKUP($B1271,Platts!$E$5:$M$4994,MATCH(H$3,Platts!$F$5:$M$5,0)+1,FALSE),H1270)</f>
        <v>57.27</v>
      </c>
      <c r="I1271" s="6">
        <f>IFERROR(VLOOKUP($B1271,Platts!$E$5:$M$4994,MATCH(I$3,Platts!$F$5:$M$5,0)+1,FALSE),I1270)</f>
        <v>63.17</v>
      </c>
      <c r="J1271" s="6">
        <f t="shared" si="38"/>
        <v>-2.6399999999999935</v>
      </c>
    </row>
    <row r="1272" spans="2:10" x14ac:dyDescent="0.25">
      <c r="B1272" s="5">
        <f t="shared" si="39"/>
        <v>43638</v>
      </c>
      <c r="C1272" s="6">
        <f>IFERROR(VLOOKUP($B1272,Platts!$E$5:$M$4994,MATCH(C$3,Platts!$F$5:$M$5,0)+1,FALSE),C1271)</f>
        <v>59.91</v>
      </c>
      <c r="D1272" s="6">
        <f>IFERROR(VLOOKUP($B1272,Platts!$E$5:$M$4994,MATCH(D$3,Platts!$F$5:$M$5,0)+1,FALSE),D1271)</f>
        <v>64.69</v>
      </c>
      <c r="E1272" s="6">
        <f>IFERROR(VLOOKUP($B1272,Platts!$E$5:$M$4994,MATCH(E$3,Platts!$F$5:$M$5,0)+1,FALSE),E1271)</f>
        <v>60.47</v>
      </c>
      <c r="F1272" s="6">
        <f>IFERROR(VLOOKUP($B1272,Platts!$E$5:$M$4994,MATCH(F$3,Platts!$F$5:$M$5,0)+1,FALSE),F1271)</f>
        <v>67.239999999999995</v>
      </c>
      <c r="G1272" s="6">
        <f>IFERROR(VLOOKUP($B1272,Platts!$E$5:$M$4994,MATCH(G$3,Platts!$F$5:$M$5,0)+1,FALSE),G1271)</f>
        <v>65.44</v>
      </c>
      <c r="H1272" s="6">
        <f>IFERROR(VLOOKUP($B1272,Platts!$E$5:$M$4994,MATCH(H$3,Platts!$F$5:$M$5,0)+1,FALSE),H1271)</f>
        <v>57.27</v>
      </c>
      <c r="I1272" s="6">
        <f>IFERROR(VLOOKUP($B1272,Platts!$E$5:$M$4994,MATCH(I$3,Platts!$F$5:$M$5,0)+1,FALSE),I1271)</f>
        <v>63.17</v>
      </c>
      <c r="J1272" s="6">
        <f t="shared" si="38"/>
        <v>-2.6399999999999935</v>
      </c>
    </row>
    <row r="1273" spans="2:10" x14ac:dyDescent="0.25">
      <c r="B1273" s="5">
        <f t="shared" si="39"/>
        <v>43639</v>
      </c>
      <c r="C1273" s="6">
        <f>IFERROR(VLOOKUP($B1273,Platts!$E$5:$M$4994,MATCH(C$3,Platts!$F$5:$M$5,0)+1,FALSE),C1272)</f>
        <v>59.91</v>
      </c>
      <c r="D1273" s="6">
        <f>IFERROR(VLOOKUP($B1273,Platts!$E$5:$M$4994,MATCH(D$3,Platts!$F$5:$M$5,0)+1,FALSE),D1272)</f>
        <v>64.69</v>
      </c>
      <c r="E1273" s="6">
        <f>IFERROR(VLOOKUP($B1273,Platts!$E$5:$M$4994,MATCH(E$3,Platts!$F$5:$M$5,0)+1,FALSE),E1272)</f>
        <v>60.47</v>
      </c>
      <c r="F1273" s="6">
        <f>IFERROR(VLOOKUP($B1273,Platts!$E$5:$M$4994,MATCH(F$3,Platts!$F$5:$M$5,0)+1,FALSE),F1272)</f>
        <v>67.239999999999995</v>
      </c>
      <c r="G1273" s="6">
        <f>IFERROR(VLOOKUP($B1273,Platts!$E$5:$M$4994,MATCH(G$3,Platts!$F$5:$M$5,0)+1,FALSE),G1272)</f>
        <v>65.44</v>
      </c>
      <c r="H1273" s="6">
        <f>IFERROR(VLOOKUP($B1273,Platts!$E$5:$M$4994,MATCH(H$3,Platts!$F$5:$M$5,0)+1,FALSE),H1272)</f>
        <v>57.27</v>
      </c>
      <c r="I1273" s="6">
        <f>IFERROR(VLOOKUP($B1273,Platts!$E$5:$M$4994,MATCH(I$3,Platts!$F$5:$M$5,0)+1,FALSE),I1272)</f>
        <v>63.17</v>
      </c>
      <c r="J1273" s="6">
        <f t="shared" si="38"/>
        <v>-2.6399999999999935</v>
      </c>
    </row>
    <row r="1274" spans="2:10" x14ac:dyDescent="0.25">
      <c r="B1274" s="5">
        <f t="shared" si="39"/>
        <v>43640</v>
      </c>
      <c r="C1274" s="6">
        <f>IFERROR(VLOOKUP($B1274,Platts!$E$5:$M$4994,MATCH(C$3,Platts!$F$5:$M$5,0)+1,FALSE),C1273)</f>
        <v>59.59</v>
      </c>
      <c r="D1274" s="6">
        <f>IFERROR(VLOOKUP($B1274,Platts!$E$5:$M$4994,MATCH(D$3,Platts!$F$5:$M$5,0)+1,FALSE),D1273)</f>
        <v>64.61</v>
      </c>
      <c r="E1274" s="6">
        <f>IFERROR(VLOOKUP($B1274,Platts!$E$5:$M$4994,MATCH(E$3,Platts!$F$5:$M$5,0)+1,FALSE),E1273)</f>
        <v>60.96</v>
      </c>
      <c r="F1274" s="6">
        <f>IFERROR(VLOOKUP($B1274,Platts!$E$5:$M$4994,MATCH(F$3,Platts!$F$5:$M$5,0)+1,FALSE),F1273)</f>
        <v>67.13</v>
      </c>
      <c r="G1274" s="6">
        <f>IFERROR(VLOOKUP($B1274,Platts!$E$5:$M$4994,MATCH(G$3,Platts!$F$5:$M$5,0)+1,FALSE),G1273)</f>
        <v>64.38</v>
      </c>
      <c r="H1274" s="6">
        <f>IFERROR(VLOOKUP($B1274,Platts!$E$5:$M$4994,MATCH(H$3,Platts!$F$5:$M$5,0)+1,FALSE),H1273)</f>
        <v>57.73</v>
      </c>
      <c r="I1274" s="6">
        <f>IFERROR(VLOOKUP($B1274,Platts!$E$5:$M$4994,MATCH(I$3,Platts!$F$5:$M$5,0)+1,FALSE),I1273)</f>
        <v>62.73</v>
      </c>
      <c r="J1274" s="6">
        <f t="shared" si="38"/>
        <v>-1.8600000000000065</v>
      </c>
    </row>
    <row r="1275" spans="2:10" x14ac:dyDescent="0.25">
      <c r="B1275" s="5">
        <f t="shared" si="39"/>
        <v>43641</v>
      </c>
      <c r="C1275" s="6">
        <f>IFERROR(VLOOKUP($B1275,Platts!$E$5:$M$4994,MATCH(C$3,Platts!$F$5:$M$5,0)+1,FALSE),C1274)</f>
        <v>59.63</v>
      </c>
      <c r="D1275" s="6">
        <f>IFERROR(VLOOKUP($B1275,Platts!$E$5:$M$4994,MATCH(D$3,Platts!$F$5:$M$5,0)+1,FALSE),D1274)</f>
        <v>64.39</v>
      </c>
      <c r="E1275" s="6">
        <f>IFERROR(VLOOKUP($B1275,Platts!$E$5:$M$4994,MATCH(E$3,Platts!$F$5:$M$5,0)+1,FALSE),E1274)</f>
        <v>61.02</v>
      </c>
      <c r="F1275" s="6">
        <f>IFERROR(VLOOKUP($B1275,Platts!$E$5:$M$4994,MATCH(F$3,Platts!$F$5:$M$5,0)+1,FALSE),F1274)</f>
        <v>66.930000000000007</v>
      </c>
      <c r="G1275" s="6">
        <f>IFERROR(VLOOKUP($B1275,Platts!$E$5:$M$4994,MATCH(G$3,Platts!$F$5:$M$5,0)+1,FALSE),G1274)</f>
        <v>65.53</v>
      </c>
      <c r="H1275" s="6">
        <f>IFERROR(VLOOKUP($B1275,Platts!$E$5:$M$4994,MATCH(H$3,Platts!$F$5:$M$5,0)+1,FALSE),H1274)</f>
        <v>57.58</v>
      </c>
      <c r="I1275" s="6">
        <f>IFERROR(VLOOKUP($B1275,Platts!$E$5:$M$4994,MATCH(I$3,Platts!$F$5:$M$5,0)+1,FALSE),I1274)</f>
        <v>62.43</v>
      </c>
      <c r="J1275" s="6">
        <f t="shared" si="38"/>
        <v>-2.0500000000000043</v>
      </c>
    </row>
    <row r="1276" spans="2:10" x14ac:dyDescent="0.25">
      <c r="B1276" s="5">
        <f t="shared" si="39"/>
        <v>43642</v>
      </c>
      <c r="C1276" s="6">
        <f>IFERROR(VLOOKUP($B1276,Platts!$E$5:$M$4994,MATCH(C$3,Platts!$F$5:$M$5,0)+1,FALSE),C1275)</f>
        <v>61.16</v>
      </c>
      <c r="D1276" s="6">
        <f>IFERROR(VLOOKUP($B1276,Platts!$E$5:$M$4994,MATCH(D$3,Platts!$F$5:$M$5,0)+1,FALSE),D1275)</f>
        <v>66.16</v>
      </c>
      <c r="E1276" s="6">
        <f>IFERROR(VLOOKUP($B1276,Platts!$E$5:$M$4994,MATCH(E$3,Platts!$F$5:$M$5,0)+1,FALSE),E1275)</f>
        <v>62.81</v>
      </c>
      <c r="F1276" s="6">
        <f>IFERROR(VLOOKUP($B1276,Platts!$E$5:$M$4994,MATCH(F$3,Platts!$F$5:$M$5,0)+1,FALSE),F1275)</f>
        <v>68.62</v>
      </c>
      <c r="G1276" s="6">
        <f>IFERROR(VLOOKUP($B1276,Platts!$E$5:$M$4994,MATCH(G$3,Platts!$F$5:$M$5,0)+1,FALSE),G1275)</f>
        <v>66.430000000000007</v>
      </c>
      <c r="H1276" s="6">
        <f>IFERROR(VLOOKUP($B1276,Platts!$E$5:$M$4994,MATCH(H$3,Platts!$F$5:$M$5,0)+1,FALSE),H1275)</f>
        <v>59.38</v>
      </c>
      <c r="I1276" s="6">
        <f>IFERROR(VLOOKUP($B1276,Platts!$E$5:$M$4994,MATCH(I$3,Platts!$F$5:$M$5,0)+1,FALSE),I1275)</f>
        <v>64.13</v>
      </c>
      <c r="J1276" s="6">
        <f t="shared" si="38"/>
        <v>-1.779999999999994</v>
      </c>
    </row>
    <row r="1277" spans="2:10" x14ac:dyDescent="0.25">
      <c r="B1277" s="5">
        <f t="shared" si="39"/>
        <v>43643</v>
      </c>
      <c r="C1277" s="6">
        <f>IFERROR(VLOOKUP($B1277,Platts!$E$5:$M$4994,MATCH(C$3,Platts!$F$5:$M$5,0)+1,FALSE),C1276)</f>
        <v>61.21</v>
      </c>
      <c r="D1277" s="6">
        <f>IFERROR(VLOOKUP($B1277,Platts!$E$5:$M$4994,MATCH(D$3,Platts!$F$5:$M$5,0)+1,FALSE),D1276)</f>
        <v>66.3</v>
      </c>
      <c r="E1277" s="6">
        <f>IFERROR(VLOOKUP($B1277,Platts!$E$5:$M$4994,MATCH(E$3,Platts!$F$5:$M$5,0)+1,FALSE),E1276)</f>
        <v>62.93</v>
      </c>
      <c r="F1277" s="6">
        <f>IFERROR(VLOOKUP($B1277,Platts!$E$5:$M$4994,MATCH(F$3,Platts!$F$5:$M$5,0)+1,FALSE),F1276)</f>
        <v>68.709999999999994</v>
      </c>
      <c r="G1277" s="6">
        <f>IFERROR(VLOOKUP($B1277,Platts!$E$5:$M$4994,MATCH(G$3,Platts!$F$5:$M$5,0)+1,FALSE),G1276)</f>
        <v>66.25</v>
      </c>
      <c r="H1277" s="6">
        <f>IFERROR(VLOOKUP($B1277,Platts!$E$5:$M$4994,MATCH(H$3,Platts!$F$5:$M$5,0)+1,FALSE),H1276)</f>
        <v>59.43</v>
      </c>
      <c r="I1277" s="6">
        <f>IFERROR(VLOOKUP($B1277,Platts!$E$5:$M$4994,MATCH(I$3,Platts!$F$5:$M$5,0)+1,FALSE),I1276)</f>
        <v>64.180000000000007</v>
      </c>
      <c r="J1277" s="6">
        <f t="shared" si="38"/>
        <v>-1.7800000000000011</v>
      </c>
    </row>
    <row r="1278" spans="2:10" x14ac:dyDescent="0.25">
      <c r="B1278" s="5">
        <f t="shared" si="39"/>
        <v>43644</v>
      </c>
      <c r="C1278" s="6">
        <f>IFERROR(VLOOKUP($B1278,Platts!$E$5:$M$4994,MATCH(C$3,Platts!$F$5:$M$5,0)+1,FALSE),C1277)</f>
        <v>61.08</v>
      </c>
      <c r="D1278" s="6">
        <f>IFERROR(VLOOKUP($B1278,Platts!$E$5:$M$4994,MATCH(D$3,Platts!$F$5:$M$5,0)+1,FALSE),D1277)</f>
        <v>65.33</v>
      </c>
      <c r="E1278" s="6">
        <f>IFERROR(VLOOKUP($B1278,Platts!$E$5:$M$4994,MATCH(E$3,Platts!$F$5:$M$5,0)+1,FALSE),E1277)</f>
        <v>62.35</v>
      </c>
      <c r="F1278" s="6">
        <f>IFERROR(VLOOKUP($B1278,Platts!$E$5:$M$4994,MATCH(F$3,Platts!$F$5:$M$5,0)+1,FALSE),F1277)</f>
        <v>67.69</v>
      </c>
      <c r="G1278" s="6">
        <f>IFERROR(VLOOKUP($B1278,Platts!$E$5:$M$4994,MATCH(G$3,Platts!$F$5:$M$5,0)+1,FALSE),G1277)</f>
        <v>66.81</v>
      </c>
      <c r="H1278" s="6">
        <f>IFERROR(VLOOKUP($B1278,Platts!$E$5:$M$4994,MATCH(H$3,Platts!$F$5:$M$5,0)+1,FALSE),H1277)</f>
        <v>58.47</v>
      </c>
      <c r="I1278" s="6">
        <f>IFERROR(VLOOKUP($B1278,Platts!$E$5:$M$4994,MATCH(I$3,Platts!$F$5:$M$5,0)+1,FALSE),I1277)</f>
        <v>63.22</v>
      </c>
      <c r="J1278" s="6">
        <f t="shared" si="38"/>
        <v>-2.6099999999999994</v>
      </c>
    </row>
    <row r="1279" spans="2:10" x14ac:dyDescent="0.25">
      <c r="B1279" s="5">
        <f t="shared" si="39"/>
        <v>43645</v>
      </c>
      <c r="C1279" s="6">
        <f>IFERROR(VLOOKUP($B1279,Platts!$E$5:$M$4994,MATCH(C$3,Platts!$F$5:$M$5,0)+1,FALSE),C1278)</f>
        <v>61.08</v>
      </c>
      <c r="D1279" s="6">
        <f>IFERROR(VLOOKUP($B1279,Platts!$E$5:$M$4994,MATCH(D$3,Platts!$F$5:$M$5,0)+1,FALSE),D1278)</f>
        <v>65.33</v>
      </c>
      <c r="E1279" s="6">
        <f>IFERROR(VLOOKUP($B1279,Platts!$E$5:$M$4994,MATCH(E$3,Platts!$F$5:$M$5,0)+1,FALSE),E1278)</f>
        <v>62.35</v>
      </c>
      <c r="F1279" s="6">
        <f>IFERROR(VLOOKUP($B1279,Platts!$E$5:$M$4994,MATCH(F$3,Platts!$F$5:$M$5,0)+1,FALSE),F1278)</f>
        <v>67.69</v>
      </c>
      <c r="G1279" s="6">
        <f>IFERROR(VLOOKUP($B1279,Platts!$E$5:$M$4994,MATCH(G$3,Platts!$F$5:$M$5,0)+1,FALSE),G1278)</f>
        <v>66.81</v>
      </c>
      <c r="H1279" s="6">
        <f>IFERROR(VLOOKUP($B1279,Platts!$E$5:$M$4994,MATCH(H$3,Platts!$F$5:$M$5,0)+1,FALSE),H1278)</f>
        <v>58.47</v>
      </c>
      <c r="I1279" s="6">
        <f>IFERROR(VLOOKUP($B1279,Platts!$E$5:$M$4994,MATCH(I$3,Platts!$F$5:$M$5,0)+1,FALSE),I1278)</f>
        <v>63.22</v>
      </c>
      <c r="J1279" s="6">
        <f t="shared" si="38"/>
        <v>-2.6099999999999994</v>
      </c>
    </row>
    <row r="1280" spans="2:10" x14ac:dyDescent="0.25">
      <c r="B1280" s="5">
        <f t="shared" si="39"/>
        <v>43646</v>
      </c>
      <c r="C1280" s="6">
        <f>IFERROR(VLOOKUP($B1280,Platts!$E$5:$M$4994,MATCH(C$3,Platts!$F$5:$M$5,0)+1,FALSE),C1279)</f>
        <v>61.08</v>
      </c>
      <c r="D1280" s="6">
        <f>IFERROR(VLOOKUP($B1280,Platts!$E$5:$M$4994,MATCH(D$3,Platts!$F$5:$M$5,0)+1,FALSE),D1279)</f>
        <v>65.33</v>
      </c>
      <c r="E1280" s="6">
        <f>IFERROR(VLOOKUP($B1280,Platts!$E$5:$M$4994,MATCH(E$3,Platts!$F$5:$M$5,0)+1,FALSE),E1279)</f>
        <v>62.35</v>
      </c>
      <c r="F1280" s="6">
        <f>IFERROR(VLOOKUP($B1280,Platts!$E$5:$M$4994,MATCH(F$3,Platts!$F$5:$M$5,0)+1,FALSE),F1279)</f>
        <v>67.69</v>
      </c>
      <c r="G1280" s="6">
        <f>IFERROR(VLOOKUP($B1280,Platts!$E$5:$M$4994,MATCH(G$3,Platts!$F$5:$M$5,0)+1,FALSE),G1279)</f>
        <v>66.81</v>
      </c>
      <c r="H1280" s="6">
        <f>IFERROR(VLOOKUP($B1280,Platts!$E$5:$M$4994,MATCH(H$3,Platts!$F$5:$M$5,0)+1,FALSE),H1279)</f>
        <v>58.47</v>
      </c>
      <c r="I1280" s="6">
        <f>IFERROR(VLOOKUP($B1280,Platts!$E$5:$M$4994,MATCH(I$3,Platts!$F$5:$M$5,0)+1,FALSE),I1279)</f>
        <v>63.22</v>
      </c>
      <c r="J1280" s="6">
        <f t="shared" si="38"/>
        <v>-2.6099999999999994</v>
      </c>
    </row>
    <row r="1281" spans="2:10" x14ac:dyDescent="0.25">
      <c r="B1281" s="5">
        <f t="shared" si="39"/>
        <v>43647</v>
      </c>
      <c r="C1281" s="6">
        <f>IFERROR(VLOOKUP($B1281,Platts!$E$5:$M$4994,MATCH(C$3,Platts!$F$5:$M$5,0)+1,FALSE),C1280)</f>
        <v>60.6</v>
      </c>
      <c r="D1281" s="6">
        <f>IFERROR(VLOOKUP($B1281,Platts!$E$5:$M$4994,MATCH(D$3,Platts!$F$5:$M$5,0)+1,FALSE),D1280)</f>
        <v>65.52</v>
      </c>
      <c r="E1281" s="6">
        <f>IFERROR(VLOOKUP($B1281,Platts!$E$5:$M$4994,MATCH(E$3,Platts!$F$5:$M$5,0)+1,FALSE),E1280)</f>
        <v>62.32</v>
      </c>
      <c r="F1281" s="6">
        <f>IFERROR(VLOOKUP($B1281,Platts!$E$5:$M$4994,MATCH(F$3,Platts!$F$5:$M$5,0)+1,FALSE),F1280)</f>
        <v>68.66</v>
      </c>
      <c r="G1281" s="6">
        <f>IFERROR(VLOOKUP($B1281,Platts!$E$5:$M$4994,MATCH(G$3,Platts!$F$5:$M$5,0)+1,FALSE),G1280)</f>
        <v>65.010000000000005</v>
      </c>
      <c r="H1281" s="6">
        <f>IFERROR(VLOOKUP($B1281,Platts!$E$5:$M$4994,MATCH(H$3,Platts!$F$5:$M$5,0)+1,FALSE),H1280)</f>
        <v>59.09</v>
      </c>
      <c r="I1281" s="6">
        <f>IFERROR(VLOOKUP($B1281,Platts!$E$5:$M$4994,MATCH(I$3,Platts!$F$5:$M$5,0)+1,FALSE),I1280)</f>
        <v>63.69</v>
      </c>
      <c r="J1281" s="6">
        <f t="shared" si="38"/>
        <v>-1.509999999999998</v>
      </c>
    </row>
    <row r="1282" spans="2:10" x14ac:dyDescent="0.25">
      <c r="B1282" s="5">
        <f t="shared" si="39"/>
        <v>43648</v>
      </c>
      <c r="C1282" s="6">
        <f>IFERROR(VLOOKUP($B1282,Platts!$E$5:$M$4994,MATCH(C$3,Platts!$F$5:$M$5,0)+1,FALSE),C1281)</f>
        <v>58.69</v>
      </c>
      <c r="D1282" s="6">
        <f>IFERROR(VLOOKUP($B1282,Platts!$E$5:$M$4994,MATCH(D$3,Platts!$F$5:$M$5,0)+1,FALSE),D1281)</f>
        <v>62.38</v>
      </c>
      <c r="E1282" s="6">
        <f>IFERROR(VLOOKUP($B1282,Platts!$E$5:$M$4994,MATCH(E$3,Platts!$F$5:$M$5,0)+1,FALSE),E1281)</f>
        <v>60.22</v>
      </c>
      <c r="F1282" s="6">
        <f>IFERROR(VLOOKUP($B1282,Platts!$E$5:$M$4994,MATCH(F$3,Platts!$F$5:$M$5,0)+1,FALSE),F1281)</f>
        <v>65.510000000000005</v>
      </c>
      <c r="G1282" s="6">
        <f>IFERROR(VLOOKUP($B1282,Platts!$E$5:$M$4994,MATCH(G$3,Platts!$F$5:$M$5,0)+1,FALSE),G1281)</f>
        <v>63.07</v>
      </c>
      <c r="H1282" s="6">
        <f>IFERROR(VLOOKUP($B1282,Platts!$E$5:$M$4994,MATCH(H$3,Platts!$F$5:$M$5,0)+1,FALSE),H1281)</f>
        <v>56.25</v>
      </c>
      <c r="I1282" s="6">
        <f>IFERROR(VLOOKUP($B1282,Platts!$E$5:$M$4994,MATCH(I$3,Platts!$F$5:$M$5,0)+1,FALSE),I1281)</f>
        <v>60.9</v>
      </c>
      <c r="J1282" s="6">
        <f t="shared" si="38"/>
        <v>-2.4399999999999977</v>
      </c>
    </row>
    <row r="1283" spans="2:10" x14ac:dyDescent="0.25">
      <c r="B1283" s="5">
        <f t="shared" si="39"/>
        <v>43649</v>
      </c>
      <c r="C1283" s="6">
        <f>IFERROR(VLOOKUP($B1283,Platts!$E$5:$M$4994,MATCH(C$3,Platts!$F$5:$M$5,0)+1,FALSE),C1282)</f>
        <v>59.33</v>
      </c>
      <c r="D1283" s="6">
        <f>IFERROR(VLOOKUP($B1283,Platts!$E$5:$M$4994,MATCH(D$3,Platts!$F$5:$M$5,0)+1,FALSE),D1282)</f>
        <v>63.29</v>
      </c>
      <c r="E1283" s="6">
        <f>IFERROR(VLOOKUP($B1283,Platts!$E$5:$M$4994,MATCH(E$3,Platts!$F$5:$M$5,0)+1,FALSE),E1282)</f>
        <v>61.48</v>
      </c>
      <c r="F1283" s="6">
        <f>IFERROR(VLOOKUP($B1283,Platts!$E$5:$M$4994,MATCH(F$3,Platts!$F$5:$M$5,0)+1,FALSE),F1282)</f>
        <v>66.48</v>
      </c>
      <c r="G1283" s="6">
        <f>IFERROR(VLOOKUP($B1283,Platts!$E$5:$M$4994,MATCH(G$3,Platts!$F$5:$M$5,0)+1,FALSE),G1282)</f>
        <v>63.26</v>
      </c>
      <c r="H1283" s="6">
        <f>IFERROR(VLOOKUP($B1283,Platts!$E$5:$M$4994,MATCH(H$3,Platts!$F$5:$M$5,0)+1,FALSE),H1282)</f>
        <v>57.34</v>
      </c>
      <c r="I1283" s="6">
        <f>IFERROR(VLOOKUP($B1283,Platts!$E$5:$M$4994,MATCH(I$3,Platts!$F$5:$M$5,0)+1,FALSE),I1282)</f>
        <v>62.09</v>
      </c>
      <c r="J1283" s="6">
        <f t="shared" si="38"/>
        <v>-1.9899999999999949</v>
      </c>
    </row>
    <row r="1284" spans="2:10" x14ac:dyDescent="0.25">
      <c r="B1284" s="5">
        <f t="shared" si="39"/>
        <v>43650</v>
      </c>
      <c r="C1284" s="6">
        <f>IFERROR(VLOOKUP($B1284,Platts!$E$5:$M$4994,MATCH(C$3,Platts!$F$5:$M$5,0)+1,FALSE),C1283)</f>
        <v>59.33</v>
      </c>
      <c r="D1284" s="6">
        <f>IFERROR(VLOOKUP($B1284,Platts!$E$5:$M$4994,MATCH(D$3,Platts!$F$5:$M$5,0)+1,FALSE),D1283)</f>
        <v>63.29</v>
      </c>
      <c r="E1284" s="6">
        <f>IFERROR(VLOOKUP($B1284,Platts!$E$5:$M$4994,MATCH(E$3,Platts!$F$5:$M$5,0)+1,FALSE),E1283)</f>
        <v>61.48</v>
      </c>
      <c r="F1284" s="6">
        <f>IFERROR(VLOOKUP($B1284,Platts!$E$5:$M$4994,MATCH(F$3,Platts!$F$5:$M$5,0)+1,FALSE),F1283)</f>
        <v>66.48</v>
      </c>
      <c r="G1284" s="6">
        <f>IFERROR(VLOOKUP($B1284,Platts!$E$5:$M$4994,MATCH(G$3,Platts!$F$5:$M$5,0)+1,FALSE),G1283)</f>
        <v>63.64</v>
      </c>
      <c r="H1284" s="6">
        <f>IFERROR(VLOOKUP($B1284,Platts!$E$5:$M$4994,MATCH(H$3,Platts!$F$5:$M$5,0)+1,FALSE),H1283)</f>
        <v>57.34</v>
      </c>
      <c r="I1284" s="6">
        <f>IFERROR(VLOOKUP($B1284,Platts!$E$5:$M$4994,MATCH(I$3,Platts!$F$5:$M$5,0)+1,FALSE),I1283)</f>
        <v>62.09</v>
      </c>
      <c r="J1284" s="6">
        <f t="shared" ref="J1284:J1347" si="40">H1284-C1284</f>
        <v>-1.9899999999999949</v>
      </c>
    </row>
    <row r="1285" spans="2:10" x14ac:dyDescent="0.25">
      <c r="B1285" s="5">
        <f t="shared" si="39"/>
        <v>43651</v>
      </c>
      <c r="C1285" s="6">
        <f>IFERROR(VLOOKUP($B1285,Platts!$E$5:$M$4994,MATCH(C$3,Platts!$F$5:$M$5,0)+1,FALSE),C1284)</f>
        <v>59.33</v>
      </c>
      <c r="D1285" s="6">
        <f>IFERROR(VLOOKUP($B1285,Platts!$E$5:$M$4994,MATCH(D$3,Platts!$F$5:$M$5,0)+1,FALSE),D1284)</f>
        <v>63.29</v>
      </c>
      <c r="E1285" s="6">
        <f>IFERROR(VLOOKUP($B1285,Platts!$E$5:$M$4994,MATCH(E$3,Platts!$F$5:$M$5,0)+1,FALSE),E1284)</f>
        <v>61.48</v>
      </c>
      <c r="F1285" s="6">
        <f>IFERROR(VLOOKUP($B1285,Platts!$E$5:$M$4994,MATCH(F$3,Platts!$F$5:$M$5,0)+1,FALSE),F1284)</f>
        <v>66.48</v>
      </c>
      <c r="G1285" s="6">
        <f>IFERROR(VLOOKUP($B1285,Platts!$E$5:$M$4994,MATCH(G$3,Platts!$F$5:$M$5,0)+1,FALSE),G1284)</f>
        <v>64.13</v>
      </c>
      <c r="H1285" s="6">
        <f>IFERROR(VLOOKUP($B1285,Platts!$E$5:$M$4994,MATCH(H$3,Platts!$F$5:$M$5,0)+1,FALSE),H1284)</f>
        <v>57.34</v>
      </c>
      <c r="I1285" s="6">
        <f>IFERROR(VLOOKUP($B1285,Platts!$E$5:$M$4994,MATCH(I$3,Platts!$F$5:$M$5,0)+1,FALSE),I1284)</f>
        <v>62.09</v>
      </c>
      <c r="J1285" s="6">
        <f t="shared" si="40"/>
        <v>-1.9899999999999949</v>
      </c>
    </row>
    <row r="1286" spans="2:10" x14ac:dyDescent="0.25">
      <c r="B1286" s="5">
        <f t="shared" ref="B1286:B1349" si="41">B1285+1</f>
        <v>43652</v>
      </c>
      <c r="C1286" s="6">
        <f>IFERROR(VLOOKUP($B1286,Platts!$E$5:$M$4994,MATCH(C$3,Platts!$F$5:$M$5,0)+1,FALSE),C1285)</f>
        <v>59.33</v>
      </c>
      <c r="D1286" s="6">
        <f>IFERROR(VLOOKUP($B1286,Platts!$E$5:$M$4994,MATCH(D$3,Platts!$F$5:$M$5,0)+1,FALSE),D1285)</f>
        <v>63.29</v>
      </c>
      <c r="E1286" s="6">
        <f>IFERROR(VLOOKUP($B1286,Platts!$E$5:$M$4994,MATCH(E$3,Platts!$F$5:$M$5,0)+1,FALSE),E1285)</f>
        <v>61.48</v>
      </c>
      <c r="F1286" s="6">
        <f>IFERROR(VLOOKUP($B1286,Platts!$E$5:$M$4994,MATCH(F$3,Platts!$F$5:$M$5,0)+1,FALSE),F1285)</f>
        <v>66.48</v>
      </c>
      <c r="G1286" s="6">
        <f>IFERROR(VLOOKUP($B1286,Platts!$E$5:$M$4994,MATCH(G$3,Platts!$F$5:$M$5,0)+1,FALSE),G1285)</f>
        <v>64.13</v>
      </c>
      <c r="H1286" s="6">
        <f>IFERROR(VLOOKUP($B1286,Platts!$E$5:$M$4994,MATCH(H$3,Platts!$F$5:$M$5,0)+1,FALSE),H1285)</f>
        <v>57.34</v>
      </c>
      <c r="I1286" s="6">
        <f>IFERROR(VLOOKUP($B1286,Platts!$E$5:$M$4994,MATCH(I$3,Platts!$F$5:$M$5,0)+1,FALSE),I1285)</f>
        <v>62.09</v>
      </c>
      <c r="J1286" s="6">
        <f t="shared" si="40"/>
        <v>-1.9899999999999949</v>
      </c>
    </row>
    <row r="1287" spans="2:10" x14ac:dyDescent="0.25">
      <c r="B1287" s="5">
        <f t="shared" si="41"/>
        <v>43653</v>
      </c>
      <c r="C1287" s="6">
        <f>IFERROR(VLOOKUP($B1287,Platts!$E$5:$M$4994,MATCH(C$3,Platts!$F$5:$M$5,0)+1,FALSE),C1286)</f>
        <v>59.33</v>
      </c>
      <c r="D1287" s="6">
        <f>IFERROR(VLOOKUP($B1287,Platts!$E$5:$M$4994,MATCH(D$3,Platts!$F$5:$M$5,0)+1,FALSE),D1286)</f>
        <v>63.29</v>
      </c>
      <c r="E1287" s="6">
        <f>IFERROR(VLOOKUP($B1287,Platts!$E$5:$M$4994,MATCH(E$3,Platts!$F$5:$M$5,0)+1,FALSE),E1286)</f>
        <v>61.48</v>
      </c>
      <c r="F1287" s="6">
        <f>IFERROR(VLOOKUP($B1287,Platts!$E$5:$M$4994,MATCH(F$3,Platts!$F$5:$M$5,0)+1,FALSE),F1286)</f>
        <v>66.48</v>
      </c>
      <c r="G1287" s="6">
        <f>IFERROR(VLOOKUP($B1287,Platts!$E$5:$M$4994,MATCH(G$3,Platts!$F$5:$M$5,0)+1,FALSE),G1286)</f>
        <v>64.13</v>
      </c>
      <c r="H1287" s="6">
        <f>IFERROR(VLOOKUP($B1287,Platts!$E$5:$M$4994,MATCH(H$3,Platts!$F$5:$M$5,0)+1,FALSE),H1286)</f>
        <v>57.34</v>
      </c>
      <c r="I1287" s="6">
        <f>IFERROR(VLOOKUP($B1287,Platts!$E$5:$M$4994,MATCH(I$3,Platts!$F$5:$M$5,0)+1,FALSE),I1286)</f>
        <v>62.09</v>
      </c>
      <c r="J1287" s="6">
        <f t="shared" si="40"/>
        <v>-1.9899999999999949</v>
      </c>
    </row>
    <row r="1288" spans="2:10" x14ac:dyDescent="0.25">
      <c r="B1288" s="5">
        <f t="shared" si="41"/>
        <v>43654</v>
      </c>
      <c r="C1288" s="6">
        <f>IFERROR(VLOOKUP($B1288,Platts!$E$5:$M$4994,MATCH(C$3,Platts!$F$5:$M$5,0)+1,FALSE),C1287)</f>
        <v>60.29</v>
      </c>
      <c r="D1288" s="6">
        <f>IFERROR(VLOOKUP($B1288,Platts!$E$5:$M$4994,MATCH(D$3,Platts!$F$5:$M$5,0)+1,FALSE),D1287)</f>
        <v>63.53</v>
      </c>
      <c r="E1288" s="6">
        <f>IFERROR(VLOOKUP($B1288,Platts!$E$5:$M$4994,MATCH(E$3,Platts!$F$5:$M$5,0)+1,FALSE),E1287)</f>
        <v>61.19</v>
      </c>
      <c r="F1288" s="6">
        <f>IFERROR(VLOOKUP($B1288,Platts!$E$5:$M$4994,MATCH(F$3,Platts!$F$5:$M$5,0)+1,FALSE),F1287)</f>
        <v>66.760000000000005</v>
      </c>
      <c r="G1288" s="6">
        <f>IFERROR(VLOOKUP($B1288,Platts!$E$5:$M$4994,MATCH(G$3,Platts!$F$5:$M$5,0)+1,FALSE),G1287)</f>
        <v>64.790000000000006</v>
      </c>
      <c r="H1288" s="6">
        <f>IFERROR(VLOOKUP($B1288,Platts!$E$5:$M$4994,MATCH(H$3,Platts!$F$5:$M$5,0)+1,FALSE),H1287)</f>
        <v>57.66</v>
      </c>
      <c r="I1288" s="6">
        <f>IFERROR(VLOOKUP($B1288,Platts!$E$5:$M$4994,MATCH(I$3,Platts!$F$5:$M$5,0)+1,FALSE),I1287)</f>
        <v>62.41</v>
      </c>
      <c r="J1288" s="6">
        <f t="shared" si="40"/>
        <v>-2.6300000000000026</v>
      </c>
    </row>
    <row r="1289" spans="2:10" x14ac:dyDescent="0.25">
      <c r="B1289" s="5">
        <f t="shared" si="41"/>
        <v>43655</v>
      </c>
      <c r="C1289" s="6">
        <f>IFERROR(VLOOKUP($B1289,Platts!$E$5:$M$4994,MATCH(C$3,Platts!$F$5:$M$5,0)+1,FALSE),C1288)</f>
        <v>59.18</v>
      </c>
      <c r="D1289" s="6">
        <f>IFERROR(VLOOKUP($B1289,Platts!$E$5:$M$4994,MATCH(D$3,Platts!$F$5:$M$5,0)+1,FALSE),D1288)</f>
        <v>63.79</v>
      </c>
      <c r="E1289" s="6">
        <f>IFERROR(VLOOKUP($B1289,Platts!$E$5:$M$4994,MATCH(E$3,Platts!$F$5:$M$5,0)+1,FALSE),E1288)</f>
        <v>60.4</v>
      </c>
      <c r="F1289" s="6">
        <f>IFERROR(VLOOKUP($B1289,Platts!$E$5:$M$4994,MATCH(F$3,Platts!$F$5:$M$5,0)+1,FALSE),F1288)</f>
        <v>67</v>
      </c>
      <c r="G1289" s="6">
        <f>IFERROR(VLOOKUP($B1289,Platts!$E$5:$M$4994,MATCH(G$3,Platts!$F$5:$M$5,0)+1,FALSE),G1288)</f>
        <v>64.13</v>
      </c>
      <c r="H1289" s="6">
        <f>IFERROR(VLOOKUP($B1289,Platts!$E$5:$M$4994,MATCH(H$3,Platts!$F$5:$M$5,0)+1,FALSE),H1288)</f>
        <v>57.83</v>
      </c>
      <c r="I1289" s="6">
        <f>IFERROR(VLOOKUP($B1289,Platts!$E$5:$M$4994,MATCH(I$3,Platts!$F$5:$M$5,0)+1,FALSE),I1288)</f>
        <v>62.58</v>
      </c>
      <c r="J1289" s="6">
        <f t="shared" si="40"/>
        <v>-1.3500000000000014</v>
      </c>
    </row>
    <row r="1290" spans="2:10" x14ac:dyDescent="0.25">
      <c r="B1290" s="5">
        <f t="shared" si="41"/>
        <v>43656</v>
      </c>
      <c r="C1290" s="6">
        <f>IFERROR(VLOOKUP($B1290,Platts!$E$5:$M$4994,MATCH(C$3,Platts!$F$5:$M$5,0)+1,FALSE),C1289)</f>
        <v>62.32</v>
      </c>
      <c r="D1290" s="6">
        <f>IFERROR(VLOOKUP($B1290,Platts!$E$5:$M$4994,MATCH(D$3,Platts!$F$5:$M$5,0)+1,FALSE),D1289)</f>
        <v>66.459999999999994</v>
      </c>
      <c r="E1290" s="6">
        <f>IFERROR(VLOOKUP($B1290,Platts!$E$5:$M$4994,MATCH(E$3,Platts!$F$5:$M$5,0)+1,FALSE),E1289)</f>
        <v>64.25</v>
      </c>
      <c r="F1290" s="6">
        <f>IFERROR(VLOOKUP($B1290,Platts!$E$5:$M$4994,MATCH(F$3,Platts!$F$5:$M$5,0)+1,FALSE),F1289)</f>
        <v>69.67</v>
      </c>
      <c r="G1290" s="6">
        <f>IFERROR(VLOOKUP($B1290,Platts!$E$5:$M$4994,MATCH(G$3,Platts!$F$5:$M$5,0)+1,FALSE),G1289)</f>
        <v>66.25</v>
      </c>
      <c r="H1290" s="6">
        <f>IFERROR(VLOOKUP($B1290,Platts!$E$5:$M$4994,MATCH(H$3,Platts!$F$5:$M$5,0)+1,FALSE),H1289)</f>
        <v>60.43</v>
      </c>
      <c r="I1290" s="6">
        <f>IFERROR(VLOOKUP($B1290,Platts!$E$5:$M$4994,MATCH(I$3,Platts!$F$5:$M$5,0)+1,FALSE),I1289)</f>
        <v>65.430000000000007</v>
      </c>
      <c r="J1290" s="6">
        <f t="shared" si="40"/>
        <v>-1.8900000000000006</v>
      </c>
    </row>
    <row r="1291" spans="2:10" x14ac:dyDescent="0.25">
      <c r="B1291" s="5">
        <f t="shared" si="41"/>
        <v>43657</v>
      </c>
      <c r="C1291" s="6">
        <f>IFERROR(VLOOKUP($B1291,Platts!$E$5:$M$4994,MATCH(C$3,Platts!$F$5:$M$5,0)+1,FALSE),C1290)</f>
        <v>62.65</v>
      </c>
      <c r="D1291" s="6">
        <f>IFERROR(VLOOKUP($B1291,Platts!$E$5:$M$4994,MATCH(D$3,Platts!$F$5:$M$5,0)+1,FALSE),D1290)</f>
        <v>66.33</v>
      </c>
      <c r="E1291" s="6">
        <f>IFERROR(VLOOKUP($B1291,Platts!$E$5:$M$4994,MATCH(E$3,Platts!$F$5:$M$5,0)+1,FALSE),E1290)</f>
        <v>63.66</v>
      </c>
      <c r="F1291" s="6">
        <f>IFERROR(VLOOKUP($B1291,Platts!$E$5:$M$4994,MATCH(F$3,Platts!$F$5:$M$5,0)+1,FALSE),F1290)</f>
        <v>69.56</v>
      </c>
      <c r="G1291" s="6">
        <f>IFERROR(VLOOKUP($B1291,Platts!$E$5:$M$4994,MATCH(G$3,Platts!$F$5:$M$5,0)+1,FALSE),G1290)</f>
        <v>66.959999999999994</v>
      </c>
      <c r="H1291" s="6">
        <f>IFERROR(VLOOKUP($B1291,Platts!$E$5:$M$4994,MATCH(H$3,Platts!$F$5:$M$5,0)+1,FALSE),H1290)</f>
        <v>60.2</v>
      </c>
      <c r="I1291" s="6">
        <f>IFERROR(VLOOKUP($B1291,Platts!$E$5:$M$4994,MATCH(I$3,Platts!$F$5:$M$5,0)+1,FALSE),I1290)</f>
        <v>65.05</v>
      </c>
      <c r="J1291" s="6">
        <f t="shared" si="40"/>
        <v>-2.4499999999999957</v>
      </c>
    </row>
    <row r="1292" spans="2:10" x14ac:dyDescent="0.25">
      <c r="B1292" s="5">
        <f t="shared" si="41"/>
        <v>43658</v>
      </c>
      <c r="C1292" s="6">
        <f>IFERROR(VLOOKUP($B1292,Platts!$E$5:$M$4994,MATCH(C$3,Platts!$F$5:$M$5,0)+1,FALSE),C1291)</f>
        <v>61.68</v>
      </c>
      <c r="D1292" s="6">
        <f>IFERROR(VLOOKUP($B1292,Platts!$E$5:$M$4994,MATCH(D$3,Platts!$F$5:$M$5,0)+1,FALSE),D1291)</f>
        <v>66.489999999999995</v>
      </c>
      <c r="E1292" s="6">
        <f>IFERROR(VLOOKUP($B1292,Platts!$E$5:$M$4994,MATCH(E$3,Platts!$F$5:$M$5,0)+1,FALSE),E1291)</f>
        <v>62.43</v>
      </c>
      <c r="F1292" s="6">
        <f>IFERROR(VLOOKUP($B1292,Platts!$E$5:$M$4994,MATCH(F$3,Platts!$F$5:$M$5,0)+1,FALSE),F1291)</f>
        <v>69.78</v>
      </c>
      <c r="G1292" s="6">
        <f>IFERROR(VLOOKUP($B1292,Platts!$E$5:$M$4994,MATCH(G$3,Platts!$F$5:$M$5,0)+1,FALSE),G1291)</f>
        <v>66.760000000000005</v>
      </c>
      <c r="H1292" s="6">
        <f>IFERROR(VLOOKUP($B1292,Platts!$E$5:$M$4994,MATCH(H$3,Platts!$F$5:$M$5,0)+1,FALSE),H1291)</f>
        <v>60.21</v>
      </c>
      <c r="I1292" s="6">
        <f>IFERROR(VLOOKUP($B1292,Platts!$E$5:$M$4994,MATCH(I$3,Platts!$F$5:$M$5,0)+1,FALSE),I1291)</f>
        <v>65.06</v>
      </c>
      <c r="J1292" s="6">
        <f t="shared" si="40"/>
        <v>-1.4699999999999989</v>
      </c>
    </row>
    <row r="1293" spans="2:10" x14ac:dyDescent="0.25">
      <c r="B1293" s="5">
        <f t="shared" si="41"/>
        <v>43659</v>
      </c>
      <c r="C1293" s="6">
        <f>IFERROR(VLOOKUP($B1293,Platts!$E$5:$M$4994,MATCH(C$3,Platts!$F$5:$M$5,0)+1,FALSE),C1292)</f>
        <v>61.68</v>
      </c>
      <c r="D1293" s="6">
        <f>IFERROR(VLOOKUP($B1293,Platts!$E$5:$M$4994,MATCH(D$3,Platts!$F$5:$M$5,0)+1,FALSE),D1292)</f>
        <v>66.489999999999995</v>
      </c>
      <c r="E1293" s="6">
        <f>IFERROR(VLOOKUP($B1293,Platts!$E$5:$M$4994,MATCH(E$3,Platts!$F$5:$M$5,0)+1,FALSE),E1292)</f>
        <v>62.43</v>
      </c>
      <c r="F1293" s="6">
        <f>IFERROR(VLOOKUP($B1293,Platts!$E$5:$M$4994,MATCH(F$3,Platts!$F$5:$M$5,0)+1,FALSE),F1292)</f>
        <v>69.78</v>
      </c>
      <c r="G1293" s="6">
        <f>IFERROR(VLOOKUP($B1293,Platts!$E$5:$M$4994,MATCH(G$3,Platts!$F$5:$M$5,0)+1,FALSE),G1292)</f>
        <v>66.760000000000005</v>
      </c>
      <c r="H1293" s="6">
        <f>IFERROR(VLOOKUP($B1293,Platts!$E$5:$M$4994,MATCH(H$3,Platts!$F$5:$M$5,0)+1,FALSE),H1292)</f>
        <v>60.21</v>
      </c>
      <c r="I1293" s="6">
        <f>IFERROR(VLOOKUP($B1293,Platts!$E$5:$M$4994,MATCH(I$3,Platts!$F$5:$M$5,0)+1,FALSE),I1292)</f>
        <v>65.06</v>
      </c>
      <c r="J1293" s="6">
        <f t="shared" si="40"/>
        <v>-1.4699999999999989</v>
      </c>
    </row>
    <row r="1294" spans="2:10" x14ac:dyDescent="0.25">
      <c r="B1294" s="5">
        <f t="shared" si="41"/>
        <v>43660</v>
      </c>
      <c r="C1294" s="6">
        <f>IFERROR(VLOOKUP($B1294,Platts!$E$5:$M$4994,MATCH(C$3,Platts!$F$5:$M$5,0)+1,FALSE),C1293)</f>
        <v>61.68</v>
      </c>
      <c r="D1294" s="6">
        <f>IFERROR(VLOOKUP($B1294,Platts!$E$5:$M$4994,MATCH(D$3,Platts!$F$5:$M$5,0)+1,FALSE),D1293)</f>
        <v>66.489999999999995</v>
      </c>
      <c r="E1294" s="6">
        <f>IFERROR(VLOOKUP($B1294,Platts!$E$5:$M$4994,MATCH(E$3,Platts!$F$5:$M$5,0)+1,FALSE),E1293)</f>
        <v>62.43</v>
      </c>
      <c r="F1294" s="6">
        <f>IFERROR(VLOOKUP($B1294,Platts!$E$5:$M$4994,MATCH(F$3,Platts!$F$5:$M$5,0)+1,FALSE),F1293)</f>
        <v>69.78</v>
      </c>
      <c r="G1294" s="6">
        <f>IFERROR(VLOOKUP($B1294,Platts!$E$5:$M$4994,MATCH(G$3,Platts!$F$5:$M$5,0)+1,FALSE),G1293)</f>
        <v>66.760000000000005</v>
      </c>
      <c r="H1294" s="6">
        <f>IFERROR(VLOOKUP($B1294,Platts!$E$5:$M$4994,MATCH(H$3,Platts!$F$5:$M$5,0)+1,FALSE),H1293)</f>
        <v>60.21</v>
      </c>
      <c r="I1294" s="6">
        <f>IFERROR(VLOOKUP($B1294,Platts!$E$5:$M$4994,MATCH(I$3,Platts!$F$5:$M$5,0)+1,FALSE),I1293)</f>
        <v>65.06</v>
      </c>
      <c r="J1294" s="6">
        <f t="shared" si="40"/>
        <v>-1.4699999999999989</v>
      </c>
    </row>
    <row r="1295" spans="2:10" x14ac:dyDescent="0.25">
      <c r="B1295" s="5">
        <f t="shared" si="41"/>
        <v>43661</v>
      </c>
      <c r="C1295" s="6">
        <f>IFERROR(VLOOKUP($B1295,Platts!$E$5:$M$4994,MATCH(C$3,Platts!$F$5:$M$5,0)+1,FALSE),C1294)</f>
        <v>60.49</v>
      </c>
      <c r="D1295" s="6">
        <f>IFERROR(VLOOKUP($B1295,Platts!$E$5:$M$4994,MATCH(D$3,Platts!$F$5:$M$5,0)+1,FALSE),D1294)</f>
        <v>65.73</v>
      </c>
      <c r="E1295" s="6">
        <f>IFERROR(VLOOKUP($B1295,Platts!$E$5:$M$4994,MATCH(E$3,Platts!$F$5:$M$5,0)+1,FALSE),E1294)</f>
        <v>60.72</v>
      </c>
      <c r="F1295" s="6">
        <f>IFERROR(VLOOKUP($B1295,Platts!$E$5:$M$4994,MATCH(F$3,Platts!$F$5:$M$5,0)+1,FALSE),F1294)</f>
        <v>68.959999999999994</v>
      </c>
      <c r="G1295" s="6">
        <f>IFERROR(VLOOKUP($B1295,Platts!$E$5:$M$4994,MATCH(G$3,Platts!$F$5:$M$5,0)+1,FALSE),G1294)</f>
        <v>66.760000000000005</v>
      </c>
      <c r="H1295" s="6">
        <f>IFERROR(VLOOKUP($B1295,Platts!$E$5:$M$4994,MATCH(H$3,Platts!$F$5:$M$5,0)+1,FALSE),H1294)</f>
        <v>59.58</v>
      </c>
      <c r="I1295" s="6">
        <f>IFERROR(VLOOKUP($B1295,Platts!$E$5:$M$4994,MATCH(I$3,Platts!$F$5:$M$5,0)+1,FALSE),I1294)</f>
        <v>64.38</v>
      </c>
      <c r="J1295" s="6">
        <f t="shared" si="40"/>
        <v>-0.91000000000000369</v>
      </c>
    </row>
    <row r="1296" spans="2:10" x14ac:dyDescent="0.25">
      <c r="B1296" s="5">
        <f t="shared" si="41"/>
        <v>43662</v>
      </c>
      <c r="C1296" s="6">
        <f>IFERROR(VLOOKUP($B1296,Platts!$E$5:$M$4994,MATCH(C$3,Platts!$F$5:$M$5,0)+1,FALSE),C1295)</f>
        <v>59.4</v>
      </c>
      <c r="D1296" s="6">
        <f>IFERROR(VLOOKUP($B1296,Platts!$E$5:$M$4994,MATCH(D$3,Platts!$F$5:$M$5,0)+1,FALSE),D1295)</f>
        <v>64</v>
      </c>
      <c r="E1296" s="6">
        <f>IFERROR(VLOOKUP($B1296,Platts!$E$5:$M$4994,MATCH(E$3,Platts!$F$5:$M$5,0)+1,FALSE),E1295)</f>
        <v>59.16</v>
      </c>
      <c r="F1296" s="6">
        <f>IFERROR(VLOOKUP($B1296,Platts!$E$5:$M$4994,MATCH(F$3,Platts!$F$5:$M$5,0)+1,FALSE),F1295)</f>
        <v>67.27</v>
      </c>
      <c r="G1296" s="6">
        <f>IFERROR(VLOOKUP($B1296,Platts!$E$5:$M$4994,MATCH(G$3,Platts!$F$5:$M$5,0)+1,FALSE),G1295)</f>
        <v>66.61</v>
      </c>
      <c r="H1296" s="6">
        <f>IFERROR(VLOOKUP($B1296,Platts!$E$5:$M$4994,MATCH(H$3,Platts!$F$5:$M$5,0)+1,FALSE),H1295)</f>
        <v>57.62</v>
      </c>
      <c r="I1296" s="6">
        <f>IFERROR(VLOOKUP($B1296,Platts!$E$5:$M$4994,MATCH(I$3,Platts!$F$5:$M$5,0)+1,FALSE),I1295)</f>
        <v>63.62</v>
      </c>
      <c r="J1296" s="6">
        <f t="shared" si="40"/>
        <v>-1.7800000000000011</v>
      </c>
    </row>
    <row r="1297" spans="2:10" x14ac:dyDescent="0.25">
      <c r="B1297" s="5">
        <f t="shared" si="41"/>
        <v>43663</v>
      </c>
      <c r="C1297" s="6">
        <f>IFERROR(VLOOKUP($B1297,Platts!$E$5:$M$4994,MATCH(C$3,Platts!$F$5:$M$5,0)+1,FALSE),C1296)</f>
        <v>58.21</v>
      </c>
      <c r="D1297" s="6">
        <f>IFERROR(VLOOKUP($B1297,Platts!$E$5:$M$4994,MATCH(D$3,Platts!$F$5:$M$5,0)+1,FALSE),D1296)</f>
        <v>62.92</v>
      </c>
      <c r="E1297" s="6">
        <f>IFERROR(VLOOKUP($B1297,Platts!$E$5:$M$4994,MATCH(E$3,Platts!$F$5:$M$5,0)+1,FALSE),E1296)</f>
        <v>58.41</v>
      </c>
      <c r="F1297" s="6">
        <f>IFERROR(VLOOKUP($B1297,Platts!$E$5:$M$4994,MATCH(F$3,Platts!$F$5:$M$5,0)+1,FALSE),F1296)</f>
        <v>66.16</v>
      </c>
      <c r="G1297" s="6">
        <f>IFERROR(VLOOKUP($B1297,Platts!$E$5:$M$4994,MATCH(G$3,Platts!$F$5:$M$5,0)+1,FALSE),G1296)</f>
        <v>64.14</v>
      </c>
      <c r="H1297" s="6">
        <f>IFERROR(VLOOKUP($B1297,Platts!$E$5:$M$4994,MATCH(H$3,Platts!$F$5:$M$5,0)+1,FALSE),H1296)</f>
        <v>56.78</v>
      </c>
      <c r="I1297" s="6">
        <f>IFERROR(VLOOKUP($B1297,Platts!$E$5:$M$4994,MATCH(I$3,Platts!$F$5:$M$5,0)+1,FALSE),I1296)</f>
        <v>63.08</v>
      </c>
      <c r="J1297" s="6">
        <f t="shared" si="40"/>
        <v>-1.4299999999999997</v>
      </c>
    </row>
    <row r="1298" spans="2:10" x14ac:dyDescent="0.25">
      <c r="B1298" s="5">
        <f t="shared" si="41"/>
        <v>43664</v>
      </c>
      <c r="C1298" s="6">
        <f>IFERROR(VLOOKUP($B1298,Platts!$E$5:$M$4994,MATCH(C$3,Platts!$F$5:$M$5,0)+1,FALSE),C1297)</f>
        <v>56.61</v>
      </c>
      <c r="D1298" s="6">
        <f>IFERROR(VLOOKUP($B1298,Platts!$E$5:$M$4994,MATCH(D$3,Platts!$F$5:$M$5,0)+1,FALSE),D1297)</f>
        <v>61.66</v>
      </c>
      <c r="E1298" s="6">
        <f>IFERROR(VLOOKUP($B1298,Platts!$E$5:$M$4994,MATCH(E$3,Platts!$F$5:$M$5,0)+1,FALSE),E1297)</f>
        <v>57.3</v>
      </c>
      <c r="F1298" s="6">
        <f>IFERROR(VLOOKUP($B1298,Platts!$E$5:$M$4994,MATCH(F$3,Platts!$F$5:$M$5,0)+1,FALSE),F1297)</f>
        <v>64.86</v>
      </c>
      <c r="G1298" s="6">
        <f>IFERROR(VLOOKUP($B1298,Platts!$E$5:$M$4994,MATCH(G$3,Platts!$F$5:$M$5,0)+1,FALSE),G1297)</f>
        <v>61.8</v>
      </c>
      <c r="H1298" s="6">
        <f>IFERROR(VLOOKUP($B1298,Platts!$E$5:$M$4994,MATCH(H$3,Platts!$F$5:$M$5,0)+1,FALSE),H1297)</f>
        <v>55.3</v>
      </c>
      <c r="I1298" s="6">
        <f>IFERROR(VLOOKUP($B1298,Platts!$E$5:$M$4994,MATCH(I$3,Platts!$F$5:$M$5,0)+1,FALSE),I1297)</f>
        <v>61.4</v>
      </c>
      <c r="J1298" s="6">
        <f t="shared" si="40"/>
        <v>-1.3100000000000023</v>
      </c>
    </row>
    <row r="1299" spans="2:10" x14ac:dyDescent="0.25">
      <c r="B1299" s="5">
        <f t="shared" si="41"/>
        <v>43665</v>
      </c>
      <c r="C1299" s="6">
        <f>IFERROR(VLOOKUP($B1299,Platts!$E$5:$M$4994,MATCH(C$3,Platts!$F$5:$M$5,0)+1,FALSE),C1298)</f>
        <v>56.99</v>
      </c>
      <c r="D1299" s="6">
        <f>IFERROR(VLOOKUP($B1299,Platts!$E$5:$M$4994,MATCH(D$3,Platts!$F$5:$M$5,0)+1,FALSE),D1298)</f>
        <v>62.34</v>
      </c>
      <c r="E1299" s="6">
        <f>IFERROR(VLOOKUP($B1299,Platts!$E$5:$M$4994,MATCH(E$3,Platts!$F$5:$M$5,0)+1,FALSE),E1298)</f>
        <v>57.78</v>
      </c>
      <c r="F1299" s="6">
        <f>IFERROR(VLOOKUP($B1299,Platts!$E$5:$M$4994,MATCH(F$3,Platts!$F$5:$M$5,0)+1,FALSE),F1298)</f>
        <v>65.55</v>
      </c>
      <c r="G1299" s="6">
        <f>IFERROR(VLOOKUP($B1299,Platts!$E$5:$M$4994,MATCH(G$3,Platts!$F$5:$M$5,0)+1,FALSE),G1298)</f>
        <v>62.12</v>
      </c>
      <c r="H1299" s="6">
        <f>IFERROR(VLOOKUP($B1299,Platts!$E$5:$M$4994,MATCH(H$3,Platts!$F$5:$M$5,0)+1,FALSE),H1298)</f>
        <v>55.63</v>
      </c>
      <c r="I1299" s="6">
        <f>IFERROR(VLOOKUP($B1299,Platts!$E$5:$M$4994,MATCH(I$3,Platts!$F$5:$M$5,0)+1,FALSE),I1298)</f>
        <v>61.08</v>
      </c>
      <c r="J1299" s="6">
        <f t="shared" si="40"/>
        <v>-1.3599999999999994</v>
      </c>
    </row>
    <row r="1300" spans="2:10" x14ac:dyDescent="0.25">
      <c r="B1300" s="5">
        <f t="shared" si="41"/>
        <v>43666</v>
      </c>
      <c r="C1300" s="6">
        <f>IFERROR(VLOOKUP($B1300,Platts!$E$5:$M$4994,MATCH(C$3,Platts!$F$5:$M$5,0)+1,FALSE),C1299)</f>
        <v>56.99</v>
      </c>
      <c r="D1300" s="6">
        <f>IFERROR(VLOOKUP($B1300,Platts!$E$5:$M$4994,MATCH(D$3,Platts!$F$5:$M$5,0)+1,FALSE),D1299)</f>
        <v>62.34</v>
      </c>
      <c r="E1300" s="6">
        <f>IFERROR(VLOOKUP($B1300,Platts!$E$5:$M$4994,MATCH(E$3,Platts!$F$5:$M$5,0)+1,FALSE),E1299)</f>
        <v>57.78</v>
      </c>
      <c r="F1300" s="6">
        <f>IFERROR(VLOOKUP($B1300,Platts!$E$5:$M$4994,MATCH(F$3,Platts!$F$5:$M$5,0)+1,FALSE),F1299)</f>
        <v>65.55</v>
      </c>
      <c r="G1300" s="6">
        <f>IFERROR(VLOOKUP($B1300,Platts!$E$5:$M$4994,MATCH(G$3,Platts!$F$5:$M$5,0)+1,FALSE),G1299)</f>
        <v>62.12</v>
      </c>
      <c r="H1300" s="6">
        <f>IFERROR(VLOOKUP($B1300,Platts!$E$5:$M$4994,MATCH(H$3,Platts!$F$5:$M$5,0)+1,FALSE),H1299)</f>
        <v>55.63</v>
      </c>
      <c r="I1300" s="6">
        <f>IFERROR(VLOOKUP($B1300,Platts!$E$5:$M$4994,MATCH(I$3,Platts!$F$5:$M$5,0)+1,FALSE),I1299)</f>
        <v>61.08</v>
      </c>
      <c r="J1300" s="6">
        <f t="shared" si="40"/>
        <v>-1.3599999999999994</v>
      </c>
    </row>
    <row r="1301" spans="2:10" x14ac:dyDescent="0.25">
      <c r="B1301" s="5">
        <f t="shared" si="41"/>
        <v>43667</v>
      </c>
      <c r="C1301" s="6">
        <f>IFERROR(VLOOKUP($B1301,Platts!$E$5:$M$4994,MATCH(C$3,Platts!$F$5:$M$5,0)+1,FALSE),C1300)</f>
        <v>56.99</v>
      </c>
      <c r="D1301" s="6">
        <f>IFERROR(VLOOKUP($B1301,Platts!$E$5:$M$4994,MATCH(D$3,Platts!$F$5:$M$5,0)+1,FALSE),D1300)</f>
        <v>62.34</v>
      </c>
      <c r="E1301" s="6">
        <f>IFERROR(VLOOKUP($B1301,Platts!$E$5:$M$4994,MATCH(E$3,Platts!$F$5:$M$5,0)+1,FALSE),E1300)</f>
        <v>57.78</v>
      </c>
      <c r="F1301" s="6">
        <f>IFERROR(VLOOKUP($B1301,Platts!$E$5:$M$4994,MATCH(F$3,Platts!$F$5:$M$5,0)+1,FALSE),F1300)</f>
        <v>65.55</v>
      </c>
      <c r="G1301" s="6">
        <f>IFERROR(VLOOKUP($B1301,Platts!$E$5:$M$4994,MATCH(G$3,Platts!$F$5:$M$5,0)+1,FALSE),G1300)</f>
        <v>62.12</v>
      </c>
      <c r="H1301" s="6">
        <f>IFERROR(VLOOKUP($B1301,Platts!$E$5:$M$4994,MATCH(H$3,Platts!$F$5:$M$5,0)+1,FALSE),H1300)</f>
        <v>55.63</v>
      </c>
      <c r="I1301" s="6">
        <f>IFERROR(VLOOKUP($B1301,Platts!$E$5:$M$4994,MATCH(I$3,Platts!$F$5:$M$5,0)+1,FALSE),I1300)</f>
        <v>61.08</v>
      </c>
      <c r="J1301" s="6">
        <f t="shared" si="40"/>
        <v>-1.3599999999999994</v>
      </c>
    </row>
    <row r="1302" spans="2:10" x14ac:dyDescent="0.25">
      <c r="B1302" s="5">
        <f t="shared" si="41"/>
        <v>43668</v>
      </c>
      <c r="C1302" s="6">
        <f>IFERROR(VLOOKUP($B1302,Platts!$E$5:$M$4994,MATCH(C$3,Platts!$F$5:$M$5,0)+1,FALSE),C1301)</f>
        <v>57.54</v>
      </c>
      <c r="D1302" s="6">
        <f>IFERROR(VLOOKUP($B1302,Platts!$E$5:$M$4994,MATCH(D$3,Platts!$F$5:$M$5,0)+1,FALSE),D1301)</f>
        <v>63.08</v>
      </c>
      <c r="E1302" s="6">
        <f>IFERROR(VLOOKUP($B1302,Platts!$E$5:$M$4994,MATCH(E$3,Platts!$F$5:$M$5,0)+1,FALSE),E1301)</f>
        <v>58.26</v>
      </c>
      <c r="F1302" s="6">
        <f>IFERROR(VLOOKUP($B1302,Platts!$E$5:$M$4994,MATCH(F$3,Platts!$F$5:$M$5,0)+1,FALSE),F1301)</f>
        <v>66.2</v>
      </c>
      <c r="G1302" s="6">
        <f>IFERROR(VLOOKUP($B1302,Platts!$E$5:$M$4994,MATCH(G$3,Platts!$F$5:$M$5,0)+1,FALSE),G1301)</f>
        <v>63.1</v>
      </c>
      <c r="H1302" s="6">
        <f>IFERROR(VLOOKUP($B1302,Platts!$E$5:$M$4994,MATCH(H$3,Platts!$F$5:$M$5,0)+1,FALSE),H1301)</f>
        <v>56.22</v>
      </c>
      <c r="I1302" s="6">
        <f>IFERROR(VLOOKUP($B1302,Platts!$E$5:$M$4994,MATCH(I$3,Platts!$F$5:$M$5,0)+1,FALSE),I1301)</f>
        <v>63.27</v>
      </c>
      <c r="J1302" s="6">
        <f t="shared" si="40"/>
        <v>-1.3200000000000003</v>
      </c>
    </row>
    <row r="1303" spans="2:10" x14ac:dyDescent="0.25">
      <c r="B1303" s="5">
        <f t="shared" si="41"/>
        <v>43669</v>
      </c>
      <c r="C1303" s="6">
        <f>IFERROR(VLOOKUP($B1303,Platts!$E$5:$M$4994,MATCH(C$3,Platts!$F$5:$M$5,0)+1,FALSE),C1302)</f>
        <v>57.13</v>
      </c>
      <c r="D1303" s="6">
        <f>IFERROR(VLOOKUP($B1303,Platts!$E$5:$M$4994,MATCH(D$3,Platts!$F$5:$M$5,0)+1,FALSE),D1302)</f>
        <v>63.03</v>
      </c>
      <c r="E1303" s="6">
        <f>IFERROR(VLOOKUP($B1303,Platts!$E$5:$M$4994,MATCH(E$3,Platts!$F$5:$M$5,0)+1,FALSE),E1302)</f>
        <v>58.16</v>
      </c>
      <c r="F1303" s="6">
        <f>IFERROR(VLOOKUP($B1303,Platts!$E$5:$M$4994,MATCH(F$3,Platts!$F$5:$M$5,0)+1,FALSE),F1302)</f>
        <v>66.28</v>
      </c>
      <c r="G1303" s="6">
        <f>IFERROR(VLOOKUP($B1303,Platts!$E$5:$M$4994,MATCH(G$3,Platts!$F$5:$M$5,0)+1,FALSE),G1302)</f>
        <v>63.15</v>
      </c>
      <c r="H1303" s="6">
        <f>IFERROR(VLOOKUP($B1303,Platts!$E$5:$M$4994,MATCH(H$3,Platts!$F$5:$M$5,0)+1,FALSE),H1302)</f>
        <v>56.64</v>
      </c>
      <c r="I1303" s="6">
        <f>IFERROR(VLOOKUP($B1303,Platts!$E$5:$M$4994,MATCH(I$3,Platts!$F$5:$M$5,0)+1,FALSE),I1302)</f>
        <v>64.14</v>
      </c>
      <c r="J1303" s="6">
        <f t="shared" si="40"/>
        <v>-0.49000000000000199</v>
      </c>
    </row>
    <row r="1304" spans="2:10" x14ac:dyDescent="0.25">
      <c r="B1304" s="5">
        <f t="shared" si="41"/>
        <v>43670</v>
      </c>
      <c r="C1304" s="6">
        <f>IFERROR(VLOOKUP($B1304,Platts!$E$5:$M$4994,MATCH(C$3,Platts!$F$5:$M$5,0)+1,FALSE),C1303)</f>
        <v>56.9</v>
      </c>
      <c r="D1304" s="6">
        <f>IFERROR(VLOOKUP($B1304,Platts!$E$5:$M$4994,MATCH(D$3,Platts!$F$5:$M$5,0)+1,FALSE),D1303)</f>
        <v>61.5</v>
      </c>
      <c r="E1304" s="6">
        <f>IFERROR(VLOOKUP($B1304,Platts!$E$5:$M$4994,MATCH(E$3,Platts!$F$5:$M$5,0)+1,FALSE),E1303)</f>
        <v>56.96</v>
      </c>
      <c r="F1304" s="6">
        <f>IFERROR(VLOOKUP($B1304,Platts!$E$5:$M$4994,MATCH(F$3,Platts!$F$5:$M$5,0)+1,FALSE),F1303)</f>
        <v>64.849999999999994</v>
      </c>
      <c r="G1304" s="6">
        <f>IFERROR(VLOOKUP($B1304,Platts!$E$5:$M$4994,MATCH(G$3,Platts!$F$5:$M$5,0)+1,FALSE),G1303)</f>
        <v>64.27</v>
      </c>
      <c r="H1304" s="6">
        <f>IFERROR(VLOOKUP($B1304,Platts!$E$5:$M$4994,MATCH(H$3,Platts!$F$5:$M$5,0)+1,FALSE),H1303)</f>
        <v>55.68</v>
      </c>
      <c r="I1304" s="6">
        <f>IFERROR(VLOOKUP($B1304,Platts!$E$5:$M$4994,MATCH(I$3,Platts!$F$5:$M$5,0)+1,FALSE),I1303)</f>
        <v>61.43</v>
      </c>
      <c r="J1304" s="6">
        <f t="shared" si="40"/>
        <v>-1.2199999999999989</v>
      </c>
    </row>
    <row r="1305" spans="2:10" x14ac:dyDescent="0.25">
      <c r="B1305" s="5">
        <f t="shared" si="41"/>
        <v>43671</v>
      </c>
      <c r="C1305" s="6">
        <f>IFERROR(VLOOKUP($B1305,Platts!$E$5:$M$4994,MATCH(C$3,Platts!$F$5:$M$5,0)+1,FALSE),C1304)</f>
        <v>57.35</v>
      </c>
      <c r="D1305" s="6">
        <f>IFERROR(VLOOKUP($B1305,Platts!$E$5:$M$4994,MATCH(D$3,Platts!$F$5:$M$5,0)+1,FALSE),D1304)</f>
        <v>61.56</v>
      </c>
      <c r="E1305" s="6">
        <f>IFERROR(VLOOKUP($B1305,Platts!$E$5:$M$4994,MATCH(E$3,Platts!$F$5:$M$5,0)+1,FALSE),E1304)</f>
        <v>57.8</v>
      </c>
      <c r="F1305" s="6">
        <f>IFERROR(VLOOKUP($B1305,Platts!$E$5:$M$4994,MATCH(F$3,Platts!$F$5:$M$5,0)+1,FALSE),F1304)</f>
        <v>64.959999999999994</v>
      </c>
      <c r="G1305" s="6">
        <f>IFERROR(VLOOKUP($B1305,Platts!$E$5:$M$4994,MATCH(G$3,Platts!$F$5:$M$5,0)+1,FALSE),G1304)</f>
        <v>63.87</v>
      </c>
      <c r="H1305" s="6">
        <f>IFERROR(VLOOKUP($B1305,Platts!$E$5:$M$4994,MATCH(H$3,Platts!$F$5:$M$5,0)+1,FALSE),H1304)</f>
        <v>55.82</v>
      </c>
      <c r="I1305" s="6">
        <f>IFERROR(VLOOKUP($B1305,Platts!$E$5:$M$4994,MATCH(I$3,Platts!$F$5:$M$5,0)+1,FALSE),I1304)</f>
        <v>61.57</v>
      </c>
      <c r="J1305" s="6">
        <f t="shared" si="40"/>
        <v>-1.5300000000000011</v>
      </c>
    </row>
    <row r="1306" spans="2:10" x14ac:dyDescent="0.25">
      <c r="B1306" s="5">
        <f t="shared" si="41"/>
        <v>43672</v>
      </c>
      <c r="C1306" s="6">
        <f>IFERROR(VLOOKUP($B1306,Platts!$E$5:$M$4994,MATCH(C$3,Platts!$F$5:$M$5,0)+1,FALSE),C1305)</f>
        <v>57.53</v>
      </c>
      <c r="D1306" s="6">
        <f>IFERROR(VLOOKUP($B1306,Platts!$E$5:$M$4994,MATCH(D$3,Platts!$F$5:$M$5,0)+1,FALSE),D1305)</f>
        <v>62.23</v>
      </c>
      <c r="E1306" s="6">
        <f>IFERROR(VLOOKUP($B1306,Platts!$E$5:$M$4994,MATCH(E$3,Platts!$F$5:$M$5,0)+1,FALSE),E1305)</f>
        <v>58.43</v>
      </c>
      <c r="F1306" s="6">
        <f>IFERROR(VLOOKUP($B1306,Platts!$E$5:$M$4994,MATCH(F$3,Platts!$F$5:$M$5,0)+1,FALSE),F1305)</f>
        <v>65.53</v>
      </c>
      <c r="G1306" s="6">
        <f>IFERROR(VLOOKUP($B1306,Platts!$E$5:$M$4994,MATCH(G$3,Platts!$F$5:$M$5,0)+1,FALSE),G1305)</f>
        <v>63.17</v>
      </c>
      <c r="H1306" s="6">
        <f>IFERROR(VLOOKUP($B1306,Platts!$E$5:$M$4994,MATCH(H$3,Platts!$F$5:$M$5,0)+1,FALSE),H1305)</f>
        <v>56.2</v>
      </c>
      <c r="I1306" s="6">
        <f>IFERROR(VLOOKUP($B1306,Platts!$E$5:$M$4994,MATCH(I$3,Platts!$F$5:$M$5,0)+1,FALSE),I1305)</f>
        <v>61.3</v>
      </c>
      <c r="J1306" s="6">
        <f t="shared" si="40"/>
        <v>-1.3299999999999983</v>
      </c>
    </row>
    <row r="1307" spans="2:10" x14ac:dyDescent="0.25">
      <c r="B1307" s="5">
        <f t="shared" si="41"/>
        <v>43673</v>
      </c>
      <c r="C1307" s="6">
        <f>IFERROR(VLOOKUP($B1307,Platts!$E$5:$M$4994,MATCH(C$3,Platts!$F$5:$M$5,0)+1,FALSE),C1306)</f>
        <v>57.53</v>
      </c>
      <c r="D1307" s="6">
        <f>IFERROR(VLOOKUP($B1307,Platts!$E$5:$M$4994,MATCH(D$3,Platts!$F$5:$M$5,0)+1,FALSE),D1306)</f>
        <v>62.23</v>
      </c>
      <c r="E1307" s="6">
        <f>IFERROR(VLOOKUP($B1307,Platts!$E$5:$M$4994,MATCH(E$3,Platts!$F$5:$M$5,0)+1,FALSE),E1306)</f>
        <v>58.43</v>
      </c>
      <c r="F1307" s="6">
        <f>IFERROR(VLOOKUP($B1307,Platts!$E$5:$M$4994,MATCH(F$3,Platts!$F$5:$M$5,0)+1,FALSE),F1306)</f>
        <v>65.53</v>
      </c>
      <c r="G1307" s="6">
        <f>IFERROR(VLOOKUP($B1307,Platts!$E$5:$M$4994,MATCH(G$3,Platts!$F$5:$M$5,0)+1,FALSE),G1306)</f>
        <v>63.17</v>
      </c>
      <c r="H1307" s="6">
        <f>IFERROR(VLOOKUP($B1307,Platts!$E$5:$M$4994,MATCH(H$3,Platts!$F$5:$M$5,0)+1,FALSE),H1306)</f>
        <v>56.2</v>
      </c>
      <c r="I1307" s="6">
        <f>IFERROR(VLOOKUP($B1307,Platts!$E$5:$M$4994,MATCH(I$3,Platts!$F$5:$M$5,0)+1,FALSE),I1306)</f>
        <v>61.3</v>
      </c>
      <c r="J1307" s="6">
        <f t="shared" si="40"/>
        <v>-1.3299999999999983</v>
      </c>
    </row>
    <row r="1308" spans="2:10" x14ac:dyDescent="0.25">
      <c r="B1308" s="5">
        <f t="shared" si="41"/>
        <v>43674</v>
      </c>
      <c r="C1308" s="6">
        <f>IFERROR(VLOOKUP($B1308,Platts!$E$5:$M$4994,MATCH(C$3,Platts!$F$5:$M$5,0)+1,FALSE),C1307)</f>
        <v>57.53</v>
      </c>
      <c r="D1308" s="6">
        <f>IFERROR(VLOOKUP($B1308,Platts!$E$5:$M$4994,MATCH(D$3,Platts!$F$5:$M$5,0)+1,FALSE),D1307)</f>
        <v>62.23</v>
      </c>
      <c r="E1308" s="6">
        <f>IFERROR(VLOOKUP($B1308,Platts!$E$5:$M$4994,MATCH(E$3,Platts!$F$5:$M$5,0)+1,FALSE),E1307)</f>
        <v>58.43</v>
      </c>
      <c r="F1308" s="6">
        <f>IFERROR(VLOOKUP($B1308,Platts!$E$5:$M$4994,MATCH(F$3,Platts!$F$5:$M$5,0)+1,FALSE),F1307)</f>
        <v>65.53</v>
      </c>
      <c r="G1308" s="6">
        <f>IFERROR(VLOOKUP($B1308,Platts!$E$5:$M$4994,MATCH(G$3,Platts!$F$5:$M$5,0)+1,FALSE),G1307)</f>
        <v>63.17</v>
      </c>
      <c r="H1308" s="6">
        <f>IFERROR(VLOOKUP($B1308,Platts!$E$5:$M$4994,MATCH(H$3,Platts!$F$5:$M$5,0)+1,FALSE),H1307)</f>
        <v>56.2</v>
      </c>
      <c r="I1308" s="6">
        <f>IFERROR(VLOOKUP($B1308,Platts!$E$5:$M$4994,MATCH(I$3,Platts!$F$5:$M$5,0)+1,FALSE),I1307)</f>
        <v>61.3</v>
      </c>
      <c r="J1308" s="6">
        <f t="shared" si="40"/>
        <v>-1.3299999999999983</v>
      </c>
    </row>
    <row r="1309" spans="2:10" x14ac:dyDescent="0.25">
      <c r="B1309" s="5">
        <f t="shared" si="41"/>
        <v>43675</v>
      </c>
      <c r="C1309" s="6">
        <f>IFERROR(VLOOKUP($B1309,Platts!$E$5:$M$4994,MATCH(C$3,Platts!$F$5:$M$5,0)+1,FALSE),C1308)</f>
        <v>57.51</v>
      </c>
      <c r="D1309" s="6">
        <f>IFERROR(VLOOKUP($B1309,Platts!$E$5:$M$4994,MATCH(D$3,Platts!$F$5:$M$5,0)+1,FALSE),D1308)</f>
        <v>62.46</v>
      </c>
      <c r="E1309" s="6">
        <f>IFERROR(VLOOKUP($B1309,Platts!$E$5:$M$4994,MATCH(E$3,Platts!$F$5:$M$5,0)+1,FALSE),E1308)</f>
        <v>58.63</v>
      </c>
      <c r="F1309" s="6">
        <f>IFERROR(VLOOKUP($B1309,Platts!$E$5:$M$4994,MATCH(F$3,Platts!$F$5:$M$5,0)+1,FALSE),F1308)</f>
        <v>65.78</v>
      </c>
      <c r="G1309" s="6">
        <f>IFERROR(VLOOKUP($B1309,Platts!$E$5:$M$4994,MATCH(G$3,Platts!$F$5:$M$5,0)+1,FALSE),G1308)</f>
        <v>63.48</v>
      </c>
      <c r="H1309" s="6">
        <f>IFERROR(VLOOKUP($B1309,Platts!$E$5:$M$4994,MATCH(H$3,Platts!$F$5:$M$5,0)+1,FALSE),H1308)</f>
        <v>56.87</v>
      </c>
      <c r="I1309" s="6">
        <f>IFERROR(VLOOKUP($B1309,Platts!$E$5:$M$4994,MATCH(I$3,Platts!$F$5:$M$5,0)+1,FALSE),I1308)</f>
        <v>61.97</v>
      </c>
      <c r="J1309" s="6">
        <f t="shared" si="40"/>
        <v>-0.64000000000000057</v>
      </c>
    </row>
    <row r="1310" spans="2:10" x14ac:dyDescent="0.25">
      <c r="B1310" s="5">
        <f t="shared" si="41"/>
        <v>43676</v>
      </c>
      <c r="C1310" s="6">
        <f>IFERROR(VLOOKUP($B1310,Platts!$E$5:$M$4994,MATCH(C$3,Platts!$F$5:$M$5,0)+1,FALSE),C1309)</f>
        <v>58.67</v>
      </c>
      <c r="D1310" s="6">
        <f>IFERROR(VLOOKUP($B1310,Platts!$E$5:$M$4994,MATCH(D$3,Platts!$F$5:$M$5,0)+1,FALSE),D1309)</f>
        <v>63.73</v>
      </c>
      <c r="E1310" s="6">
        <f>IFERROR(VLOOKUP($B1310,Platts!$E$5:$M$4994,MATCH(E$3,Platts!$F$5:$M$5,0)+1,FALSE),E1309)</f>
        <v>60.17</v>
      </c>
      <c r="F1310" s="6">
        <f>IFERROR(VLOOKUP($B1310,Platts!$E$5:$M$4994,MATCH(F$3,Platts!$F$5:$M$5,0)+1,FALSE),F1309)</f>
        <v>67.03</v>
      </c>
      <c r="G1310" s="6">
        <f>IFERROR(VLOOKUP($B1310,Platts!$E$5:$M$4994,MATCH(G$3,Platts!$F$5:$M$5,0)+1,FALSE),G1309)</f>
        <v>64.12</v>
      </c>
      <c r="H1310" s="6">
        <f>IFERROR(VLOOKUP($B1310,Platts!$E$5:$M$4994,MATCH(H$3,Platts!$F$5:$M$5,0)+1,FALSE),H1309)</f>
        <v>58.05</v>
      </c>
      <c r="I1310" s="6">
        <f>IFERROR(VLOOKUP($B1310,Platts!$E$5:$M$4994,MATCH(I$3,Platts!$F$5:$M$5,0)+1,FALSE),I1309)</f>
        <v>62.95</v>
      </c>
      <c r="J1310" s="6">
        <f t="shared" si="40"/>
        <v>-0.62000000000000455</v>
      </c>
    </row>
    <row r="1311" spans="2:10" x14ac:dyDescent="0.25">
      <c r="B1311" s="5">
        <f t="shared" si="41"/>
        <v>43677</v>
      </c>
      <c r="C1311" s="6">
        <f>IFERROR(VLOOKUP($B1311,Platts!$E$5:$M$4994,MATCH(C$3,Platts!$F$5:$M$5,0)+1,FALSE),C1310)</f>
        <v>59.63</v>
      </c>
      <c r="D1311" s="6">
        <f>IFERROR(VLOOKUP($B1311,Platts!$E$5:$M$4994,MATCH(D$3,Platts!$F$5:$M$5,0)+1,FALSE),D1310)</f>
        <v>64.150000000000006</v>
      </c>
      <c r="E1311" s="6">
        <f>IFERROR(VLOOKUP($B1311,Platts!$E$5:$M$4994,MATCH(E$3,Platts!$F$5:$M$5,0)+1,FALSE),E1310)</f>
        <v>60.65</v>
      </c>
      <c r="F1311" s="6">
        <f>IFERROR(VLOOKUP($B1311,Platts!$E$5:$M$4994,MATCH(F$3,Platts!$F$5:$M$5,0)+1,FALSE),F1310)</f>
        <v>67.34</v>
      </c>
      <c r="G1311" s="6">
        <f>IFERROR(VLOOKUP($B1311,Platts!$E$5:$M$4994,MATCH(G$3,Platts!$F$5:$M$5,0)+1,FALSE),G1310)</f>
        <v>64.900000000000006</v>
      </c>
      <c r="H1311" s="6">
        <f>IFERROR(VLOOKUP($B1311,Platts!$E$5:$M$4994,MATCH(H$3,Platts!$F$5:$M$5,0)+1,FALSE),H1310)</f>
        <v>58.58</v>
      </c>
      <c r="I1311" s="6">
        <f>IFERROR(VLOOKUP($B1311,Platts!$E$5:$M$4994,MATCH(I$3,Platts!$F$5:$M$5,0)+1,FALSE),I1310)</f>
        <v>62.93</v>
      </c>
      <c r="J1311" s="6">
        <f t="shared" si="40"/>
        <v>-1.0500000000000043</v>
      </c>
    </row>
    <row r="1312" spans="2:10" x14ac:dyDescent="0.25">
      <c r="B1312" s="5">
        <f t="shared" si="41"/>
        <v>43678</v>
      </c>
      <c r="C1312" s="6">
        <f>IFERROR(VLOOKUP($B1312,Platts!$E$5:$M$4994,MATCH(C$3,Platts!$F$5:$M$5,0)+1,FALSE),C1311)</f>
        <v>54.01</v>
      </c>
      <c r="D1312" s="6">
        <f>IFERROR(VLOOKUP($B1312,Platts!$E$5:$M$4994,MATCH(D$3,Platts!$F$5:$M$5,0)+1,FALSE),D1311)</f>
        <v>58.45</v>
      </c>
      <c r="E1312" s="6">
        <f>IFERROR(VLOOKUP($B1312,Platts!$E$5:$M$4994,MATCH(E$3,Platts!$F$5:$M$5,0)+1,FALSE),E1311)</f>
        <v>53.95</v>
      </c>
      <c r="F1312" s="6">
        <f>IFERROR(VLOOKUP($B1312,Platts!$E$5:$M$4994,MATCH(F$3,Platts!$F$5:$M$5,0)+1,FALSE),F1311)</f>
        <v>61.98</v>
      </c>
      <c r="G1312" s="6">
        <f>IFERROR(VLOOKUP($B1312,Platts!$E$5:$M$4994,MATCH(G$3,Platts!$F$5:$M$5,0)+1,FALSE),G1311)</f>
        <v>63.5</v>
      </c>
      <c r="H1312" s="6">
        <f>IFERROR(VLOOKUP($B1312,Platts!$E$5:$M$4994,MATCH(H$3,Platts!$F$5:$M$5,0)+1,FALSE),H1311)</f>
        <v>53.95</v>
      </c>
      <c r="I1312" s="6">
        <f>IFERROR(VLOOKUP($B1312,Platts!$E$5:$M$4994,MATCH(I$3,Platts!$F$5:$M$5,0)+1,FALSE),I1311)</f>
        <v>58.4</v>
      </c>
      <c r="J1312" s="6">
        <f t="shared" si="40"/>
        <v>-5.9999999999995168E-2</v>
      </c>
    </row>
    <row r="1313" spans="2:10" x14ac:dyDescent="0.25">
      <c r="B1313" s="5">
        <f t="shared" si="41"/>
        <v>43679</v>
      </c>
      <c r="C1313" s="6">
        <f>IFERROR(VLOOKUP($B1313,Platts!$E$5:$M$4994,MATCH(C$3,Platts!$F$5:$M$5,0)+1,FALSE),C1312)</f>
        <v>54.36</v>
      </c>
      <c r="D1313" s="6">
        <f>IFERROR(VLOOKUP($B1313,Platts!$E$5:$M$4994,MATCH(D$3,Platts!$F$5:$M$5,0)+1,FALSE),D1312)</f>
        <v>60.09</v>
      </c>
      <c r="E1313" s="6">
        <f>IFERROR(VLOOKUP($B1313,Platts!$E$5:$M$4994,MATCH(E$3,Platts!$F$5:$M$5,0)+1,FALSE),E1312)</f>
        <v>55.74</v>
      </c>
      <c r="F1313" s="6">
        <f>IFERROR(VLOOKUP($B1313,Platts!$E$5:$M$4994,MATCH(F$3,Platts!$F$5:$M$5,0)+1,FALSE),F1312)</f>
        <v>63.51</v>
      </c>
      <c r="G1313" s="6">
        <f>IFERROR(VLOOKUP($B1313,Platts!$E$5:$M$4994,MATCH(G$3,Platts!$F$5:$M$5,0)+1,FALSE),G1312)</f>
        <v>62.14</v>
      </c>
      <c r="H1313" s="6">
        <f>IFERROR(VLOOKUP($B1313,Platts!$E$5:$M$4994,MATCH(H$3,Platts!$F$5:$M$5,0)+1,FALSE),H1312)</f>
        <v>55.66</v>
      </c>
      <c r="I1313" s="6">
        <f>IFERROR(VLOOKUP($B1313,Platts!$E$5:$M$4994,MATCH(I$3,Platts!$F$5:$M$5,0)+1,FALSE),I1312)</f>
        <v>60.06</v>
      </c>
      <c r="J1313" s="6">
        <f t="shared" si="40"/>
        <v>1.2999999999999972</v>
      </c>
    </row>
    <row r="1314" spans="2:10" x14ac:dyDescent="0.25">
      <c r="B1314" s="5">
        <f t="shared" si="41"/>
        <v>43680</v>
      </c>
      <c r="C1314" s="6">
        <f>IFERROR(VLOOKUP($B1314,Platts!$E$5:$M$4994,MATCH(C$3,Platts!$F$5:$M$5,0)+1,FALSE),C1313)</f>
        <v>54.36</v>
      </c>
      <c r="D1314" s="6">
        <f>IFERROR(VLOOKUP($B1314,Platts!$E$5:$M$4994,MATCH(D$3,Platts!$F$5:$M$5,0)+1,FALSE),D1313)</f>
        <v>60.09</v>
      </c>
      <c r="E1314" s="6">
        <f>IFERROR(VLOOKUP($B1314,Platts!$E$5:$M$4994,MATCH(E$3,Platts!$F$5:$M$5,0)+1,FALSE),E1313)</f>
        <v>55.74</v>
      </c>
      <c r="F1314" s="6">
        <f>IFERROR(VLOOKUP($B1314,Platts!$E$5:$M$4994,MATCH(F$3,Platts!$F$5:$M$5,0)+1,FALSE),F1313)</f>
        <v>63.51</v>
      </c>
      <c r="G1314" s="6">
        <f>IFERROR(VLOOKUP($B1314,Platts!$E$5:$M$4994,MATCH(G$3,Platts!$F$5:$M$5,0)+1,FALSE),G1313)</f>
        <v>62.14</v>
      </c>
      <c r="H1314" s="6">
        <f>IFERROR(VLOOKUP($B1314,Platts!$E$5:$M$4994,MATCH(H$3,Platts!$F$5:$M$5,0)+1,FALSE),H1313)</f>
        <v>55.66</v>
      </c>
      <c r="I1314" s="6">
        <f>IFERROR(VLOOKUP($B1314,Platts!$E$5:$M$4994,MATCH(I$3,Platts!$F$5:$M$5,0)+1,FALSE),I1313)</f>
        <v>60.06</v>
      </c>
      <c r="J1314" s="6">
        <f t="shared" si="40"/>
        <v>1.2999999999999972</v>
      </c>
    </row>
    <row r="1315" spans="2:10" x14ac:dyDescent="0.25">
      <c r="B1315" s="5">
        <f t="shared" si="41"/>
        <v>43681</v>
      </c>
      <c r="C1315" s="6">
        <f>IFERROR(VLOOKUP($B1315,Platts!$E$5:$M$4994,MATCH(C$3,Platts!$F$5:$M$5,0)+1,FALSE),C1314)</f>
        <v>54.36</v>
      </c>
      <c r="D1315" s="6">
        <f>IFERROR(VLOOKUP($B1315,Platts!$E$5:$M$4994,MATCH(D$3,Platts!$F$5:$M$5,0)+1,FALSE),D1314)</f>
        <v>60.09</v>
      </c>
      <c r="E1315" s="6">
        <f>IFERROR(VLOOKUP($B1315,Platts!$E$5:$M$4994,MATCH(E$3,Platts!$F$5:$M$5,0)+1,FALSE),E1314)</f>
        <v>55.74</v>
      </c>
      <c r="F1315" s="6">
        <f>IFERROR(VLOOKUP($B1315,Platts!$E$5:$M$4994,MATCH(F$3,Platts!$F$5:$M$5,0)+1,FALSE),F1314)</f>
        <v>63.51</v>
      </c>
      <c r="G1315" s="6">
        <f>IFERROR(VLOOKUP($B1315,Platts!$E$5:$M$4994,MATCH(G$3,Platts!$F$5:$M$5,0)+1,FALSE),G1314)</f>
        <v>62.14</v>
      </c>
      <c r="H1315" s="6">
        <f>IFERROR(VLOOKUP($B1315,Platts!$E$5:$M$4994,MATCH(H$3,Platts!$F$5:$M$5,0)+1,FALSE),H1314)</f>
        <v>55.66</v>
      </c>
      <c r="I1315" s="6">
        <f>IFERROR(VLOOKUP($B1315,Platts!$E$5:$M$4994,MATCH(I$3,Platts!$F$5:$M$5,0)+1,FALSE),I1314)</f>
        <v>60.06</v>
      </c>
      <c r="J1315" s="6">
        <f t="shared" si="40"/>
        <v>1.2999999999999972</v>
      </c>
    </row>
    <row r="1316" spans="2:10" x14ac:dyDescent="0.25">
      <c r="B1316" s="5">
        <f t="shared" si="41"/>
        <v>43682</v>
      </c>
      <c r="C1316" s="6">
        <f>IFERROR(VLOOKUP($B1316,Platts!$E$5:$M$4994,MATCH(C$3,Platts!$F$5:$M$5,0)+1,FALSE),C1315)</f>
        <v>52.32</v>
      </c>
      <c r="D1316" s="6">
        <f>IFERROR(VLOOKUP($B1316,Platts!$E$5:$M$4994,MATCH(D$3,Platts!$F$5:$M$5,0)+1,FALSE),D1315)</f>
        <v>58.86</v>
      </c>
      <c r="E1316" s="6">
        <f>IFERROR(VLOOKUP($B1316,Platts!$E$5:$M$4994,MATCH(E$3,Platts!$F$5:$M$5,0)+1,FALSE),E1315)</f>
        <v>53.38</v>
      </c>
      <c r="F1316" s="6">
        <f>IFERROR(VLOOKUP($B1316,Platts!$E$5:$M$4994,MATCH(F$3,Platts!$F$5:$M$5,0)+1,FALSE),F1315)</f>
        <v>62.13</v>
      </c>
      <c r="G1316" s="6">
        <f>IFERROR(VLOOKUP($B1316,Platts!$E$5:$M$4994,MATCH(G$3,Platts!$F$5:$M$5,0)+1,FALSE),G1315)</f>
        <v>60.39</v>
      </c>
      <c r="H1316" s="6">
        <f>IFERROR(VLOOKUP($B1316,Platts!$E$5:$M$4994,MATCH(H$3,Platts!$F$5:$M$5,0)+1,FALSE),H1315)</f>
        <v>54.69</v>
      </c>
      <c r="I1316" s="6">
        <f>IFERROR(VLOOKUP($B1316,Platts!$E$5:$M$4994,MATCH(I$3,Platts!$F$5:$M$5,0)+1,FALSE),I1315)</f>
        <v>58.69</v>
      </c>
      <c r="J1316" s="6">
        <f t="shared" si="40"/>
        <v>2.3699999999999974</v>
      </c>
    </row>
    <row r="1317" spans="2:10" x14ac:dyDescent="0.25">
      <c r="B1317" s="5">
        <f t="shared" si="41"/>
        <v>43683</v>
      </c>
      <c r="C1317" s="6">
        <f>IFERROR(VLOOKUP($B1317,Platts!$E$5:$M$4994,MATCH(C$3,Platts!$F$5:$M$5,0)+1,FALSE),C1316)</f>
        <v>50.69</v>
      </c>
      <c r="D1317" s="6">
        <f>IFERROR(VLOOKUP($B1317,Platts!$E$5:$M$4994,MATCH(D$3,Platts!$F$5:$M$5,0)+1,FALSE),D1316)</f>
        <v>57.85</v>
      </c>
      <c r="E1317" s="6">
        <f>IFERROR(VLOOKUP($B1317,Platts!$E$5:$M$4994,MATCH(E$3,Platts!$F$5:$M$5,0)+1,FALSE),E1316)</f>
        <v>50.97</v>
      </c>
      <c r="F1317" s="6">
        <f>IFERROR(VLOOKUP($B1317,Platts!$E$5:$M$4994,MATCH(F$3,Platts!$F$5:$M$5,0)+1,FALSE),F1316)</f>
        <v>61.17</v>
      </c>
      <c r="G1317" s="6">
        <f>IFERROR(VLOOKUP($B1317,Platts!$E$5:$M$4994,MATCH(G$3,Platts!$F$5:$M$5,0)+1,FALSE),G1316)</f>
        <v>59.84</v>
      </c>
      <c r="H1317" s="6">
        <f>IFERROR(VLOOKUP($B1317,Platts!$E$5:$M$4994,MATCH(H$3,Platts!$F$5:$M$5,0)+1,FALSE),H1316)</f>
        <v>53.63</v>
      </c>
      <c r="I1317" s="6">
        <f>IFERROR(VLOOKUP($B1317,Platts!$E$5:$M$4994,MATCH(I$3,Platts!$F$5:$M$5,0)+1,FALSE),I1316)</f>
        <v>57.63</v>
      </c>
      <c r="J1317" s="6">
        <f t="shared" si="40"/>
        <v>2.9400000000000048</v>
      </c>
    </row>
    <row r="1318" spans="2:10" x14ac:dyDescent="0.25">
      <c r="B1318" s="5">
        <f t="shared" si="41"/>
        <v>43684</v>
      </c>
      <c r="C1318" s="6">
        <f>IFERROR(VLOOKUP($B1318,Platts!$E$5:$M$4994,MATCH(C$3,Platts!$F$5:$M$5,0)+1,FALSE),C1317)</f>
        <v>47.36</v>
      </c>
      <c r="D1318" s="6">
        <f>IFERROR(VLOOKUP($B1318,Platts!$E$5:$M$4994,MATCH(D$3,Platts!$F$5:$M$5,0)+1,FALSE),D1317)</f>
        <v>55.38</v>
      </c>
      <c r="E1318" s="6">
        <f>IFERROR(VLOOKUP($B1318,Platts!$E$5:$M$4994,MATCH(E$3,Platts!$F$5:$M$5,0)+1,FALSE),E1317)</f>
        <v>47.99</v>
      </c>
      <c r="F1318" s="6">
        <f>IFERROR(VLOOKUP($B1318,Platts!$E$5:$M$4994,MATCH(F$3,Platts!$F$5:$M$5,0)+1,FALSE),F1317)</f>
        <v>58.65</v>
      </c>
      <c r="G1318" s="6">
        <f>IFERROR(VLOOKUP($B1318,Platts!$E$5:$M$4994,MATCH(G$3,Platts!$F$5:$M$5,0)+1,FALSE),G1317)</f>
        <v>56.24</v>
      </c>
      <c r="H1318" s="6">
        <f>IFERROR(VLOOKUP($B1318,Platts!$E$5:$M$4994,MATCH(H$3,Platts!$F$5:$M$5,0)+1,FALSE),H1317)</f>
        <v>51.09</v>
      </c>
      <c r="I1318" s="6">
        <f>IFERROR(VLOOKUP($B1318,Platts!$E$5:$M$4994,MATCH(I$3,Platts!$F$5:$M$5,0)+1,FALSE),I1317)</f>
        <v>55.09</v>
      </c>
      <c r="J1318" s="6">
        <f t="shared" si="40"/>
        <v>3.730000000000004</v>
      </c>
    </row>
    <row r="1319" spans="2:10" x14ac:dyDescent="0.25">
      <c r="B1319" s="5">
        <f t="shared" si="41"/>
        <v>43685</v>
      </c>
      <c r="C1319" s="6">
        <f>IFERROR(VLOOKUP($B1319,Platts!$E$5:$M$4994,MATCH(C$3,Platts!$F$5:$M$5,0)+1,FALSE),C1318)</f>
        <v>48.04</v>
      </c>
      <c r="D1319" s="6">
        <f>IFERROR(VLOOKUP($B1319,Platts!$E$5:$M$4994,MATCH(D$3,Platts!$F$5:$M$5,0)+1,FALSE),D1318)</f>
        <v>56.93</v>
      </c>
      <c r="E1319" s="6">
        <f>IFERROR(VLOOKUP($B1319,Platts!$E$5:$M$4994,MATCH(E$3,Platts!$F$5:$M$5,0)+1,FALSE),E1318)</f>
        <v>49.17</v>
      </c>
      <c r="F1319" s="6">
        <f>IFERROR(VLOOKUP($B1319,Platts!$E$5:$M$4994,MATCH(F$3,Platts!$F$5:$M$5,0)+1,FALSE),F1318)</f>
        <v>60.13</v>
      </c>
      <c r="G1319" s="6">
        <f>IFERROR(VLOOKUP($B1319,Platts!$E$5:$M$4994,MATCH(G$3,Platts!$F$5:$M$5,0)+1,FALSE),G1318)</f>
        <v>57.48</v>
      </c>
      <c r="H1319" s="6">
        <f>IFERROR(VLOOKUP($B1319,Platts!$E$5:$M$4994,MATCH(H$3,Platts!$F$5:$M$5,0)+1,FALSE),H1318)</f>
        <v>52.54</v>
      </c>
      <c r="I1319" s="6">
        <f>IFERROR(VLOOKUP($B1319,Platts!$E$5:$M$4994,MATCH(I$3,Platts!$F$5:$M$5,0)+1,FALSE),I1318)</f>
        <v>56.54</v>
      </c>
      <c r="J1319" s="6">
        <f t="shared" si="40"/>
        <v>4.5</v>
      </c>
    </row>
    <row r="1320" spans="2:10" x14ac:dyDescent="0.25">
      <c r="B1320" s="5">
        <f t="shared" si="41"/>
        <v>43686</v>
      </c>
      <c r="C1320" s="6">
        <f>IFERROR(VLOOKUP($B1320,Platts!$E$5:$M$4994,MATCH(C$3,Platts!$F$5:$M$5,0)+1,FALSE),C1319)</f>
        <v>48.04</v>
      </c>
      <c r="D1320" s="6">
        <f>IFERROR(VLOOKUP($B1320,Platts!$E$5:$M$4994,MATCH(D$3,Platts!$F$5:$M$5,0)+1,FALSE),D1319)</f>
        <v>58.71</v>
      </c>
      <c r="E1320" s="6">
        <f>IFERROR(VLOOKUP($B1320,Platts!$E$5:$M$4994,MATCH(E$3,Platts!$F$5:$M$5,0)+1,FALSE),E1319)</f>
        <v>50.48</v>
      </c>
      <c r="F1320" s="6">
        <f>IFERROR(VLOOKUP($B1320,Platts!$E$5:$M$4994,MATCH(F$3,Platts!$F$5:$M$5,0)+1,FALSE),F1319)</f>
        <v>61.76</v>
      </c>
      <c r="G1320" s="6">
        <f>IFERROR(VLOOKUP($B1320,Platts!$E$5:$M$4994,MATCH(G$3,Platts!$F$5:$M$5,0)+1,FALSE),G1319)</f>
        <v>58.53</v>
      </c>
      <c r="H1320" s="6">
        <f>IFERROR(VLOOKUP($B1320,Platts!$E$5:$M$4994,MATCH(H$3,Platts!$F$5:$M$5,0)+1,FALSE),H1319)</f>
        <v>54.5</v>
      </c>
      <c r="I1320" s="6">
        <f>IFERROR(VLOOKUP($B1320,Platts!$E$5:$M$4994,MATCH(I$3,Platts!$F$5:$M$5,0)+1,FALSE),I1319)</f>
        <v>58.45</v>
      </c>
      <c r="J1320" s="6">
        <f t="shared" si="40"/>
        <v>6.4600000000000009</v>
      </c>
    </row>
    <row r="1321" spans="2:10" x14ac:dyDescent="0.25">
      <c r="B1321" s="5">
        <f t="shared" si="41"/>
        <v>43687</v>
      </c>
      <c r="C1321" s="6">
        <f>IFERROR(VLOOKUP($B1321,Platts!$E$5:$M$4994,MATCH(C$3,Platts!$F$5:$M$5,0)+1,FALSE),C1320)</f>
        <v>48.04</v>
      </c>
      <c r="D1321" s="6">
        <f>IFERROR(VLOOKUP($B1321,Platts!$E$5:$M$4994,MATCH(D$3,Platts!$F$5:$M$5,0)+1,FALSE),D1320)</f>
        <v>58.71</v>
      </c>
      <c r="E1321" s="6">
        <f>IFERROR(VLOOKUP($B1321,Platts!$E$5:$M$4994,MATCH(E$3,Platts!$F$5:$M$5,0)+1,FALSE),E1320)</f>
        <v>50.48</v>
      </c>
      <c r="F1321" s="6">
        <f>IFERROR(VLOOKUP($B1321,Platts!$E$5:$M$4994,MATCH(F$3,Platts!$F$5:$M$5,0)+1,FALSE),F1320)</f>
        <v>61.76</v>
      </c>
      <c r="G1321" s="6">
        <f>IFERROR(VLOOKUP($B1321,Platts!$E$5:$M$4994,MATCH(G$3,Platts!$F$5:$M$5,0)+1,FALSE),G1320)</f>
        <v>58.53</v>
      </c>
      <c r="H1321" s="6">
        <f>IFERROR(VLOOKUP($B1321,Platts!$E$5:$M$4994,MATCH(H$3,Platts!$F$5:$M$5,0)+1,FALSE),H1320)</f>
        <v>54.5</v>
      </c>
      <c r="I1321" s="6">
        <f>IFERROR(VLOOKUP($B1321,Platts!$E$5:$M$4994,MATCH(I$3,Platts!$F$5:$M$5,0)+1,FALSE),I1320)</f>
        <v>58.45</v>
      </c>
      <c r="J1321" s="6">
        <f t="shared" si="40"/>
        <v>6.4600000000000009</v>
      </c>
    </row>
    <row r="1322" spans="2:10" x14ac:dyDescent="0.25">
      <c r="B1322" s="5">
        <f t="shared" si="41"/>
        <v>43688</v>
      </c>
      <c r="C1322" s="6">
        <f>IFERROR(VLOOKUP($B1322,Platts!$E$5:$M$4994,MATCH(C$3,Platts!$F$5:$M$5,0)+1,FALSE),C1321)</f>
        <v>48.04</v>
      </c>
      <c r="D1322" s="6">
        <f>IFERROR(VLOOKUP($B1322,Platts!$E$5:$M$4994,MATCH(D$3,Platts!$F$5:$M$5,0)+1,FALSE),D1321)</f>
        <v>58.71</v>
      </c>
      <c r="E1322" s="6">
        <f>IFERROR(VLOOKUP($B1322,Platts!$E$5:$M$4994,MATCH(E$3,Platts!$F$5:$M$5,0)+1,FALSE),E1321)</f>
        <v>50.48</v>
      </c>
      <c r="F1322" s="6">
        <f>IFERROR(VLOOKUP($B1322,Platts!$E$5:$M$4994,MATCH(F$3,Platts!$F$5:$M$5,0)+1,FALSE),F1321)</f>
        <v>61.76</v>
      </c>
      <c r="G1322" s="6">
        <f>IFERROR(VLOOKUP($B1322,Platts!$E$5:$M$4994,MATCH(G$3,Platts!$F$5:$M$5,0)+1,FALSE),G1321)</f>
        <v>58.53</v>
      </c>
      <c r="H1322" s="6">
        <f>IFERROR(VLOOKUP($B1322,Platts!$E$5:$M$4994,MATCH(H$3,Platts!$F$5:$M$5,0)+1,FALSE),H1321)</f>
        <v>54.5</v>
      </c>
      <c r="I1322" s="6">
        <f>IFERROR(VLOOKUP($B1322,Platts!$E$5:$M$4994,MATCH(I$3,Platts!$F$5:$M$5,0)+1,FALSE),I1321)</f>
        <v>58.45</v>
      </c>
      <c r="J1322" s="6">
        <f t="shared" si="40"/>
        <v>6.4600000000000009</v>
      </c>
    </row>
    <row r="1323" spans="2:10" x14ac:dyDescent="0.25">
      <c r="B1323" s="5">
        <f t="shared" si="41"/>
        <v>43689</v>
      </c>
      <c r="C1323" s="6">
        <f>IFERROR(VLOOKUP($B1323,Platts!$E$5:$M$4994,MATCH(C$3,Platts!$F$5:$M$5,0)+1,FALSE),C1322)</f>
        <v>48.04</v>
      </c>
      <c r="D1323" s="6">
        <f>IFERROR(VLOOKUP($B1323,Platts!$E$5:$M$4994,MATCH(D$3,Platts!$F$5:$M$5,0)+1,FALSE),D1322)</f>
        <v>59.03</v>
      </c>
      <c r="E1323" s="6">
        <f>IFERROR(VLOOKUP($B1323,Platts!$E$5:$M$4994,MATCH(E$3,Platts!$F$5:$M$5,0)+1,FALSE),E1322)</f>
        <v>50.15</v>
      </c>
      <c r="F1323" s="6">
        <f>IFERROR(VLOOKUP($B1323,Platts!$E$5:$M$4994,MATCH(F$3,Platts!$F$5:$M$5,0)+1,FALSE),F1322)</f>
        <v>62.05</v>
      </c>
      <c r="G1323" s="6">
        <f>IFERROR(VLOOKUP($B1323,Platts!$E$5:$M$4994,MATCH(G$3,Platts!$F$5:$M$5,0)+1,FALSE),G1322)</f>
        <v>58.3</v>
      </c>
      <c r="H1323" s="6">
        <f>IFERROR(VLOOKUP($B1323,Platts!$E$5:$M$4994,MATCH(H$3,Platts!$F$5:$M$5,0)+1,FALSE),H1322)</f>
        <v>54.93</v>
      </c>
      <c r="I1323" s="6">
        <f>IFERROR(VLOOKUP($B1323,Platts!$E$5:$M$4994,MATCH(I$3,Platts!$F$5:$M$5,0)+1,FALSE),I1322)</f>
        <v>58.83</v>
      </c>
      <c r="J1323" s="6">
        <f t="shared" si="40"/>
        <v>6.8900000000000006</v>
      </c>
    </row>
    <row r="1324" spans="2:10" x14ac:dyDescent="0.25">
      <c r="B1324" s="5">
        <f t="shared" si="41"/>
        <v>43690</v>
      </c>
      <c r="C1324" s="6">
        <f>IFERROR(VLOOKUP($B1324,Platts!$E$5:$M$4994,MATCH(C$3,Platts!$F$5:$M$5,0)+1,FALSE),C1323)</f>
        <v>50.86</v>
      </c>
      <c r="D1324" s="6">
        <f>IFERROR(VLOOKUP($B1324,Platts!$E$5:$M$4994,MATCH(D$3,Platts!$F$5:$M$5,0)+1,FALSE),D1323)</f>
        <v>61.17</v>
      </c>
      <c r="E1324" s="6">
        <f>IFERROR(VLOOKUP($B1324,Platts!$E$5:$M$4994,MATCH(E$3,Platts!$F$5:$M$5,0)+1,FALSE),E1323)</f>
        <v>52.38</v>
      </c>
      <c r="F1324" s="6">
        <f>IFERROR(VLOOKUP($B1324,Platts!$E$5:$M$4994,MATCH(F$3,Platts!$F$5:$M$5,0)+1,FALSE),F1323)</f>
        <v>64.27</v>
      </c>
      <c r="G1324" s="6">
        <f>IFERROR(VLOOKUP($B1324,Platts!$E$5:$M$4994,MATCH(G$3,Platts!$F$5:$M$5,0)+1,FALSE),G1323)</f>
        <v>60.94</v>
      </c>
      <c r="H1324" s="6">
        <f>IFERROR(VLOOKUP($B1324,Platts!$E$5:$M$4994,MATCH(H$3,Platts!$F$5:$M$5,0)+1,FALSE),H1323)</f>
        <v>57.1</v>
      </c>
      <c r="I1324" s="6">
        <f>IFERROR(VLOOKUP($B1324,Platts!$E$5:$M$4994,MATCH(I$3,Platts!$F$5:$M$5,0)+1,FALSE),I1323)</f>
        <v>61.25</v>
      </c>
      <c r="J1324" s="6">
        <f t="shared" si="40"/>
        <v>6.240000000000002</v>
      </c>
    </row>
    <row r="1325" spans="2:10" x14ac:dyDescent="0.25">
      <c r="B1325" s="5">
        <f t="shared" si="41"/>
        <v>43691</v>
      </c>
      <c r="C1325" s="6">
        <f>IFERROR(VLOOKUP($B1325,Platts!$E$5:$M$4994,MATCH(C$3,Platts!$F$5:$M$5,0)+1,FALSE),C1324)</f>
        <v>48.53</v>
      </c>
      <c r="D1325" s="6">
        <f>IFERROR(VLOOKUP($B1325,Platts!$E$5:$M$4994,MATCH(D$3,Platts!$F$5:$M$5,0)+1,FALSE),D1324)</f>
        <v>59.46</v>
      </c>
      <c r="E1325" s="6">
        <f>IFERROR(VLOOKUP($B1325,Platts!$E$5:$M$4994,MATCH(E$3,Platts!$F$5:$M$5,0)+1,FALSE),E1324)</f>
        <v>49.88</v>
      </c>
      <c r="F1325" s="6">
        <f>IFERROR(VLOOKUP($B1325,Platts!$E$5:$M$4994,MATCH(F$3,Platts!$F$5:$M$5,0)+1,FALSE),F1324)</f>
        <v>62.53</v>
      </c>
      <c r="G1325" s="6">
        <f>IFERROR(VLOOKUP($B1325,Platts!$E$5:$M$4994,MATCH(G$3,Platts!$F$5:$M$5,0)+1,FALSE),G1324)</f>
        <v>58.7</v>
      </c>
      <c r="H1325" s="6">
        <f>IFERROR(VLOOKUP($B1325,Platts!$E$5:$M$4994,MATCH(H$3,Platts!$F$5:$M$5,0)+1,FALSE),H1324)</f>
        <v>55.23</v>
      </c>
      <c r="I1325" s="6">
        <f>IFERROR(VLOOKUP($B1325,Platts!$E$5:$M$4994,MATCH(I$3,Platts!$F$5:$M$5,0)+1,FALSE),I1324)</f>
        <v>59.38</v>
      </c>
      <c r="J1325" s="6">
        <f t="shared" si="40"/>
        <v>6.6999999999999957</v>
      </c>
    </row>
    <row r="1326" spans="2:10" x14ac:dyDescent="0.25">
      <c r="B1326" s="5">
        <f t="shared" si="41"/>
        <v>43692</v>
      </c>
      <c r="C1326" s="6">
        <f>IFERROR(VLOOKUP($B1326,Platts!$E$5:$M$4994,MATCH(C$3,Platts!$F$5:$M$5,0)+1,FALSE),C1325)</f>
        <v>48.13</v>
      </c>
      <c r="D1326" s="6">
        <f>IFERROR(VLOOKUP($B1326,Platts!$E$5:$M$4994,MATCH(D$3,Platts!$F$5:$M$5,0)+1,FALSE),D1325)</f>
        <v>58.69</v>
      </c>
      <c r="E1326" s="6">
        <f>IFERROR(VLOOKUP($B1326,Platts!$E$5:$M$4994,MATCH(E$3,Platts!$F$5:$M$5,0)+1,FALSE),E1325)</f>
        <v>49.7</v>
      </c>
      <c r="F1326" s="6">
        <f>IFERROR(VLOOKUP($B1326,Platts!$E$5:$M$4994,MATCH(F$3,Platts!$F$5:$M$5,0)+1,FALSE),F1325)</f>
        <v>61.71</v>
      </c>
      <c r="G1326" s="6">
        <f>IFERROR(VLOOKUP($B1326,Platts!$E$5:$M$4994,MATCH(G$3,Platts!$F$5:$M$5,0)+1,FALSE),G1325)</f>
        <v>58.37</v>
      </c>
      <c r="H1326" s="6">
        <f>IFERROR(VLOOKUP($B1326,Platts!$E$5:$M$4994,MATCH(H$3,Platts!$F$5:$M$5,0)+1,FALSE),H1325)</f>
        <v>54.47</v>
      </c>
      <c r="I1326" s="6">
        <f>IFERROR(VLOOKUP($B1326,Platts!$E$5:$M$4994,MATCH(I$3,Platts!$F$5:$M$5,0)+1,FALSE),I1325)</f>
        <v>58.42</v>
      </c>
      <c r="J1326" s="6">
        <f t="shared" si="40"/>
        <v>6.3399999999999963</v>
      </c>
    </row>
    <row r="1327" spans="2:10" x14ac:dyDescent="0.25">
      <c r="B1327" s="5">
        <f t="shared" si="41"/>
        <v>43693</v>
      </c>
      <c r="C1327" s="6">
        <f>IFERROR(VLOOKUP($B1327,Platts!$E$5:$M$4994,MATCH(C$3,Platts!$F$5:$M$5,0)+1,FALSE),C1326)</f>
        <v>49.29</v>
      </c>
      <c r="D1327" s="6">
        <f>IFERROR(VLOOKUP($B1327,Platts!$E$5:$M$4994,MATCH(D$3,Platts!$F$5:$M$5,0)+1,FALSE),D1326)</f>
        <v>59.03</v>
      </c>
      <c r="E1327" s="6">
        <f>IFERROR(VLOOKUP($B1327,Platts!$E$5:$M$4994,MATCH(E$3,Platts!$F$5:$M$5,0)+1,FALSE),E1326)</f>
        <v>49.88</v>
      </c>
      <c r="F1327" s="6">
        <f>IFERROR(VLOOKUP($B1327,Platts!$E$5:$M$4994,MATCH(F$3,Platts!$F$5:$M$5,0)+1,FALSE),F1326)</f>
        <v>62.07</v>
      </c>
      <c r="G1327" s="6">
        <f>IFERROR(VLOOKUP($B1327,Platts!$E$5:$M$4994,MATCH(G$3,Platts!$F$5:$M$5,0)+1,FALSE),G1326)</f>
        <v>58.68</v>
      </c>
      <c r="H1327" s="6">
        <f>IFERROR(VLOOKUP($B1327,Platts!$E$5:$M$4994,MATCH(H$3,Platts!$F$5:$M$5,0)+1,FALSE),H1326)</f>
        <v>54.87</v>
      </c>
      <c r="I1327" s="6">
        <f>IFERROR(VLOOKUP($B1327,Platts!$E$5:$M$4994,MATCH(I$3,Platts!$F$5:$M$5,0)+1,FALSE),I1326)</f>
        <v>58.82</v>
      </c>
      <c r="J1327" s="6">
        <f t="shared" si="40"/>
        <v>5.5799999999999983</v>
      </c>
    </row>
    <row r="1328" spans="2:10" x14ac:dyDescent="0.25">
      <c r="B1328" s="5">
        <f t="shared" si="41"/>
        <v>43694</v>
      </c>
      <c r="C1328" s="6">
        <f>IFERROR(VLOOKUP($B1328,Platts!$E$5:$M$4994,MATCH(C$3,Platts!$F$5:$M$5,0)+1,FALSE),C1327)</f>
        <v>49.29</v>
      </c>
      <c r="D1328" s="6">
        <f>IFERROR(VLOOKUP($B1328,Platts!$E$5:$M$4994,MATCH(D$3,Platts!$F$5:$M$5,0)+1,FALSE),D1327)</f>
        <v>59.03</v>
      </c>
      <c r="E1328" s="6">
        <f>IFERROR(VLOOKUP($B1328,Platts!$E$5:$M$4994,MATCH(E$3,Platts!$F$5:$M$5,0)+1,FALSE),E1327)</f>
        <v>49.88</v>
      </c>
      <c r="F1328" s="6">
        <f>IFERROR(VLOOKUP($B1328,Platts!$E$5:$M$4994,MATCH(F$3,Platts!$F$5:$M$5,0)+1,FALSE),F1327)</f>
        <v>62.07</v>
      </c>
      <c r="G1328" s="6">
        <f>IFERROR(VLOOKUP($B1328,Platts!$E$5:$M$4994,MATCH(G$3,Platts!$F$5:$M$5,0)+1,FALSE),G1327)</f>
        <v>58.68</v>
      </c>
      <c r="H1328" s="6">
        <f>IFERROR(VLOOKUP($B1328,Platts!$E$5:$M$4994,MATCH(H$3,Platts!$F$5:$M$5,0)+1,FALSE),H1327)</f>
        <v>54.87</v>
      </c>
      <c r="I1328" s="6">
        <f>IFERROR(VLOOKUP($B1328,Platts!$E$5:$M$4994,MATCH(I$3,Platts!$F$5:$M$5,0)+1,FALSE),I1327)</f>
        <v>58.82</v>
      </c>
      <c r="J1328" s="6">
        <f t="shared" si="40"/>
        <v>5.5799999999999983</v>
      </c>
    </row>
    <row r="1329" spans="2:10" x14ac:dyDescent="0.25">
      <c r="B1329" s="5">
        <f t="shared" si="41"/>
        <v>43695</v>
      </c>
      <c r="C1329" s="6">
        <f>IFERROR(VLOOKUP($B1329,Platts!$E$5:$M$4994,MATCH(C$3,Platts!$F$5:$M$5,0)+1,FALSE),C1328)</f>
        <v>49.29</v>
      </c>
      <c r="D1329" s="6">
        <f>IFERROR(VLOOKUP($B1329,Platts!$E$5:$M$4994,MATCH(D$3,Platts!$F$5:$M$5,0)+1,FALSE),D1328)</f>
        <v>59.03</v>
      </c>
      <c r="E1329" s="6">
        <f>IFERROR(VLOOKUP($B1329,Platts!$E$5:$M$4994,MATCH(E$3,Platts!$F$5:$M$5,0)+1,FALSE),E1328)</f>
        <v>49.88</v>
      </c>
      <c r="F1329" s="6">
        <f>IFERROR(VLOOKUP($B1329,Platts!$E$5:$M$4994,MATCH(F$3,Platts!$F$5:$M$5,0)+1,FALSE),F1328)</f>
        <v>62.07</v>
      </c>
      <c r="G1329" s="6">
        <f>IFERROR(VLOOKUP($B1329,Platts!$E$5:$M$4994,MATCH(G$3,Platts!$F$5:$M$5,0)+1,FALSE),G1328)</f>
        <v>58.68</v>
      </c>
      <c r="H1329" s="6">
        <f>IFERROR(VLOOKUP($B1329,Platts!$E$5:$M$4994,MATCH(H$3,Platts!$F$5:$M$5,0)+1,FALSE),H1328)</f>
        <v>54.87</v>
      </c>
      <c r="I1329" s="6">
        <f>IFERROR(VLOOKUP($B1329,Platts!$E$5:$M$4994,MATCH(I$3,Platts!$F$5:$M$5,0)+1,FALSE),I1328)</f>
        <v>58.82</v>
      </c>
      <c r="J1329" s="6">
        <f t="shared" si="40"/>
        <v>5.5799999999999983</v>
      </c>
    </row>
    <row r="1330" spans="2:10" x14ac:dyDescent="0.25">
      <c r="B1330" s="5">
        <f t="shared" si="41"/>
        <v>43696</v>
      </c>
      <c r="C1330" s="6">
        <f>IFERROR(VLOOKUP($B1330,Platts!$E$5:$M$4994,MATCH(C$3,Platts!$F$5:$M$5,0)+1,FALSE),C1329)</f>
        <v>49.76</v>
      </c>
      <c r="D1330" s="6">
        <f>IFERROR(VLOOKUP($B1330,Platts!$E$5:$M$4994,MATCH(D$3,Platts!$F$5:$M$5,0)+1,FALSE),D1329)</f>
        <v>60.16</v>
      </c>
      <c r="E1330" s="6">
        <f>IFERROR(VLOOKUP($B1330,Platts!$E$5:$M$4994,MATCH(E$3,Platts!$F$5:$M$5,0)+1,FALSE),E1329)</f>
        <v>51.58</v>
      </c>
      <c r="F1330" s="6">
        <f>IFERROR(VLOOKUP($B1330,Platts!$E$5:$M$4994,MATCH(F$3,Platts!$F$5:$M$5,0)+1,FALSE),F1329)</f>
        <v>63.18</v>
      </c>
      <c r="G1330" s="6">
        <f>IFERROR(VLOOKUP($B1330,Platts!$E$5:$M$4994,MATCH(G$3,Platts!$F$5:$M$5,0)+1,FALSE),G1329)</f>
        <v>59.41</v>
      </c>
      <c r="H1330" s="6">
        <f>IFERROR(VLOOKUP($B1330,Platts!$E$5:$M$4994,MATCH(H$3,Platts!$F$5:$M$5,0)+1,FALSE),H1329)</f>
        <v>56.21</v>
      </c>
      <c r="I1330" s="6">
        <f>IFERROR(VLOOKUP($B1330,Platts!$E$5:$M$4994,MATCH(I$3,Platts!$F$5:$M$5,0)+1,FALSE),I1329)</f>
        <v>59.86</v>
      </c>
      <c r="J1330" s="6">
        <f t="shared" si="40"/>
        <v>6.4500000000000028</v>
      </c>
    </row>
    <row r="1331" spans="2:10" x14ac:dyDescent="0.25">
      <c r="B1331" s="5">
        <f t="shared" si="41"/>
        <v>43697</v>
      </c>
      <c r="C1331" s="6">
        <f>IFERROR(VLOOKUP($B1331,Platts!$E$5:$M$4994,MATCH(C$3,Platts!$F$5:$M$5,0)+1,FALSE),C1330)</f>
        <v>49.41</v>
      </c>
      <c r="D1331" s="6">
        <f>IFERROR(VLOOKUP($B1331,Platts!$E$5:$M$4994,MATCH(D$3,Platts!$F$5:$M$5,0)+1,FALSE),D1330)</f>
        <v>59.62</v>
      </c>
      <c r="E1331" s="6">
        <f>IFERROR(VLOOKUP($B1331,Platts!$E$5:$M$4994,MATCH(E$3,Platts!$F$5:$M$5,0)+1,FALSE),E1330)</f>
        <v>50.73</v>
      </c>
      <c r="F1331" s="6">
        <f>IFERROR(VLOOKUP($B1331,Platts!$E$5:$M$4994,MATCH(F$3,Platts!$F$5:$M$5,0)+1,FALSE),F1330)</f>
        <v>62.79</v>
      </c>
      <c r="G1331" s="6">
        <f>IFERROR(VLOOKUP($B1331,Platts!$E$5:$M$4994,MATCH(G$3,Platts!$F$5:$M$5,0)+1,FALSE),G1330)</f>
        <v>59.41</v>
      </c>
      <c r="H1331" s="6">
        <f>IFERROR(VLOOKUP($B1331,Platts!$E$5:$M$4994,MATCH(H$3,Platts!$F$5:$M$5,0)+1,FALSE),H1330)</f>
        <v>56.25</v>
      </c>
      <c r="I1331" s="6">
        <f>IFERROR(VLOOKUP($B1331,Platts!$E$5:$M$4994,MATCH(I$3,Platts!$F$5:$M$5,0)+1,FALSE),I1330)</f>
        <v>59.35</v>
      </c>
      <c r="J1331" s="6">
        <f t="shared" si="40"/>
        <v>6.8400000000000034</v>
      </c>
    </row>
    <row r="1332" spans="2:10" x14ac:dyDescent="0.25">
      <c r="B1332" s="5">
        <f t="shared" si="41"/>
        <v>43698</v>
      </c>
      <c r="C1332" s="6">
        <f>IFERROR(VLOOKUP($B1332,Platts!$E$5:$M$4994,MATCH(C$3,Platts!$F$5:$M$5,0)+1,FALSE),C1331)</f>
        <v>50.06</v>
      </c>
      <c r="D1332" s="6">
        <f>IFERROR(VLOOKUP($B1332,Platts!$E$5:$M$4994,MATCH(D$3,Platts!$F$5:$M$5,0)+1,FALSE),D1331)</f>
        <v>59.03</v>
      </c>
      <c r="E1332" s="6">
        <f>IFERROR(VLOOKUP($B1332,Platts!$E$5:$M$4994,MATCH(E$3,Platts!$F$5:$M$5,0)+1,FALSE),E1331)</f>
        <v>50.37</v>
      </c>
      <c r="F1332" s="6">
        <f>IFERROR(VLOOKUP($B1332,Platts!$E$5:$M$4994,MATCH(F$3,Platts!$F$5:$M$5,0)+1,FALSE),F1331)</f>
        <v>62.31</v>
      </c>
      <c r="G1332" s="6">
        <f>IFERROR(VLOOKUP($B1332,Platts!$E$5:$M$4994,MATCH(G$3,Platts!$F$5:$M$5,0)+1,FALSE),G1331)</f>
        <v>60.8</v>
      </c>
      <c r="H1332" s="6">
        <f>IFERROR(VLOOKUP($B1332,Platts!$E$5:$M$4994,MATCH(H$3,Platts!$F$5:$M$5,0)+1,FALSE),H1331)</f>
        <v>55.65</v>
      </c>
      <c r="I1332" s="6">
        <f>IFERROR(VLOOKUP($B1332,Platts!$E$5:$M$4994,MATCH(I$3,Platts!$F$5:$M$5,0)+1,FALSE),I1331)</f>
        <v>58.75</v>
      </c>
      <c r="J1332" s="6">
        <f t="shared" si="40"/>
        <v>5.5899999999999963</v>
      </c>
    </row>
    <row r="1333" spans="2:10" x14ac:dyDescent="0.25">
      <c r="B1333" s="5">
        <f t="shared" si="41"/>
        <v>43699</v>
      </c>
      <c r="C1333" s="6">
        <f>IFERROR(VLOOKUP($B1333,Platts!$E$5:$M$4994,MATCH(C$3,Platts!$F$5:$M$5,0)+1,FALSE),C1332)</f>
        <v>49.93</v>
      </c>
      <c r="D1333" s="6">
        <f>IFERROR(VLOOKUP($B1333,Platts!$E$5:$M$4994,MATCH(D$3,Platts!$F$5:$M$5,0)+1,FALSE),D1332)</f>
        <v>58.79</v>
      </c>
      <c r="E1333" s="6">
        <f>IFERROR(VLOOKUP($B1333,Platts!$E$5:$M$4994,MATCH(E$3,Platts!$F$5:$M$5,0)+1,FALSE),E1332)</f>
        <v>51.12</v>
      </c>
      <c r="F1333" s="6">
        <f>IFERROR(VLOOKUP($B1333,Platts!$E$5:$M$4994,MATCH(F$3,Platts!$F$5:$M$5,0)+1,FALSE),F1332)</f>
        <v>62.03</v>
      </c>
      <c r="G1333" s="6">
        <f>IFERROR(VLOOKUP($B1333,Platts!$E$5:$M$4994,MATCH(G$3,Platts!$F$5:$M$5,0)+1,FALSE),G1332)</f>
        <v>59.88</v>
      </c>
      <c r="H1333" s="6">
        <f>IFERROR(VLOOKUP($B1333,Platts!$E$5:$M$4994,MATCH(H$3,Platts!$F$5:$M$5,0)+1,FALSE),H1332)</f>
        <v>55.32</v>
      </c>
      <c r="I1333" s="6">
        <f>IFERROR(VLOOKUP($B1333,Platts!$E$5:$M$4994,MATCH(I$3,Platts!$F$5:$M$5,0)+1,FALSE),I1332)</f>
        <v>58.42</v>
      </c>
      <c r="J1333" s="6">
        <f t="shared" si="40"/>
        <v>5.3900000000000006</v>
      </c>
    </row>
    <row r="1334" spans="2:10" x14ac:dyDescent="0.25">
      <c r="B1334" s="5">
        <f t="shared" si="41"/>
        <v>43700</v>
      </c>
      <c r="C1334" s="6">
        <f>IFERROR(VLOOKUP($B1334,Platts!$E$5:$M$4994,MATCH(C$3,Platts!$F$5:$M$5,0)+1,FALSE),C1333)</f>
        <v>49.32</v>
      </c>
      <c r="D1334" s="6">
        <f>IFERROR(VLOOKUP($B1334,Platts!$E$5:$M$4994,MATCH(D$3,Platts!$F$5:$M$5,0)+1,FALSE),D1333)</f>
        <v>57.58</v>
      </c>
      <c r="E1334" s="6">
        <f>IFERROR(VLOOKUP($B1334,Platts!$E$5:$M$4994,MATCH(E$3,Platts!$F$5:$M$5,0)+1,FALSE),E1333)</f>
        <v>50.25</v>
      </c>
      <c r="F1334" s="6">
        <f>IFERROR(VLOOKUP($B1334,Platts!$E$5:$M$4994,MATCH(F$3,Platts!$F$5:$M$5,0)+1,FALSE),F1333)</f>
        <v>60.89</v>
      </c>
      <c r="G1334" s="6">
        <f>IFERROR(VLOOKUP($B1334,Platts!$E$5:$M$4994,MATCH(G$3,Platts!$F$5:$M$5,0)+1,FALSE),G1333)</f>
        <v>59.04</v>
      </c>
      <c r="H1334" s="6">
        <f>IFERROR(VLOOKUP($B1334,Platts!$E$5:$M$4994,MATCH(H$3,Platts!$F$5:$M$5,0)+1,FALSE),H1333)</f>
        <v>54.1</v>
      </c>
      <c r="I1334" s="6">
        <f>IFERROR(VLOOKUP($B1334,Platts!$E$5:$M$4994,MATCH(I$3,Platts!$F$5:$M$5,0)+1,FALSE),I1333)</f>
        <v>57.05</v>
      </c>
      <c r="J1334" s="6">
        <f t="shared" si="40"/>
        <v>4.7800000000000011</v>
      </c>
    </row>
    <row r="1335" spans="2:10" x14ac:dyDescent="0.25">
      <c r="B1335" s="5">
        <f t="shared" si="41"/>
        <v>43701</v>
      </c>
      <c r="C1335" s="6">
        <f>IFERROR(VLOOKUP($B1335,Platts!$E$5:$M$4994,MATCH(C$3,Platts!$F$5:$M$5,0)+1,FALSE),C1334)</f>
        <v>49.32</v>
      </c>
      <c r="D1335" s="6">
        <f>IFERROR(VLOOKUP($B1335,Platts!$E$5:$M$4994,MATCH(D$3,Platts!$F$5:$M$5,0)+1,FALSE),D1334)</f>
        <v>57.58</v>
      </c>
      <c r="E1335" s="6">
        <f>IFERROR(VLOOKUP($B1335,Platts!$E$5:$M$4994,MATCH(E$3,Platts!$F$5:$M$5,0)+1,FALSE),E1334)</f>
        <v>50.25</v>
      </c>
      <c r="F1335" s="6">
        <f>IFERROR(VLOOKUP($B1335,Platts!$E$5:$M$4994,MATCH(F$3,Platts!$F$5:$M$5,0)+1,FALSE),F1334)</f>
        <v>60.89</v>
      </c>
      <c r="G1335" s="6">
        <f>IFERROR(VLOOKUP($B1335,Platts!$E$5:$M$4994,MATCH(G$3,Platts!$F$5:$M$5,0)+1,FALSE),G1334)</f>
        <v>59.04</v>
      </c>
      <c r="H1335" s="6">
        <f>IFERROR(VLOOKUP($B1335,Platts!$E$5:$M$4994,MATCH(H$3,Platts!$F$5:$M$5,0)+1,FALSE),H1334)</f>
        <v>54.1</v>
      </c>
      <c r="I1335" s="6">
        <f>IFERROR(VLOOKUP($B1335,Platts!$E$5:$M$4994,MATCH(I$3,Platts!$F$5:$M$5,0)+1,FALSE),I1334)</f>
        <v>57.05</v>
      </c>
      <c r="J1335" s="6">
        <f t="shared" si="40"/>
        <v>4.7800000000000011</v>
      </c>
    </row>
    <row r="1336" spans="2:10" x14ac:dyDescent="0.25">
      <c r="B1336" s="5">
        <f t="shared" si="41"/>
        <v>43702</v>
      </c>
      <c r="C1336" s="6">
        <f>IFERROR(VLOOKUP($B1336,Platts!$E$5:$M$4994,MATCH(C$3,Platts!$F$5:$M$5,0)+1,FALSE),C1335)</f>
        <v>49.32</v>
      </c>
      <c r="D1336" s="6">
        <f>IFERROR(VLOOKUP($B1336,Platts!$E$5:$M$4994,MATCH(D$3,Platts!$F$5:$M$5,0)+1,FALSE),D1335)</f>
        <v>57.58</v>
      </c>
      <c r="E1336" s="6">
        <f>IFERROR(VLOOKUP($B1336,Platts!$E$5:$M$4994,MATCH(E$3,Platts!$F$5:$M$5,0)+1,FALSE),E1335)</f>
        <v>50.25</v>
      </c>
      <c r="F1336" s="6">
        <f>IFERROR(VLOOKUP($B1336,Platts!$E$5:$M$4994,MATCH(F$3,Platts!$F$5:$M$5,0)+1,FALSE),F1335)</f>
        <v>60.89</v>
      </c>
      <c r="G1336" s="6">
        <f>IFERROR(VLOOKUP($B1336,Platts!$E$5:$M$4994,MATCH(G$3,Platts!$F$5:$M$5,0)+1,FALSE),G1335)</f>
        <v>59.04</v>
      </c>
      <c r="H1336" s="6">
        <f>IFERROR(VLOOKUP($B1336,Platts!$E$5:$M$4994,MATCH(H$3,Platts!$F$5:$M$5,0)+1,FALSE),H1335)</f>
        <v>54.1</v>
      </c>
      <c r="I1336" s="6">
        <f>IFERROR(VLOOKUP($B1336,Platts!$E$5:$M$4994,MATCH(I$3,Platts!$F$5:$M$5,0)+1,FALSE),I1335)</f>
        <v>57.05</v>
      </c>
      <c r="J1336" s="6">
        <f t="shared" si="40"/>
        <v>4.7800000000000011</v>
      </c>
    </row>
    <row r="1337" spans="2:10" x14ac:dyDescent="0.25">
      <c r="B1337" s="5">
        <f t="shared" si="41"/>
        <v>43703</v>
      </c>
      <c r="C1337" s="6">
        <f>IFERROR(VLOOKUP($B1337,Platts!$E$5:$M$4994,MATCH(C$3,Platts!$F$5:$M$5,0)+1,FALSE),C1336)</f>
        <v>49.32</v>
      </c>
      <c r="D1337" s="6">
        <f>IFERROR(VLOOKUP($B1337,Platts!$E$5:$M$4994,MATCH(D$3,Platts!$F$5:$M$5,0)+1,FALSE),D1336)</f>
        <v>57.42</v>
      </c>
      <c r="E1337" s="6">
        <f>IFERROR(VLOOKUP($B1337,Platts!$E$5:$M$4994,MATCH(E$3,Platts!$F$5:$M$5,0)+1,FALSE),E1336)</f>
        <v>50.23</v>
      </c>
      <c r="F1337" s="6">
        <f>IFERROR(VLOOKUP($B1337,Platts!$E$5:$M$4994,MATCH(F$3,Platts!$F$5:$M$5,0)+1,FALSE),F1336)</f>
        <v>60.68</v>
      </c>
      <c r="G1337" s="6">
        <f>IFERROR(VLOOKUP($B1337,Platts!$E$5:$M$4994,MATCH(G$3,Platts!$F$5:$M$5,0)+1,FALSE),G1336)</f>
        <v>59.04</v>
      </c>
      <c r="H1337" s="6">
        <f>IFERROR(VLOOKUP($B1337,Platts!$E$5:$M$4994,MATCH(H$3,Platts!$F$5:$M$5,0)+1,FALSE),H1336)</f>
        <v>53.64</v>
      </c>
      <c r="I1337" s="6">
        <f>IFERROR(VLOOKUP($B1337,Platts!$E$5:$M$4994,MATCH(I$3,Platts!$F$5:$M$5,0)+1,FALSE),I1336)</f>
        <v>56.74</v>
      </c>
      <c r="J1337" s="6">
        <f t="shared" si="40"/>
        <v>4.32</v>
      </c>
    </row>
    <row r="1338" spans="2:10" x14ac:dyDescent="0.25">
      <c r="B1338" s="5">
        <f t="shared" si="41"/>
        <v>43704</v>
      </c>
      <c r="C1338" s="6">
        <f>IFERROR(VLOOKUP($B1338,Platts!$E$5:$M$4994,MATCH(C$3,Platts!$F$5:$M$5,0)+1,FALSE),C1337)</f>
        <v>50.09</v>
      </c>
      <c r="D1338" s="6">
        <f>IFERROR(VLOOKUP($B1338,Platts!$E$5:$M$4994,MATCH(D$3,Platts!$F$5:$M$5,0)+1,FALSE),D1337)</f>
        <v>58.62</v>
      </c>
      <c r="E1338" s="6">
        <f>IFERROR(VLOOKUP($B1338,Platts!$E$5:$M$4994,MATCH(E$3,Platts!$F$5:$M$5,0)+1,FALSE),E1337)</f>
        <v>51.53</v>
      </c>
      <c r="F1338" s="6">
        <f>IFERROR(VLOOKUP($B1338,Platts!$E$5:$M$4994,MATCH(F$3,Platts!$F$5:$M$5,0)+1,FALSE),F1337)</f>
        <v>61.81</v>
      </c>
      <c r="G1338" s="6">
        <f>IFERROR(VLOOKUP($B1338,Platts!$E$5:$M$4994,MATCH(G$3,Platts!$F$5:$M$5,0)+1,FALSE),G1337)</f>
        <v>58.75</v>
      </c>
      <c r="H1338" s="6">
        <f>IFERROR(VLOOKUP($B1338,Platts!$E$5:$M$4994,MATCH(H$3,Platts!$F$5:$M$5,0)+1,FALSE),H1337)</f>
        <v>54.93</v>
      </c>
      <c r="I1338" s="6">
        <f>IFERROR(VLOOKUP($B1338,Platts!$E$5:$M$4994,MATCH(I$3,Platts!$F$5:$M$5,0)+1,FALSE),I1337)</f>
        <v>57.88</v>
      </c>
      <c r="J1338" s="6">
        <f t="shared" si="40"/>
        <v>4.8399999999999963</v>
      </c>
    </row>
    <row r="1339" spans="2:10" x14ac:dyDescent="0.25">
      <c r="B1339" s="5">
        <f t="shared" si="41"/>
        <v>43705</v>
      </c>
      <c r="C1339" s="6">
        <f>IFERROR(VLOOKUP($B1339,Platts!$E$5:$M$4994,MATCH(C$3,Platts!$F$5:$M$5,0)+1,FALSE),C1338)</f>
        <v>50.73</v>
      </c>
      <c r="D1339" s="6">
        <f>IFERROR(VLOOKUP($B1339,Platts!$E$5:$M$4994,MATCH(D$3,Platts!$F$5:$M$5,0)+1,FALSE),D1338)</f>
        <v>59.42</v>
      </c>
      <c r="E1339" s="6">
        <f>IFERROR(VLOOKUP($B1339,Platts!$E$5:$M$4994,MATCH(E$3,Platts!$F$5:$M$5,0)+1,FALSE),E1338)</f>
        <v>52.06</v>
      </c>
      <c r="F1339" s="6">
        <f>IFERROR(VLOOKUP($B1339,Platts!$E$5:$M$4994,MATCH(F$3,Platts!$F$5:$M$5,0)+1,FALSE),F1338)</f>
        <v>62.63</v>
      </c>
      <c r="G1339" s="6">
        <f>IFERROR(VLOOKUP($B1339,Platts!$E$5:$M$4994,MATCH(G$3,Platts!$F$5:$M$5,0)+1,FALSE),G1338)</f>
        <v>60.66</v>
      </c>
      <c r="H1339" s="6">
        <f>IFERROR(VLOOKUP($B1339,Platts!$E$5:$M$4994,MATCH(H$3,Platts!$F$5:$M$5,0)+1,FALSE),H1338)</f>
        <v>55.78</v>
      </c>
      <c r="I1339" s="6">
        <f>IFERROR(VLOOKUP($B1339,Platts!$E$5:$M$4994,MATCH(I$3,Platts!$F$5:$M$5,0)+1,FALSE),I1338)</f>
        <v>58.58</v>
      </c>
      <c r="J1339" s="6">
        <f t="shared" si="40"/>
        <v>5.0500000000000043</v>
      </c>
    </row>
    <row r="1340" spans="2:10" x14ac:dyDescent="0.25">
      <c r="B1340" s="5">
        <f t="shared" si="41"/>
        <v>43706</v>
      </c>
      <c r="C1340" s="6">
        <f>IFERROR(VLOOKUP($B1340,Platts!$E$5:$M$4994,MATCH(C$3,Platts!$F$5:$M$5,0)+1,FALSE),C1339)</f>
        <v>51.05</v>
      </c>
      <c r="D1340" s="6">
        <f>IFERROR(VLOOKUP($B1340,Platts!$E$5:$M$4994,MATCH(D$3,Platts!$F$5:$M$5,0)+1,FALSE),D1339)</f>
        <v>60.69</v>
      </c>
      <c r="E1340" s="6">
        <f>IFERROR(VLOOKUP($B1340,Platts!$E$5:$M$4994,MATCH(E$3,Platts!$F$5:$M$5,0)+1,FALSE),E1339)</f>
        <v>52.63</v>
      </c>
      <c r="F1340" s="6">
        <f>IFERROR(VLOOKUP($B1340,Platts!$E$5:$M$4994,MATCH(F$3,Platts!$F$5:$M$5,0)+1,FALSE),F1339)</f>
        <v>63.53</v>
      </c>
      <c r="G1340" s="6">
        <f>IFERROR(VLOOKUP($B1340,Platts!$E$5:$M$4994,MATCH(G$3,Platts!$F$5:$M$5,0)+1,FALSE),G1339)</f>
        <v>60.67</v>
      </c>
      <c r="H1340" s="6">
        <f>IFERROR(VLOOKUP($B1340,Platts!$E$5:$M$4994,MATCH(H$3,Platts!$F$5:$M$5,0)+1,FALSE),H1339)</f>
        <v>56.71</v>
      </c>
      <c r="I1340" s="6">
        <f>IFERROR(VLOOKUP($B1340,Platts!$E$5:$M$4994,MATCH(I$3,Platts!$F$5:$M$5,0)+1,FALSE),I1339)</f>
        <v>59.51</v>
      </c>
      <c r="J1340" s="6">
        <f t="shared" si="40"/>
        <v>5.6600000000000037</v>
      </c>
    </row>
    <row r="1341" spans="2:10" x14ac:dyDescent="0.25">
      <c r="B1341" s="5">
        <f t="shared" si="41"/>
        <v>43707</v>
      </c>
      <c r="C1341" s="6">
        <f>IFERROR(VLOOKUP($B1341,Platts!$E$5:$M$4994,MATCH(C$3,Platts!$F$5:$M$5,0)+1,FALSE),C1340)</f>
        <v>49.54</v>
      </c>
      <c r="D1341" s="6">
        <f>IFERROR(VLOOKUP($B1341,Platts!$E$5:$M$4994,MATCH(D$3,Platts!$F$5:$M$5,0)+1,FALSE),D1340)</f>
        <v>59.18</v>
      </c>
      <c r="E1341" s="6">
        <f>IFERROR(VLOOKUP($B1341,Platts!$E$5:$M$4994,MATCH(E$3,Platts!$F$5:$M$5,0)+1,FALSE),E1340)</f>
        <v>51.72</v>
      </c>
      <c r="F1341" s="6">
        <f>IFERROR(VLOOKUP($B1341,Platts!$E$5:$M$4994,MATCH(F$3,Platts!$F$5:$M$5,0)+1,FALSE),F1340)</f>
        <v>62.05</v>
      </c>
      <c r="G1341" s="6">
        <f>IFERROR(VLOOKUP($B1341,Platts!$E$5:$M$4994,MATCH(G$3,Platts!$F$5:$M$5,0)+1,FALSE),G1340)</f>
        <v>59.31</v>
      </c>
      <c r="H1341" s="6">
        <f>IFERROR(VLOOKUP($B1341,Platts!$E$5:$M$4994,MATCH(H$3,Platts!$F$5:$M$5,0)+1,FALSE),H1340)</f>
        <v>55.1</v>
      </c>
      <c r="I1341" s="6">
        <f>IFERROR(VLOOKUP($B1341,Platts!$E$5:$M$4994,MATCH(I$3,Platts!$F$5:$M$5,0)+1,FALSE),I1340)</f>
        <v>58</v>
      </c>
      <c r="J1341" s="6">
        <f t="shared" si="40"/>
        <v>5.5600000000000023</v>
      </c>
    </row>
    <row r="1342" spans="2:10" x14ac:dyDescent="0.25">
      <c r="B1342" s="5">
        <f t="shared" si="41"/>
        <v>43708</v>
      </c>
      <c r="C1342" s="6">
        <f>IFERROR(VLOOKUP($B1342,Platts!$E$5:$M$4994,MATCH(C$3,Platts!$F$5:$M$5,0)+1,FALSE),C1341)</f>
        <v>49.54</v>
      </c>
      <c r="D1342" s="6">
        <f>IFERROR(VLOOKUP($B1342,Platts!$E$5:$M$4994,MATCH(D$3,Platts!$F$5:$M$5,0)+1,FALSE),D1341)</f>
        <v>59.18</v>
      </c>
      <c r="E1342" s="6">
        <f>IFERROR(VLOOKUP($B1342,Platts!$E$5:$M$4994,MATCH(E$3,Platts!$F$5:$M$5,0)+1,FALSE),E1341)</f>
        <v>51.72</v>
      </c>
      <c r="F1342" s="6">
        <f>IFERROR(VLOOKUP($B1342,Platts!$E$5:$M$4994,MATCH(F$3,Platts!$F$5:$M$5,0)+1,FALSE),F1341)</f>
        <v>62.05</v>
      </c>
      <c r="G1342" s="6">
        <f>IFERROR(VLOOKUP($B1342,Platts!$E$5:$M$4994,MATCH(G$3,Platts!$F$5:$M$5,0)+1,FALSE),G1341)</f>
        <v>59.31</v>
      </c>
      <c r="H1342" s="6">
        <f>IFERROR(VLOOKUP($B1342,Platts!$E$5:$M$4994,MATCH(H$3,Platts!$F$5:$M$5,0)+1,FALSE),H1341)</f>
        <v>55.1</v>
      </c>
      <c r="I1342" s="6">
        <f>IFERROR(VLOOKUP($B1342,Platts!$E$5:$M$4994,MATCH(I$3,Platts!$F$5:$M$5,0)+1,FALSE),I1341)</f>
        <v>58</v>
      </c>
      <c r="J1342" s="6">
        <f t="shared" si="40"/>
        <v>5.5600000000000023</v>
      </c>
    </row>
    <row r="1343" spans="2:10" x14ac:dyDescent="0.25">
      <c r="B1343" s="5">
        <f t="shared" si="41"/>
        <v>43709</v>
      </c>
      <c r="C1343" s="6">
        <f>IFERROR(VLOOKUP($B1343,Platts!$E$5:$M$4994,MATCH(C$3,Platts!$F$5:$M$5,0)+1,FALSE),C1342)</f>
        <v>49.54</v>
      </c>
      <c r="D1343" s="6">
        <f>IFERROR(VLOOKUP($B1343,Platts!$E$5:$M$4994,MATCH(D$3,Platts!$F$5:$M$5,0)+1,FALSE),D1342)</f>
        <v>59.18</v>
      </c>
      <c r="E1343" s="6">
        <f>IFERROR(VLOOKUP($B1343,Platts!$E$5:$M$4994,MATCH(E$3,Platts!$F$5:$M$5,0)+1,FALSE),E1342)</f>
        <v>51.72</v>
      </c>
      <c r="F1343" s="6">
        <f>IFERROR(VLOOKUP($B1343,Platts!$E$5:$M$4994,MATCH(F$3,Platts!$F$5:$M$5,0)+1,FALSE),F1342)</f>
        <v>62.05</v>
      </c>
      <c r="G1343" s="6">
        <f>IFERROR(VLOOKUP($B1343,Platts!$E$5:$M$4994,MATCH(G$3,Platts!$F$5:$M$5,0)+1,FALSE),G1342)</f>
        <v>59.31</v>
      </c>
      <c r="H1343" s="6">
        <f>IFERROR(VLOOKUP($B1343,Platts!$E$5:$M$4994,MATCH(H$3,Platts!$F$5:$M$5,0)+1,FALSE),H1342)</f>
        <v>55.1</v>
      </c>
      <c r="I1343" s="6">
        <f>IFERROR(VLOOKUP($B1343,Platts!$E$5:$M$4994,MATCH(I$3,Platts!$F$5:$M$5,0)+1,FALSE),I1342)</f>
        <v>58</v>
      </c>
      <c r="J1343" s="6">
        <f t="shared" si="40"/>
        <v>5.5600000000000023</v>
      </c>
    </row>
    <row r="1344" spans="2:10" x14ac:dyDescent="0.25">
      <c r="B1344" s="5">
        <f t="shared" si="41"/>
        <v>43710</v>
      </c>
      <c r="C1344" s="6">
        <f>IFERROR(VLOOKUP($B1344,Platts!$E$5:$M$4994,MATCH(C$3,Platts!$F$5:$M$5,0)+1,FALSE),C1343)</f>
        <v>49.54</v>
      </c>
      <c r="D1344" s="6">
        <f>IFERROR(VLOOKUP($B1344,Platts!$E$5:$M$4994,MATCH(D$3,Platts!$F$5:$M$5,0)+1,FALSE),D1343)</f>
        <v>59.18</v>
      </c>
      <c r="E1344" s="6">
        <f>IFERROR(VLOOKUP($B1344,Platts!$E$5:$M$4994,MATCH(E$3,Platts!$F$5:$M$5,0)+1,FALSE),E1343)</f>
        <v>51.72</v>
      </c>
      <c r="F1344" s="6">
        <f>IFERROR(VLOOKUP($B1344,Platts!$E$5:$M$4994,MATCH(F$3,Platts!$F$5:$M$5,0)+1,FALSE),F1343)</f>
        <v>62.05</v>
      </c>
      <c r="G1344" s="6">
        <f>IFERROR(VLOOKUP($B1344,Platts!$E$5:$M$4994,MATCH(G$3,Platts!$F$5:$M$5,0)+1,FALSE),G1343)</f>
        <v>58.2</v>
      </c>
      <c r="H1344" s="6">
        <f>IFERROR(VLOOKUP($B1344,Platts!$E$5:$M$4994,MATCH(H$3,Platts!$F$5:$M$5,0)+1,FALSE),H1343)</f>
        <v>55.1</v>
      </c>
      <c r="I1344" s="6">
        <f>IFERROR(VLOOKUP($B1344,Platts!$E$5:$M$4994,MATCH(I$3,Platts!$F$5:$M$5,0)+1,FALSE),I1343)</f>
        <v>58</v>
      </c>
      <c r="J1344" s="6">
        <f t="shared" si="40"/>
        <v>5.5600000000000023</v>
      </c>
    </row>
    <row r="1345" spans="2:10" x14ac:dyDescent="0.25">
      <c r="B1345" s="5">
        <f t="shared" si="41"/>
        <v>43711</v>
      </c>
      <c r="C1345" s="6">
        <f>IFERROR(VLOOKUP($B1345,Platts!$E$5:$M$4994,MATCH(C$3,Platts!$F$5:$M$5,0)+1,FALSE),C1344)</f>
        <v>51.75</v>
      </c>
      <c r="D1345" s="6">
        <f>IFERROR(VLOOKUP($B1345,Platts!$E$5:$M$4994,MATCH(D$3,Platts!$F$5:$M$5,0)+1,FALSE),D1344)</f>
        <v>58.77</v>
      </c>
      <c r="E1345" s="6">
        <f>IFERROR(VLOOKUP($B1345,Platts!$E$5:$M$4994,MATCH(E$3,Platts!$F$5:$M$5,0)+1,FALSE),E1344)</f>
        <v>53.99</v>
      </c>
      <c r="F1345" s="6">
        <f>IFERROR(VLOOKUP($B1345,Platts!$E$5:$M$4994,MATCH(F$3,Platts!$F$5:$M$5,0)+1,FALSE),F1344)</f>
        <v>60.9</v>
      </c>
      <c r="G1345" s="6">
        <f>IFERROR(VLOOKUP($B1345,Platts!$E$5:$M$4994,MATCH(G$3,Platts!$F$5:$M$5,0)+1,FALSE),G1344)</f>
        <v>57.8</v>
      </c>
      <c r="H1345" s="6">
        <f>IFERROR(VLOOKUP($B1345,Platts!$E$5:$M$4994,MATCH(H$3,Platts!$F$5:$M$5,0)+1,FALSE),H1344)</f>
        <v>53.94</v>
      </c>
      <c r="I1345" s="6">
        <f>IFERROR(VLOOKUP($B1345,Platts!$E$5:$M$4994,MATCH(I$3,Platts!$F$5:$M$5,0)+1,FALSE),I1344)</f>
        <v>56.99</v>
      </c>
      <c r="J1345" s="6">
        <f t="shared" si="40"/>
        <v>2.1899999999999977</v>
      </c>
    </row>
    <row r="1346" spans="2:10" x14ac:dyDescent="0.25">
      <c r="B1346" s="5">
        <f t="shared" si="41"/>
        <v>43712</v>
      </c>
      <c r="C1346" s="6">
        <f>IFERROR(VLOOKUP($B1346,Platts!$E$5:$M$4994,MATCH(C$3,Platts!$F$5:$M$5,0)+1,FALSE),C1345)</f>
        <v>54.7</v>
      </c>
      <c r="D1346" s="6">
        <f>IFERROR(VLOOKUP($B1346,Platts!$E$5:$M$4994,MATCH(D$3,Platts!$F$5:$M$5,0)+1,FALSE),D1345)</f>
        <v>61.16</v>
      </c>
      <c r="E1346" s="6">
        <f>IFERROR(VLOOKUP($B1346,Platts!$E$5:$M$4994,MATCH(E$3,Platts!$F$5:$M$5,0)+1,FALSE),E1345)</f>
        <v>56.86</v>
      </c>
      <c r="F1346" s="6">
        <f>IFERROR(VLOOKUP($B1346,Platts!$E$5:$M$4994,MATCH(F$3,Platts!$F$5:$M$5,0)+1,FALSE),F1345)</f>
        <v>63.29</v>
      </c>
      <c r="G1346" s="6">
        <f>IFERROR(VLOOKUP($B1346,Platts!$E$5:$M$4994,MATCH(G$3,Platts!$F$5:$M$5,0)+1,FALSE),G1345)</f>
        <v>60.5</v>
      </c>
      <c r="H1346" s="6">
        <f>IFERROR(VLOOKUP($B1346,Platts!$E$5:$M$4994,MATCH(H$3,Platts!$F$5:$M$5,0)+1,FALSE),H1345)</f>
        <v>56.26</v>
      </c>
      <c r="I1346" s="6">
        <f>IFERROR(VLOOKUP($B1346,Platts!$E$5:$M$4994,MATCH(I$3,Platts!$F$5:$M$5,0)+1,FALSE),I1345)</f>
        <v>59.31</v>
      </c>
      <c r="J1346" s="6">
        <f t="shared" si="40"/>
        <v>1.5599999999999952</v>
      </c>
    </row>
    <row r="1347" spans="2:10" x14ac:dyDescent="0.25">
      <c r="B1347" s="5">
        <f t="shared" si="41"/>
        <v>43713</v>
      </c>
      <c r="C1347" s="6">
        <f>IFERROR(VLOOKUP($B1347,Platts!$E$5:$M$4994,MATCH(C$3,Platts!$F$5:$M$5,0)+1,FALSE),C1346)</f>
        <v>56.72</v>
      </c>
      <c r="D1347" s="6">
        <f>IFERROR(VLOOKUP($B1347,Platts!$E$5:$M$4994,MATCH(D$3,Platts!$F$5:$M$5,0)+1,FALSE),D1346)</f>
        <v>61.16</v>
      </c>
      <c r="E1347" s="6">
        <f>IFERROR(VLOOKUP($B1347,Platts!$E$5:$M$4994,MATCH(E$3,Platts!$F$5:$M$5,0)+1,FALSE),E1346)</f>
        <v>58.27</v>
      </c>
      <c r="F1347" s="6">
        <f>IFERROR(VLOOKUP($B1347,Platts!$E$5:$M$4994,MATCH(F$3,Platts!$F$5:$M$5,0)+1,FALSE),F1346)</f>
        <v>63.34</v>
      </c>
      <c r="G1347" s="6">
        <f>IFERROR(VLOOKUP($B1347,Platts!$E$5:$M$4994,MATCH(G$3,Platts!$F$5:$M$5,0)+1,FALSE),G1346)</f>
        <v>62.17</v>
      </c>
      <c r="H1347" s="6">
        <f>IFERROR(VLOOKUP($B1347,Platts!$E$5:$M$4994,MATCH(H$3,Platts!$F$5:$M$5,0)+1,FALSE),H1346)</f>
        <v>56.3</v>
      </c>
      <c r="I1347" s="6">
        <f>IFERROR(VLOOKUP($B1347,Platts!$E$5:$M$4994,MATCH(I$3,Platts!$F$5:$M$5,0)+1,FALSE),I1346)</f>
        <v>59.45</v>
      </c>
      <c r="J1347" s="6">
        <f t="shared" si="40"/>
        <v>-0.42000000000000171</v>
      </c>
    </row>
    <row r="1348" spans="2:10" x14ac:dyDescent="0.25">
      <c r="B1348" s="5">
        <f t="shared" si="41"/>
        <v>43714</v>
      </c>
      <c r="C1348" s="6">
        <f>IFERROR(VLOOKUP($B1348,Platts!$E$5:$M$4994,MATCH(C$3,Platts!$F$5:$M$5,0)+1,FALSE),C1347)</f>
        <v>57.13</v>
      </c>
      <c r="D1348" s="6">
        <f>IFERROR(VLOOKUP($B1348,Platts!$E$5:$M$4994,MATCH(D$3,Platts!$F$5:$M$5,0)+1,FALSE),D1347)</f>
        <v>61.45</v>
      </c>
      <c r="E1348" s="6">
        <f>IFERROR(VLOOKUP($B1348,Platts!$E$5:$M$4994,MATCH(E$3,Platts!$F$5:$M$5,0)+1,FALSE),E1347)</f>
        <v>58.75</v>
      </c>
      <c r="F1348" s="6">
        <f>IFERROR(VLOOKUP($B1348,Platts!$E$5:$M$4994,MATCH(F$3,Platts!$F$5:$M$5,0)+1,FALSE),F1347)</f>
        <v>63.72</v>
      </c>
      <c r="G1348" s="6">
        <f>IFERROR(VLOOKUP($B1348,Platts!$E$5:$M$4994,MATCH(G$3,Platts!$F$5:$M$5,0)+1,FALSE),G1347)</f>
        <v>60.69</v>
      </c>
      <c r="H1348" s="6">
        <f>IFERROR(VLOOKUP($B1348,Platts!$E$5:$M$4994,MATCH(H$3,Platts!$F$5:$M$5,0)+1,FALSE),H1347)</f>
        <v>56.52</v>
      </c>
      <c r="I1348" s="6">
        <f>IFERROR(VLOOKUP($B1348,Platts!$E$5:$M$4994,MATCH(I$3,Platts!$F$5:$M$5,0)+1,FALSE),I1347)</f>
        <v>59.82</v>
      </c>
      <c r="J1348" s="6">
        <f t="shared" ref="J1348:J1411" si="42">H1348-C1348</f>
        <v>-0.60999999999999943</v>
      </c>
    </row>
    <row r="1349" spans="2:10" x14ac:dyDescent="0.25">
      <c r="B1349" s="5">
        <f t="shared" si="41"/>
        <v>43715</v>
      </c>
      <c r="C1349" s="6">
        <f>IFERROR(VLOOKUP($B1349,Platts!$E$5:$M$4994,MATCH(C$3,Platts!$F$5:$M$5,0)+1,FALSE),C1348)</f>
        <v>57.13</v>
      </c>
      <c r="D1349" s="6">
        <f>IFERROR(VLOOKUP($B1349,Platts!$E$5:$M$4994,MATCH(D$3,Platts!$F$5:$M$5,0)+1,FALSE),D1348)</f>
        <v>61.45</v>
      </c>
      <c r="E1349" s="6">
        <f>IFERROR(VLOOKUP($B1349,Platts!$E$5:$M$4994,MATCH(E$3,Platts!$F$5:$M$5,0)+1,FALSE),E1348)</f>
        <v>58.75</v>
      </c>
      <c r="F1349" s="6">
        <f>IFERROR(VLOOKUP($B1349,Platts!$E$5:$M$4994,MATCH(F$3,Platts!$F$5:$M$5,0)+1,FALSE),F1348)</f>
        <v>63.72</v>
      </c>
      <c r="G1349" s="6">
        <f>IFERROR(VLOOKUP($B1349,Platts!$E$5:$M$4994,MATCH(G$3,Platts!$F$5:$M$5,0)+1,FALSE),G1348)</f>
        <v>60.69</v>
      </c>
      <c r="H1349" s="6">
        <f>IFERROR(VLOOKUP($B1349,Platts!$E$5:$M$4994,MATCH(H$3,Platts!$F$5:$M$5,0)+1,FALSE),H1348)</f>
        <v>56.52</v>
      </c>
      <c r="I1349" s="6">
        <f>IFERROR(VLOOKUP($B1349,Platts!$E$5:$M$4994,MATCH(I$3,Platts!$F$5:$M$5,0)+1,FALSE),I1348)</f>
        <v>59.82</v>
      </c>
      <c r="J1349" s="6">
        <f t="shared" si="42"/>
        <v>-0.60999999999999943</v>
      </c>
    </row>
    <row r="1350" spans="2:10" x14ac:dyDescent="0.25">
      <c r="B1350" s="5">
        <f t="shared" ref="B1350:B1413" si="43">B1349+1</f>
        <v>43716</v>
      </c>
      <c r="C1350" s="6">
        <f>IFERROR(VLOOKUP($B1350,Platts!$E$5:$M$4994,MATCH(C$3,Platts!$F$5:$M$5,0)+1,FALSE),C1349)</f>
        <v>57.13</v>
      </c>
      <c r="D1350" s="6">
        <f>IFERROR(VLOOKUP($B1350,Platts!$E$5:$M$4994,MATCH(D$3,Platts!$F$5:$M$5,0)+1,FALSE),D1349)</f>
        <v>61.45</v>
      </c>
      <c r="E1350" s="6">
        <f>IFERROR(VLOOKUP($B1350,Platts!$E$5:$M$4994,MATCH(E$3,Platts!$F$5:$M$5,0)+1,FALSE),E1349)</f>
        <v>58.75</v>
      </c>
      <c r="F1350" s="6">
        <f>IFERROR(VLOOKUP($B1350,Platts!$E$5:$M$4994,MATCH(F$3,Platts!$F$5:$M$5,0)+1,FALSE),F1349)</f>
        <v>63.72</v>
      </c>
      <c r="G1350" s="6">
        <f>IFERROR(VLOOKUP($B1350,Platts!$E$5:$M$4994,MATCH(G$3,Platts!$F$5:$M$5,0)+1,FALSE),G1349)</f>
        <v>60.69</v>
      </c>
      <c r="H1350" s="6">
        <f>IFERROR(VLOOKUP($B1350,Platts!$E$5:$M$4994,MATCH(H$3,Platts!$F$5:$M$5,0)+1,FALSE),H1349)</f>
        <v>56.52</v>
      </c>
      <c r="I1350" s="6">
        <f>IFERROR(VLOOKUP($B1350,Platts!$E$5:$M$4994,MATCH(I$3,Platts!$F$5:$M$5,0)+1,FALSE),I1349)</f>
        <v>59.82</v>
      </c>
      <c r="J1350" s="6">
        <f t="shared" si="42"/>
        <v>-0.60999999999999943</v>
      </c>
    </row>
    <row r="1351" spans="2:10" x14ac:dyDescent="0.25">
      <c r="B1351" s="5">
        <f t="shared" si="43"/>
        <v>43717</v>
      </c>
      <c r="C1351" s="6">
        <f>IFERROR(VLOOKUP($B1351,Platts!$E$5:$M$4994,MATCH(C$3,Platts!$F$5:$M$5,0)+1,FALSE),C1350)</f>
        <v>57.54</v>
      </c>
      <c r="D1351" s="6">
        <f>IFERROR(VLOOKUP($B1351,Platts!$E$5:$M$4994,MATCH(D$3,Platts!$F$5:$M$5,0)+1,FALSE),D1350)</f>
        <v>62.8</v>
      </c>
      <c r="E1351" s="6">
        <f>IFERROR(VLOOKUP($B1351,Platts!$E$5:$M$4994,MATCH(E$3,Platts!$F$5:$M$5,0)+1,FALSE),E1350)</f>
        <v>58.17</v>
      </c>
      <c r="F1351" s="6">
        <f>IFERROR(VLOOKUP($B1351,Platts!$E$5:$M$4994,MATCH(F$3,Platts!$F$5:$M$5,0)+1,FALSE),F1350)</f>
        <v>65.05</v>
      </c>
      <c r="G1351" s="6">
        <f>IFERROR(VLOOKUP($B1351,Platts!$E$5:$M$4994,MATCH(G$3,Platts!$F$5:$M$5,0)+1,FALSE),G1350)</f>
        <v>62.87</v>
      </c>
      <c r="H1351" s="6">
        <f>IFERROR(VLOOKUP($B1351,Platts!$E$5:$M$4994,MATCH(H$3,Platts!$F$5:$M$5,0)+1,FALSE),H1350)</f>
        <v>57.85</v>
      </c>
      <c r="I1351" s="6">
        <f>IFERROR(VLOOKUP($B1351,Platts!$E$5:$M$4994,MATCH(I$3,Platts!$F$5:$M$5,0)+1,FALSE),I1350)</f>
        <v>61.05</v>
      </c>
      <c r="J1351" s="6">
        <f t="shared" si="42"/>
        <v>0.31000000000000227</v>
      </c>
    </row>
    <row r="1352" spans="2:10" x14ac:dyDescent="0.25">
      <c r="B1352" s="5">
        <f t="shared" si="43"/>
        <v>43718</v>
      </c>
      <c r="C1352" s="6">
        <f>IFERROR(VLOOKUP($B1352,Platts!$E$5:$M$4994,MATCH(C$3,Platts!$F$5:$M$5,0)+1,FALSE),C1351)</f>
        <v>56.13</v>
      </c>
      <c r="D1352" s="6">
        <f>IFERROR(VLOOKUP($B1352,Platts!$E$5:$M$4994,MATCH(D$3,Platts!$F$5:$M$5,0)+1,FALSE),D1351)</f>
        <v>62.31</v>
      </c>
      <c r="E1352" s="6">
        <f>IFERROR(VLOOKUP($B1352,Platts!$E$5:$M$4994,MATCH(E$3,Platts!$F$5:$M$5,0)+1,FALSE),E1351)</f>
        <v>56.26</v>
      </c>
      <c r="F1352" s="6">
        <f>IFERROR(VLOOKUP($B1352,Platts!$E$5:$M$4994,MATCH(F$3,Platts!$F$5:$M$5,0)+1,FALSE),F1351)</f>
        <v>64.59</v>
      </c>
      <c r="G1352" s="6">
        <f>IFERROR(VLOOKUP($B1352,Platts!$E$5:$M$4994,MATCH(G$3,Platts!$F$5:$M$5,0)+1,FALSE),G1351)</f>
        <v>63.66</v>
      </c>
      <c r="H1352" s="6">
        <f>IFERROR(VLOOKUP($B1352,Platts!$E$5:$M$4994,MATCH(H$3,Platts!$F$5:$M$5,0)+1,FALSE),H1351)</f>
        <v>57.4</v>
      </c>
      <c r="I1352" s="6">
        <f>IFERROR(VLOOKUP($B1352,Platts!$E$5:$M$4994,MATCH(I$3,Platts!$F$5:$M$5,0)+1,FALSE),I1351)</f>
        <v>60.75</v>
      </c>
      <c r="J1352" s="6">
        <f t="shared" si="42"/>
        <v>1.269999999999996</v>
      </c>
    </row>
    <row r="1353" spans="2:10" x14ac:dyDescent="0.25">
      <c r="B1353" s="5">
        <f t="shared" si="43"/>
        <v>43719</v>
      </c>
      <c r="C1353" s="6">
        <f>IFERROR(VLOOKUP($B1353,Platts!$E$5:$M$4994,MATCH(C$3,Platts!$F$5:$M$5,0)+1,FALSE),C1352)</f>
        <v>54.82</v>
      </c>
      <c r="D1353" s="6">
        <f>IFERROR(VLOOKUP($B1353,Platts!$E$5:$M$4994,MATCH(D$3,Platts!$F$5:$M$5,0)+1,FALSE),D1352)</f>
        <v>60.61</v>
      </c>
      <c r="E1353" s="6">
        <f>IFERROR(VLOOKUP($B1353,Platts!$E$5:$M$4994,MATCH(E$3,Platts!$F$5:$M$5,0)+1,FALSE),E1352)</f>
        <v>54.3</v>
      </c>
      <c r="F1353" s="6">
        <f>IFERROR(VLOOKUP($B1353,Platts!$E$5:$M$4994,MATCH(F$3,Platts!$F$5:$M$5,0)+1,FALSE),F1352)</f>
        <v>62.93</v>
      </c>
      <c r="G1353" s="6">
        <f>IFERROR(VLOOKUP($B1353,Platts!$E$5:$M$4994,MATCH(G$3,Platts!$F$5:$M$5,0)+1,FALSE),G1352)</f>
        <v>62.24</v>
      </c>
      <c r="H1353" s="6">
        <f>IFERROR(VLOOKUP($B1353,Platts!$E$5:$M$4994,MATCH(H$3,Platts!$F$5:$M$5,0)+1,FALSE),H1352)</f>
        <v>55.75</v>
      </c>
      <c r="I1353" s="6">
        <f>IFERROR(VLOOKUP($B1353,Platts!$E$5:$M$4994,MATCH(I$3,Platts!$F$5:$M$5,0)+1,FALSE),I1352)</f>
        <v>59.2</v>
      </c>
      <c r="J1353" s="6">
        <f t="shared" si="42"/>
        <v>0.92999999999999972</v>
      </c>
    </row>
    <row r="1354" spans="2:10" x14ac:dyDescent="0.25">
      <c r="B1354" s="5">
        <f t="shared" si="43"/>
        <v>43720</v>
      </c>
      <c r="C1354" s="6">
        <f>IFERROR(VLOOKUP($B1354,Platts!$E$5:$M$4994,MATCH(C$3,Platts!$F$5:$M$5,0)+1,FALSE),C1353)</f>
        <v>55.49</v>
      </c>
      <c r="D1354" s="6">
        <f>IFERROR(VLOOKUP($B1354,Platts!$E$5:$M$4994,MATCH(D$3,Platts!$F$5:$M$5,0)+1,FALSE),D1353)</f>
        <v>59.69</v>
      </c>
      <c r="E1354" s="6">
        <f>IFERROR(VLOOKUP($B1354,Platts!$E$5:$M$4994,MATCH(E$3,Platts!$F$5:$M$5,0)+1,FALSE),E1353)</f>
        <v>55.62</v>
      </c>
      <c r="F1354" s="6">
        <f>IFERROR(VLOOKUP($B1354,Platts!$E$5:$M$4994,MATCH(F$3,Platts!$F$5:$M$5,0)+1,FALSE),F1353)</f>
        <v>62.01</v>
      </c>
      <c r="G1354" s="6">
        <f>IFERROR(VLOOKUP($B1354,Platts!$E$5:$M$4994,MATCH(G$3,Platts!$F$5:$M$5,0)+1,FALSE),G1353)</f>
        <v>60.09</v>
      </c>
      <c r="H1354" s="6">
        <f>IFERROR(VLOOKUP($B1354,Platts!$E$5:$M$4994,MATCH(H$3,Platts!$F$5:$M$5,0)+1,FALSE),H1353)</f>
        <v>55.09</v>
      </c>
      <c r="I1354" s="6">
        <f>IFERROR(VLOOKUP($B1354,Platts!$E$5:$M$4994,MATCH(I$3,Platts!$F$5:$M$5,0)+1,FALSE),I1353)</f>
        <v>58.54</v>
      </c>
      <c r="J1354" s="6">
        <f t="shared" si="42"/>
        <v>-0.39999999999999858</v>
      </c>
    </row>
    <row r="1355" spans="2:10" x14ac:dyDescent="0.25">
      <c r="B1355" s="5">
        <f t="shared" si="43"/>
        <v>43721</v>
      </c>
      <c r="C1355" s="6">
        <f>IFERROR(VLOOKUP($B1355,Platts!$E$5:$M$4994,MATCH(C$3,Platts!$F$5:$M$5,0)+1,FALSE),C1354)</f>
        <v>56.54</v>
      </c>
      <c r="D1355" s="6">
        <f>IFERROR(VLOOKUP($B1355,Platts!$E$5:$M$4994,MATCH(D$3,Platts!$F$5:$M$5,0)+1,FALSE),D1354)</f>
        <v>59.65</v>
      </c>
      <c r="E1355" s="6">
        <f>IFERROR(VLOOKUP($B1355,Platts!$E$5:$M$4994,MATCH(E$3,Platts!$F$5:$M$5,0)+1,FALSE),E1354)</f>
        <v>57.59</v>
      </c>
      <c r="F1355" s="6">
        <f>IFERROR(VLOOKUP($B1355,Platts!$E$5:$M$4994,MATCH(F$3,Platts!$F$5:$M$5,0)+1,FALSE),F1354)</f>
        <v>61.99</v>
      </c>
      <c r="G1355" s="6">
        <f>IFERROR(VLOOKUP($B1355,Platts!$E$5:$M$4994,MATCH(G$3,Platts!$F$5:$M$5,0)+1,FALSE),G1354)</f>
        <v>60.36</v>
      </c>
      <c r="H1355" s="6">
        <f>IFERROR(VLOOKUP($B1355,Platts!$E$5:$M$4994,MATCH(H$3,Platts!$F$5:$M$5,0)+1,FALSE),H1354)</f>
        <v>54.85</v>
      </c>
      <c r="I1355" s="6">
        <f>IFERROR(VLOOKUP($B1355,Platts!$E$5:$M$4994,MATCH(I$3,Platts!$F$5:$M$5,0)+1,FALSE),I1354)</f>
        <v>58.3</v>
      </c>
      <c r="J1355" s="6">
        <f t="shared" si="42"/>
        <v>-1.6899999999999977</v>
      </c>
    </row>
    <row r="1356" spans="2:10" x14ac:dyDescent="0.25">
      <c r="B1356" s="5">
        <f t="shared" si="43"/>
        <v>43722</v>
      </c>
      <c r="C1356" s="6">
        <f>IFERROR(VLOOKUP($B1356,Platts!$E$5:$M$4994,MATCH(C$3,Platts!$F$5:$M$5,0)+1,FALSE),C1355)</f>
        <v>56.54</v>
      </c>
      <c r="D1356" s="6">
        <f>IFERROR(VLOOKUP($B1356,Platts!$E$5:$M$4994,MATCH(D$3,Platts!$F$5:$M$5,0)+1,FALSE),D1355)</f>
        <v>59.65</v>
      </c>
      <c r="E1356" s="6">
        <f>IFERROR(VLOOKUP($B1356,Platts!$E$5:$M$4994,MATCH(E$3,Platts!$F$5:$M$5,0)+1,FALSE),E1355)</f>
        <v>57.59</v>
      </c>
      <c r="F1356" s="6">
        <f>IFERROR(VLOOKUP($B1356,Platts!$E$5:$M$4994,MATCH(F$3,Platts!$F$5:$M$5,0)+1,FALSE),F1355)</f>
        <v>61.99</v>
      </c>
      <c r="G1356" s="6">
        <f>IFERROR(VLOOKUP($B1356,Platts!$E$5:$M$4994,MATCH(G$3,Platts!$F$5:$M$5,0)+1,FALSE),G1355)</f>
        <v>60.36</v>
      </c>
      <c r="H1356" s="6">
        <f>IFERROR(VLOOKUP($B1356,Platts!$E$5:$M$4994,MATCH(H$3,Platts!$F$5:$M$5,0)+1,FALSE),H1355)</f>
        <v>54.85</v>
      </c>
      <c r="I1356" s="6">
        <f>IFERROR(VLOOKUP($B1356,Platts!$E$5:$M$4994,MATCH(I$3,Platts!$F$5:$M$5,0)+1,FALSE),I1355)</f>
        <v>58.3</v>
      </c>
      <c r="J1356" s="6">
        <f t="shared" si="42"/>
        <v>-1.6899999999999977</v>
      </c>
    </row>
    <row r="1357" spans="2:10" x14ac:dyDescent="0.25">
      <c r="B1357" s="5">
        <f t="shared" si="43"/>
        <v>43723</v>
      </c>
      <c r="C1357" s="6">
        <f>IFERROR(VLOOKUP($B1357,Platts!$E$5:$M$4994,MATCH(C$3,Platts!$F$5:$M$5,0)+1,FALSE),C1356)</f>
        <v>56.54</v>
      </c>
      <c r="D1357" s="6">
        <f>IFERROR(VLOOKUP($B1357,Platts!$E$5:$M$4994,MATCH(D$3,Platts!$F$5:$M$5,0)+1,FALSE),D1356)</f>
        <v>59.65</v>
      </c>
      <c r="E1357" s="6">
        <f>IFERROR(VLOOKUP($B1357,Platts!$E$5:$M$4994,MATCH(E$3,Platts!$F$5:$M$5,0)+1,FALSE),E1356)</f>
        <v>57.59</v>
      </c>
      <c r="F1357" s="6">
        <f>IFERROR(VLOOKUP($B1357,Platts!$E$5:$M$4994,MATCH(F$3,Platts!$F$5:$M$5,0)+1,FALSE),F1356)</f>
        <v>61.99</v>
      </c>
      <c r="G1357" s="6">
        <f>IFERROR(VLOOKUP($B1357,Platts!$E$5:$M$4994,MATCH(G$3,Platts!$F$5:$M$5,0)+1,FALSE),G1356)</f>
        <v>60.36</v>
      </c>
      <c r="H1357" s="6">
        <f>IFERROR(VLOOKUP($B1357,Platts!$E$5:$M$4994,MATCH(H$3,Platts!$F$5:$M$5,0)+1,FALSE),H1356)</f>
        <v>54.85</v>
      </c>
      <c r="I1357" s="6">
        <f>IFERROR(VLOOKUP($B1357,Platts!$E$5:$M$4994,MATCH(I$3,Platts!$F$5:$M$5,0)+1,FALSE),I1356)</f>
        <v>58.3</v>
      </c>
      <c r="J1357" s="6">
        <f t="shared" si="42"/>
        <v>-1.6899999999999977</v>
      </c>
    </row>
    <row r="1358" spans="2:10" x14ac:dyDescent="0.25">
      <c r="B1358" s="5">
        <f t="shared" si="43"/>
        <v>43724</v>
      </c>
      <c r="C1358" s="6">
        <f>IFERROR(VLOOKUP($B1358,Platts!$E$5:$M$4994,MATCH(C$3,Platts!$F$5:$M$5,0)+1,FALSE),C1357)</f>
        <v>65.83</v>
      </c>
      <c r="D1358" s="6">
        <f>IFERROR(VLOOKUP($B1358,Platts!$E$5:$M$4994,MATCH(D$3,Platts!$F$5:$M$5,0)+1,FALSE),D1357)</f>
        <v>68.44</v>
      </c>
      <c r="E1358" s="6">
        <f>IFERROR(VLOOKUP($B1358,Platts!$E$5:$M$4994,MATCH(E$3,Platts!$F$5:$M$5,0)+1,FALSE),E1357)</f>
        <v>67.150000000000006</v>
      </c>
      <c r="F1358" s="6">
        <f>IFERROR(VLOOKUP($B1358,Platts!$E$5:$M$4994,MATCH(F$3,Platts!$F$5:$M$5,0)+1,FALSE),F1357)</f>
        <v>70.66</v>
      </c>
      <c r="G1358" s="6">
        <f>IFERROR(VLOOKUP($B1358,Platts!$E$5:$M$4994,MATCH(G$3,Platts!$F$5:$M$5,0)+1,FALSE),G1357)</f>
        <v>67.930000000000007</v>
      </c>
      <c r="H1358" s="6">
        <f>IFERROR(VLOOKUP($B1358,Platts!$E$5:$M$4994,MATCH(H$3,Platts!$F$5:$M$5,0)+1,FALSE),H1357)</f>
        <v>62.9</v>
      </c>
      <c r="I1358" s="6">
        <f>IFERROR(VLOOKUP($B1358,Platts!$E$5:$M$4994,MATCH(I$3,Platts!$F$5:$M$5,0)+1,FALSE),I1357)</f>
        <v>67.150000000000006</v>
      </c>
      <c r="J1358" s="6">
        <f t="shared" si="42"/>
        <v>-2.9299999999999997</v>
      </c>
    </row>
    <row r="1359" spans="2:10" x14ac:dyDescent="0.25">
      <c r="B1359" s="5">
        <f t="shared" si="43"/>
        <v>43725</v>
      </c>
      <c r="C1359" s="6">
        <f>IFERROR(VLOOKUP($B1359,Platts!$E$5:$M$4994,MATCH(C$3,Platts!$F$5:$M$5,0)+1,FALSE),C1358)</f>
        <v>63.66</v>
      </c>
      <c r="D1359" s="6">
        <f>IFERROR(VLOOKUP($B1359,Platts!$E$5:$M$4994,MATCH(D$3,Platts!$F$5:$M$5,0)+1,FALSE),D1358)</f>
        <v>64.27</v>
      </c>
      <c r="E1359" s="6">
        <f>IFERROR(VLOOKUP($B1359,Platts!$E$5:$M$4994,MATCH(E$3,Platts!$F$5:$M$5,0)+1,FALSE),E1358)</f>
        <v>64.25</v>
      </c>
      <c r="F1359" s="6">
        <f>IFERROR(VLOOKUP($B1359,Platts!$E$5:$M$4994,MATCH(F$3,Platts!$F$5:$M$5,0)+1,FALSE),F1358)</f>
        <v>66.430000000000007</v>
      </c>
      <c r="G1359" s="6">
        <f>IFERROR(VLOOKUP($B1359,Platts!$E$5:$M$4994,MATCH(G$3,Platts!$F$5:$M$5,0)+1,FALSE),G1358)</f>
        <v>65.650000000000006</v>
      </c>
      <c r="H1359" s="6">
        <f>IFERROR(VLOOKUP($B1359,Platts!$E$5:$M$4994,MATCH(H$3,Platts!$F$5:$M$5,0)+1,FALSE),H1358)</f>
        <v>59.34</v>
      </c>
      <c r="I1359" s="6">
        <f>IFERROR(VLOOKUP($B1359,Platts!$E$5:$M$4994,MATCH(I$3,Platts!$F$5:$M$5,0)+1,FALSE),I1358)</f>
        <v>62.89</v>
      </c>
      <c r="J1359" s="6">
        <f t="shared" si="42"/>
        <v>-4.3199999999999932</v>
      </c>
    </row>
    <row r="1360" spans="2:10" x14ac:dyDescent="0.25">
      <c r="B1360" s="5">
        <f t="shared" si="43"/>
        <v>43726</v>
      </c>
      <c r="C1360" s="6">
        <f>IFERROR(VLOOKUP($B1360,Platts!$E$5:$M$4994,MATCH(C$3,Platts!$F$5:$M$5,0)+1,FALSE),C1359)</f>
        <v>60.31</v>
      </c>
      <c r="D1360" s="6">
        <f>IFERROR(VLOOKUP($B1360,Platts!$E$5:$M$4994,MATCH(D$3,Platts!$F$5:$M$5,0)+1,FALSE),D1359)</f>
        <v>63.34</v>
      </c>
      <c r="E1360" s="6">
        <f>IFERROR(VLOOKUP($B1360,Platts!$E$5:$M$4994,MATCH(E$3,Platts!$F$5:$M$5,0)+1,FALSE),E1359)</f>
        <v>60.6</v>
      </c>
      <c r="F1360" s="6">
        <f>IFERROR(VLOOKUP($B1360,Platts!$E$5:$M$4994,MATCH(F$3,Platts!$F$5:$M$5,0)+1,FALSE),F1359)</f>
        <v>65.569999999999993</v>
      </c>
      <c r="G1360" s="6">
        <f>IFERROR(VLOOKUP($B1360,Platts!$E$5:$M$4994,MATCH(G$3,Platts!$F$5:$M$5,0)+1,FALSE),G1359)</f>
        <v>64.25</v>
      </c>
      <c r="H1360" s="6">
        <f>IFERROR(VLOOKUP($B1360,Platts!$E$5:$M$4994,MATCH(H$3,Platts!$F$5:$M$5,0)+1,FALSE),H1359)</f>
        <v>58.11</v>
      </c>
      <c r="I1360" s="6">
        <f>IFERROR(VLOOKUP($B1360,Platts!$E$5:$M$4994,MATCH(I$3,Platts!$F$5:$M$5,0)+1,FALSE),I1359)</f>
        <v>61.66</v>
      </c>
      <c r="J1360" s="6">
        <f t="shared" si="42"/>
        <v>-2.2000000000000028</v>
      </c>
    </row>
    <row r="1361" spans="2:10" x14ac:dyDescent="0.25">
      <c r="B1361" s="5">
        <f t="shared" si="43"/>
        <v>43727</v>
      </c>
      <c r="C1361" s="6">
        <f>IFERROR(VLOOKUP($B1361,Platts!$E$5:$M$4994,MATCH(C$3,Platts!$F$5:$M$5,0)+1,FALSE),C1360)</f>
        <v>61.32</v>
      </c>
      <c r="D1361" s="6">
        <f>IFERROR(VLOOKUP($B1361,Platts!$E$5:$M$4994,MATCH(D$3,Platts!$F$5:$M$5,0)+1,FALSE),D1360)</f>
        <v>63.47</v>
      </c>
      <c r="E1361" s="6">
        <f>IFERROR(VLOOKUP($B1361,Platts!$E$5:$M$4994,MATCH(E$3,Platts!$F$5:$M$5,0)+1,FALSE),E1360)</f>
        <v>61.66</v>
      </c>
      <c r="F1361" s="6">
        <f>IFERROR(VLOOKUP($B1361,Platts!$E$5:$M$4994,MATCH(F$3,Platts!$F$5:$M$5,0)+1,FALSE),F1360)</f>
        <v>65.8</v>
      </c>
      <c r="G1361" s="6">
        <f>IFERROR(VLOOKUP($B1361,Platts!$E$5:$M$4994,MATCH(G$3,Platts!$F$5:$M$5,0)+1,FALSE),G1360)</f>
        <v>64.47</v>
      </c>
      <c r="H1361" s="6">
        <f>IFERROR(VLOOKUP($B1361,Platts!$E$5:$M$4994,MATCH(H$3,Platts!$F$5:$M$5,0)+1,FALSE),H1360)</f>
        <v>58.13</v>
      </c>
      <c r="I1361" s="6">
        <f>IFERROR(VLOOKUP($B1361,Platts!$E$5:$M$4994,MATCH(I$3,Platts!$F$5:$M$5,0)+1,FALSE),I1360)</f>
        <v>61.98</v>
      </c>
      <c r="J1361" s="6">
        <f t="shared" si="42"/>
        <v>-3.1899999999999977</v>
      </c>
    </row>
    <row r="1362" spans="2:10" x14ac:dyDescent="0.25">
      <c r="B1362" s="5">
        <f t="shared" si="43"/>
        <v>43728</v>
      </c>
      <c r="C1362" s="6">
        <f>IFERROR(VLOOKUP($B1362,Platts!$E$5:$M$4994,MATCH(C$3,Platts!$F$5:$M$5,0)+1,FALSE),C1361)</f>
        <v>61.1</v>
      </c>
      <c r="D1362" s="6">
        <f>IFERROR(VLOOKUP($B1362,Platts!$E$5:$M$4994,MATCH(D$3,Platts!$F$5:$M$5,0)+1,FALSE),D1361)</f>
        <v>63.81</v>
      </c>
      <c r="E1362" s="6">
        <f>IFERROR(VLOOKUP($B1362,Platts!$E$5:$M$4994,MATCH(E$3,Platts!$F$5:$M$5,0)+1,FALSE),E1361)</f>
        <v>61.22</v>
      </c>
      <c r="F1362" s="6">
        <f>IFERROR(VLOOKUP($B1362,Platts!$E$5:$M$4994,MATCH(F$3,Platts!$F$5:$M$5,0)+1,FALSE),F1361)</f>
        <v>66.11</v>
      </c>
      <c r="G1362" s="6">
        <f>IFERROR(VLOOKUP($B1362,Platts!$E$5:$M$4994,MATCH(G$3,Platts!$F$5:$M$5,0)+1,FALSE),G1361)</f>
        <v>65.02</v>
      </c>
      <c r="H1362" s="6">
        <f>IFERROR(VLOOKUP($B1362,Platts!$E$5:$M$4994,MATCH(H$3,Platts!$F$5:$M$5,0)+1,FALSE),H1361)</f>
        <v>58.09</v>
      </c>
      <c r="I1362" s="6">
        <f>IFERROR(VLOOKUP($B1362,Platts!$E$5:$M$4994,MATCH(I$3,Platts!$F$5:$M$5,0)+1,FALSE),I1361)</f>
        <v>62.14</v>
      </c>
      <c r="J1362" s="6">
        <f t="shared" si="42"/>
        <v>-3.009999999999998</v>
      </c>
    </row>
    <row r="1363" spans="2:10" x14ac:dyDescent="0.25">
      <c r="B1363" s="5">
        <f t="shared" si="43"/>
        <v>43729</v>
      </c>
      <c r="C1363" s="6">
        <f>IFERROR(VLOOKUP($B1363,Platts!$E$5:$M$4994,MATCH(C$3,Platts!$F$5:$M$5,0)+1,FALSE),C1362)</f>
        <v>61.1</v>
      </c>
      <c r="D1363" s="6">
        <f>IFERROR(VLOOKUP($B1363,Platts!$E$5:$M$4994,MATCH(D$3,Platts!$F$5:$M$5,0)+1,FALSE),D1362)</f>
        <v>63.81</v>
      </c>
      <c r="E1363" s="6">
        <f>IFERROR(VLOOKUP($B1363,Platts!$E$5:$M$4994,MATCH(E$3,Platts!$F$5:$M$5,0)+1,FALSE),E1362)</f>
        <v>61.22</v>
      </c>
      <c r="F1363" s="6">
        <f>IFERROR(VLOOKUP($B1363,Platts!$E$5:$M$4994,MATCH(F$3,Platts!$F$5:$M$5,0)+1,FALSE),F1362)</f>
        <v>66.11</v>
      </c>
      <c r="G1363" s="6">
        <f>IFERROR(VLOOKUP($B1363,Platts!$E$5:$M$4994,MATCH(G$3,Platts!$F$5:$M$5,0)+1,FALSE),G1362)</f>
        <v>65.02</v>
      </c>
      <c r="H1363" s="6">
        <f>IFERROR(VLOOKUP($B1363,Platts!$E$5:$M$4994,MATCH(H$3,Platts!$F$5:$M$5,0)+1,FALSE),H1362)</f>
        <v>58.09</v>
      </c>
      <c r="I1363" s="6">
        <f>IFERROR(VLOOKUP($B1363,Platts!$E$5:$M$4994,MATCH(I$3,Platts!$F$5:$M$5,0)+1,FALSE),I1362)</f>
        <v>62.14</v>
      </c>
      <c r="J1363" s="6">
        <f t="shared" si="42"/>
        <v>-3.009999999999998</v>
      </c>
    </row>
    <row r="1364" spans="2:10" x14ac:dyDescent="0.25">
      <c r="B1364" s="5">
        <f t="shared" si="43"/>
        <v>43730</v>
      </c>
      <c r="C1364" s="6">
        <f>IFERROR(VLOOKUP($B1364,Platts!$E$5:$M$4994,MATCH(C$3,Platts!$F$5:$M$5,0)+1,FALSE),C1363)</f>
        <v>61.1</v>
      </c>
      <c r="D1364" s="6">
        <f>IFERROR(VLOOKUP($B1364,Platts!$E$5:$M$4994,MATCH(D$3,Platts!$F$5:$M$5,0)+1,FALSE),D1363)</f>
        <v>63.81</v>
      </c>
      <c r="E1364" s="6">
        <f>IFERROR(VLOOKUP($B1364,Platts!$E$5:$M$4994,MATCH(E$3,Platts!$F$5:$M$5,0)+1,FALSE),E1363)</f>
        <v>61.22</v>
      </c>
      <c r="F1364" s="6">
        <f>IFERROR(VLOOKUP($B1364,Platts!$E$5:$M$4994,MATCH(F$3,Platts!$F$5:$M$5,0)+1,FALSE),F1363)</f>
        <v>66.11</v>
      </c>
      <c r="G1364" s="6">
        <f>IFERROR(VLOOKUP($B1364,Platts!$E$5:$M$4994,MATCH(G$3,Platts!$F$5:$M$5,0)+1,FALSE),G1363)</f>
        <v>65.02</v>
      </c>
      <c r="H1364" s="6">
        <f>IFERROR(VLOOKUP($B1364,Platts!$E$5:$M$4994,MATCH(H$3,Platts!$F$5:$M$5,0)+1,FALSE),H1363)</f>
        <v>58.09</v>
      </c>
      <c r="I1364" s="6">
        <f>IFERROR(VLOOKUP($B1364,Platts!$E$5:$M$4994,MATCH(I$3,Platts!$F$5:$M$5,0)+1,FALSE),I1363)</f>
        <v>62.14</v>
      </c>
      <c r="J1364" s="6">
        <f t="shared" si="42"/>
        <v>-3.009999999999998</v>
      </c>
    </row>
    <row r="1365" spans="2:10" x14ac:dyDescent="0.25">
      <c r="B1365" s="5">
        <f t="shared" si="43"/>
        <v>43731</v>
      </c>
      <c r="C1365" s="6">
        <f>IFERROR(VLOOKUP($B1365,Platts!$E$5:$M$4994,MATCH(C$3,Platts!$F$5:$M$5,0)+1,FALSE),C1364)</f>
        <v>59.65</v>
      </c>
      <c r="D1365" s="6">
        <f>IFERROR(VLOOKUP($B1365,Platts!$E$5:$M$4994,MATCH(D$3,Platts!$F$5:$M$5,0)+1,FALSE),D1364)</f>
        <v>64.09</v>
      </c>
      <c r="E1365" s="6">
        <f>IFERROR(VLOOKUP($B1365,Platts!$E$5:$M$4994,MATCH(E$3,Platts!$F$5:$M$5,0)+1,FALSE),E1364)</f>
        <v>61.47</v>
      </c>
      <c r="F1365" s="6">
        <f>IFERROR(VLOOKUP($B1365,Platts!$E$5:$M$4994,MATCH(F$3,Platts!$F$5:$M$5,0)+1,FALSE),F1364)</f>
        <v>66.239999999999995</v>
      </c>
      <c r="G1365" s="6">
        <f>IFERROR(VLOOKUP($B1365,Platts!$E$5:$M$4994,MATCH(G$3,Platts!$F$5:$M$5,0)+1,FALSE),G1364)</f>
        <v>64.430000000000007</v>
      </c>
      <c r="H1365" s="6">
        <f>IFERROR(VLOOKUP($B1365,Platts!$E$5:$M$4994,MATCH(H$3,Platts!$F$5:$M$5,0)+1,FALSE),H1364)</f>
        <v>58.64</v>
      </c>
      <c r="I1365" s="6">
        <f>IFERROR(VLOOKUP($B1365,Platts!$E$5:$M$4994,MATCH(I$3,Platts!$F$5:$M$5,0)+1,FALSE),I1364)</f>
        <v>63.09</v>
      </c>
      <c r="J1365" s="6">
        <f t="shared" si="42"/>
        <v>-1.009999999999998</v>
      </c>
    </row>
    <row r="1366" spans="2:10" x14ac:dyDescent="0.25">
      <c r="B1366" s="5">
        <f t="shared" si="43"/>
        <v>43732</v>
      </c>
      <c r="C1366" s="6">
        <f>IFERROR(VLOOKUP($B1366,Platts!$E$5:$M$4994,MATCH(C$3,Platts!$F$5:$M$5,0)+1,FALSE),C1365)</f>
        <v>58.98</v>
      </c>
      <c r="D1366" s="6">
        <f>IFERROR(VLOOKUP($B1366,Platts!$E$5:$M$4994,MATCH(D$3,Platts!$F$5:$M$5,0)+1,FALSE),D1365)</f>
        <v>62.58</v>
      </c>
      <c r="E1366" s="6">
        <f>IFERROR(VLOOKUP($B1366,Platts!$E$5:$M$4994,MATCH(E$3,Platts!$F$5:$M$5,0)+1,FALSE),E1365)</f>
        <v>58.75</v>
      </c>
      <c r="F1366" s="6">
        <f>IFERROR(VLOOKUP($B1366,Platts!$E$5:$M$4994,MATCH(F$3,Platts!$F$5:$M$5,0)+1,FALSE),F1365)</f>
        <v>64.680000000000007</v>
      </c>
      <c r="G1366" s="6">
        <f>IFERROR(VLOOKUP($B1366,Platts!$E$5:$M$4994,MATCH(G$3,Platts!$F$5:$M$5,0)+1,FALSE),G1365)</f>
        <v>63.87</v>
      </c>
      <c r="H1366" s="6">
        <f>IFERROR(VLOOKUP($B1366,Platts!$E$5:$M$4994,MATCH(H$3,Platts!$F$5:$M$5,0)+1,FALSE),H1365)</f>
        <v>57.17</v>
      </c>
      <c r="I1366" s="6">
        <f>IFERROR(VLOOKUP($B1366,Platts!$E$5:$M$4994,MATCH(I$3,Platts!$F$5:$M$5,0)+1,FALSE),I1365)</f>
        <v>61.47</v>
      </c>
      <c r="J1366" s="6">
        <f t="shared" si="42"/>
        <v>-1.8099999999999952</v>
      </c>
    </row>
    <row r="1367" spans="2:10" x14ac:dyDescent="0.25">
      <c r="B1367" s="5">
        <f t="shared" si="43"/>
        <v>43733</v>
      </c>
      <c r="C1367" s="6">
        <f>IFERROR(VLOOKUP($B1367,Platts!$E$5:$M$4994,MATCH(C$3,Platts!$F$5:$M$5,0)+1,FALSE),C1366)</f>
        <v>59.15</v>
      </c>
      <c r="D1367" s="6">
        <f>IFERROR(VLOOKUP($B1367,Platts!$E$5:$M$4994,MATCH(D$3,Platts!$F$5:$M$5,0)+1,FALSE),D1366)</f>
        <v>61.98</v>
      </c>
      <c r="E1367" s="6">
        <f>IFERROR(VLOOKUP($B1367,Platts!$E$5:$M$4994,MATCH(E$3,Platts!$F$5:$M$5,0)+1,FALSE),E1366)</f>
        <v>59.24</v>
      </c>
      <c r="F1367" s="6">
        <f>IFERROR(VLOOKUP($B1367,Platts!$E$5:$M$4994,MATCH(F$3,Platts!$F$5:$M$5,0)+1,FALSE),F1366)</f>
        <v>64.13</v>
      </c>
      <c r="G1367" s="6">
        <f>IFERROR(VLOOKUP($B1367,Platts!$E$5:$M$4994,MATCH(G$3,Platts!$F$5:$M$5,0)+1,FALSE),G1366)</f>
        <v>62.17</v>
      </c>
      <c r="H1367" s="6">
        <f>IFERROR(VLOOKUP($B1367,Platts!$E$5:$M$4994,MATCH(H$3,Platts!$F$5:$M$5,0)+1,FALSE),H1366)</f>
        <v>56.32</v>
      </c>
      <c r="I1367" s="6">
        <f>IFERROR(VLOOKUP($B1367,Platts!$E$5:$M$4994,MATCH(I$3,Platts!$F$5:$M$5,0)+1,FALSE),I1366)</f>
        <v>60.62</v>
      </c>
      <c r="J1367" s="6">
        <f t="shared" si="42"/>
        <v>-2.8299999999999983</v>
      </c>
    </row>
    <row r="1368" spans="2:10" x14ac:dyDescent="0.25">
      <c r="B1368" s="5">
        <f t="shared" si="43"/>
        <v>43734</v>
      </c>
      <c r="C1368" s="6">
        <f>IFERROR(VLOOKUP($B1368,Platts!$E$5:$M$4994,MATCH(C$3,Platts!$F$5:$M$5,0)+1,FALSE),C1367)</f>
        <v>60.59</v>
      </c>
      <c r="D1368" s="6">
        <f>IFERROR(VLOOKUP($B1368,Platts!$E$5:$M$4994,MATCH(D$3,Platts!$F$5:$M$5,0)+1,FALSE),D1367)</f>
        <v>61.89</v>
      </c>
      <c r="E1368" s="6">
        <f>IFERROR(VLOOKUP($B1368,Platts!$E$5:$M$4994,MATCH(E$3,Platts!$F$5:$M$5,0)+1,FALSE),E1367)</f>
        <v>59.72</v>
      </c>
      <c r="F1368" s="6">
        <f>IFERROR(VLOOKUP($B1368,Platts!$E$5:$M$4994,MATCH(F$3,Platts!$F$5:$M$5,0)+1,FALSE),F1367)</f>
        <v>64.099999999999994</v>
      </c>
      <c r="G1368" s="6">
        <f>IFERROR(VLOOKUP($B1368,Platts!$E$5:$M$4994,MATCH(G$3,Platts!$F$5:$M$5,0)+1,FALSE),G1367)</f>
        <v>61.7</v>
      </c>
      <c r="H1368" s="6">
        <f>IFERROR(VLOOKUP($B1368,Platts!$E$5:$M$4994,MATCH(H$3,Platts!$F$5:$M$5,0)+1,FALSE),H1367)</f>
        <v>56.41</v>
      </c>
      <c r="I1368" s="6">
        <f>IFERROR(VLOOKUP($B1368,Platts!$E$5:$M$4994,MATCH(I$3,Platts!$F$5:$M$5,0)+1,FALSE),I1367)</f>
        <v>60.21</v>
      </c>
      <c r="J1368" s="6">
        <f t="shared" si="42"/>
        <v>-4.1800000000000068</v>
      </c>
    </row>
    <row r="1369" spans="2:10" x14ac:dyDescent="0.25">
      <c r="B1369" s="5">
        <f t="shared" si="43"/>
        <v>43735</v>
      </c>
      <c r="C1369" s="6">
        <f>IFERROR(VLOOKUP($B1369,Platts!$E$5:$M$4994,MATCH(C$3,Platts!$F$5:$M$5,0)+1,FALSE),C1368)</f>
        <v>57.58</v>
      </c>
      <c r="D1369" s="6">
        <f>IFERROR(VLOOKUP($B1369,Platts!$E$5:$M$4994,MATCH(D$3,Platts!$F$5:$M$5,0)+1,FALSE),D1368)</f>
        <v>61.36</v>
      </c>
      <c r="E1369" s="6">
        <f>IFERROR(VLOOKUP($B1369,Platts!$E$5:$M$4994,MATCH(E$3,Platts!$F$5:$M$5,0)+1,FALSE),E1368)</f>
        <v>57.72</v>
      </c>
      <c r="F1369" s="6">
        <f>IFERROR(VLOOKUP($B1369,Platts!$E$5:$M$4994,MATCH(F$3,Platts!$F$5:$M$5,0)+1,FALSE),F1368)</f>
        <v>63.54</v>
      </c>
      <c r="G1369" s="6">
        <f>IFERROR(VLOOKUP($B1369,Platts!$E$5:$M$4994,MATCH(G$3,Platts!$F$5:$M$5,0)+1,FALSE),G1368)</f>
        <v>62.35</v>
      </c>
      <c r="H1369" s="6">
        <f>IFERROR(VLOOKUP($B1369,Platts!$E$5:$M$4994,MATCH(H$3,Platts!$F$5:$M$5,0)+1,FALSE),H1368)</f>
        <v>55.91</v>
      </c>
      <c r="I1369" s="6">
        <f>IFERROR(VLOOKUP($B1369,Platts!$E$5:$M$4994,MATCH(I$3,Platts!$F$5:$M$5,0)+1,FALSE),I1368)</f>
        <v>59.61</v>
      </c>
      <c r="J1369" s="6">
        <f t="shared" si="42"/>
        <v>-1.6700000000000017</v>
      </c>
    </row>
    <row r="1370" spans="2:10" x14ac:dyDescent="0.25">
      <c r="B1370" s="5">
        <f t="shared" si="43"/>
        <v>43736</v>
      </c>
      <c r="C1370" s="6">
        <f>IFERROR(VLOOKUP($B1370,Platts!$E$5:$M$4994,MATCH(C$3,Platts!$F$5:$M$5,0)+1,FALSE),C1369)</f>
        <v>57.58</v>
      </c>
      <c r="D1370" s="6">
        <f>IFERROR(VLOOKUP($B1370,Platts!$E$5:$M$4994,MATCH(D$3,Platts!$F$5:$M$5,0)+1,FALSE),D1369)</f>
        <v>61.36</v>
      </c>
      <c r="E1370" s="6">
        <f>IFERROR(VLOOKUP($B1370,Platts!$E$5:$M$4994,MATCH(E$3,Platts!$F$5:$M$5,0)+1,FALSE),E1369)</f>
        <v>57.72</v>
      </c>
      <c r="F1370" s="6">
        <f>IFERROR(VLOOKUP($B1370,Platts!$E$5:$M$4994,MATCH(F$3,Platts!$F$5:$M$5,0)+1,FALSE),F1369)</f>
        <v>63.54</v>
      </c>
      <c r="G1370" s="6">
        <f>IFERROR(VLOOKUP($B1370,Platts!$E$5:$M$4994,MATCH(G$3,Platts!$F$5:$M$5,0)+1,FALSE),G1369)</f>
        <v>62.35</v>
      </c>
      <c r="H1370" s="6">
        <f>IFERROR(VLOOKUP($B1370,Platts!$E$5:$M$4994,MATCH(H$3,Platts!$F$5:$M$5,0)+1,FALSE),H1369)</f>
        <v>55.91</v>
      </c>
      <c r="I1370" s="6">
        <f>IFERROR(VLOOKUP($B1370,Platts!$E$5:$M$4994,MATCH(I$3,Platts!$F$5:$M$5,0)+1,FALSE),I1369)</f>
        <v>59.61</v>
      </c>
      <c r="J1370" s="6">
        <f t="shared" si="42"/>
        <v>-1.6700000000000017</v>
      </c>
    </row>
    <row r="1371" spans="2:10" x14ac:dyDescent="0.25">
      <c r="B1371" s="5">
        <f t="shared" si="43"/>
        <v>43737</v>
      </c>
      <c r="C1371" s="6">
        <f>IFERROR(VLOOKUP($B1371,Platts!$E$5:$M$4994,MATCH(C$3,Platts!$F$5:$M$5,0)+1,FALSE),C1370)</f>
        <v>57.58</v>
      </c>
      <c r="D1371" s="6">
        <f>IFERROR(VLOOKUP($B1371,Platts!$E$5:$M$4994,MATCH(D$3,Platts!$F$5:$M$5,0)+1,FALSE),D1370)</f>
        <v>61.36</v>
      </c>
      <c r="E1371" s="6">
        <f>IFERROR(VLOOKUP($B1371,Platts!$E$5:$M$4994,MATCH(E$3,Platts!$F$5:$M$5,0)+1,FALSE),E1370)</f>
        <v>57.72</v>
      </c>
      <c r="F1371" s="6">
        <f>IFERROR(VLOOKUP($B1371,Platts!$E$5:$M$4994,MATCH(F$3,Platts!$F$5:$M$5,0)+1,FALSE),F1370)</f>
        <v>63.54</v>
      </c>
      <c r="G1371" s="6">
        <f>IFERROR(VLOOKUP($B1371,Platts!$E$5:$M$4994,MATCH(G$3,Platts!$F$5:$M$5,0)+1,FALSE),G1370)</f>
        <v>62.35</v>
      </c>
      <c r="H1371" s="6">
        <f>IFERROR(VLOOKUP($B1371,Platts!$E$5:$M$4994,MATCH(H$3,Platts!$F$5:$M$5,0)+1,FALSE),H1370)</f>
        <v>55.91</v>
      </c>
      <c r="I1371" s="6">
        <f>IFERROR(VLOOKUP($B1371,Platts!$E$5:$M$4994,MATCH(I$3,Platts!$F$5:$M$5,0)+1,FALSE),I1370)</f>
        <v>59.61</v>
      </c>
      <c r="J1371" s="6">
        <f t="shared" si="42"/>
        <v>-1.6700000000000017</v>
      </c>
    </row>
    <row r="1372" spans="2:10" x14ac:dyDescent="0.25">
      <c r="B1372" s="5">
        <f t="shared" si="43"/>
        <v>43738</v>
      </c>
      <c r="C1372" s="6">
        <f>IFERROR(VLOOKUP($B1372,Platts!$E$5:$M$4994,MATCH(C$3,Platts!$F$5:$M$5,0)+1,FALSE),C1371)</f>
        <v>54.85</v>
      </c>
      <c r="D1372" s="6">
        <f>IFERROR(VLOOKUP($B1372,Platts!$E$5:$M$4994,MATCH(D$3,Platts!$F$5:$M$5,0)+1,FALSE),D1371)</f>
        <v>59.56</v>
      </c>
      <c r="E1372" s="6">
        <f>IFERROR(VLOOKUP($B1372,Platts!$E$5:$M$4994,MATCH(E$3,Platts!$F$5:$M$5,0)+1,FALSE),E1371)</f>
        <v>56.12</v>
      </c>
      <c r="F1372" s="6">
        <f>IFERROR(VLOOKUP($B1372,Platts!$E$5:$M$4994,MATCH(F$3,Platts!$F$5:$M$5,0)+1,FALSE),F1371)</f>
        <v>61.75</v>
      </c>
      <c r="G1372" s="6">
        <f>IFERROR(VLOOKUP($B1372,Platts!$E$5:$M$4994,MATCH(G$3,Platts!$F$5:$M$5,0)+1,FALSE),G1371)</f>
        <v>60.75</v>
      </c>
      <c r="H1372" s="6">
        <f>IFERROR(VLOOKUP($B1372,Platts!$E$5:$M$4994,MATCH(H$3,Platts!$F$5:$M$5,0)+1,FALSE),H1371)</f>
        <v>54.09</v>
      </c>
      <c r="I1372" s="6">
        <f>IFERROR(VLOOKUP($B1372,Platts!$E$5:$M$4994,MATCH(I$3,Platts!$F$5:$M$5,0)+1,FALSE),I1371)</f>
        <v>57.74</v>
      </c>
      <c r="J1372" s="6">
        <f t="shared" si="42"/>
        <v>-0.75999999999999801</v>
      </c>
    </row>
    <row r="1373" spans="2:10" x14ac:dyDescent="0.25">
      <c r="B1373" s="5">
        <f t="shared" si="43"/>
        <v>43739</v>
      </c>
      <c r="C1373" s="6">
        <f>IFERROR(VLOOKUP($B1373,Platts!$E$5:$M$4994,MATCH(C$3,Platts!$F$5:$M$5,0)+1,FALSE),C1372)</f>
        <v>50.15</v>
      </c>
      <c r="D1373" s="6">
        <f>IFERROR(VLOOKUP($B1373,Platts!$E$5:$M$4994,MATCH(D$3,Platts!$F$5:$M$5,0)+1,FALSE),D1372)</f>
        <v>58.85</v>
      </c>
      <c r="E1373" s="6">
        <f>IFERROR(VLOOKUP($B1373,Platts!$E$5:$M$4994,MATCH(E$3,Platts!$F$5:$M$5,0)+1,FALSE),E1372)</f>
        <v>52.23</v>
      </c>
      <c r="F1373" s="6">
        <f>IFERROR(VLOOKUP($B1373,Platts!$E$5:$M$4994,MATCH(F$3,Platts!$F$5:$M$5,0)+1,FALSE),F1372)</f>
        <v>61.08</v>
      </c>
      <c r="G1373" s="6">
        <f>IFERROR(VLOOKUP($B1373,Platts!$E$5:$M$4994,MATCH(G$3,Platts!$F$5:$M$5,0)+1,FALSE),G1372)</f>
        <v>59.36</v>
      </c>
      <c r="H1373" s="6">
        <f>IFERROR(VLOOKUP($B1373,Platts!$E$5:$M$4994,MATCH(H$3,Platts!$F$5:$M$5,0)+1,FALSE),H1372)</f>
        <v>53.62</v>
      </c>
      <c r="I1373" s="6">
        <f>IFERROR(VLOOKUP($B1373,Platts!$E$5:$M$4994,MATCH(I$3,Platts!$F$5:$M$5,0)+1,FALSE),I1372)</f>
        <v>57.27</v>
      </c>
      <c r="J1373" s="6">
        <f t="shared" si="42"/>
        <v>3.4699999999999989</v>
      </c>
    </row>
    <row r="1374" spans="2:10" x14ac:dyDescent="0.25">
      <c r="B1374" s="5">
        <f t="shared" si="43"/>
        <v>43740</v>
      </c>
      <c r="C1374" s="6">
        <f>IFERROR(VLOOKUP($B1374,Platts!$E$5:$M$4994,MATCH(C$3,Platts!$F$5:$M$5,0)+1,FALSE),C1373)</f>
        <v>50.28</v>
      </c>
      <c r="D1374" s="6">
        <f>IFERROR(VLOOKUP($B1374,Platts!$E$5:$M$4994,MATCH(D$3,Platts!$F$5:$M$5,0)+1,FALSE),D1373)</f>
        <v>57.73</v>
      </c>
      <c r="E1374" s="6">
        <f>IFERROR(VLOOKUP($B1374,Platts!$E$5:$M$4994,MATCH(E$3,Platts!$F$5:$M$5,0)+1,FALSE),E1373)</f>
        <v>52.65</v>
      </c>
      <c r="F1374" s="6">
        <f>IFERROR(VLOOKUP($B1374,Platts!$E$5:$M$4994,MATCH(F$3,Platts!$F$5:$M$5,0)+1,FALSE),F1373)</f>
        <v>59.9</v>
      </c>
      <c r="G1374" s="6">
        <f>IFERROR(VLOOKUP($B1374,Platts!$E$5:$M$4994,MATCH(G$3,Platts!$F$5:$M$5,0)+1,FALSE),G1373)</f>
        <v>57.54</v>
      </c>
      <c r="H1374" s="6">
        <f>IFERROR(VLOOKUP($B1374,Platts!$E$5:$M$4994,MATCH(H$3,Platts!$F$5:$M$5,0)+1,FALSE),H1373)</f>
        <v>52.64</v>
      </c>
      <c r="I1374" s="6">
        <f>IFERROR(VLOOKUP($B1374,Platts!$E$5:$M$4994,MATCH(I$3,Platts!$F$5:$M$5,0)+1,FALSE),I1373)</f>
        <v>56.19</v>
      </c>
      <c r="J1374" s="6">
        <f t="shared" si="42"/>
        <v>2.3599999999999994</v>
      </c>
    </row>
    <row r="1375" spans="2:10" x14ac:dyDescent="0.25">
      <c r="B1375" s="5">
        <f t="shared" si="43"/>
        <v>43741</v>
      </c>
      <c r="C1375" s="6">
        <f>IFERROR(VLOOKUP($B1375,Platts!$E$5:$M$4994,MATCH(C$3,Platts!$F$5:$M$5,0)+1,FALSE),C1374)</f>
        <v>50.83</v>
      </c>
      <c r="D1375" s="6">
        <f>IFERROR(VLOOKUP($B1375,Platts!$E$5:$M$4994,MATCH(D$3,Platts!$F$5:$M$5,0)+1,FALSE),D1374)</f>
        <v>57.67</v>
      </c>
      <c r="E1375" s="6">
        <f>IFERROR(VLOOKUP($B1375,Platts!$E$5:$M$4994,MATCH(E$3,Platts!$F$5:$M$5,0)+1,FALSE),E1374)</f>
        <v>53.9</v>
      </c>
      <c r="F1375" s="6">
        <f>IFERROR(VLOOKUP($B1375,Platts!$E$5:$M$4994,MATCH(F$3,Platts!$F$5:$M$5,0)+1,FALSE),F1374)</f>
        <v>59.85</v>
      </c>
      <c r="G1375" s="6">
        <f>IFERROR(VLOOKUP($B1375,Platts!$E$5:$M$4994,MATCH(G$3,Platts!$F$5:$M$5,0)+1,FALSE),G1374)</f>
        <v>57.31</v>
      </c>
      <c r="H1375" s="6">
        <f>IFERROR(VLOOKUP($B1375,Platts!$E$5:$M$4994,MATCH(H$3,Platts!$F$5:$M$5,0)+1,FALSE),H1374)</f>
        <v>52.45</v>
      </c>
      <c r="I1375" s="6">
        <f>IFERROR(VLOOKUP($B1375,Platts!$E$5:$M$4994,MATCH(I$3,Platts!$F$5:$M$5,0)+1,FALSE),I1374)</f>
        <v>56.15</v>
      </c>
      <c r="J1375" s="6">
        <f t="shared" si="42"/>
        <v>1.6200000000000045</v>
      </c>
    </row>
    <row r="1376" spans="2:10" x14ac:dyDescent="0.25">
      <c r="B1376" s="5">
        <f t="shared" si="43"/>
        <v>43742</v>
      </c>
      <c r="C1376" s="6">
        <f>IFERROR(VLOOKUP($B1376,Platts!$E$5:$M$4994,MATCH(C$3,Platts!$F$5:$M$5,0)+1,FALSE),C1375)</f>
        <v>51.7</v>
      </c>
      <c r="D1376" s="6">
        <f>IFERROR(VLOOKUP($B1376,Platts!$E$5:$M$4994,MATCH(D$3,Platts!$F$5:$M$5,0)+1,FALSE),D1375)</f>
        <v>58.12</v>
      </c>
      <c r="E1376" s="6">
        <f>IFERROR(VLOOKUP($B1376,Platts!$E$5:$M$4994,MATCH(E$3,Platts!$F$5:$M$5,0)+1,FALSE),E1375)</f>
        <v>54.49</v>
      </c>
      <c r="F1376" s="6">
        <f>IFERROR(VLOOKUP($B1376,Platts!$E$5:$M$4994,MATCH(F$3,Platts!$F$5:$M$5,0)+1,FALSE),F1375)</f>
        <v>60.36</v>
      </c>
      <c r="G1376" s="6">
        <f>IFERROR(VLOOKUP($B1376,Platts!$E$5:$M$4994,MATCH(G$3,Platts!$F$5:$M$5,0)+1,FALSE),G1375)</f>
        <v>58.49</v>
      </c>
      <c r="H1376" s="6">
        <f>IFERROR(VLOOKUP($B1376,Platts!$E$5:$M$4994,MATCH(H$3,Platts!$F$5:$M$5,0)+1,FALSE),H1375)</f>
        <v>52.81</v>
      </c>
      <c r="I1376" s="6">
        <f>IFERROR(VLOOKUP($B1376,Platts!$E$5:$M$4994,MATCH(I$3,Platts!$F$5:$M$5,0)+1,FALSE),I1375)</f>
        <v>56.21</v>
      </c>
      <c r="J1376" s="6">
        <f t="shared" si="42"/>
        <v>1.1099999999999994</v>
      </c>
    </row>
    <row r="1377" spans="2:10" x14ac:dyDescent="0.25">
      <c r="B1377" s="5">
        <f t="shared" si="43"/>
        <v>43743</v>
      </c>
      <c r="C1377" s="6">
        <f>IFERROR(VLOOKUP($B1377,Platts!$E$5:$M$4994,MATCH(C$3,Platts!$F$5:$M$5,0)+1,FALSE),C1376)</f>
        <v>51.7</v>
      </c>
      <c r="D1377" s="6">
        <f>IFERROR(VLOOKUP($B1377,Platts!$E$5:$M$4994,MATCH(D$3,Platts!$F$5:$M$5,0)+1,FALSE),D1376)</f>
        <v>58.12</v>
      </c>
      <c r="E1377" s="6">
        <f>IFERROR(VLOOKUP($B1377,Platts!$E$5:$M$4994,MATCH(E$3,Platts!$F$5:$M$5,0)+1,FALSE),E1376)</f>
        <v>54.49</v>
      </c>
      <c r="F1377" s="6">
        <f>IFERROR(VLOOKUP($B1377,Platts!$E$5:$M$4994,MATCH(F$3,Platts!$F$5:$M$5,0)+1,FALSE),F1376)</f>
        <v>60.36</v>
      </c>
      <c r="G1377" s="6">
        <f>IFERROR(VLOOKUP($B1377,Platts!$E$5:$M$4994,MATCH(G$3,Platts!$F$5:$M$5,0)+1,FALSE),G1376)</f>
        <v>58.49</v>
      </c>
      <c r="H1377" s="6">
        <f>IFERROR(VLOOKUP($B1377,Platts!$E$5:$M$4994,MATCH(H$3,Platts!$F$5:$M$5,0)+1,FALSE),H1376)</f>
        <v>52.81</v>
      </c>
      <c r="I1377" s="6">
        <f>IFERROR(VLOOKUP($B1377,Platts!$E$5:$M$4994,MATCH(I$3,Platts!$F$5:$M$5,0)+1,FALSE),I1376)</f>
        <v>56.21</v>
      </c>
      <c r="J1377" s="6">
        <f t="shared" si="42"/>
        <v>1.1099999999999994</v>
      </c>
    </row>
    <row r="1378" spans="2:10" x14ac:dyDescent="0.25">
      <c r="B1378" s="5">
        <f t="shared" si="43"/>
        <v>43744</v>
      </c>
      <c r="C1378" s="6">
        <f>IFERROR(VLOOKUP($B1378,Platts!$E$5:$M$4994,MATCH(C$3,Platts!$F$5:$M$5,0)+1,FALSE),C1377)</f>
        <v>51.7</v>
      </c>
      <c r="D1378" s="6">
        <f>IFERROR(VLOOKUP($B1378,Platts!$E$5:$M$4994,MATCH(D$3,Platts!$F$5:$M$5,0)+1,FALSE),D1377)</f>
        <v>58.12</v>
      </c>
      <c r="E1378" s="6">
        <f>IFERROR(VLOOKUP($B1378,Platts!$E$5:$M$4994,MATCH(E$3,Platts!$F$5:$M$5,0)+1,FALSE),E1377)</f>
        <v>54.49</v>
      </c>
      <c r="F1378" s="6">
        <f>IFERROR(VLOOKUP($B1378,Platts!$E$5:$M$4994,MATCH(F$3,Platts!$F$5:$M$5,0)+1,FALSE),F1377)</f>
        <v>60.36</v>
      </c>
      <c r="G1378" s="6">
        <f>IFERROR(VLOOKUP($B1378,Platts!$E$5:$M$4994,MATCH(G$3,Platts!$F$5:$M$5,0)+1,FALSE),G1377)</f>
        <v>58.49</v>
      </c>
      <c r="H1378" s="6">
        <f>IFERROR(VLOOKUP($B1378,Platts!$E$5:$M$4994,MATCH(H$3,Platts!$F$5:$M$5,0)+1,FALSE),H1377)</f>
        <v>52.81</v>
      </c>
      <c r="I1378" s="6">
        <f>IFERROR(VLOOKUP($B1378,Platts!$E$5:$M$4994,MATCH(I$3,Platts!$F$5:$M$5,0)+1,FALSE),I1377)</f>
        <v>56.21</v>
      </c>
      <c r="J1378" s="6">
        <f t="shared" si="42"/>
        <v>1.1099999999999994</v>
      </c>
    </row>
    <row r="1379" spans="2:10" x14ac:dyDescent="0.25">
      <c r="B1379" s="5">
        <f t="shared" si="43"/>
        <v>43745</v>
      </c>
      <c r="C1379" s="6">
        <f>IFERROR(VLOOKUP($B1379,Platts!$E$5:$M$4994,MATCH(C$3,Platts!$F$5:$M$5,0)+1,FALSE),C1378)</f>
        <v>51.59</v>
      </c>
      <c r="D1379" s="6">
        <f>IFERROR(VLOOKUP($B1379,Platts!$E$5:$M$4994,MATCH(D$3,Platts!$F$5:$M$5,0)+1,FALSE),D1378)</f>
        <v>57.99</v>
      </c>
      <c r="E1379" s="6">
        <f>IFERROR(VLOOKUP($B1379,Platts!$E$5:$M$4994,MATCH(E$3,Platts!$F$5:$M$5,0)+1,FALSE),E1378)</f>
        <v>54.44</v>
      </c>
      <c r="F1379" s="6">
        <f>IFERROR(VLOOKUP($B1379,Platts!$E$5:$M$4994,MATCH(F$3,Platts!$F$5:$M$5,0)+1,FALSE),F1378)</f>
        <v>60.25</v>
      </c>
      <c r="G1379" s="6">
        <f>IFERROR(VLOOKUP($B1379,Platts!$E$5:$M$4994,MATCH(G$3,Platts!$F$5:$M$5,0)+1,FALSE),G1378)</f>
        <v>59.41</v>
      </c>
      <c r="H1379" s="6">
        <f>IFERROR(VLOOKUP($B1379,Platts!$E$5:$M$4994,MATCH(H$3,Platts!$F$5:$M$5,0)+1,FALSE),H1378)</f>
        <v>52.75</v>
      </c>
      <c r="I1379" s="6">
        <f>IFERROR(VLOOKUP($B1379,Platts!$E$5:$M$4994,MATCH(I$3,Platts!$F$5:$M$5,0)+1,FALSE),I1378)</f>
        <v>55.95</v>
      </c>
      <c r="J1379" s="6">
        <f t="shared" si="42"/>
        <v>1.1599999999999966</v>
      </c>
    </row>
    <row r="1380" spans="2:10" x14ac:dyDescent="0.25">
      <c r="B1380" s="5">
        <f t="shared" si="43"/>
        <v>43746</v>
      </c>
      <c r="C1380" s="6">
        <f>IFERROR(VLOOKUP($B1380,Platts!$E$5:$M$4994,MATCH(C$3,Platts!$F$5:$M$5,0)+1,FALSE),C1379)</f>
        <v>50.66</v>
      </c>
      <c r="D1380" s="6">
        <f>IFERROR(VLOOKUP($B1380,Platts!$E$5:$M$4994,MATCH(D$3,Platts!$F$5:$M$5,0)+1,FALSE),D1379)</f>
        <v>57.73</v>
      </c>
      <c r="E1380" s="6">
        <f>IFERROR(VLOOKUP($B1380,Platts!$E$5:$M$4994,MATCH(E$3,Platts!$F$5:$M$5,0)+1,FALSE),E1379)</f>
        <v>53.29</v>
      </c>
      <c r="F1380" s="6">
        <f>IFERROR(VLOOKUP($B1380,Platts!$E$5:$M$4994,MATCH(F$3,Platts!$F$5:$M$5,0)+1,FALSE),F1379)</f>
        <v>59.94</v>
      </c>
      <c r="G1380" s="6">
        <f>IFERROR(VLOOKUP($B1380,Platts!$E$5:$M$4994,MATCH(G$3,Platts!$F$5:$M$5,0)+1,FALSE),G1379)</f>
        <v>57.97</v>
      </c>
      <c r="H1380" s="6">
        <f>IFERROR(VLOOKUP($B1380,Platts!$E$5:$M$4994,MATCH(H$3,Platts!$F$5:$M$5,0)+1,FALSE),H1379)</f>
        <v>52.63</v>
      </c>
      <c r="I1380" s="6">
        <f>IFERROR(VLOOKUP($B1380,Platts!$E$5:$M$4994,MATCH(I$3,Platts!$F$5:$M$5,0)+1,FALSE),I1379)</f>
        <v>55.78</v>
      </c>
      <c r="J1380" s="6">
        <f t="shared" si="42"/>
        <v>1.970000000000006</v>
      </c>
    </row>
    <row r="1381" spans="2:10" x14ac:dyDescent="0.25">
      <c r="B1381" s="5">
        <f t="shared" si="43"/>
        <v>43747</v>
      </c>
      <c r="C1381" s="6">
        <f>IFERROR(VLOOKUP($B1381,Platts!$E$5:$M$4994,MATCH(C$3,Platts!$F$5:$M$5,0)+1,FALSE),C1380)</f>
        <v>51.06</v>
      </c>
      <c r="D1381" s="6">
        <f>IFERROR(VLOOKUP($B1381,Platts!$E$5:$M$4994,MATCH(D$3,Platts!$F$5:$M$5,0)+1,FALSE),D1380)</f>
        <v>57.79</v>
      </c>
      <c r="E1381" s="6">
        <f>IFERROR(VLOOKUP($B1381,Platts!$E$5:$M$4994,MATCH(E$3,Platts!$F$5:$M$5,0)+1,FALSE),E1380)</f>
        <v>52.81</v>
      </c>
      <c r="F1381" s="6">
        <f>IFERROR(VLOOKUP($B1381,Platts!$E$5:$M$4994,MATCH(F$3,Platts!$F$5:$M$5,0)+1,FALSE),F1380)</f>
        <v>60.05</v>
      </c>
      <c r="G1381" s="6">
        <f>IFERROR(VLOOKUP($B1381,Platts!$E$5:$M$4994,MATCH(G$3,Platts!$F$5:$M$5,0)+1,FALSE),G1380)</f>
        <v>59.26</v>
      </c>
      <c r="H1381" s="6">
        <f>IFERROR(VLOOKUP($B1381,Platts!$E$5:$M$4994,MATCH(H$3,Platts!$F$5:$M$5,0)+1,FALSE),H1380)</f>
        <v>52.59</v>
      </c>
      <c r="I1381" s="6">
        <f>IFERROR(VLOOKUP($B1381,Platts!$E$5:$M$4994,MATCH(I$3,Platts!$F$5:$M$5,0)+1,FALSE),I1380)</f>
        <v>55.89</v>
      </c>
      <c r="J1381" s="6">
        <f t="shared" si="42"/>
        <v>1.5300000000000011</v>
      </c>
    </row>
    <row r="1382" spans="2:10" x14ac:dyDescent="0.25">
      <c r="B1382" s="5">
        <f t="shared" si="43"/>
        <v>43748</v>
      </c>
      <c r="C1382" s="6">
        <f>IFERROR(VLOOKUP($B1382,Platts!$E$5:$M$4994,MATCH(C$3,Platts!$F$5:$M$5,0)+1,FALSE),C1381)</f>
        <v>51.16</v>
      </c>
      <c r="D1382" s="6">
        <f>IFERROR(VLOOKUP($B1382,Platts!$E$5:$M$4994,MATCH(D$3,Platts!$F$5:$M$5,0)+1,FALSE),D1381)</f>
        <v>58.8</v>
      </c>
      <c r="E1382" s="6">
        <f>IFERROR(VLOOKUP($B1382,Platts!$E$5:$M$4994,MATCH(E$3,Platts!$F$5:$M$5,0)+1,FALSE),E1381)</f>
        <v>53.32</v>
      </c>
      <c r="F1382" s="6">
        <f>IFERROR(VLOOKUP($B1382,Platts!$E$5:$M$4994,MATCH(F$3,Platts!$F$5:$M$5,0)+1,FALSE),F1381)</f>
        <v>61.02</v>
      </c>
      <c r="G1382" s="6">
        <f>IFERROR(VLOOKUP($B1382,Platts!$E$5:$M$4994,MATCH(G$3,Platts!$F$5:$M$5,0)+1,FALSE),G1381)</f>
        <v>58.66</v>
      </c>
      <c r="H1382" s="6">
        <f>IFERROR(VLOOKUP($B1382,Platts!$E$5:$M$4994,MATCH(H$3,Platts!$F$5:$M$5,0)+1,FALSE),H1381)</f>
        <v>53.55</v>
      </c>
      <c r="I1382" s="6">
        <f>IFERROR(VLOOKUP($B1382,Platts!$E$5:$M$4994,MATCH(I$3,Platts!$F$5:$M$5,0)+1,FALSE),I1381)</f>
        <v>56.75</v>
      </c>
      <c r="J1382" s="6">
        <f t="shared" si="42"/>
        <v>2.3900000000000006</v>
      </c>
    </row>
    <row r="1383" spans="2:10" x14ac:dyDescent="0.25">
      <c r="B1383" s="5">
        <f t="shared" si="43"/>
        <v>43749</v>
      </c>
      <c r="C1383" s="6">
        <f>IFERROR(VLOOKUP($B1383,Platts!$E$5:$M$4994,MATCH(C$3,Platts!$F$5:$M$5,0)+1,FALSE),C1382)</f>
        <v>50.36</v>
      </c>
      <c r="D1383" s="6">
        <f>IFERROR(VLOOKUP($B1383,Platts!$E$5:$M$4994,MATCH(D$3,Platts!$F$5:$M$5,0)+1,FALSE),D1382)</f>
        <v>59.8</v>
      </c>
      <c r="E1383" s="6">
        <f>IFERROR(VLOOKUP($B1383,Platts!$E$5:$M$4994,MATCH(E$3,Platts!$F$5:$M$5,0)+1,FALSE),E1382)</f>
        <v>53.35</v>
      </c>
      <c r="F1383" s="6">
        <f>IFERROR(VLOOKUP($B1383,Platts!$E$5:$M$4994,MATCH(F$3,Platts!$F$5:$M$5,0)+1,FALSE),F1382)</f>
        <v>62.05</v>
      </c>
      <c r="G1383" s="6">
        <f>IFERROR(VLOOKUP($B1383,Platts!$E$5:$M$4994,MATCH(G$3,Platts!$F$5:$M$5,0)+1,FALSE),G1382)</f>
        <v>60.5</v>
      </c>
      <c r="H1383" s="6">
        <f>IFERROR(VLOOKUP($B1383,Platts!$E$5:$M$4994,MATCH(H$3,Platts!$F$5:$M$5,0)+1,FALSE),H1382)</f>
        <v>54.7</v>
      </c>
      <c r="I1383" s="6">
        <f>IFERROR(VLOOKUP($B1383,Platts!$E$5:$M$4994,MATCH(I$3,Platts!$F$5:$M$5,0)+1,FALSE),I1382)</f>
        <v>57.9</v>
      </c>
      <c r="J1383" s="6">
        <f t="shared" si="42"/>
        <v>4.3400000000000034</v>
      </c>
    </row>
    <row r="1384" spans="2:10" x14ac:dyDescent="0.25">
      <c r="B1384" s="5">
        <f t="shared" si="43"/>
        <v>43750</v>
      </c>
      <c r="C1384" s="6">
        <f>IFERROR(VLOOKUP($B1384,Platts!$E$5:$M$4994,MATCH(C$3,Platts!$F$5:$M$5,0)+1,FALSE),C1383)</f>
        <v>50.36</v>
      </c>
      <c r="D1384" s="6">
        <f>IFERROR(VLOOKUP($B1384,Platts!$E$5:$M$4994,MATCH(D$3,Platts!$F$5:$M$5,0)+1,FALSE),D1383)</f>
        <v>59.8</v>
      </c>
      <c r="E1384" s="6">
        <f>IFERROR(VLOOKUP($B1384,Platts!$E$5:$M$4994,MATCH(E$3,Platts!$F$5:$M$5,0)+1,FALSE),E1383)</f>
        <v>53.35</v>
      </c>
      <c r="F1384" s="6">
        <f>IFERROR(VLOOKUP($B1384,Platts!$E$5:$M$4994,MATCH(F$3,Platts!$F$5:$M$5,0)+1,FALSE),F1383)</f>
        <v>62.05</v>
      </c>
      <c r="G1384" s="6">
        <f>IFERROR(VLOOKUP($B1384,Platts!$E$5:$M$4994,MATCH(G$3,Platts!$F$5:$M$5,0)+1,FALSE),G1383)</f>
        <v>60.5</v>
      </c>
      <c r="H1384" s="6">
        <f>IFERROR(VLOOKUP($B1384,Platts!$E$5:$M$4994,MATCH(H$3,Platts!$F$5:$M$5,0)+1,FALSE),H1383)</f>
        <v>54.7</v>
      </c>
      <c r="I1384" s="6">
        <f>IFERROR(VLOOKUP($B1384,Platts!$E$5:$M$4994,MATCH(I$3,Platts!$F$5:$M$5,0)+1,FALSE),I1383)</f>
        <v>57.9</v>
      </c>
      <c r="J1384" s="6">
        <f t="shared" si="42"/>
        <v>4.3400000000000034</v>
      </c>
    </row>
    <row r="1385" spans="2:10" x14ac:dyDescent="0.25">
      <c r="B1385" s="5">
        <f t="shared" si="43"/>
        <v>43751</v>
      </c>
      <c r="C1385" s="6">
        <f>IFERROR(VLOOKUP($B1385,Platts!$E$5:$M$4994,MATCH(C$3,Platts!$F$5:$M$5,0)+1,FALSE),C1384)</f>
        <v>50.36</v>
      </c>
      <c r="D1385" s="6">
        <f>IFERROR(VLOOKUP($B1385,Platts!$E$5:$M$4994,MATCH(D$3,Platts!$F$5:$M$5,0)+1,FALSE),D1384)</f>
        <v>59.8</v>
      </c>
      <c r="E1385" s="6">
        <f>IFERROR(VLOOKUP($B1385,Platts!$E$5:$M$4994,MATCH(E$3,Platts!$F$5:$M$5,0)+1,FALSE),E1384)</f>
        <v>53.35</v>
      </c>
      <c r="F1385" s="6">
        <f>IFERROR(VLOOKUP($B1385,Platts!$E$5:$M$4994,MATCH(F$3,Platts!$F$5:$M$5,0)+1,FALSE),F1384)</f>
        <v>62.05</v>
      </c>
      <c r="G1385" s="6">
        <f>IFERROR(VLOOKUP($B1385,Platts!$E$5:$M$4994,MATCH(G$3,Platts!$F$5:$M$5,0)+1,FALSE),G1384)</f>
        <v>60.5</v>
      </c>
      <c r="H1385" s="6">
        <f>IFERROR(VLOOKUP($B1385,Platts!$E$5:$M$4994,MATCH(H$3,Platts!$F$5:$M$5,0)+1,FALSE),H1384)</f>
        <v>54.7</v>
      </c>
      <c r="I1385" s="6">
        <f>IFERROR(VLOOKUP($B1385,Platts!$E$5:$M$4994,MATCH(I$3,Platts!$F$5:$M$5,0)+1,FALSE),I1384)</f>
        <v>57.9</v>
      </c>
      <c r="J1385" s="6">
        <f t="shared" si="42"/>
        <v>4.3400000000000034</v>
      </c>
    </row>
    <row r="1386" spans="2:10" x14ac:dyDescent="0.25">
      <c r="B1386" s="5">
        <f t="shared" si="43"/>
        <v>43752</v>
      </c>
      <c r="C1386" s="6">
        <f>IFERROR(VLOOKUP($B1386,Platts!$E$5:$M$4994,MATCH(C$3,Platts!$F$5:$M$5,0)+1,FALSE),C1385)</f>
        <v>47.73</v>
      </c>
      <c r="D1386" s="6">
        <f>IFERROR(VLOOKUP($B1386,Platts!$E$5:$M$4994,MATCH(D$3,Platts!$F$5:$M$5,0)+1,FALSE),D1385)</f>
        <v>58.42</v>
      </c>
      <c r="E1386" s="6">
        <f>IFERROR(VLOOKUP($B1386,Platts!$E$5:$M$4994,MATCH(E$3,Platts!$F$5:$M$5,0)+1,FALSE),E1385)</f>
        <v>52.48</v>
      </c>
      <c r="F1386" s="6">
        <f>IFERROR(VLOOKUP($B1386,Platts!$E$5:$M$4994,MATCH(F$3,Platts!$F$5:$M$5,0)+1,FALSE),F1385)</f>
        <v>60.7</v>
      </c>
      <c r="G1386" s="6">
        <f>IFERROR(VLOOKUP($B1386,Platts!$E$5:$M$4994,MATCH(G$3,Platts!$F$5:$M$5,0)+1,FALSE),G1385)</f>
        <v>58.91</v>
      </c>
      <c r="H1386" s="6">
        <f>IFERROR(VLOOKUP($B1386,Platts!$E$5:$M$4994,MATCH(H$3,Platts!$F$5:$M$5,0)+1,FALSE),H1385)</f>
        <v>53.59</v>
      </c>
      <c r="I1386" s="6">
        <f>IFERROR(VLOOKUP($B1386,Platts!$E$5:$M$4994,MATCH(I$3,Platts!$F$5:$M$5,0)+1,FALSE),I1385)</f>
        <v>56.59</v>
      </c>
      <c r="J1386" s="6">
        <f t="shared" si="42"/>
        <v>5.8600000000000065</v>
      </c>
    </row>
    <row r="1387" spans="2:10" x14ac:dyDescent="0.25">
      <c r="B1387" s="5">
        <f t="shared" si="43"/>
        <v>43753</v>
      </c>
      <c r="C1387" s="6">
        <f>IFERROR(VLOOKUP($B1387,Platts!$E$5:$M$4994,MATCH(C$3,Platts!$F$5:$M$5,0)+1,FALSE),C1386)</f>
        <v>47.37</v>
      </c>
      <c r="D1387" s="6">
        <f>IFERROR(VLOOKUP($B1387,Platts!$E$5:$M$4994,MATCH(D$3,Platts!$F$5:$M$5,0)+1,FALSE),D1386)</f>
        <v>57.77</v>
      </c>
      <c r="E1387" s="6">
        <f>IFERROR(VLOOKUP($B1387,Platts!$E$5:$M$4994,MATCH(E$3,Platts!$F$5:$M$5,0)+1,FALSE),E1386)</f>
        <v>48.42</v>
      </c>
      <c r="F1387" s="6">
        <f>IFERROR(VLOOKUP($B1387,Platts!$E$5:$M$4994,MATCH(F$3,Platts!$F$5:$M$5,0)+1,FALSE),F1386)</f>
        <v>60.04</v>
      </c>
      <c r="G1387" s="6">
        <f>IFERROR(VLOOKUP($B1387,Platts!$E$5:$M$4994,MATCH(G$3,Platts!$F$5:$M$5,0)+1,FALSE),G1386)</f>
        <v>59.32</v>
      </c>
      <c r="H1387" s="6">
        <f>IFERROR(VLOOKUP($B1387,Platts!$E$5:$M$4994,MATCH(H$3,Platts!$F$5:$M$5,0)+1,FALSE),H1386)</f>
        <v>52.81</v>
      </c>
      <c r="I1387" s="6">
        <f>IFERROR(VLOOKUP($B1387,Platts!$E$5:$M$4994,MATCH(I$3,Platts!$F$5:$M$5,0)+1,FALSE),I1386)</f>
        <v>55.86</v>
      </c>
      <c r="J1387" s="6">
        <f t="shared" si="42"/>
        <v>5.4400000000000048</v>
      </c>
    </row>
    <row r="1388" spans="2:10" x14ac:dyDescent="0.25">
      <c r="B1388" s="5">
        <f t="shared" si="43"/>
        <v>43754</v>
      </c>
      <c r="C1388" s="6">
        <f>IFERROR(VLOOKUP($B1388,Platts!$E$5:$M$4994,MATCH(C$3,Platts!$F$5:$M$5,0)+1,FALSE),C1387)</f>
        <v>47.53</v>
      </c>
      <c r="D1388" s="6">
        <f>IFERROR(VLOOKUP($B1388,Platts!$E$5:$M$4994,MATCH(D$3,Platts!$F$5:$M$5,0)+1,FALSE),D1387)</f>
        <v>58.37</v>
      </c>
      <c r="E1388" s="6">
        <f>IFERROR(VLOOKUP($B1388,Platts!$E$5:$M$4994,MATCH(E$3,Platts!$F$5:$M$5,0)+1,FALSE),E1387)</f>
        <v>48.93</v>
      </c>
      <c r="F1388" s="6">
        <f>IFERROR(VLOOKUP($B1388,Platts!$E$5:$M$4994,MATCH(F$3,Platts!$F$5:$M$5,0)+1,FALSE),F1387)</f>
        <v>60.6</v>
      </c>
      <c r="G1388" s="6">
        <f>IFERROR(VLOOKUP($B1388,Platts!$E$5:$M$4994,MATCH(G$3,Platts!$F$5:$M$5,0)+1,FALSE),G1387)</f>
        <v>59.35</v>
      </c>
      <c r="H1388" s="6">
        <f>IFERROR(VLOOKUP($B1388,Platts!$E$5:$M$4994,MATCH(H$3,Platts!$F$5:$M$5,0)+1,FALSE),H1387)</f>
        <v>53.36</v>
      </c>
      <c r="I1388" s="6">
        <f>IFERROR(VLOOKUP($B1388,Platts!$E$5:$M$4994,MATCH(I$3,Platts!$F$5:$M$5,0)+1,FALSE),I1387)</f>
        <v>56.46</v>
      </c>
      <c r="J1388" s="6">
        <f t="shared" si="42"/>
        <v>5.8299999999999983</v>
      </c>
    </row>
    <row r="1389" spans="2:10" x14ac:dyDescent="0.25">
      <c r="B1389" s="5">
        <f t="shared" si="43"/>
        <v>43755</v>
      </c>
      <c r="C1389" s="6">
        <f>IFERROR(VLOOKUP($B1389,Platts!$E$5:$M$4994,MATCH(C$3,Platts!$F$5:$M$5,0)+1,FALSE),C1388)</f>
        <v>46.98</v>
      </c>
      <c r="D1389" s="6">
        <f>IFERROR(VLOOKUP($B1389,Platts!$E$5:$M$4994,MATCH(D$3,Platts!$F$5:$M$5,0)+1,FALSE),D1388)</f>
        <v>58.97</v>
      </c>
      <c r="E1389" s="6">
        <f>IFERROR(VLOOKUP($B1389,Platts!$E$5:$M$4994,MATCH(E$3,Platts!$F$5:$M$5,0)+1,FALSE),E1388)</f>
        <v>49.39</v>
      </c>
      <c r="F1389" s="6">
        <f>IFERROR(VLOOKUP($B1389,Platts!$E$5:$M$4994,MATCH(F$3,Platts!$F$5:$M$5,0)+1,FALSE),F1388)</f>
        <v>61.22</v>
      </c>
      <c r="G1389" s="6">
        <f>IFERROR(VLOOKUP($B1389,Platts!$E$5:$M$4994,MATCH(G$3,Platts!$F$5:$M$5,0)+1,FALSE),G1388)</f>
        <v>58.98</v>
      </c>
      <c r="H1389" s="6">
        <f>IFERROR(VLOOKUP($B1389,Platts!$E$5:$M$4994,MATCH(H$3,Platts!$F$5:$M$5,0)+1,FALSE),H1388)</f>
        <v>53.93</v>
      </c>
      <c r="I1389" s="6">
        <f>IFERROR(VLOOKUP($B1389,Platts!$E$5:$M$4994,MATCH(I$3,Platts!$F$5:$M$5,0)+1,FALSE),I1388)</f>
        <v>57.08</v>
      </c>
      <c r="J1389" s="6">
        <f t="shared" si="42"/>
        <v>6.9500000000000028</v>
      </c>
    </row>
    <row r="1390" spans="2:10" x14ac:dyDescent="0.25">
      <c r="B1390" s="5">
        <f t="shared" si="43"/>
        <v>43756</v>
      </c>
      <c r="C1390" s="6">
        <f>IFERROR(VLOOKUP($B1390,Platts!$E$5:$M$4994,MATCH(C$3,Platts!$F$5:$M$5,0)+1,FALSE),C1389)</f>
        <v>46.1</v>
      </c>
      <c r="D1390" s="6">
        <f>IFERROR(VLOOKUP($B1390,Platts!$E$5:$M$4994,MATCH(D$3,Platts!$F$5:$M$5,0)+1,FALSE),D1389)</f>
        <v>58.76</v>
      </c>
      <c r="E1390" s="6">
        <f>IFERROR(VLOOKUP($B1390,Platts!$E$5:$M$4994,MATCH(E$3,Platts!$F$5:$M$5,0)+1,FALSE),E1389)</f>
        <v>48.77</v>
      </c>
      <c r="F1390" s="6">
        <f>IFERROR(VLOOKUP($B1390,Platts!$E$5:$M$4994,MATCH(F$3,Platts!$F$5:$M$5,0)+1,FALSE),F1389)</f>
        <v>60.95</v>
      </c>
      <c r="G1390" s="6">
        <f>IFERROR(VLOOKUP($B1390,Platts!$E$5:$M$4994,MATCH(G$3,Platts!$F$5:$M$5,0)+1,FALSE),G1389)</f>
        <v>59.57</v>
      </c>
      <c r="H1390" s="6">
        <f>IFERROR(VLOOKUP($B1390,Platts!$E$5:$M$4994,MATCH(H$3,Platts!$F$5:$M$5,0)+1,FALSE),H1389)</f>
        <v>53.78</v>
      </c>
      <c r="I1390" s="6">
        <f>IFERROR(VLOOKUP($B1390,Platts!$E$5:$M$4994,MATCH(I$3,Platts!$F$5:$M$5,0)+1,FALSE),I1389)</f>
        <v>56.93</v>
      </c>
      <c r="J1390" s="6">
        <f t="shared" si="42"/>
        <v>7.68</v>
      </c>
    </row>
    <row r="1391" spans="2:10" x14ac:dyDescent="0.25">
      <c r="B1391" s="5">
        <f t="shared" si="43"/>
        <v>43757</v>
      </c>
      <c r="C1391" s="6">
        <f>IFERROR(VLOOKUP($B1391,Platts!$E$5:$M$4994,MATCH(C$3,Platts!$F$5:$M$5,0)+1,FALSE),C1390)</f>
        <v>46.1</v>
      </c>
      <c r="D1391" s="6">
        <f>IFERROR(VLOOKUP($B1391,Platts!$E$5:$M$4994,MATCH(D$3,Platts!$F$5:$M$5,0)+1,FALSE),D1390)</f>
        <v>58.76</v>
      </c>
      <c r="E1391" s="6">
        <f>IFERROR(VLOOKUP($B1391,Platts!$E$5:$M$4994,MATCH(E$3,Platts!$F$5:$M$5,0)+1,FALSE),E1390)</f>
        <v>48.77</v>
      </c>
      <c r="F1391" s="6">
        <f>IFERROR(VLOOKUP($B1391,Platts!$E$5:$M$4994,MATCH(F$3,Platts!$F$5:$M$5,0)+1,FALSE),F1390)</f>
        <v>60.95</v>
      </c>
      <c r="G1391" s="6">
        <f>IFERROR(VLOOKUP($B1391,Platts!$E$5:$M$4994,MATCH(G$3,Platts!$F$5:$M$5,0)+1,FALSE),G1390)</f>
        <v>59.57</v>
      </c>
      <c r="H1391" s="6">
        <f>IFERROR(VLOOKUP($B1391,Platts!$E$5:$M$4994,MATCH(H$3,Platts!$F$5:$M$5,0)+1,FALSE),H1390)</f>
        <v>53.78</v>
      </c>
      <c r="I1391" s="6">
        <f>IFERROR(VLOOKUP($B1391,Platts!$E$5:$M$4994,MATCH(I$3,Platts!$F$5:$M$5,0)+1,FALSE),I1390)</f>
        <v>56.93</v>
      </c>
      <c r="J1391" s="6">
        <f t="shared" si="42"/>
        <v>7.68</v>
      </c>
    </row>
    <row r="1392" spans="2:10" x14ac:dyDescent="0.25">
      <c r="B1392" s="5">
        <f t="shared" si="43"/>
        <v>43758</v>
      </c>
      <c r="C1392" s="6">
        <f>IFERROR(VLOOKUP($B1392,Platts!$E$5:$M$4994,MATCH(C$3,Platts!$F$5:$M$5,0)+1,FALSE),C1391)</f>
        <v>46.1</v>
      </c>
      <c r="D1392" s="6">
        <f>IFERROR(VLOOKUP($B1392,Platts!$E$5:$M$4994,MATCH(D$3,Platts!$F$5:$M$5,0)+1,FALSE),D1391)</f>
        <v>58.76</v>
      </c>
      <c r="E1392" s="6">
        <f>IFERROR(VLOOKUP($B1392,Platts!$E$5:$M$4994,MATCH(E$3,Platts!$F$5:$M$5,0)+1,FALSE),E1391)</f>
        <v>48.77</v>
      </c>
      <c r="F1392" s="6">
        <f>IFERROR(VLOOKUP($B1392,Platts!$E$5:$M$4994,MATCH(F$3,Platts!$F$5:$M$5,0)+1,FALSE),F1391)</f>
        <v>60.95</v>
      </c>
      <c r="G1392" s="6">
        <f>IFERROR(VLOOKUP($B1392,Platts!$E$5:$M$4994,MATCH(G$3,Platts!$F$5:$M$5,0)+1,FALSE),G1391)</f>
        <v>59.57</v>
      </c>
      <c r="H1392" s="6">
        <f>IFERROR(VLOOKUP($B1392,Platts!$E$5:$M$4994,MATCH(H$3,Platts!$F$5:$M$5,0)+1,FALSE),H1391)</f>
        <v>53.78</v>
      </c>
      <c r="I1392" s="6">
        <f>IFERROR(VLOOKUP($B1392,Platts!$E$5:$M$4994,MATCH(I$3,Platts!$F$5:$M$5,0)+1,FALSE),I1391)</f>
        <v>56.93</v>
      </c>
      <c r="J1392" s="6">
        <f t="shared" si="42"/>
        <v>7.68</v>
      </c>
    </row>
    <row r="1393" spans="2:10" x14ac:dyDescent="0.25">
      <c r="B1393" s="5">
        <f t="shared" si="43"/>
        <v>43759</v>
      </c>
      <c r="C1393" s="6">
        <f>IFERROR(VLOOKUP($B1393,Platts!$E$5:$M$4994,MATCH(C$3,Platts!$F$5:$M$5,0)+1,FALSE),C1392)</f>
        <v>45.63</v>
      </c>
      <c r="D1393" s="6">
        <f>IFERROR(VLOOKUP($B1393,Platts!$E$5:$M$4994,MATCH(D$3,Platts!$F$5:$M$5,0)+1,FALSE),D1392)</f>
        <v>58.29</v>
      </c>
      <c r="E1393" s="6">
        <f>IFERROR(VLOOKUP($B1393,Platts!$E$5:$M$4994,MATCH(E$3,Platts!$F$5:$M$5,0)+1,FALSE),E1392)</f>
        <v>48.22</v>
      </c>
      <c r="F1393" s="6">
        <f>IFERROR(VLOOKUP($B1393,Platts!$E$5:$M$4994,MATCH(F$3,Platts!$F$5:$M$5,0)+1,FALSE),F1392)</f>
        <v>60.49</v>
      </c>
      <c r="G1393" s="6">
        <f>IFERROR(VLOOKUP($B1393,Platts!$E$5:$M$4994,MATCH(G$3,Platts!$F$5:$M$5,0)+1,FALSE),G1392)</f>
        <v>58.63</v>
      </c>
      <c r="H1393" s="6">
        <f>IFERROR(VLOOKUP($B1393,Platts!$E$5:$M$4994,MATCH(H$3,Platts!$F$5:$M$5,0)+1,FALSE),H1392)</f>
        <v>53.31</v>
      </c>
      <c r="I1393" s="6">
        <f>IFERROR(VLOOKUP($B1393,Platts!$E$5:$M$4994,MATCH(I$3,Platts!$F$5:$M$5,0)+1,FALSE),I1392)</f>
        <v>56.36</v>
      </c>
      <c r="J1393" s="6">
        <f t="shared" si="42"/>
        <v>7.68</v>
      </c>
    </row>
    <row r="1394" spans="2:10" x14ac:dyDescent="0.25">
      <c r="B1394" s="5">
        <f t="shared" si="43"/>
        <v>43760</v>
      </c>
      <c r="C1394" s="6">
        <f>IFERROR(VLOOKUP($B1394,Platts!$E$5:$M$4994,MATCH(C$3,Platts!$F$5:$M$5,0)+1,FALSE),C1393)</f>
        <v>46.97</v>
      </c>
      <c r="D1394" s="6">
        <f>IFERROR(VLOOKUP($B1394,Platts!$E$5:$M$4994,MATCH(D$3,Platts!$F$5:$M$5,0)+1,FALSE),D1393)</f>
        <v>59.22</v>
      </c>
      <c r="E1394" s="6">
        <f>IFERROR(VLOOKUP($B1394,Platts!$E$5:$M$4994,MATCH(E$3,Platts!$F$5:$M$5,0)+1,FALSE),E1393)</f>
        <v>48.62</v>
      </c>
      <c r="F1394" s="6">
        <f>IFERROR(VLOOKUP($B1394,Platts!$E$5:$M$4994,MATCH(F$3,Platts!$F$5:$M$5,0)+1,FALSE),F1393)</f>
        <v>61.36</v>
      </c>
      <c r="G1394" s="6">
        <f>IFERROR(VLOOKUP($B1394,Platts!$E$5:$M$4994,MATCH(G$3,Platts!$F$5:$M$5,0)+1,FALSE),G1393)</f>
        <v>60.19</v>
      </c>
      <c r="H1394" s="6">
        <f>IFERROR(VLOOKUP($B1394,Platts!$E$5:$M$4994,MATCH(H$3,Platts!$F$5:$M$5,0)+1,FALSE),H1393)</f>
        <v>54.16</v>
      </c>
      <c r="I1394" s="6">
        <f>IFERROR(VLOOKUP($B1394,Platts!$E$5:$M$4994,MATCH(I$3,Platts!$F$5:$M$5,0)+1,FALSE),I1393)</f>
        <v>57.16</v>
      </c>
      <c r="J1394" s="6">
        <f t="shared" si="42"/>
        <v>7.1899999999999977</v>
      </c>
    </row>
    <row r="1395" spans="2:10" x14ac:dyDescent="0.25">
      <c r="B1395" s="5">
        <f t="shared" si="43"/>
        <v>43761</v>
      </c>
      <c r="C1395" s="6">
        <f>IFERROR(VLOOKUP($B1395,Platts!$E$5:$M$4994,MATCH(C$3,Platts!$F$5:$M$5,0)+1,FALSE),C1394)</f>
        <v>47.65</v>
      </c>
      <c r="D1395" s="6">
        <f>IFERROR(VLOOKUP($B1395,Platts!$E$5:$M$4994,MATCH(D$3,Platts!$F$5:$M$5,0)+1,FALSE),D1394)</f>
        <v>60.67</v>
      </c>
      <c r="E1395" s="6">
        <f>IFERROR(VLOOKUP($B1395,Platts!$E$5:$M$4994,MATCH(E$3,Platts!$F$5:$M$5,0)+1,FALSE),E1394)</f>
        <v>49.8</v>
      </c>
      <c r="F1395" s="6">
        <f>IFERROR(VLOOKUP($B1395,Platts!$E$5:$M$4994,MATCH(F$3,Platts!$F$5:$M$5,0)+1,FALSE),F1394)</f>
        <v>62.79</v>
      </c>
      <c r="G1395" s="6">
        <f>IFERROR(VLOOKUP($B1395,Platts!$E$5:$M$4994,MATCH(G$3,Platts!$F$5:$M$5,0)+1,FALSE),G1394)</f>
        <v>60.3</v>
      </c>
      <c r="H1395" s="6">
        <f>IFERROR(VLOOKUP($B1395,Platts!$E$5:$M$4994,MATCH(H$3,Platts!$F$5:$M$5,0)+1,FALSE),H1394)</f>
        <v>55.82</v>
      </c>
      <c r="I1395" s="6">
        <f>IFERROR(VLOOKUP($B1395,Platts!$E$5:$M$4994,MATCH(I$3,Platts!$F$5:$M$5,0)+1,FALSE),I1394)</f>
        <v>58.52</v>
      </c>
      <c r="J1395" s="6">
        <f t="shared" si="42"/>
        <v>8.1700000000000017</v>
      </c>
    </row>
    <row r="1396" spans="2:10" x14ac:dyDescent="0.25">
      <c r="B1396" s="5">
        <f t="shared" si="43"/>
        <v>43762</v>
      </c>
      <c r="C1396" s="6">
        <f>IFERROR(VLOOKUP($B1396,Platts!$E$5:$M$4994,MATCH(C$3,Platts!$F$5:$M$5,0)+1,FALSE),C1395)</f>
        <v>48.64</v>
      </c>
      <c r="D1396" s="6">
        <f>IFERROR(VLOOKUP($B1396,Platts!$E$5:$M$4994,MATCH(D$3,Platts!$F$5:$M$5,0)+1,FALSE),D1395)</f>
        <v>60.93</v>
      </c>
      <c r="E1396" s="6">
        <f>IFERROR(VLOOKUP($B1396,Platts!$E$5:$M$4994,MATCH(E$3,Platts!$F$5:$M$5,0)+1,FALSE),E1395)</f>
        <v>50.57</v>
      </c>
      <c r="F1396" s="6">
        <f>IFERROR(VLOOKUP($B1396,Platts!$E$5:$M$4994,MATCH(F$3,Platts!$F$5:$M$5,0)+1,FALSE),F1395)</f>
        <v>63.1</v>
      </c>
      <c r="G1396" s="6">
        <f>IFERROR(VLOOKUP($B1396,Platts!$E$5:$M$4994,MATCH(G$3,Platts!$F$5:$M$5,0)+1,FALSE),G1395)</f>
        <v>61.5</v>
      </c>
      <c r="H1396" s="6">
        <f>IFERROR(VLOOKUP($B1396,Platts!$E$5:$M$4994,MATCH(H$3,Platts!$F$5:$M$5,0)+1,FALSE),H1395)</f>
        <v>56.06</v>
      </c>
      <c r="I1396" s="6">
        <f>IFERROR(VLOOKUP($B1396,Platts!$E$5:$M$4994,MATCH(I$3,Platts!$F$5:$M$5,0)+1,FALSE),I1395)</f>
        <v>58.91</v>
      </c>
      <c r="J1396" s="6">
        <f t="shared" si="42"/>
        <v>7.4200000000000017</v>
      </c>
    </row>
    <row r="1397" spans="2:10" x14ac:dyDescent="0.25">
      <c r="B1397" s="5">
        <f t="shared" si="43"/>
        <v>43763</v>
      </c>
      <c r="C1397" s="6">
        <f>IFERROR(VLOOKUP($B1397,Platts!$E$5:$M$4994,MATCH(C$3,Platts!$F$5:$M$5,0)+1,FALSE),C1396)</f>
        <v>48.73</v>
      </c>
      <c r="D1397" s="6">
        <f>IFERROR(VLOOKUP($B1397,Platts!$E$5:$M$4994,MATCH(D$3,Platts!$F$5:$M$5,0)+1,FALSE),D1396)</f>
        <v>61.41</v>
      </c>
      <c r="E1397" s="6">
        <f>IFERROR(VLOOKUP($B1397,Platts!$E$5:$M$4994,MATCH(E$3,Platts!$F$5:$M$5,0)+1,FALSE),E1396)</f>
        <v>51.29</v>
      </c>
      <c r="F1397" s="6">
        <f>IFERROR(VLOOKUP($B1397,Platts!$E$5:$M$4994,MATCH(F$3,Platts!$F$5:$M$5,0)+1,FALSE),F1396)</f>
        <v>63.57</v>
      </c>
      <c r="G1397" s="6">
        <f>IFERROR(VLOOKUP($B1397,Platts!$E$5:$M$4994,MATCH(G$3,Platts!$F$5:$M$5,0)+1,FALSE),G1396)</f>
        <v>61.9</v>
      </c>
      <c r="H1397" s="6">
        <f>IFERROR(VLOOKUP($B1397,Platts!$E$5:$M$4994,MATCH(H$3,Platts!$F$5:$M$5,0)+1,FALSE),H1396)</f>
        <v>56.49</v>
      </c>
      <c r="I1397" s="6">
        <f>IFERROR(VLOOKUP($B1397,Platts!$E$5:$M$4994,MATCH(I$3,Platts!$F$5:$M$5,0)+1,FALSE),I1396)</f>
        <v>59.29</v>
      </c>
      <c r="J1397" s="6">
        <f t="shared" si="42"/>
        <v>7.7600000000000051</v>
      </c>
    </row>
    <row r="1398" spans="2:10" x14ac:dyDescent="0.25">
      <c r="B1398" s="5">
        <f t="shared" si="43"/>
        <v>43764</v>
      </c>
      <c r="C1398" s="6">
        <f>IFERROR(VLOOKUP($B1398,Platts!$E$5:$M$4994,MATCH(C$3,Platts!$F$5:$M$5,0)+1,FALSE),C1397)</f>
        <v>48.73</v>
      </c>
      <c r="D1398" s="6">
        <f>IFERROR(VLOOKUP($B1398,Platts!$E$5:$M$4994,MATCH(D$3,Platts!$F$5:$M$5,0)+1,FALSE),D1397)</f>
        <v>61.41</v>
      </c>
      <c r="E1398" s="6">
        <f>IFERROR(VLOOKUP($B1398,Platts!$E$5:$M$4994,MATCH(E$3,Platts!$F$5:$M$5,0)+1,FALSE),E1397)</f>
        <v>51.29</v>
      </c>
      <c r="F1398" s="6">
        <f>IFERROR(VLOOKUP($B1398,Platts!$E$5:$M$4994,MATCH(F$3,Platts!$F$5:$M$5,0)+1,FALSE),F1397)</f>
        <v>63.57</v>
      </c>
      <c r="G1398" s="6">
        <f>IFERROR(VLOOKUP($B1398,Platts!$E$5:$M$4994,MATCH(G$3,Platts!$F$5:$M$5,0)+1,FALSE),G1397)</f>
        <v>61.9</v>
      </c>
      <c r="H1398" s="6">
        <f>IFERROR(VLOOKUP($B1398,Platts!$E$5:$M$4994,MATCH(H$3,Platts!$F$5:$M$5,0)+1,FALSE),H1397)</f>
        <v>56.49</v>
      </c>
      <c r="I1398" s="6">
        <f>IFERROR(VLOOKUP($B1398,Platts!$E$5:$M$4994,MATCH(I$3,Platts!$F$5:$M$5,0)+1,FALSE),I1397)</f>
        <v>59.29</v>
      </c>
      <c r="J1398" s="6">
        <f t="shared" si="42"/>
        <v>7.7600000000000051</v>
      </c>
    </row>
    <row r="1399" spans="2:10" x14ac:dyDescent="0.25">
      <c r="B1399" s="5">
        <f t="shared" si="43"/>
        <v>43765</v>
      </c>
      <c r="C1399" s="6">
        <f>IFERROR(VLOOKUP($B1399,Platts!$E$5:$M$4994,MATCH(C$3,Platts!$F$5:$M$5,0)+1,FALSE),C1398)</f>
        <v>48.73</v>
      </c>
      <c r="D1399" s="6">
        <f>IFERROR(VLOOKUP($B1399,Platts!$E$5:$M$4994,MATCH(D$3,Platts!$F$5:$M$5,0)+1,FALSE),D1398)</f>
        <v>61.41</v>
      </c>
      <c r="E1399" s="6">
        <f>IFERROR(VLOOKUP($B1399,Platts!$E$5:$M$4994,MATCH(E$3,Platts!$F$5:$M$5,0)+1,FALSE),E1398)</f>
        <v>51.29</v>
      </c>
      <c r="F1399" s="6">
        <f>IFERROR(VLOOKUP($B1399,Platts!$E$5:$M$4994,MATCH(F$3,Platts!$F$5:$M$5,0)+1,FALSE),F1398)</f>
        <v>63.57</v>
      </c>
      <c r="G1399" s="6">
        <f>IFERROR(VLOOKUP($B1399,Platts!$E$5:$M$4994,MATCH(G$3,Platts!$F$5:$M$5,0)+1,FALSE),G1398)</f>
        <v>61.9</v>
      </c>
      <c r="H1399" s="6">
        <f>IFERROR(VLOOKUP($B1399,Platts!$E$5:$M$4994,MATCH(H$3,Platts!$F$5:$M$5,0)+1,FALSE),H1398)</f>
        <v>56.49</v>
      </c>
      <c r="I1399" s="6">
        <f>IFERROR(VLOOKUP($B1399,Platts!$E$5:$M$4994,MATCH(I$3,Platts!$F$5:$M$5,0)+1,FALSE),I1398)</f>
        <v>59.29</v>
      </c>
      <c r="J1399" s="6">
        <f t="shared" si="42"/>
        <v>7.7600000000000051</v>
      </c>
    </row>
    <row r="1400" spans="2:10" x14ac:dyDescent="0.25">
      <c r="B1400" s="5">
        <f t="shared" si="43"/>
        <v>43766</v>
      </c>
      <c r="C1400" s="6">
        <f>IFERROR(VLOOKUP($B1400,Platts!$E$5:$M$4994,MATCH(C$3,Platts!$F$5:$M$5,0)+1,FALSE),C1399)</f>
        <v>48.73</v>
      </c>
      <c r="D1400" s="6">
        <f>IFERROR(VLOOKUP($B1400,Platts!$E$5:$M$4994,MATCH(D$3,Platts!$F$5:$M$5,0)+1,FALSE),D1399)</f>
        <v>60.98</v>
      </c>
      <c r="E1400" s="6">
        <f>IFERROR(VLOOKUP($B1400,Platts!$E$5:$M$4994,MATCH(E$3,Platts!$F$5:$M$5,0)+1,FALSE),E1399)</f>
        <v>49.88</v>
      </c>
      <c r="F1400" s="6">
        <f>IFERROR(VLOOKUP($B1400,Platts!$E$5:$M$4994,MATCH(F$3,Platts!$F$5:$M$5,0)+1,FALSE),F1399)</f>
        <v>63.14</v>
      </c>
      <c r="G1400" s="6">
        <f>IFERROR(VLOOKUP($B1400,Platts!$E$5:$M$4994,MATCH(G$3,Platts!$F$5:$M$5,0)+1,FALSE),G1399)</f>
        <v>61.29</v>
      </c>
      <c r="H1400" s="6">
        <f>IFERROR(VLOOKUP($B1400,Platts!$E$5:$M$4994,MATCH(H$3,Platts!$F$5:$M$5,0)+1,FALSE),H1399)</f>
        <v>55.81</v>
      </c>
      <c r="I1400" s="6">
        <f>IFERROR(VLOOKUP($B1400,Platts!$E$5:$M$4994,MATCH(I$3,Platts!$F$5:$M$5,0)+1,FALSE),I1399)</f>
        <v>58.91</v>
      </c>
      <c r="J1400" s="6">
        <f t="shared" si="42"/>
        <v>7.0800000000000054</v>
      </c>
    </row>
    <row r="1401" spans="2:10" x14ac:dyDescent="0.25">
      <c r="B1401" s="5">
        <f t="shared" si="43"/>
        <v>43767</v>
      </c>
      <c r="C1401" s="6">
        <f>IFERROR(VLOOKUP($B1401,Platts!$E$5:$M$4994,MATCH(C$3,Platts!$F$5:$M$5,0)+1,FALSE),C1400)</f>
        <v>47.47</v>
      </c>
      <c r="D1401" s="6">
        <f>IFERROR(VLOOKUP($B1401,Platts!$E$5:$M$4994,MATCH(D$3,Platts!$F$5:$M$5,0)+1,FALSE),D1400)</f>
        <v>60.77</v>
      </c>
      <c r="E1401" s="6">
        <f>IFERROR(VLOOKUP($B1401,Platts!$E$5:$M$4994,MATCH(E$3,Platts!$F$5:$M$5,0)+1,FALSE),E1400)</f>
        <v>48.74</v>
      </c>
      <c r="F1401" s="6">
        <f>IFERROR(VLOOKUP($B1401,Platts!$E$5:$M$4994,MATCH(F$3,Platts!$F$5:$M$5,0)+1,FALSE),F1400)</f>
        <v>62.95</v>
      </c>
      <c r="G1401" s="6">
        <f>IFERROR(VLOOKUP($B1401,Platts!$E$5:$M$4994,MATCH(G$3,Platts!$F$5:$M$5,0)+1,FALSE),G1400)</f>
        <v>61.79</v>
      </c>
      <c r="H1401" s="6">
        <f>IFERROR(VLOOKUP($B1401,Platts!$E$5:$M$4994,MATCH(H$3,Platts!$F$5:$M$5,0)+1,FALSE),H1400)</f>
        <v>55.54</v>
      </c>
      <c r="I1401" s="6">
        <f>IFERROR(VLOOKUP($B1401,Platts!$E$5:$M$4994,MATCH(I$3,Platts!$F$5:$M$5,0)+1,FALSE),I1400)</f>
        <v>58.84</v>
      </c>
      <c r="J1401" s="6">
        <f t="shared" si="42"/>
        <v>8.07</v>
      </c>
    </row>
    <row r="1402" spans="2:10" x14ac:dyDescent="0.25">
      <c r="B1402" s="5">
        <f t="shared" si="43"/>
        <v>43768</v>
      </c>
      <c r="C1402" s="6">
        <f>IFERROR(VLOOKUP($B1402,Platts!$E$5:$M$4994,MATCH(C$3,Platts!$F$5:$M$5,0)+1,FALSE),C1401)</f>
        <v>47.52</v>
      </c>
      <c r="D1402" s="6">
        <f>IFERROR(VLOOKUP($B1402,Platts!$E$5:$M$4994,MATCH(D$3,Platts!$F$5:$M$5,0)+1,FALSE),D1401)</f>
        <v>60.2</v>
      </c>
      <c r="E1402" s="6">
        <f>IFERROR(VLOOKUP($B1402,Platts!$E$5:$M$4994,MATCH(E$3,Platts!$F$5:$M$5,0)+1,FALSE),E1401)</f>
        <v>49.83</v>
      </c>
      <c r="F1402" s="6">
        <f>IFERROR(VLOOKUP($B1402,Platts!$E$5:$M$4994,MATCH(F$3,Platts!$F$5:$M$5,0)+1,FALSE),F1401)</f>
        <v>62.34</v>
      </c>
      <c r="G1402" s="6">
        <f>IFERROR(VLOOKUP($B1402,Platts!$E$5:$M$4994,MATCH(G$3,Platts!$F$5:$M$5,0)+1,FALSE),G1401)</f>
        <v>60.77</v>
      </c>
      <c r="H1402" s="6">
        <f>IFERROR(VLOOKUP($B1402,Platts!$E$5:$M$4994,MATCH(H$3,Platts!$F$5:$M$5,0)+1,FALSE),H1401)</f>
        <v>55.06</v>
      </c>
      <c r="I1402" s="6">
        <f>IFERROR(VLOOKUP($B1402,Platts!$E$5:$M$4994,MATCH(I$3,Platts!$F$5:$M$5,0)+1,FALSE),I1401)</f>
        <v>58.41</v>
      </c>
      <c r="J1402" s="6">
        <f t="shared" si="42"/>
        <v>7.5399999999999991</v>
      </c>
    </row>
    <row r="1403" spans="2:10" x14ac:dyDescent="0.25">
      <c r="B1403" s="5">
        <f t="shared" si="43"/>
        <v>43769</v>
      </c>
      <c r="C1403" s="6">
        <f>IFERROR(VLOOKUP($B1403,Platts!$E$5:$M$4994,MATCH(C$3,Platts!$F$5:$M$5,0)+1,FALSE),C1402)</f>
        <v>48.08</v>
      </c>
      <c r="D1403" s="6">
        <f>IFERROR(VLOOKUP($B1403,Platts!$E$5:$M$4994,MATCH(D$3,Platts!$F$5:$M$5,0)+1,FALSE),D1402)</f>
        <v>59.42</v>
      </c>
      <c r="E1403" s="6">
        <f>IFERROR(VLOOKUP($B1403,Platts!$E$5:$M$4994,MATCH(E$3,Platts!$F$5:$M$5,0)+1,FALSE),E1402)</f>
        <v>48.67</v>
      </c>
      <c r="F1403" s="6">
        <f>IFERROR(VLOOKUP($B1403,Platts!$E$5:$M$4994,MATCH(F$3,Platts!$F$5:$M$5,0)+1,FALSE),F1402)</f>
        <v>61.6</v>
      </c>
      <c r="G1403" s="6">
        <f>IFERROR(VLOOKUP($B1403,Platts!$E$5:$M$4994,MATCH(G$3,Platts!$F$5:$M$5,0)+1,FALSE),G1402)</f>
        <v>59.86</v>
      </c>
      <c r="H1403" s="6">
        <f>IFERROR(VLOOKUP($B1403,Platts!$E$5:$M$4994,MATCH(H$3,Platts!$F$5:$M$5,0)+1,FALSE),H1402)</f>
        <v>54.18</v>
      </c>
      <c r="I1403" s="6">
        <f>IFERROR(VLOOKUP($B1403,Platts!$E$5:$M$4994,MATCH(I$3,Platts!$F$5:$M$5,0)+1,FALSE),I1402)</f>
        <v>57.58</v>
      </c>
      <c r="J1403" s="6">
        <f t="shared" si="42"/>
        <v>6.1000000000000014</v>
      </c>
    </row>
    <row r="1404" spans="2:10" x14ac:dyDescent="0.25">
      <c r="B1404" s="5">
        <f t="shared" si="43"/>
        <v>43770</v>
      </c>
      <c r="C1404" s="6">
        <f>IFERROR(VLOOKUP($B1404,Platts!$E$5:$M$4994,MATCH(C$3,Platts!$F$5:$M$5,0)+1,FALSE),C1403)</f>
        <v>52.44</v>
      </c>
      <c r="D1404" s="6">
        <f>IFERROR(VLOOKUP($B1404,Platts!$E$5:$M$4994,MATCH(D$3,Platts!$F$5:$M$5,0)+1,FALSE),D1403)</f>
        <v>59.9</v>
      </c>
      <c r="E1404" s="6">
        <f>IFERROR(VLOOKUP($B1404,Platts!$E$5:$M$4994,MATCH(E$3,Platts!$F$5:$M$5,0)+1,FALSE),E1403)</f>
        <v>53.72</v>
      </c>
      <c r="F1404" s="6">
        <f>IFERROR(VLOOKUP($B1404,Platts!$E$5:$M$4994,MATCH(F$3,Platts!$F$5:$M$5,0)+1,FALSE),F1403)</f>
        <v>62.18</v>
      </c>
      <c r="G1404" s="6">
        <f>IFERROR(VLOOKUP($B1404,Platts!$E$5:$M$4994,MATCH(G$3,Platts!$F$5:$M$5,0)+1,FALSE),G1403)</f>
        <v>60.55</v>
      </c>
      <c r="H1404" s="6">
        <f>IFERROR(VLOOKUP($B1404,Platts!$E$5:$M$4994,MATCH(H$3,Platts!$F$5:$M$5,0)+1,FALSE),H1403)</f>
        <v>56.2</v>
      </c>
      <c r="I1404" s="6">
        <f>IFERROR(VLOOKUP($B1404,Platts!$E$5:$M$4994,MATCH(I$3,Platts!$F$5:$M$5,0)+1,FALSE),I1403)</f>
        <v>59.55</v>
      </c>
      <c r="J1404" s="6">
        <f t="shared" si="42"/>
        <v>3.7600000000000051</v>
      </c>
    </row>
    <row r="1405" spans="2:10" x14ac:dyDescent="0.25">
      <c r="B1405" s="5">
        <f t="shared" si="43"/>
        <v>43771</v>
      </c>
      <c r="C1405" s="6">
        <f>IFERROR(VLOOKUP($B1405,Platts!$E$5:$M$4994,MATCH(C$3,Platts!$F$5:$M$5,0)+1,FALSE),C1404)</f>
        <v>52.44</v>
      </c>
      <c r="D1405" s="6">
        <f>IFERROR(VLOOKUP($B1405,Platts!$E$5:$M$4994,MATCH(D$3,Platts!$F$5:$M$5,0)+1,FALSE),D1404)</f>
        <v>59.9</v>
      </c>
      <c r="E1405" s="6">
        <f>IFERROR(VLOOKUP($B1405,Platts!$E$5:$M$4994,MATCH(E$3,Platts!$F$5:$M$5,0)+1,FALSE),E1404)</f>
        <v>53.72</v>
      </c>
      <c r="F1405" s="6">
        <f>IFERROR(VLOOKUP($B1405,Platts!$E$5:$M$4994,MATCH(F$3,Platts!$F$5:$M$5,0)+1,FALSE),F1404)</f>
        <v>62.18</v>
      </c>
      <c r="G1405" s="6">
        <f>IFERROR(VLOOKUP($B1405,Platts!$E$5:$M$4994,MATCH(G$3,Platts!$F$5:$M$5,0)+1,FALSE),G1404)</f>
        <v>60.55</v>
      </c>
      <c r="H1405" s="6">
        <f>IFERROR(VLOOKUP($B1405,Platts!$E$5:$M$4994,MATCH(H$3,Platts!$F$5:$M$5,0)+1,FALSE),H1404)</f>
        <v>56.2</v>
      </c>
      <c r="I1405" s="6">
        <f>IFERROR(VLOOKUP($B1405,Platts!$E$5:$M$4994,MATCH(I$3,Platts!$F$5:$M$5,0)+1,FALSE),I1404)</f>
        <v>59.55</v>
      </c>
      <c r="J1405" s="6">
        <f t="shared" si="42"/>
        <v>3.7600000000000051</v>
      </c>
    </row>
    <row r="1406" spans="2:10" x14ac:dyDescent="0.25">
      <c r="B1406" s="5">
        <f t="shared" si="43"/>
        <v>43772</v>
      </c>
      <c r="C1406" s="6">
        <f>IFERROR(VLOOKUP($B1406,Platts!$E$5:$M$4994,MATCH(C$3,Platts!$F$5:$M$5,0)+1,FALSE),C1405)</f>
        <v>52.44</v>
      </c>
      <c r="D1406" s="6">
        <f>IFERROR(VLOOKUP($B1406,Platts!$E$5:$M$4994,MATCH(D$3,Platts!$F$5:$M$5,0)+1,FALSE),D1405)</f>
        <v>59.9</v>
      </c>
      <c r="E1406" s="6">
        <f>IFERROR(VLOOKUP($B1406,Platts!$E$5:$M$4994,MATCH(E$3,Platts!$F$5:$M$5,0)+1,FALSE),E1405)</f>
        <v>53.72</v>
      </c>
      <c r="F1406" s="6">
        <f>IFERROR(VLOOKUP($B1406,Platts!$E$5:$M$4994,MATCH(F$3,Platts!$F$5:$M$5,0)+1,FALSE),F1405)</f>
        <v>62.18</v>
      </c>
      <c r="G1406" s="6">
        <f>IFERROR(VLOOKUP($B1406,Platts!$E$5:$M$4994,MATCH(G$3,Platts!$F$5:$M$5,0)+1,FALSE),G1405)</f>
        <v>60.55</v>
      </c>
      <c r="H1406" s="6">
        <f>IFERROR(VLOOKUP($B1406,Platts!$E$5:$M$4994,MATCH(H$3,Platts!$F$5:$M$5,0)+1,FALSE),H1405)</f>
        <v>56.2</v>
      </c>
      <c r="I1406" s="6">
        <f>IFERROR(VLOOKUP($B1406,Platts!$E$5:$M$4994,MATCH(I$3,Platts!$F$5:$M$5,0)+1,FALSE),I1405)</f>
        <v>59.55</v>
      </c>
      <c r="J1406" s="6">
        <f t="shared" si="42"/>
        <v>3.7600000000000051</v>
      </c>
    </row>
    <row r="1407" spans="2:10" x14ac:dyDescent="0.25">
      <c r="B1407" s="5">
        <f t="shared" si="43"/>
        <v>43773</v>
      </c>
      <c r="C1407" s="6">
        <f>IFERROR(VLOOKUP($B1407,Platts!$E$5:$M$4994,MATCH(C$3,Platts!$F$5:$M$5,0)+1,FALSE),C1406)</f>
        <v>52.51</v>
      </c>
      <c r="D1407" s="6">
        <f>IFERROR(VLOOKUP($B1407,Platts!$E$5:$M$4994,MATCH(D$3,Platts!$F$5:$M$5,0)+1,FALSE),D1406)</f>
        <v>60.43</v>
      </c>
      <c r="E1407" s="6">
        <f>IFERROR(VLOOKUP($B1407,Platts!$E$5:$M$4994,MATCH(E$3,Platts!$F$5:$M$5,0)+1,FALSE),E1406)</f>
        <v>53.84</v>
      </c>
      <c r="F1407" s="6">
        <f>IFERROR(VLOOKUP($B1407,Platts!$E$5:$M$4994,MATCH(F$3,Platts!$F$5:$M$5,0)+1,FALSE),F1406)</f>
        <v>62.72</v>
      </c>
      <c r="G1407" s="6">
        <f>IFERROR(VLOOKUP($B1407,Platts!$E$5:$M$4994,MATCH(G$3,Platts!$F$5:$M$5,0)+1,FALSE),G1406)</f>
        <v>62.79</v>
      </c>
      <c r="H1407" s="6">
        <f>IFERROR(VLOOKUP($B1407,Platts!$E$5:$M$4994,MATCH(H$3,Platts!$F$5:$M$5,0)+1,FALSE),H1406)</f>
        <v>56.54</v>
      </c>
      <c r="I1407" s="6">
        <f>IFERROR(VLOOKUP($B1407,Platts!$E$5:$M$4994,MATCH(I$3,Platts!$F$5:$M$5,0)+1,FALSE),I1406)</f>
        <v>59.89</v>
      </c>
      <c r="J1407" s="6">
        <f t="shared" si="42"/>
        <v>4.0300000000000011</v>
      </c>
    </row>
    <row r="1408" spans="2:10" x14ac:dyDescent="0.25">
      <c r="B1408" s="5">
        <f t="shared" si="43"/>
        <v>43774</v>
      </c>
      <c r="C1408" s="6">
        <f>IFERROR(VLOOKUP($B1408,Platts!$E$5:$M$4994,MATCH(C$3,Platts!$F$5:$M$5,0)+1,FALSE),C1407)</f>
        <v>52.12</v>
      </c>
      <c r="D1408" s="6">
        <f>IFERROR(VLOOKUP($B1408,Platts!$E$5:$M$4994,MATCH(D$3,Platts!$F$5:$M$5,0)+1,FALSE),D1407)</f>
        <v>61.28</v>
      </c>
      <c r="E1408" s="6">
        <f>IFERROR(VLOOKUP($B1408,Platts!$E$5:$M$4994,MATCH(E$3,Platts!$F$5:$M$5,0)+1,FALSE),E1407)</f>
        <v>54.4</v>
      </c>
      <c r="F1408" s="6">
        <f>IFERROR(VLOOKUP($B1408,Platts!$E$5:$M$4994,MATCH(F$3,Platts!$F$5:$M$5,0)+1,FALSE),F1407)</f>
        <v>63.58</v>
      </c>
      <c r="G1408" s="6">
        <f>IFERROR(VLOOKUP($B1408,Platts!$E$5:$M$4994,MATCH(G$3,Platts!$F$5:$M$5,0)+1,FALSE),G1407)</f>
        <v>62.84</v>
      </c>
      <c r="H1408" s="6">
        <f>IFERROR(VLOOKUP($B1408,Platts!$E$5:$M$4994,MATCH(H$3,Platts!$F$5:$M$5,0)+1,FALSE),H1407)</f>
        <v>57.23</v>
      </c>
      <c r="I1408" s="6">
        <f>IFERROR(VLOOKUP($B1408,Platts!$E$5:$M$4994,MATCH(I$3,Platts!$F$5:$M$5,0)+1,FALSE),I1407)</f>
        <v>60.73</v>
      </c>
      <c r="J1408" s="6">
        <f t="shared" si="42"/>
        <v>5.1099999999999994</v>
      </c>
    </row>
    <row r="1409" spans="2:10" x14ac:dyDescent="0.25">
      <c r="B1409" s="5">
        <f t="shared" si="43"/>
        <v>43775</v>
      </c>
      <c r="C1409" s="6">
        <f>IFERROR(VLOOKUP($B1409,Platts!$E$5:$M$4994,MATCH(C$3,Platts!$F$5:$M$5,0)+1,FALSE),C1408)</f>
        <v>51.17</v>
      </c>
      <c r="D1409" s="6">
        <f>IFERROR(VLOOKUP($B1409,Platts!$E$5:$M$4994,MATCH(D$3,Platts!$F$5:$M$5,0)+1,FALSE),D1408)</f>
        <v>60.42</v>
      </c>
      <c r="E1409" s="6">
        <f>IFERROR(VLOOKUP($B1409,Platts!$E$5:$M$4994,MATCH(E$3,Platts!$F$5:$M$5,0)+1,FALSE),E1408)</f>
        <v>53.38</v>
      </c>
      <c r="F1409" s="6">
        <f>IFERROR(VLOOKUP($B1409,Platts!$E$5:$M$4994,MATCH(F$3,Platts!$F$5:$M$5,0)+1,FALSE),F1408)</f>
        <v>62.69</v>
      </c>
      <c r="G1409" s="6">
        <f>IFERROR(VLOOKUP($B1409,Platts!$E$5:$M$4994,MATCH(G$3,Platts!$F$5:$M$5,0)+1,FALSE),G1408)</f>
        <v>62.23</v>
      </c>
      <c r="H1409" s="6">
        <f>IFERROR(VLOOKUP($B1409,Platts!$E$5:$M$4994,MATCH(H$3,Platts!$F$5:$M$5,0)+1,FALSE),H1408)</f>
        <v>56.35</v>
      </c>
      <c r="I1409" s="6">
        <f>IFERROR(VLOOKUP($B1409,Platts!$E$5:$M$4994,MATCH(I$3,Platts!$F$5:$M$5,0)+1,FALSE),I1408)</f>
        <v>60.1</v>
      </c>
      <c r="J1409" s="6">
        <f t="shared" si="42"/>
        <v>5.18</v>
      </c>
    </row>
    <row r="1410" spans="2:10" x14ac:dyDescent="0.25">
      <c r="B1410" s="5">
        <f t="shared" si="43"/>
        <v>43776</v>
      </c>
      <c r="C1410" s="6">
        <f>IFERROR(VLOOKUP($B1410,Platts!$E$5:$M$4994,MATCH(C$3,Platts!$F$5:$M$5,0)+1,FALSE),C1409)</f>
        <v>50.64</v>
      </c>
      <c r="D1410" s="6">
        <f>IFERROR(VLOOKUP($B1410,Platts!$E$5:$M$4994,MATCH(D$3,Platts!$F$5:$M$5,0)+1,FALSE),D1409)</f>
        <v>61.35</v>
      </c>
      <c r="E1410" s="6">
        <f>IFERROR(VLOOKUP($B1410,Platts!$E$5:$M$4994,MATCH(E$3,Platts!$F$5:$M$5,0)+1,FALSE),E1409)</f>
        <v>53.88</v>
      </c>
      <c r="F1410" s="6">
        <f>IFERROR(VLOOKUP($B1410,Platts!$E$5:$M$4994,MATCH(F$3,Platts!$F$5:$M$5,0)+1,FALSE),F1409)</f>
        <v>63.51</v>
      </c>
      <c r="G1410" s="6">
        <f>IFERROR(VLOOKUP($B1410,Platts!$E$5:$M$4994,MATCH(G$3,Platts!$F$5:$M$5,0)+1,FALSE),G1409)</f>
        <v>62.6</v>
      </c>
      <c r="H1410" s="6">
        <f>IFERROR(VLOOKUP($B1410,Platts!$E$5:$M$4994,MATCH(H$3,Platts!$F$5:$M$5,0)+1,FALSE),H1409)</f>
        <v>57.15</v>
      </c>
      <c r="I1410" s="6">
        <f>IFERROR(VLOOKUP($B1410,Platts!$E$5:$M$4994,MATCH(I$3,Platts!$F$5:$M$5,0)+1,FALSE),I1409)</f>
        <v>60.85</v>
      </c>
      <c r="J1410" s="6">
        <f t="shared" si="42"/>
        <v>6.509999999999998</v>
      </c>
    </row>
    <row r="1411" spans="2:10" x14ac:dyDescent="0.25">
      <c r="B1411" s="5">
        <f t="shared" si="43"/>
        <v>43777</v>
      </c>
      <c r="C1411" s="6">
        <f>IFERROR(VLOOKUP($B1411,Platts!$E$5:$M$4994,MATCH(C$3,Platts!$F$5:$M$5,0)+1,FALSE),C1410)</f>
        <v>50.22</v>
      </c>
      <c r="D1411" s="6">
        <f>IFERROR(VLOOKUP($B1411,Platts!$E$5:$M$4994,MATCH(D$3,Platts!$F$5:$M$5,0)+1,FALSE),D1410)</f>
        <v>61.64</v>
      </c>
      <c r="E1411" s="6">
        <f>IFERROR(VLOOKUP($B1411,Platts!$E$5:$M$4994,MATCH(E$3,Platts!$F$5:$M$5,0)+1,FALSE),E1410)</f>
        <v>54.19</v>
      </c>
      <c r="F1411" s="6">
        <f>IFERROR(VLOOKUP($B1411,Platts!$E$5:$M$4994,MATCH(F$3,Platts!$F$5:$M$5,0)+1,FALSE),F1410)</f>
        <v>63.85</v>
      </c>
      <c r="G1411" s="6">
        <f>IFERROR(VLOOKUP($B1411,Platts!$E$5:$M$4994,MATCH(G$3,Platts!$F$5:$M$5,0)+1,FALSE),G1410)</f>
        <v>61.77</v>
      </c>
      <c r="H1411" s="6">
        <f>IFERROR(VLOOKUP($B1411,Platts!$E$5:$M$4994,MATCH(H$3,Platts!$F$5:$M$5,0)+1,FALSE),H1410)</f>
        <v>57.24</v>
      </c>
      <c r="I1411" s="6">
        <f>IFERROR(VLOOKUP($B1411,Platts!$E$5:$M$4994,MATCH(I$3,Platts!$F$5:$M$5,0)+1,FALSE),I1410)</f>
        <v>61.29</v>
      </c>
      <c r="J1411" s="6">
        <f t="shared" si="42"/>
        <v>7.0200000000000031</v>
      </c>
    </row>
    <row r="1412" spans="2:10" x14ac:dyDescent="0.25">
      <c r="B1412" s="5">
        <f t="shared" si="43"/>
        <v>43778</v>
      </c>
      <c r="C1412" s="6">
        <f>IFERROR(VLOOKUP($B1412,Platts!$E$5:$M$4994,MATCH(C$3,Platts!$F$5:$M$5,0)+1,FALSE),C1411)</f>
        <v>50.22</v>
      </c>
      <c r="D1412" s="6">
        <f>IFERROR(VLOOKUP($B1412,Platts!$E$5:$M$4994,MATCH(D$3,Platts!$F$5:$M$5,0)+1,FALSE),D1411)</f>
        <v>61.64</v>
      </c>
      <c r="E1412" s="6">
        <f>IFERROR(VLOOKUP($B1412,Platts!$E$5:$M$4994,MATCH(E$3,Platts!$F$5:$M$5,0)+1,FALSE),E1411)</f>
        <v>54.19</v>
      </c>
      <c r="F1412" s="6">
        <f>IFERROR(VLOOKUP($B1412,Platts!$E$5:$M$4994,MATCH(F$3,Platts!$F$5:$M$5,0)+1,FALSE),F1411)</f>
        <v>63.85</v>
      </c>
      <c r="G1412" s="6">
        <f>IFERROR(VLOOKUP($B1412,Platts!$E$5:$M$4994,MATCH(G$3,Platts!$F$5:$M$5,0)+1,FALSE),G1411)</f>
        <v>61.77</v>
      </c>
      <c r="H1412" s="6">
        <f>IFERROR(VLOOKUP($B1412,Platts!$E$5:$M$4994,MATCH(H$3,Platts!$F$5:$M$5,0)+1,FALSE),H1411)</f>
        <v>57.24</v>
      </c>
      <c r="I1412" s="6">
        <f>IFERROR(VLOOKUP($B1412,Platts!$E$5:$M$4994,MATCH(I$3,Platts!$F$5:$M$5,0)+1,FALSE),I1411)</f>
        <v>61.29</v>
      </c>
      <c r="J1412" s="6">
        <f t="shared" ref="J1412:J1475" si="44">H1412-C1412</f>
        <v>7.0200000000000031</v>
      </c>
    </row>
    <row r="1413" spans="2:10" x14ac:dyDescent="0.25">
      <c r="B1413" s="5">
        <f t="shared" si="43"/>
        <v>43779</v>
      </c>
      <c r="C1413" s="6">
        <f>IFERROR(VLOOKUP($B1413,Platts!$E$5:$M$4994,MATCH(C$3,Platts!$F$5:$M$5,0)+1,FALSE),C1412)</f>
        <v>50.22</v>
      </c>
      <c r="D1413" s="6">
        <f>IFERROR(VLOOKUP($B1413,Platts!$E$5:$M$4994,MATCH(D$3,Platts!$F$5:$M$5,0)+1,FALSE),D1412)</f>
        <v>61.64</v>
      </c>
      <c r="E1413" s="6">
        <f>IFERROR(VLOOKUP($B1413,Platts!$E$5:$M$4994,MATCH(E$3,Platts!$F$5:$M$5,0)+1,FALSE),E1412)</f>
        <v>54.19</v>
      </c>
      <c r="F1413" s="6">
        <f>IFERROR(VLOOKUP($B1413,Platts!$E$5:$M$4994,MATCH(F$3,Platts!$F$5:$M$5,0)+1,FALSE),F1412)</f>
        <v>63.85</v>
      </c>
      <c r="G1413" s="6">
        <f>IFERROR(VLOOKUP($B1413,Platts!$E$5:$M$4994,MATCH(G$3,Platts!$F$5:$M$5,0)+1,FALSE),G1412)</f>
        <v>61.77</v>
      </c>
      <c r="H1413" s="6">
        <f>IFERROR(VLOOKUP($B1413,Platts!$E$5:$M$4994,MATCH(H$3,Platts!$F$5:$M$5,0)+1,FALSE),H1412)</f>
        <v>57.24</v>
      </c>
      <c r="I1413" s="6">
        <f>IFERROR(VLOOKUP($B1413,Platts!$E$5:$M$4994,MATCH(I$3,Platts!$F$5:$M$5,0)+1,FALSE),I1412)</f>
        <v>61.29</v>
      </c>
      <c r="J1413" s="6">
        <f t="shared" si="44"/>
        <v>7.0200000000000031</v>
      </c>
    </row>
    <row r="1414" spans="2:10" x14ac:dyDescent="0.25">
      <c r="B1414" s="5">
        <f t="shared" ref="B1414:B1477" si="45">B1413+1</f>
        <v>43780</v>
      </c>
      <c r="C1414" s="6">
        <f>IFERROR(VLOOKUP($B1414,Platts!$E$5:$M$4994,MATCH(C$3,Platts!$F$5:$M$5,0)+1,FALSE),C1413)</f>
        <v>50.22</v>
      </c>
      <c r="D1414" s="6">
        <f>IFERROR(VLOOKUP($B1414,Platts!$E$5:$M$4994,MATCH(D$3,Platts!$F$5:$M$5,0)+1,FALSE),D1413)</f>
        <v>61.54</v>
      </c>
      <c r="E1414" s="6">
        <f>IFERROR(VLOOKUP($B1414,Platts!$E$5:$M$4994,MATCH(E$3,Platts!$F$5:$M$5,0)+1,FALSE),E1413)</f>
        <v>52.4</v>
      </c>
      <c r="F1414" s="6">
        <f>IFERROR(VLOOKUP($B1414,Platts!$E$5:$M$4994,MATCH(F$3,Platts!$F$5:$M$5,0)+1,FALSE),F1413)</f>
        <v>63.66</v>
      </c>
      <c r="G1414" s="6">
        <f>IFERROR(VLOOKUP($B1414,Platts!$E$5:$M$4994,MATCH(G$3,Platts!$F$5:$M$5,0)+1,FALSE),G1413)</f>
        <v>62.4</v>
      </c>
      <c r="H1414" s="6">
        <f>IFERROR(VLOOKUP($B1414,Platts!$E$5:$M$4994,MATCH(H$3,Platts!$F$5:$M$5,0)+1,FALSE),H1413)</f>
        <v>56.86</v>
      </c>
      <c r="I1414" s="6">
        <f>IFERROR(VLOOKUP($B1414,Platts!$E$5:$M$4994,MATCH(I$3,Platts!$F$5:$M$5,0)+1,FALSE),I1413)</f>
        <v>61.36</v>
      </c>
      <c r="J1414" s="6">
        <f t="shared" si="44"/>
        <v>6.6400000000000006</v>
      </c>
    </row>
    <row r="1415" spans="2:10" x14ac:dyDescent="0.25">
      <c r="B1415" s="5">
        <f t="shared" si="45"/>
        <v>43781</v>
      </c>
      <c r="C1415" s="6">
        <f>IFERROR(VLOOKUP($B1415,Platts!$E$5:$M$4994,MATCH(C$3,Platts!$F$5:$M$5,0)+1,FALSE),C1414)</f>
        <v>49.4</v>
      </c>
      <c r="D1415" s="6">
        <f>IFERROR(VLOOKUP($B1415,Platts!$E$5:$M$4994,MATCH(D$3,Platts!$F$5:$M$5,0)+1,FALSE),D1414)</f>
        <v>61.45</v>
      </c>
      <c r="E1415" s="6">
        <f>IFERROR(VLOOKUP($B1415,Platts!$E$5:$M$4994,MATCH(E$3,Platts!$F$5:$M$5,0)+1,FALSE),E1414)</f>
        <v>50.5</v>
      </c>
      <c r="F1415" s="6">
        <f>IFERROR(VLOOKUP($B1415,Platts!$E$5:$M$4994,MATCH(F$3,Platts!$F$5:$M$5,0)+1,FALSE),F1414)</f>
        <v>63.63</v>
      </c>
      <c r="G1415" s="6">
        <f>IFERROR(VLOOKUP($B1415,Platts!$E$5:$M$4994,MATCH(G$3,Platts!$F$5:$M$5,0)+1,FALSE),G1414)</f>
        <v>62.45</v>
      </c>
      <c r="H1415" s="6">
        <f>IFERROR(VLOOKUP($B1415,Platts!$E$5:$M$4994,MATCH(H$3,Platts!$F$5:$M$5,0)+1,FALSE),H1414)</f>
        <v>56.8</v>
      </c>
      <c r="I1415" s="6">
        <f>IFERROR(VLOOKUP($B1415,Platts!$E$5:$M$4994,MATCH(I$3,Platts!$F$5:$M$5,0)+1,FALSE),I1414)</f>
        <v>61.3</v>
      </c>
      <c r="J1415" s="6">
        <f t="shared" si="44"/>
        <v>7.3999999999999986</v>
      </c>
    </row>
    <row r="1416" spans="2:10" x14ac:dyDescent="0.25">
      <c r="B1416" s="5">
        <f t="shared" si="45"/>
        <v>43782</v>
      </c>
      <c r="C1416" s="6">
        <f>IFERROR(VLOOKUP($B1416,Platts!$E$5:$M$4994,MATCH(C$3,Platts!$F$5:$M$5,0)+1,FALSE),C1415)</f>
        <v>49.03</v>
      </c>
      <c r="D1416" s="6">
        <f>IFERROR(VLOOKUP($B1416,Platts!$E$5:$M$4994,MATCH(D$3,Platts!$F$5:$M$5,0)+1,FALSE),D1415)</f>
        <v>61.64</v>
      </c>
      <c r="E1416" s="6">
        <f>IFERROR(VLOOKUP($B1416,Platts!$E$5:$M$4994,MATCH(E$3,Platts!$F$5:$M$5,0)+1,FALSE),E1415)</f>
        <v>50.15</v>
      </c>
      <c r="F1416" s="6">
        <f>IFERROR(VLOOKUP($B1416,Platts!$E$5:$M$4994,MATCH(F$3,Platts!$F$5:$M$5,0)+1,FALSE),F1415)</f>
        <v>63.87</v>
      </c>
      <c r="G1416" s="6">
        <f>IFERROR(VLOOKUP($B1416,Platts!$E$5:$M$4994,MATCH(G$3,Platts!$F$5:$M$5,0)+1,FALSE),G1415)</f>
        <v>62.3</v>
      </c>
      <c r="H1416" s="6">
        <f>IFERROR(VLOOKUP($B1416,Platts!$E$5:$M$4994,MATCH(H$3,Platts!$F$5:$M$5,0)+1,FALSE),H1415)</f>
        <v>57.12</v>
      </c>
      <c r="I1416" s="6">
        <f>IFERROR(VLOOKUP($B1416,Platts!$E$5:$M$4994,MATCH(I$3,Platts!$F$5:$M$5,0)+1,FALSE),I1415)</f>
        <v>61.57</v>
      </c>
      <c r="J1416" s="6">
        <f t="shared" si="44"/>
        <v>8.0899999999999963</v>
      </c>
    </row>
    <row r="1417" spans="2:10" x14ac:dyDescent="0.25">
      <c r="B1417" s="5">
        <f t="shared" si="45"/>
        <v>43783</v>
      </c>
      <c r="C1417" s="6">
        <f>IFERROR(VLOOKUP($B1417,Platts!$E$5:$M$4994,MATCH(C$3,Platts!$F$5:$M$5,0)+1,FALSE),C1416)</f>
        <v>49</v>
      </c>
      <c r="D1417" s="6">
        <f>IFERROR(VLOOKUP($B1417,Platts!$E$5:$M$4994,MATCH(D$3,Platts!$F$5:$M$5,0)+1,FALSE),D1416)</f>
        <v>61.27</v>
      </c>
      <c r="E1417" s="6">
        <f>IFERROR(VLOOKUP($B1417,Platts!$E$5:$M$4994,MATCH(E$3,Platts!$F$5:$M$5,0)+1,FALSE),E1416)</f>
        <v>50.14</v>
      </c>
      <c r="F1417" s="6">
        <f>IFERROR(VLOOKUP($B1417,Platts!$E$5:$M$4994,MATCH(F$3,Platts!$F$5:$M$5,0)+1,FALSE),F1416)</f>
        <v>63.53</v>
      </c>
      <c r="G1417" s="6">
        <f>IFERROR(VLOOKUP($B1417,Platts!$E$5:$M$4994,MATCH(G$3,Platts!$F$5:$M$5,0)+1,FALSE),G1416)</f>
        <v>62.52</v>
      </c>
      <c r="H1417" s="6">
        <f>IFERROR(VLOOKUP($B1417,Platts!$E$5:$M$4994,MATCH(H$3,Platts!$F$5:$M$5,0)+1,FALSE),H1416)</f>
        <v>56.77</v>
      </c>
      <c r="I1417" s="6">
        <f>IFERROR(VLOOKUP($B1417,Platts!$E$5:$M$4994,MATCH(I$3,Platts!$F$5:$M$5,0)+1,FALSE),I1416)</f>
        <v>61.27</v>
      </c>
      <c r="J1417" s="6">
        <f t="shared" si="44"/>
        <v>7.7700000000000031</v>
      </c>
    </row>
    <row r="1418" spans="2:10" x14ac:dyDescent="0.25">
      <c r="B1418" s="5">
        <f t="shared" si="45"/>
        <v>43784</v>
      </c>
      <c r="C1418" s="6">
        <f>IFERROR(VLOOKUP($B1418,Platts!$E$5:$M$4994,MATCH(C$3,Platts!$F$5:$M$5,0)+1,FALSE),C1417)</f>
        <v>50.2</v>
      </c>
      <c r="D1418" s="6">
        <f>IFERROR(VLOOKUP($B1418,Platts!$E$5:$M$4994,MATCH(D$3,Platts!$F$5:$M$5,0)+1,FALSE),D1417)</f>
        <v>62.26</v>
      </c>
      <c r="E1418" s="6">
        <f>IFERROR(VLOOKUP($B1418,Platts!$E$5:$M$4994,MATCH(E$3,Platts!$F$5:$M$5,0)+1,FALSE),E1417)</f>
        <v>51.35</v>
      </c>
      <c r="F1418" s="6">
        <f>IFERROR(VLOOKUP($B1418,Platts!$E$5:$M$4994,MATCH(F$3,Platts!$F$5:$M$5,0)+1,FALSE),F1417)</f>
        <v>64.510000000000005</v>
      </c>
      <c r="G1418" s="6">
        <f>IFERROR(VLOOKUP($B1418,Platts!$E$5:$M$4994,MATCH(G$3,Platts!$F$5:$M$5,0)+1,FALSE),G1417)</f>
        <v>63.22</v>
      </c>
      <c r="H1418" s="6">
        <f>IFERROR(VLOOKUP($B1418,Platts!$E$5:$M$4994,MATCH(H$3,Platts!$F$5:$M$5,0)+1,FALSE),H1417)</f>
        <v>57.72</v>
      </c>
      <c r="I1418" s="6">
        <f>IFERROR(VLOOKUP($B1418,Platts!$E$5:$M$4994,MATCH(I$3,Platts!$F$5:$M$5,0)+1,FALSE),I1417)</f>
        <v>62.37</v>
      </c>
      <c r="J1418" s="6">
        <f t="shared" si="44"/>
        <v>7.519999999999996</v>
      </c>
    </row>
    <row r="1419" spans="2:10" x14ac:dyDescent="0.25">
      <c r="B1419" s="5">
        <f t="shared" si="45"/>
        <v>43785</v>
      </c>
      <c r="C1419" s="6">
        <f>IFERROR(VLOOKUP($B1419,Platts!$E$5:$M$4994,MATCH(C$3,Platts!$F$5:$M$5,0)+1,FALSE),C1418)</f>
        <v>50.2</v>
      </c>
      <c r="D1419" s="6">
        <f>IFERROR(VLOOKUP($B1419,Platts!$E$5:$M$4994,MATCH(D$3,Platts!$F$5:$M$5,0)+1,FALSE),D1418)</f>
        <v>62.26</v>
      </c>
      <c r="E1419" s="6">
        <f>IFERROR(VLOOKUP($B1419,Platts!$E$5:$M$4994,MATCH(E$3,Platts!$F$5:$M$5,0)+1,FALSE),E1418)</f>
        <v>51.35</v>
      </c>
      <c r="F1419" s="6">
        <f>IFERROR(VLOOKUP($B1419,Platts!$E$5:$M$4994,MATCH(F$3,Platts!$F$5:$M$5,0)+1,FALSE),F1418)</f>
        <v>64.510000000000005</v>
      </c>
      <c r="G1419" s="6">
        <f>IFERROR(VLOOKUP($B1419,Platts!$E$5:$M$4994,MATCH(G$3,Platts!$F$5:$M$5,0)+1,FALSE),G1418)</f>
        <v>63.22</v>
      </c>
      <c r="H1419" s="6">
        <f>IFERROR(VLOOKUP($B1419,Platts!$E$5:$M$4994,MATCH(H$3,Platts!$F$5:$M$5,0)+1,FALSE),H1418)</f>
        <v>57.72</v>
      </c>
      <c r="I1419" s="6">
        <f>IFERROR(VLOOKUP($B1419,Platts!$E$5:$M$4994,MATCH(I$3,Platts!$F$5:$M$5,0)+1,FALSE),I1418)</f>
        <v>62.37</v>
      </c>
      <c r="J1419" s="6">
        <f t="shared" si="44"/>
        <v>7.519999999999996</v>
      </c>
    </row>
    <row r="1420" spans="2:10" x14ac:dyDescent="0.25">
      <c r="B1420" s="5">
        <f t="shared" si="45"/>
        <v>43786</v>
      </c>
      <c r="C1420" s="6">
        <f>IFERROR(VLOOKUP($B1420,Platts!$E$5:$M$4994,MATCH(C$3,Platts!$F$5:$M$5,0)+1,FALSE),C1419)</f>
        <v>50.2</v>
      </c>
      <c r="D1420" s="6">
        <f>IFERROR(VLOOKUP($B1420,Platts!$E$5:$M$4994,MATCH(D$3,Platts!$F$5:$M$5,0)+1,FALSE),D1419)</f>
        <v>62.26</v>
      </c>
      <c r="E1420" s="6">
        <f>IFERROR(VLOOKUP($B1420,Platts!$E$5:$M$4994,MATCH(E$3,Platts!$F$5:$M$5,0)+1,FALSE),E1419)</f>
        <v>51.35</v>
      </c>
      <c r="F1420" s="6">
        <f>IFERROR(VLOOKUP($B1420,Platts!$E$5:$M$4994,MATCH(F$3,Platts!$F$5:$M$5,0)+1,FALSE),F1419)</f>
        <v>64.510000000000005</v>
      </c>
      <c r="G1420" s="6">
        <f>IFERROR(VLOOKUP($B1420,Platts!$E$5:$M$4994,MATCH(G$3,Platts!$F$5:$M$5,0)+1,FALSE),G1419)</f>
        <v>63.22</v>
      </c>
      <c r="H1420" s="6">
        <f>IFERROR(VLOOKUP($B1420,Platts!$E$5:$M$4994,MATCH(H$3,Platts!$F$5:$M$5,0)+1,FALSE),H1419)</f>
        <v>57.72</v>
      </c>
      <c r="I1420" s="6">
        <f>IFERROR(VLOOKUP($B1420,Platts!$E$5:$M$4994,MATCH(I$3,Platts!$F$5:$M$5,0)+1,FALSE),I1419)</f>
        <v>62.37</v>
      </c>
      <c r="J1420" s="6">
        <f t="shared" si="44"/>
        <v>7.519999999999996</v>
      </c>
    </row>
    <row r="1421" spans="2:10" x14ac:dyDescent="0.25">
      <c r="B1421" s="5">
        <f t="shared" si="45"/>
        <v>43787</v>
      </c>
      <c r="C1421" s="6">
        <f>IFERROR(VLOOKUP($B1421,Platts!$E$5:$M$4994,MATCH(C$3,Platts!$F$5:$M$5,0)+1,FALSE),C1420)</f>
        <v>49.67</v>
      </c>
      <c r="D1421" s="6">
        <f>IFERROR(VLOOKUP($B1421,Platts!$E$5:$M$4994,MATCH(D$3,Platts!$F$5:$M$5,0)+1,FALSE),D1420)</f>
        <v>61.92</v>
      </c>
      <c r="E1421" s="6">
        <f>IFERROR(VLOOKUP($B1421,Platts!$E$5:$M$4994,MATCH(E$3,Platts!$F$5:$M$5,0)+1,FALSE),E1420)</f>
        <v>50.47</v>
      </c>
      <c r="F1421" s="6">
        <f>IFERROR(VLOOKUP($B1421,Platts!$E$5:$M$4994,MATCH(F$3,Platts!$F$5:$M$5,0)+1,FALSE),F1420)</f>
        <v>63.97</v>
      </c>
      <c r="G1421" s="6">
        <f>IFERROR(VLOOKUP($B1421,Platts!$E$5:$M$4994,MATCH(G$3,Platts!$F$5:$M$5,0)+1,FALSE),G1420)</f>
        <v>62.11</v>
      </c>
      <c r="H1421" s="6">
        <f>IFERROR(VLOOKUP($B1421,Platts!$E$5:$M$4994,MATCH(H$3,Platts!$F$5:$M$5,0)+1,FALSE),H1420)</f>
        <v>57.05</v>
      </c>
      <c r="I1421" s="6">
        <f>IFERROR(VLOOKUP($B1421,Platts!$E$5:$M$4994,MATCH(I$3,Platts!$F$5:$M$5,0)+1,FALSE),I1420)</f>
        <v>62.1</v>
      </c>
      <c r="J1421" s="6">
        <f t="shared" si="44"/>
        <v>7.3799999999999955</v>
      </c>
    </row>
    <row r="1422" spans="2:10" x14ac:dyDescent="0.25">
      <c r="B1422" s="5">
        <f t="shared" si="45"/>
        <v>43788</v>
      </c>
      <c r="C1422" s="6">
        <f>IFERROR(VLOOKUP($B1422,Platts!$E$5:$M$4994,MATCH(C$3,Platts!$F$5:$M$5,0)+1,FALSE),C1421)</f>
        <v>48.34</v>
      </c>
      <c r="D1422" s="6">
        <f>IFERROR(VLOOKUP($B1422,Platts!$E$5:$M$4994,MATCH(D$3,Platts!$F$5:$M$5,0)+1,FALSE),D1421)</f>
        <v>60.39</v>
      </c>
      <c r="E1422" s="6">
        <f>IFERROR(VLOOKUP($B1422,Platts!$E$5:$M$4994,MATCH(E$3,Platts!$F$5:$M$5,0)+1,FALSE),E1421)</f>
        <v>48.81</v>
      </c>
      <c r="F1422" s="6">
        <f>IFERROR(VLOOKUP($B1422,Platts!$E$5:$M$4994,MATCH(F$3,Platts!$F$5:$M$5,0)+1,FALSE),F1421)</f>
        <v>62.48</v>
      </c>
      <c r="G1422" s="6">
        <f>IFERROR(VLOOKUP($B1422,Platts!$E$5:$M$4994,MATCH(G$3,Platts!$F$5:$M$5,0)+1,FALSE),G1421)</f>
        <v>61.53</v>
      </c>
      <c r="H1422" s="6">
        <f>IFERROR(VLOOKUP($B1422,Platts!$E$5:$M$4994,MATCH(H$3,Platts!$F$5:$M$5,0)+1,FALSE),H1421)</f>
        <v>55.21</v>
      </c>
      <c r="I1422" s="6">
        <f>IFERROR(VLOOKUP($B1422,Platts!$E$5:$M$4994,MATCH(I$3,Platts!$F$5:$M$5,0)+1,FALSE),I1421)</f>
        <v>61.76</v>
      </c>
      <c r="J1422" s="6">
        <f t="shared" si="44"/>
        <v>6.8699999999999974</v>
      </c>
    </row>
    <row r="1423" spans="2:10" x14ac:dyDescent="0.25">
      <c r="B1423" s="5">
        <f t="shared" si="45"/>
        <v>43789</v>
      </c>
      <c r="C1423" s="6">
        <f>IFERROR(VLOOKUP($B1423,Platts!$E$5:$M$4994,MATCH(C$3,Platts!$F$5:$M$5,0)+1,FALSE),C1422)</f>
        <v>49.58</v>
      </c>
      <c r="D1423" s="6">
        <f>IFERROR(VLOOKUP($B1423,Platts!$E$5:$M$4994,MATCH(D$3,Platts!$F$5:$M$5,0)+1,FALSE),D1422)</f>
        <v>61.92</v>
      </c>
      <c r="E1423" s="6">
        <f>IFERROR(VLOOKUP($B1423,Platts!$E$5:$M$4994,MATCH(E$3,Platts!$F$5:$M$5,0)+1,FALSE),E1422)</f>
        <v>50.93</v>
      </c>
      <c r="F1423" s="6">
        <f>IFERROR(VLOOKUP($B1423,Platts!$E$5:$M$4994,MATCH(F$3,Platts!$F$5:$M$5,0)+1,FALSE),F1422)</f>
        <v>64</v>
      </c>
      <c r="G1423" s="6">
        <f>IFERROR(VLOOKUP($B1423,Platts!$E$5:$M$4994,MATCH(G$3,Platts!$F$5:$M$5,0)+1,FALSE),G1422)</f>
        <v>62.6</v>
      </c>
      <c r="H1423" s="6">
        <f>IFERROR(VLOOKUP($B1423,Platts!$E$5:$M$4994,MATCH(H$3,Platts!$F$5:$M$5,0)+1,FALSE),H1422)</f>
        <v>57.11</v>
      </c>
      <c r="I1423" s="6">
        <f>IFERROR(VLOOKUP($B1423,Platts!$E$5:$M$4994,MATCH(I$3,Platts!$F$5:$M$5,0)+1,FALSE),I1422)</f>
        <v>62.61</v>
      </c>
      <c r="J1423" s="6">
        <f t="shared" si="44"/>
        <v>7.5300000000000011</v>
      </c>
    </row>
    <row r="1424" spans="2:10" x14ac:dyDescent="0.25">
      <c r="B1424" s="5">
        <f t="shared" si="45"/>
        <v>43790</v>
      </c>
      <c r="C1424" s="6">
        <f>IFERROR(VLOOKUP($B1424,Platts!$E$5:$M$4994,MATCH(C$3,Platts!$F$5:$M$5,0)+1,FALSE),C1423)</f>
        <v>51.25</v>
      </c>
      <c r="D1424" s="6">
        <f>IFERROR(VLOOKUP($B1424,Platts!$E$5:$M$4994,MATCH(D$3,Platts!$F$5:$M$5,0)+1,FALSE),D1423)</f>
        <v>62.86</v>
      </c>
      <c r="E1424" s="6">
        <f>IFERROR(VLOOKUP($B1424,Platts!$E$5:$M$4994,MATCH(E$3,Platts!$F$5:$M$5,0)+1,FALSE),E1423)</f>
        <v>52.97</v>
      </c>
      <c r="F1424" s="6">
        <f>IFERROR(VLOOKUP($B1424,Platts!$E$5:$M$4994,MATCH(F$3,Platts!$F$5:$M$5,0)+1,FALSE),F1423)</f>
        <v>64.92</v>
      </c>
      <c r="G1424" s="6">
        <f>IFERROR(VLOOKUP($B1424,Platts!$E$5:$M$4994,MATCH(G$3,Platts!$F$5:$M$5,0)+1,FALSE),G1423)</f>
        <v>63.43</v>
      </c>
      <c r="H1424" s="6">
        <f>IFERROR(VLOOKUP($B1424,Platts!$E$5:$M$4994,MATCH(H$3,Platts!$F$5:$M$5,0)+1,FALSE),H1423)</f>
        <v>58.63</v>
      </c>
      <c r="I1424" s="6">
        <f>IFERROR(VLOOKUP($B1424,Platts!$E$5:$M$4994,MATCH(I$3,Platts!$F$5:$M$5,0)+1,FALSE),I1423)</f>
        <v>64.08</v>
      </c>
      <c r="J1424" s="6">
        <f t="shared" si="44"/>
        <v>7.3800000000000026</v>
      </c>
    </row>
    <row r="1425" spans="2:10" x14ac:dyDescent="0.25">
      <c r="B1425" s="5">
        <f t="shared" si="45"/>
        <v>43791</v>
      </c>
      <c r="C1425" s="6">
        <f>IFERROR(VLOOKUP($B1425,Platts!$E$5:$M$4994,MATCH(C$3,Platts!$F$5:$M$5,0)+1,FALSE),C1424)</f>
        <v>50.95</v>
      </c>
      <c r="D1425" s="6">
        <f>IFERROR(VLOOKUP($B1425,Platts!$E$5:$M$4994,MATCH(D$3,Platts!$F$5:$M$5,0)+1,FALSE),D1424)</f>
        <v>62.32</v>
      </c>
      <c r="E1425" s="6">
        <f>IFERROR(VLOOKUP($B1425,Platts!$E$5:$M$4994,MATCH(E$3,Platts!$F$5:$M$5,0)+1,FALSE),E1424)</f>
        <v>52.39</v>
      </c>
      <c r="F1425" s="6">
        <f>IFERROR(VLOOKUP($B1425,Platts!$E$5:$M$4994,MATCH(F$3,Platts!$F$5:$M$5,0)+1,FALSE),F1424)</f>
        <v>64.41</v>
      </c>
      <c r="G1425" s="6">
        <f>IFERROR(VLOOKUP($B1425,Platts!$E$5:$M$4994,MATCH(G$3,Platts!$F$5:$M$5,0)+1,FALSE),G1424)</f>
        <v>63.38</v>
      </c>
      <c r="H1425" s="6">
        <f>IFERROR(VLOOKUP($B1425,Platts!$E$5:$M$4994,MATCH(H$3,Platts!$F$5:$M$5,0)+1,FALSE),H1424)</f>
        <v>57.69</v>
      </c>
      <c r="I1425" s="6">
        <f>IFERROR(VLOOKUP($B1425,Platts!$E$5:$M$4994,MATCH(I$3,Platts!$F$5:$M$5,0)+1,FALSE),I1424)</f>
        <v>62.99</v>
      </c>
      <c r="J1425" s="6">
        <f t="shared" si="44"/>
        <v>6.7399999999999949</v>
      </c>
    </row>
    <row r="1426" spans="2:10" x14ac:dyDescent="0.25">
      <c r="B1426" s="5">
        <f t="shared" si="45"/>
        <v>43792</v>
      </c>
      <c r="C1426" s="6">
        <f>IFERROR(VLOOKUP($B1426,Platts!$E$5:$M$4994,MATCH(C$3,Platts!$F$5:$M$5,0)+1,FALSE),C1425)</f>
        <v>50.95</v>
      </c>
      <c r="D1426" s="6">
        <f>IFERROR(VLOOKUP($B1426,Platts!$E$5:$M$4994,MATCH(D$3,Platts!$F$5:$M$5,0)+1,FALSE),D1425)</f>
        <v>62.32</v>
      </c>
      <c r="E1426" s="6">
        <f>IFERROR(VLOOKUP($B1426,Platts!$E$5:$M$4994,MATCH(E$3,Platts!$F$5:$M$5,0)+1,FALSE),E1425)</f>
        <v>52.39</v>
      </c>
      <c r="F1426" s="6">
        <f>IFERROR(VLOOKUP($B1426,Platts!$E$5:$M$4994,MATCH(F$3,Platts!$F$5:$M$5,0)+1,FALSE),F1425)</f>
        <v>64.41</v>
      </c>
      <c r="G1426" s="6">
        <f>IFERROR(VLOOKUP($B1426,Platts!$E$5:$M$4994,MATCH(G$3,Platts!$F$5:$M$5,0)+1,FALSE),G1425)</f>
        <v>63.38</v>
      </c>
      <c r="H1426" s="6">
        <f>IFERROR(VLOOKUP($B1426,Platts!$E$5:$M$4994,MATCH(H$3,Platts!$F$5:$M$5,0)+1,FALSE),H1425)</f>
        <v>57.69</v>
      </c>
      <c r="I1426" s="6">
        <f>IFERROR(VLOOKUP($B1426,Platts!$E$5:$M$4994,MATCH(I$3,Platts!$F$5:$M$5,0)+1,FALSE),I1425)</f>
        <v>62.99</v>
      </c>
      <c r="J1426" s="6">
        <f t="shared" si="44"/>
        <v>6.7399999999999949</v>
      </c>
    </row>
    <row r="1427" spans="2:10" x14ac:dyDescent="0.25">
      <c r="B1427" s="5">
        <f t="shared" si="45"/>
        <v>43793</v>
      </c>
      <c r="C1427" s="6">
        <f>IFERROR(VLOOKUP($B1427,Platts!$E$5:$M$4994,MATCH(C$3,Platts!$F$5:$M$5,0)+1,FALSE),C1426)</f>
        <v>50.95</v>
      </c>
      <c r="D1427" s="6">
        <f>IFERROR(VLOOKUP($B1427,Platts!$E$5:$M$4994,MATCH(D$3,Platts!$F$5:$M$5,0)+1,FALSE),D1426)</f>
        <v>62.32</v>
      </c>
      <c r="E1427" s="6">
        <f>IFERROR(VLOOKUP($B1427,Platts!$E$5:$M$4994,MATCH(E$3,Platts!$F$5:$M$5,0)+1,FALSE),E1426)</f>
        <v>52.39</v>
      </c>
      <c r="F1427" s="6">
        <f>IFERROR(VLOOKUP($B1427,Platts!$E$5:$M$4994,MATCH(F$3,Platts!$F$5:$M$5,0)+1,FALSE),F1426)</f>
        <v>64.41</v>
      </c>
      <c r="G1427" s="6">
        <f>IFERROR(VLOOKUP($B1427,Platts!$E$5:$M$4994,MATCH(G$3,Platts!$F$5:$M$5,0)+1,FALSE),G1426)</f>
        <v>63.38</v>
      </c>
      <c r="H1427" s="6">
        <f>IFERROR(VLOOKUP($B1427,Platts!$E$5:$M$4994,MATCH(H$3,Platts!$F$5:$M$5,0)+1,FALSE),H1426)</f>
        <v>57.69</v>
      </c>
      <c r="I1427" s="6">
        <f>IFERROR(VLOOKUP($B1427,Platts!$E$5:$M$4994,MATCH(I$3,Platts!$F$5:$M$5,0)+1,FALSE),I1426)</f>
        <v>62.99</v>
      </c>
      <c r="J1427" s="6">
        <f t="shared" si="44"/>
        <v>6.7399999999999949</v>
      </c>
    </row>
    <row r="1428" spans="2:10" x14ac:dyDescent="0.25">
      <c r="B1428" s="5">
        <f t="shared" si="45"/>
        <v>43794</v>
      </c>
      <c r="C1428" s="6">
        <f>IFERROR(VLOOKUP($B1428,Platts!$E$5:$M$4994,MATCH(C$3,Platts!$F$5:$M$5,0)+1,FALSE),C1427)</f>
        <v>51.27</v>
      </c>
      <c r="D1428" s="6">
        <f>IFERROR(VLOOKUP($B1428,Platts!$E$5:$M$4994,MATCH(D$3,Platts!$F$5:$M$5,0)+1,FALSE),D1427)</f>
        <v>62.62</v>
      </c>
      <c r="E1428" s="6">
        <f>IFERROR(VLOOKUP($B1428,Platts!$E$5:$M$4994,MATCH(E$3,Platts!$F$5:$M$5,0)+1,FALSE),E1427)</f>
        <v>53.11</v>
      </c>
      <c r="F1428" s="6">
        <f>IFERROR(VLOOKUP($B1428,Platts!$E$5:$M$4994,MATCH(F$3,Platts!$F$5:$M$5,0)+1,FALSE),F1427)</f>
        <v>64.709999999999994</v>
      </c>
      <c r="G1428" s="6">
        <f>IFERROR(VLOOKUP($B1428,Platts!$E$5:$M$4994,MATCH(G$3,Platts!$F$5:$M$5,0)+1,FALSE),G1427)</f>
        <v>63.5</v>
      </c>
      <c r="H1428" s="6">
        <f>IFERROR(VLOOKUP($B1428,Platts!$E$5:$M$4994,MATCH(H$3,Platts!$F$5:$M$5,0)+1,FALSE),H1427)</f>
        <v>57.94</v>
      </c>
      <c r="I1428" s="6">
        <f>IFERROR(VLOOKUP($B1428,Platts!$E$5:$M$4994,MATCH(I$3,Platts!$F$5:$M$5,0)+1,FALSE),I1427)</f>
        <v>63.34</v>
      </c>
      <c r="J1428" s="6">
        <f t="shared" si="44"/>
        <v>6.6699999999999946</v>
      </c>
    </row>
    <row r="1429" spans="2:10" x14ac:dyDescent="0.25">
      <c r="B1429" s="5">
        <f t="shared" si="45"/>
        <v>43795</v>
      </c>
      <c r="C1429" s="6">
        <f>IFERROR(VLOOKUP($B1429,Platts!$E$5:$M$4994,MATCH(C$3,Platts!$F$5:$M$5,0)+1,FALSE),C1428)</f>
        <v>51.68</v>
      </c>
      <c r="D1429" s="6">
        <f>IFERROR(VLOOKUP($B1429,Platts!$E$5:$M$4994,MATCH(D$3,Platts!$F$5:$M$5,0)+1,FALSE),D1428)</f>
        <v>62.44</v>
      </c>
      <c r="E1429" s="6">
        <f>IFERROR(VLOOKUP($B1429,Platts!$E$5:$M$4994,MATCH(E$3,Platts!$F$5:$M$5,0)+1,FALSE),E1428)</f>
        <v>53.7</v>
      </c>
      <c r="F1429" s="6">
        <f>IFERROR(VLOOKUP($B1429,Platts!$E$5:$M$4994,MATCH(F$3,Platts!$F$5:$M$5,0)+1,FALSE),F1428)</f>
        <v>64.650000000000006</v>
      </c>
      <c r="G1429" s="6">
        <f>IFERROR(VLOOKUP($B1429,Platts!$E$5:$M$4994,MATCH(G$3,Platts!$F$5:$M$5,0)+1,FALSE),G1428)</f>
        <v>63.93</v>
      </c>
      <c r="H1429" s="6">
        <f>IFERROR(VLOOKUP($B1429,Platts!$E$5:$M$4994,MATCH(H$3,Platts!$F$5:$M$5,0)+1,FALSE),H1428)</f>
        <v>58.41</v>
      </c>
      <c r="I1429" s="6">
        <f>IFERROR(VLOOKUP($B1429,Platts!$E$5:$M$4994,MATCH(I$3,Platts!$F$5:$M$5,0)+1,FALSE),I1428)</f>
        <v>62.51</v>
      </c>
      <c r="J1429" s="6">
        <f t="shared" si="44"/>
        <v>6.7299999999999969</v>
      </c>
    </row>
    <row r="1430" spans="2:10" x14ac:dyDescent="0.25">
      <c r="B1430" s="5">
        <f t="shared" si="45"/>
        <v>43796</v>
      </c>
      <c r="C1430" s="6">
        <f>IFERROR(VLOOKUP($B1430,Platts!$E$5:$M$4994,MATCH(C$3,Platts!$F$5:$M$5,0)+1,FALSE),C1429)</f>
        <v>51.24</v>
      </c>
      <c r="D1430" s="6">
        <f>IFERROR(VLOOKUP($B1430,Platts!$E$5:$M$4994,MATCH(D$3,Platts!$F$5:$M$5,0)+1,FALSE),D1429)</f>
        <v>62.11</v>
      </c>
      <c r="E1430" s="6">
        <f>IFERROR(VLOOKUP($B1430,Platts!$E$5:$M$4994,MATCH(E$3,Platts!$F$5:$M$5,0)+1,FALSE),E1429)</f>
        <v>53.24</v>
      </c>
      <c r="F1430" s="6">
        <f>IFERROR(VLOOKUP($B1430,Platts!$E$5:$M$4994,MATCH(F$3,Platts!$F$5:$M$5,0)+1,FALSE),F1429)</f>
        <v>64.34</v>
      </c>
      <c r="G1430" s="6">
        <f>IFERROR(VLOOKUP($B1430,Platts!$E$5:$M$4994,MATCH(G$3,Platts!$F$5:$M$5,0)+1,FALSE),G1429)</f>
        <v>63.86</v>
      </c>
      <c r="H1430" s="6">
        <f>IFERROR(VLOOKUP($B1430,Platts!$E$5:$M$4994,MATCH(H$3,Platts!$F$5:$M$5,0)+1,FALSE),H1429)</f>
        <v>58.11</v>
      </c>
      <c r="I1430" s="6">
        <f>IFERROR(VLOOKUP($B1430,Platts!$E$5:$M$4994,MATCH(I$3,Platts!$F$5:$M$5,0)+1,FALSE),I1429)</f>
        <v>62.26</v>
      </c>
      <c r="J1430" s="6">
        <f t="shared" si="44"/>
        <v>6.8699999999999974</v>
      </c>
    </row>
    <row r="1431" spans="2:10" x14ac:dyDescent="0.25">
      <c r="B1431" s="5">
        <f t="shared" si="45"/>
        <v>43797</v>
      </c>
      <c r="C1431" s="6">
        <f>IFERROR(VLOOKUP($B1431,Platts!$E$5:$M$4994,MATCH(C$3,Platts!$F$5:$M$5,0)+1,FALSE),C1430)</f>
        <v>51.24</v>
      </c>
      <c r="D1431" s="6">
        <f>IFERROR(VLOOKUP($B1431,Platts!$E$5:$M$4994,MATCH(D$3,Platts!$F$5:$M$5,0)+1,FALSE),D1430)</f>
        <v>62.11</v>
      </c>
      <c r="E1431" s="6">
        <f>IFERROR(VLOOKUP($B1431,Platts!$E$5:$M$4994,MATCH(E$3,Platts!$F$5:$M$5,0)+1,FALSE),E1430)</f>
        <v>53.24</v>
      </c>
      <c r="F1431" s="6">
        <f>IFERROR(VLOOKUP($B1431,Platts!$E$5:$M$4994,MATCH(F$3,Platts!$F$5:$M$5,0)+1,FALSE),F1430)</f>
        <v>64.34</v>
      </c>
      <c r="G1431" s="6">
        <f>IFERROR(VLOOKUP($B1431,Platts!$E$5:$M$4994,MATCH(G$3,Platts!$F$5:$M$5,0)+1,FALSE),G1430)</f>
        <v>63.4</v>
      </c>
      <c r="H1431" s="6">
        <f>IFERROR(VLOOKUP($B1431,Platts!$E$5:$M$4994,MATCH(H$3,Platts!$F$5:$M$5,0)+1,FALSE),H1430)</f>
        <v>58.11</v>
      </c>
      <c r="I1431" s="6">
        <f>IFERROR(VLOOKUP($B1431,Platts!$E$5:$M$4994,MATCH(I$3,Platts!$F$5:$M$5,0)+1,FALSE),I1430)</f>
        <v>62.26</v>
      </c>
      <c r="J1431" s="6">
        <f t="shared" si="44"/>
        <v>6.8699999999999974</v>
      </c>
    </row>
    <row r="1432" spans="2:10" x14ac:dyDescent="0.25">
      <c r="B1432" s="5">
        <f t="shared" si="45"/>
        <v>43798</v>
      </c>
      <c r="C1432" s="6">
        <f>IFERROR(VLOOKUP($B1432,Platts!$E$5:$M$4994,MATCH(C$3,Platts!$F$5:$M$5,0)+1,FALSE),C1431)</f>
        <v>51.24</v>
      </c>
      <c r="D1432" s="6">
        <f>IFERROR(VLOOKUP($B1432,Platts!$E$5:$M$4994,MATCH(D$3,Platts!$F$5:$M$5,0)+1,FALSE),D1431)</f>
        <v>59.37</v>
      </c>
      <c r="E1432" s="6">
        <f>IFERROR(VLOOKUP($B1432,Platts!$E$5:$M$4994,MATCH(E$3,Platts!$F$5:$M$5,0)+1,FALSE),E1431)</f>
        <v>51.25</v>
      </c>
      <c r="F1432" s="6">
        <f>IFERROR(VLOOKUP($B1432,Platts!$E$5:$M$4994,MATCH(F$3,Platts!$F$5:$M$5,0)+1,FALSE),F1431)</f>
        <v>61.68</v>
      </c>
      <c r="G1432" s="6">
        <f>IFERROR(VLOOKUP($B1432,Platts!$E$5:$M$4994,MATCH(G$3,Platts!$F$5:$M$5,0)+1,FALSE),G1431)</f>
        <v>61.44</v>
      </c>
      <c r="H1432" s="6">
        <f>IFERROR(VLOOKUP($B1432,Platts!$E$5:$M$4994,MATCH(H$3,Platts!$F$5:$M$5,0)+1,FALSE),H1431)</f>
        <v>58.11</v>
      </c>
      <c r="I1432" s="6">
        <f>IFERROR(VLOOKUP($B1432,Platts!$E$5:$M$4994,MATCH(I$3,Platts!$F$5:$M$5,0)+1,FALSE),I1431)</f>
        <v>62.26</v>
      </c>
      <c r="J1432" s="6">
        <f t="shared" si="44"/>
        <v>6.8699999999999974</v>
      </c>
    </row>
    <row r="1433" spans="2:10" x14ac:dyDescent="0.25">
      <c r="B1433" s="5">
        <f t="shared" si="45"/>
        <v>43799</v>
      </c>
      <c r="C1433" s="6">
        <f>IFERROR(VLOOKUP($B1433,Platts!$E$5:$M$4994,MATCH(C$3,Platts!$F$5:$M$5,0)+1,FALSE),C1432)</f>
        <v>51.24</v>
      </c>
      <c r="D1433" s="6">
        <f>IFERROR(VLOOKUP($B1433,Platts!$E$5:$M$4994,MATCH(D$3,Platts!$F$5:$M$5,0)+1,FALSE),D1432)</f>
        <v>59.37</v>
      </c>
      <c r="E1433" s="6">
        <f>IFERROR(VLOOKUP($B1433,Platts!$E$5:$M$4994,MATCH(E$3,Platts!$F$5:$M$5,0)+1,FALSE),E1432)</f>
        <v>51.25</v>
      </c>
      <c r="F1433" s="6">
        <f>IFERROR(VLOOKUP($B1433,Platts!$E$5:$M$4994,MATCH(F$3,Platts!$F$5:$M$5,0)+1,FALSE),F1432)</f>
        <v>61.68</v>
      </c>
      <c r="G1433" s="6">
        <f>IFERROR(VLOOKUP($B1433,Platts!$E$5:$M$4994,MATCH(G$3,Platts!$F$5:$M$5,0)+1,FALSE),G1432)</f>
        <v>61.44</v>
      </c>
      <c r="H1433" s="6">
        <f>IFERROR(VLOOKUP($B1433,Platts!$E$5:$M$4994,MATCH(H$3,Platts!$F$5:$M$5,0)+1,FALSE),H1432)</f>
        <v>58.11</v>
      </c>
      <c r="I1433" s="6">
        <f>IFERROR(VLOOKUP($B1433,Platts!$E$5:$M$4994,MATCH(I$3,Platts!$F$5:$M$5,0)+1,FALSE),I1432)</f>
        <v>62.26</v>
      </c>
      <c r="J1433" s="6">
        <f t="shared" si="44"/>
        <v>6.8699999999999974</v>
      </c>
    </row>
    <row r="1434" spans="2:10" x14ac:dyDescent="0.25">
      <c r="B1434" s="5">
        <f t="shared" si="45"/>
        <v>43800</v>
      </c>
      <c r="C1434" s="6">
        <f>IFERROR(VLOOKUP($B1434,Platts!$E$5:$M$4994,MATCH(C$3,Platts!$F$5:$M$5,0)+1,FALSE),C1433)</f>
        <v>51.24</v>
      </c>
      <c r="D1434" s="6">
        <f>IFERROR(VLOOKUP($B1434,Platts!$E$5:$M$4994,MATCH(D$3,Platts!$F$5:$M$5,0)+1,FALSE),D1433)</f>
        <v>59.37</v>
      </c>
      <c r="E1434" s="6">
        <f>IFERROR(VLOOKUP($B1434,Platts!$E$5:$M$4994,MATCH(E$3,Platts!$F$5:$M$5,0)+1,FALSE),E1433)</f>
        <v>51.25</v>
      </c>
      <c r="F1434" s="6">
        <f>IFERROR(VLOOKUP($B1434,Platts!$E$5:$M$4994,MATCH(F$3,Platts!$F$5:$M$5,0)+1,FALSE),F1433)</f>
        <v>61.68</v>
      </c>
      <c r="G1434" s="6">
        <f>IFERROR(VLOOKUP($B1434,Platts!$E$5:$M$4994,MATCH(G$3,Platts!$F$5:$M$5,0)+1,FALSE),G1433)</f>
        <v>61.44</v>
      </c>
      <c r="H1434" s="6">
        <f>IFERROR(VLOOKUP($B1434,Platts!$E$5:$M$4994,MATCH(H$3,Platts!$F$5:$M$5,0)+1,FALSE),H1433)</f>
        <v>58.11</v>
      </c>
      <c r="I1434" s="6">
        <f>IFERROR(VLOOKUP($B1434,Platts!$E$5:$M$4994,MATCH(I$3,Platts!$F$5:$M$5,0)+1,FALSE),I1433)</f>
        <v>62.26</v>
      </c>
      <c r="J1434" s="6">
        <f t="shared" si="44"/>
        <v>6.8699999999999974</v>
      </c>
    </row>
    <row r="1435" spans="2:10" x14ac:dyDescent="0.25">
      <c r="B1435" s="5">
        <f t="shared" si="45"/>
        <v>43801</v>
      </c>
      <c r="C1435" s="6">
        <f>IFERROR(VLOOKUP($B1435,Platts!$E$5:$M$4994,MATCH(C$3,Platts!$F$5:$M$5,0)+1,FALSE),C1434)</f>
        <v>50.98</v>
      </c>
      <c r="D1435" s="6">
        <f>IFERROR(VLOOKUP($B1435,Platts!$E$5:$M$4994,MATCH(D$3,Platts!$F$5:$M$5,0)+1,FALSE),D1434)</f>
        <v>57.44</v>
      </c>
      <c r="E1435" s="6">
        <f>IFERROR(VLOOKUP($B1435,Platts!$E$5:$M$4994,MATCH(E$3,Platts!$F$5:$M$5,0)+1,FALSE),E1434)</f>
        <v>51.89</v>
      </c>
      <c r="F1435" s="6">
        <f>IFERROR(VLOOKUP($B1435,Platts!$E$5:$M$4994,MATCH(F$3,Platts!$F$5:$M$5,0)+1,FALSE),F1434)</f>
        <v>58.34</v>
      </c>
      <c r="G1435" s="6">
        <f>IFERROR(VLOOKUP($B1435,Platts!$E$5:$M$4994,MATCH(G$3,Platts!$F$5:$M$5,0)+1,FALSE),G1434)</f>
        <v>61.72</v>
      </c>
      <c r="H1435" s="6">
        <f>IFERROR(VLOOKUP($B1435,Platts!$E$5:$M$4994,MATCH(H$3,Platts!$F$5:$M$5,0)+1,FALSE),H1434)</f>
        <v>55.96</v>
      </c>
      <c r="I1435" s="6">
        <f>IFERROR(VLOOKUP($B1435,Platts!$E$5:$M$4994,MATCH(I$3,Platts!$F$5:$M$5,0)+1,FALSE),I1434)</f>
        <v>60.31</v>
      </c>
      <c r="J1435" s="6">
        <f t="shared" si="44"/>
        <v>4.980000000000004</v>
      </c>
    </row>
    <row r="1436" spans="2:10" x14ac:dyDescent="0.25">
      <c r="B1436" s="5">
        <f t="shared" si="45"/>
        <v>43802</v>
      </c>
      <c r="C1436" s="6">
        <f>IFERROR(VLOOKUP($B1436,Platts!$E$5:$M$4994,MATCH(C$3,Platts!$F$5:$M$5,0)+1,FALSE),C1435)</f>
        <v>50.95</v>
      </c>
      <c r="D1436" s="6">
        <f>IFERROR(VLOOKUP($B1436,Platts!$E$5:$M$4994,MATCH(D$3,Platts!$F$5:$M$5,0)+1,FALSE),D1435)</f>
        <v>57.5</v>
      </c>
      <c r="E1436" s="6">
        <f>IFERROR(VLOOKUP($B1436,Platts!$E$5:$M$4994,MATCH(E$3,Platts!$F$5:$M$5,0)+1,FALSE),E1435)</f>
        <v>51.95</v>
      </c>
      <c r="F1436" s="6">
        <f>IFERROR(VLOOKUP($B1436,Platts!$E$5:$M$4994,MATCH(F$3,Platts!$F$5:$M$5,0)+1,FALSE),F1435)</f>
        <v>58.4</v>
      </c>
      <c r="G1436" s="6">
        <f>IFERROR(VLOOKUP($B1436,Platts!$E$5:$M$4994,MATCH(G$3,Platts!$F$5:$M$5,0)+1,FALSE),G1435)</f>
        <v>61.22</v>
      </c>
      <c r="H1436" s="6">
        <f>IFERROR(VLOOKUP($B1436,Platts!$E$5:$M$4994,MATCH(H$3,Platts!$F$5:$M$5,0)+1,FALSE),H1435)</f>
        <v>56.1</v>
      </c>
      <c r="I1436" s="6">
        <f>IFERROR(VLOOKUP($B1436,Platts!$E$5:$M$4994,MATCH(I$3,Platts!$F$5:$M$5,0)+1,FALSE),I1435)</f>
        <v>59.95</v>
      </c>
      <c r="J1436" s="6">
        <f t="shared" si="44"/>
        <v>5.1499999999999986</v>
      </c>
    </row>
    <row r="1437" spans="2:10" x14ac:dyDescent="0.25">
      <c r="B1437" s="5">
        <f t="shared" si="45"/>
        <v>43803</v>
      </c>
      <c r="C1437" s="6">
        <f>IFERROR(VLOOKUP($B1437,Platts!$E$5:$M$4994,MATCH(C$3,Platts!$F$5:$M$5,0)+1,FALSE),C1436)</f>
        <v>52.78</v>
      </c>
      <c r="D1437" s="6">
        <f>IFERROR(VLOOKUP($B1437,Platts!$E$5:$M$4994,MATCH(D$3,Platts!$F$5:$M$5,0)+1,FALSE),D1436)</f>
        <v>59.6</v>
      </c>
      <c r="E1437" s="6">
        <f>IFERROR(VLOOKUP($B1437,Platts!$E$5:$M$4994,MATCH(E$3,Platts!$F$5:$M$5,0)+1,FALSE),E1436)</f>
        <v>54.05</v>
      </c>
      <c r="F1437" s="6">
        <f>IFERROR(VLOOKUP($B1437,Platts!$E$5:$M$4994,MATCH(F$3,Platts!$F$5:$M$5,0)+1,FALSE),F1436)</f>
        <v>60.5</v>
      </c>
      <c r="G1437" s="6">
        <f>IFERROR(VLOOKUP($B1437,Platts!$E$5:$M$4994,MATCH(G$3,Platts!$F$5:$M$5,0)+1,FALSE),G1436)</f>
        <v>62.92</v>
      </c>
      <c r="H1437" s="6">
        <f>IFERROR(VLOOKUP($B1437,Platts!$E$5:$M$4994,MATCH(H$3,Platts!$F$5:$M$5,0)+1,FALSE),H1436)</f>
        <v>58.43</v>
      </c>
      <c r="I1437" s="6">
        <f>IFERROR(VLOOKUP($B1437,Platts!$E$5:$M$4994,MATCH(I$3,Platts!$F$5:$M$5,0)+1,FALSE),I1436)</f>
        <v>62.08</v>
      </c>
      <c r="J1437" s="6">
        <f t="shared" si="44"/>
        <v>5.6499999999999986</v>
      </c>
    </row>
    <row r="1438" spans="2:10" x14ac:dyDescent="0.25">
      <c r="B1438" s="5">
        <f t="shared" si="45"/>
        <v>43804</v>
      </c>
      <c r="C1438" s="6">
        <f>IFERROR(VLOOKUP($B1438,Platts!$E$5:$M$4994,MATCH(C$3,Platts!$F$5:$M$5,0)+1,FALSE),C1437)</f>
        <v>53.3</v>
      </c>
      <c r="D1438" s="6">
        <f>IFERROR(VLOOKUP($B1438,Platts!$E$5:$M$4994,MATCH(D$3,Platts!$F$5:$M$5,0)+1,FALSE),D1437)</f>
        <v>59.82</v>
      </c>
      <c r="E1438" s="6">
        <f>IFERROR(VLOOKUP($B1438,Platts!$E$5:$M$4994,MATCH(E$3,Platts!$F$5:$M$5,0)+1,FALSE),E1437)</f>
        <v>54.27</v>
      </c>
      <c r="F1438" s="6">
        <f>IFERROR(VLOOKUP($B1438,Platts!$E$5:$M$4994,MATCH(F$3,Platts!$F$5:$M$5,0)+1,FALSE),F1437)</f>
        <v>60.72</v>
      </c>
      <c r="G1438" s="6">
        <f>IFERROR(VLOOKUP($B1438,Platts!$E$5:$M$4994,MATCH(G$3,Platts!$F$5:$M$5,0)+1,FALSE),G1437)</f>
        <v>63.74</v>
      </c>
      <c r="H1438" s="6">
        <f>IFERROR(VLOOKUP($B1438,Platts!$E$5:$M$4994,MATCH(H$3,Platts!$F$5:$M$5,0)+1,FALSE),H1437)</f>
        <v>58.43</v>
      </c>
      <c r="I1438" s="6">
        <f>IFERROR(VLOOKUP($B1438,Platts!$E$5:$M$4994,MATCH(I$3,Platts!$F$5:$M$5,0)+1,FALSE),I1437)</f>
        <v>62.13</v>
      </c>
      <c r="J1438" s="6">
        <f t="shared" si="44"/>
        <v>5.1300000000000026</v>
      </c>
    </row>
    <row r="1439" spans="2:10" x14ac:dyDescent="0.25">
      <c r="B1439" s="5">
        <f t="shared" si="45"/>
        <v>43805</v>
      </c>
      <c r="C1439" s="6">
        <f>IFERROR(VLOOKUP($B1439,Platts!$E$5:$M$4994,MATCH(C$3,Platts!$F$5:$M$5,0)+1,FALSE),C1438)</f>
        <v>54.15</v>
      </c>
      <c r="D1439" s="6">
        <f>IFERROR(VLOOKUP($B1439,Platts!$E$5:$M$4994,MATCH(D$3,Platts!$F$5:$M$5,0)+1,FALSE),D1438)</f>
        <v>60.75</v>
      </c>
      <c r="E1439" s="6">
        <f>IFERROR(VLOOKUP($B1439,Platts!$E$5:$M$4994,MATCH(E$3,Platts!$F$5:$M$5,0)+1,FALSE),E1438)</f>
        <v>55.2</v>
      </c>
      <c r="F1439" s="6">
        <f>IFERROR(VLOOKUP($B1439,Platts!$E$5:$M$4994,MATCH(F$3,Platts!$F$5:$M$5,0)+1,FALSE),F1438)</f>
        <v>61.65</v>
      </c>
      <c r="G1439" s="6">
        <f>IFERROR(VLOOKUP($B1439,Platts!$E$5:$M$4994,MATCH(G$3,Platts!$F$5:$M$5,0)+1,FALSE),G1438)</f>
        <v>64.33</v>
      </c>
      <c r="H1439" s="6">
        <f>IFERROR(VLOOKUP($B1439,Platts!$E$5:$M$4994,MATCH(H$3,Platts!$F$5:$M$5,0)+1,FALSE),H1438)</f>
        <v>59.2</v>
      </c>
      <c r="I1439" s="6">
        <f>IFERROR(VLOOKUP($B1439,Platts!$E$5:$M$4994,MATCH(I$3,Platts!$F$5:$M$5,0)+1,FALSE),I1438)</f>
        <v>63.05</v>
      </c>
      <c r="J1439" s="6">
        <f t="shared" si="44"/>
        <v>5.0500000000000043</v>
      </c>
    </row>
    <row r="1440" spans="2:10" x14ac:dyDescent="0.25">
      <c r="B1440" s="5">
        <f t="shared" si="45"/>
        <v>43806</v>
      </c>
      <c r="C1440" s="6">
        <f>IFERROR(VLOOKUP($B1440,Platts!$E$5:$M$4994,MATCH(C$3,Platts!$F$5:$M$5,0)+1,FALSE),C1439)</f>
        <v>54.15</v>
      </c>
      <c r="D1440" s="6">
        <f>IFERROR(VLOOKUP($B1440,Platts!$E$5:$M$4994,MATCH(D$3,Platts!$F$5:$M$5,0)+1,FALSE),D1439)</f>
        <v>60.75</v>
      </c>
      <c r="E1440" s="6">
        <f>IFERROR(VLOOKUP($B1440,Platts!$E$5:$M$4994,MATCH(E$3,Platts!$F$5:$M$5,0)+1,FALSE),E1439)</f>
        <v>55.2</v>
      </c>
      <c r="F1440" s="6">
        <f>IFERROR(VLOOKUP($B1440,Platts!$E$5:$M$4994,MATCH(F$3,Platts!$F$5:$M$5,0)+1,FALSE),F1439)</f>
        <v>61.65</v>
      </c>
      <c r="G1440" s="6">
        <f>IFERROR(VLOOKUP($B1440,Platts!$E$5:$M$4994,MATCH(G$3,Platts!$F$5:$M$5,0)+1,FALSE),G1439)</f>
        <v>64.33</v>
      </c>
      <c r="H1440" s="6">
        <f>IFERROR(VLOOKUP($B1440,Platts!$E$5:$M$4994,MATCH(H$3,Platts!$F$5:$M$5,0)+1,FALSE),H1439)</f>
        <v>59.2</v>
      </c>
      <c r="I1440" s="6">
        <f>IFERROR(VLOOKUP($B1440,Platts!$E$5:$M$4994,MATCH(I$3,Platts!$F$5:$M$5,0)+1,FALSE),I1439)</f>
        <v>63.05</v>
      </c>
      <c r="J1440" s="6">
        <f t="shared" si="44"/>
        <v>5.0500000000000043</v>
      </c>
    </row>
    <row r="1441" spans="2:10" x14ac:dyDescent="0.25">
      <c r="B1441" s="5">
        <f t="shared" si="45"/>
        <v>43807</v>
      </c>
      <c r="C1441" s="6">
        <f>IFERROR(VLOOKUP($B1441,Platts!$E$5:$M$4994,MATCH(C$3,Platts!$F$5:$M$5,0)+1,FALSE),C1440)</f>
        <v>54.15</v>
      </c>
      <c r="D1441" s="6">
        <f>IFERROR(VLOOKUP($B1441,Platts!$E$5:$M$4994,MATCH(D$3,Platts!$F$5:$M$5,0)+1,FALSE),D1440)</f>
        <v>60.75</v>
      </c>
      <c r="E1441" s="6">
        <f>IFERROR(VLOOKUP($B1441,Platts!$E$5:$M$4994,MATCH(E$3,Platts!$F$5:$M$5,0)+1,FALSE),E1440)</f>
        <v>55.2</v>
      </c>
      <c r="F1441" s="6">
        <f>IFERROR(VLOOKUP($B1441,Platts!$E$5:$M$4994,MATCH(F$3,Platts!$F$5:$M$5,0)+1,FALSE),F1440)</f>
        <v>61.65</v>
      </c>
      <c r="G1441" s="6">
        <f>IFERROR(VLOOKUP($B1441,Platts!$E$5:$M$4994,MATCH(G$3,Platts!$F$5:$M$5,0)+1,FALSE),G1440)</f>
        <v>64.33</v>
      </c>
      <c r="H1441" s="6">
        <f>IFERROR(VLOOKUP($B1441,Platts!$E$5:$M$4994,MATCH(H$3,Platts!$F$5:$M$5,0)+1,FALSE),H1440)</f>
        <v>59.2</v>
      </c>
      <c r="I1441" s="6">
        <f>IFERROR(VLOOKUP($B1441,Platts!$E$5:$M$4994,MATCH(I$3,Platts!$F$5:$M$5,0)+1,FALSE),I1440)</f>
        <v>63.05</v>
      </c>
      <c r="J1441" s="6">
        <f t="shared" si="44"/>
        <v>5.0500000000000043</v>
      </c>
    </row>
    <row r="1442" spans="2:10" x14ac:dyDescent="0.25">
      <c r="B1442" s="5">
        <f t="shared" si="45"/>
        <v>43808</v>
      </c>
      <c r="C1442" s="6">
        <f>IFERROR(VLOOKUP($B1442,Platts!$E$5:$M$4994,MATCH(C$3,Platts!$F$5:$M$5,0)+1,FALSE),C1441)</f>
        <v>54.21</v>
      </c>
      <c r="D1442" s="6">
        <f>IFERROR(VLOOKUP($B1442,Platts!$E$5:$M$4994,MATCH(D$3,Platts!$F$5:$M$5,0)+1,FALSE),D1441)</f>
        <v>60.68</v>
      </c>
      <c r="E1442" s="6">
        <f>IFERROR(VLOOKUP($B1442,Platts!$E$5:$M$4994,MATCH(E$3,Platts!$F$5:$M$5,0)+1,FALSE),E1441)</f>
        <v>55.13</v>
      </c>
      <c r="F1442" s="6">
        <f>IFERROR(VLOOKUP($B1442,Platts!$E$5:$M$4994,MATCH(F$3,Platts!$F$5:$M$5,0)+1,FALSE),F1441)</f>
        <v>61.58</v>
      </c>
      <c r="G1442" s="6">
        <f>IFERROR(VLOOKUP($B1442,Platts!$E$5:$M$4994,MATCH(G$3,Platts!$F$5:$M$5,0)+1,FALSE),G1441)</f>
        <v>64.5</v>
      </c>
      <c r="H1442" s="6">
        <f>IFERROR(VLOOKUP($B1442,Platts!$E$5:$M$4994,MATCH(H$3,Platts!$F$5:$M$5,0)+1,FALSE),H1441)</f>
        <v>59.02</v>
      </c>
      <c r="I1442" s="6">
        <f>IFERROR(VLOOKUP($B1442,Platts!$E$5:$M$4994,MATCH(I$3,Platts!$F$5:$M$5,0)+1,FALSE),I1441)</f>
        <v>63.17</v>
      </c>
      <c r="J1442" s="6">
        <f t="shared" si="44"/>
        <v>4.8100000000000023</v>
      </c>
    </row>
    <row r="1443" spans="2:10" x14ac:dyDescent="0.25">
      <c r="B1443" s="5">
        <f t="shared" si="45"/>
        <v>43809</v>
      </c>
      <c r="C1443" s="6">
        <f>IFERROR(VLOOKUP($B1443,Platts!$E$5:$M$4994,MATCH(C$3,Platts!$F$5:$M$5,0)+1,FALSE),C1442)</f>
        <v>54.33</v>
      </c>
      <c r="D1443" s="6">
        <f>IFERROR(VLOOKUP($B1443,Platts!$E$5:$M$4994,MATCH(D$3,Platts!$F$5:$M$5,0)+1,FALSE),D1442)</f>
        <v>60.89</v>
      </c>
      <c r="E1443" s="6">
        <f>IFERROR(VLOOKUP($B1443,Platts!$E$5:$M$4994,MATCH(E$3,Platts!$F$5:$M$5,0)+1,FALSE),E1442)</f>
        <v>55.34</v>
      </c>
      <c r="F1443" s="6">
        <f>IFERROR(VLOOKUP($B1443,Platts!$E$5:$M$4994,MATCH(F$3,Platts!$F$5:$M$5,0)+1,FALSE),F1442)</f>
        <v>61.79</v>
      </c>
      <c r="G1443" s="6">
        <f>IFERROR(VLOOKUP($B1443,Platts!$E$5:$M$4994,MATCH(G$3,Platts!$F$5:$M$5,0)+1,FALSE),G1442)</f>
        <v>64.56</v>
      </c>
      <c r="H1443" s="6">
        <f>IFERROR(VLOOKUP($B1443,Platts!$E$5:$M$4994,MATCH(H$3,Platts!$F$5:$M$5,0)+1,FALSE),H1442)</f>
        <v>59.24</v>
      </c>
      <c r="I1443" s="6">
        <f>IFERROR(VLOOKUP($B1443,Platts!$E$5:$M$4994,MATCH(I$3,Platts!$F$5:$M$5,0)+1,FALSE),I1442)</f>
        <v>63.39</v>
      </c>
      <c r="J1443" s="6">
        <f t="shared" si="44"/>
        <v>4.9100000000000037</v>
      </c>
    </row>
    <row r="1444" spans="2:10" x14ac:dyDescent="0.25">
      <c r="B1444" s="5">
        <f t="shared" si="45"/>
        <v>43810</v>
      </c>
      <c r="C1444" s="6">
        <f>IFERROR(VLOOKUP($B1444,Platts!$E$5:$M$4994,MATCH(C$3,Platts!$F$5:$M$5,0)+1,FALSE),C1443)</f>
        <v>54</v>
      </c>
      <c r="D1444" s="6">
        <f>IFERROR(VLOOKUP($B1444,Platts!$E$5:$M$4994,MATCH(D$3,Platts!$F$5:$M$5,0)+1,FALSE),D1443)</f>
        <v>60.42</v>
      </c>
      <c r="E1444" s="6">
        <f>IFERROR(VLOOKUP($B1444,Platts!$E$5:$M$4994,MATCH(E$3,Platts!$F$5:$M$5,0)+1,FALSE),E1443)</f>
        <v>54.87</v>
      </c>
      <c r="F1444" s="6">
        <f>IFERROR(VLOOKUP($B1444,Platts!$E$5:$M$4994,MATCH(F$3,Platts!$F$5:$M$5,0)+1,FALSE),F1443)</f>
        <v>61.32</v>
      </c>
      <c r="G1444" s="6">
        <f>IFERROR(VLOOKUP($B1444,Platts!$E$5:$M$4994,MATCH(G$3,Platts!$F$5:$M$5,0)+1,FALSE),G1443)</f>
        <v>63.35</v>
      </c>
      <c r="H1444" s="6">
        <f>IFERROR(VLOOKUP($B1444,Platts!$E$5:$M$4994,MATCH(H$3,Platts!$F$5:$M$5,0)+1,FALSE),H1443)</f>
        <v>58.76</v>
      </c>
      <c r="I1444" s="6">
        <f>IFERROR(VLOOKUP($B1444,Platts!$E$5:$M$4994,MATCH(I$3,Platts!$F$5:$M$5,0)+1,FALSE),I1443)</f>
        <v>62.91</v>
      </c>
      <c r="J1444" s="6">
        <f t="shared" si="44"/>
        <v>4.759999999999998</v>
      </c>
    </row>
    <row r="1445" spans="2:10" x14ac:dyDescent="0.25">
      <c r="B1445" s="5">
        <f t="shared" si="45"/>
        <v>43811</v>
      </c>
      <c r="C1445" s="6">
        <f>IFERROR(VLOOKUP($B1445,Platts!$E$5:$M$4994,MATCH(C$3,Platts!$F$5:$M$5,0)+1,FALSE),C1444)</f>
        <v>54.28</v>
      </c>
      <c r="D1445" s="6">
        <f>IFERROR(VLOOKUP($B1445,Platts!$E$5:$M$4994,MATCH(D$3,Platts!$F$5:$M$5,0)+1,FALSE),D1444)</f>
        <v>60.91</v>
      </c>
      <c r="E1445" s="6">
        <f>IFERROR(VLOOKUP($B1445,Platts!$E$5:$M$4994,MATCH(E$3,Platts!$F$5:$M$5,0)+1,FALSE),E1444)</f>
        <v>55.36</v>
      </c>
      <c r="F1445" s="6">
        <f>IFERROR(VLOOKUP($B1445,Platts!$E$5:$M$4994,MATCH(F$3,Platts!$F$5:$M$5,0)+1,FALSE),F1444)</f>
        <v>61.81</v>
      </c>
      <c r="G1445" s="6">
        <f>IFERROR(VLOOKUP($B1445,Platts!$E$5:$M$4994,MATCH(G$3,Platts!$F$5:$M$5,0)+1,FALSE),G1444)</f>
        <v>64.540000000000006</v>
      </c>
      <c r="H1445" s="6">
        <f>IFERROR(VLOOKUP($B1445,Platts!$E$5:$M$4994,MATCH(H$3,Platts!$F$5:$M$5,0)+1,FALSE),H1444)</f>
        <v>59.18</v>
      </c>
      <c r="I1445" s="6">
        <f>IFERROR(VLOOKUP($B1445,Platts!$E$5:$M$4994,MATCH(I$3,Platts!$F$5:$M$5,0)+1,FALSE),I1444)</f>
        <v>63.33</v>
      </c>
      <c r="J1445" s="6">
        <f t="shared" si="44"/>
        <v>4.8999999999999986</v>
      </c>
    </row>
    <row r="1446" spans="2:10" x14ac:dyDescent="0.25">
      <c r="B1446" s="5">
        <f t="shared" si="45"/>
        <v>43812</v>
      </c>
      <c r="C1446" s="6">
        <f>IFERROR(VLOOKUP($B1446,Platts!$E$5:$M$4994,MATCH(C$3,Platts!$F$5:$M$5,0)+1,FALSE),C1445)</f>
        <v>54.94</v>
      </c>
      <c r="D1446" s="6">
        <f>IFERROR(VLOOKUP($B1446,Platts!$E$5:$M$4994,MATCH(D$3,Platts!$F$5:$M$5,0)+1,FALSE),D1445)</f>
        <v>61.79</v>
      </c>
      <c r="E1446" s="6">
        <f>IFERROR(VLOOKUP($B1446,Platts!$E$5:$M$4994,MATCH(E$3,Platts!$F$5:$M$5,0)+1,FALSE),E1445)</f>
        <v>56.24</v>
      </c>
      <c r="F1446" s="6">
        <f>IFERROR(VLOOKUP($B1446,Platts!$E$5:$M$4994,MATCH(F$3,Platts!$F$5:$M$5,0)+1,FALSE),F1445)</f>
        <v>62.69</v>
      </c>
      <c r="G1446" s="6">
        <f>IFERROR(VLOOKUP($B1446,Platts!$E$5:$M$4994,MATCH(G$3,Platts!$F$5:$M$5,0)+1,FALSE),G1445)</f>
        <v>65.09</v>
      </c>
      <c r="H1446" s="6">
        <f>IFERROR(VLOOKUP($B1446,Platts!$E$5:$M$4994,MATCH(H$3,Platts!$F$5:$M$5,0)+1,FALSE),H1445)</f>
        <v>60.07</v>
      </c>
      <c r="I1446" s="6">
        <f>IFERROR(VLOOKUP($B1446,Platts!$E$5:$M$4994,MATCH(I$3,Platts!$F$5:$M$5,0)+1,FALSE),I1445)</f>
        <v>64.22</v>
      </c>
      <c r="J1446" s="6">
        <f t="shared" si="44"/>
        <v>5.1300000000000026</v>
      </c>
    </row>
    <row r="1447" spans="2:10" x14ac:dyDescent="0.25">
      <c r="B1447" s="5">
        <f t="shared" si="45"/>
        <v>43813</v>
      </c>
      <c r="C1447" s="6">
        <f>IFERROR(VLOOKUP($B1447,Platts!$E$5:$M$4994,MATCH(C$3,Platts!$F$5:$M$5,0)+1,FALSE),C1446)</f>
        <v>54.94</v>
      </c>
      <c r="D1447" s="6">
        <f>IFERROR(VLOOKUP($B1447,Platts!$E$5:$M$4994,MATCH(D$3,Platts!$F$5:$M$5,0)+1,FALSE),D1446)</f>
        <v>61.79</v>
      </c>
      <c r="E1447" s="6">
        <f>IFERROR(VLOOKUP($B1447,Platts!$E$5:$M$4994,MATCH(E$3,Platts!$F$5:$M$5,0)+1,FALSE),E1446)</f>
        <v>56.24</v>
      </c>
      <c r="F1447" s="6">
        <f>IFERROR(VLOOKUP($B1447,Platts!$E$5:$M$4994,MATCH(F$3,Platts!$F$5:$M$5,0)+1,FALSE),F1446)</f>
        <v>62.69</v>
      </c>
      <c r="G1447" s="6">
        <f>IFERROR(VLOOKUP($B1447,Platts!$E$5:$M$4994,MATCH(G$3,Platts!$F$5:$M$5,0)+1,FALSE),G1446)</f>
        <v>65.09</v>
      </c>
      <c r="H1447" s="6">
        <f>IFERROR(VLOOKUP($B1447,Platts!$E$5:$M$4994,MATCH(H$3,Platts!$F$5:$M$5,0)+1,FALSE),H1446)</f>
        <v>60.07</v>
      </c>
      <c r="I1447" s="6">
        <f>IFERROR(VLOOKUP($B1447,Platts!$E$5:$M$4994,MATCH(I$3,Platts!$F$5:$M$5,0)+1,FALSE),I1446)</f>
        <v>64.22</v>
      </c>
      <c r="J1447" s="6">
        <f t="shared" si="44"/>
        <v>5.1300000000000026</v>
      </c>
    </row>
    <row r="1448" spans="2:10" x14ac:dyDescent="0.25">
      <c r="B1448" s="5">
        <f t="shared" si="45"/>
        <v>43814</v>
      </c>
      <c r="C1448" s="6">
        <f>IFERROR(VLOOKUP($B1448,Platts!$E$5:$M$4994,MATCH(C$3,Platts!$F$5:$M$5,0)+1,FALSE),C1447)</f>
        <v>54.94</v>
      </c>
      <c r="D1448" s="6">
        <f>IFERROR(VLOOKUP($B1448,Platts!$E$5:$M$4994,MATCH(D$3,Platts!$F$5:$M$5,0)+1,FALSE),D1447)</f>
        <v>61.79</v>
      </c>
      <c r="E1448" s="6">
        <f>IFERROR(VLOOKUP($B1448,Platts!$E$5:$M$4994,MATCH(E$3,Platts!$F$5:$M$5,0)+1,FALSE),E1447)</f>
        <v>56.24</v>
      </c>
      <c r="F1448" s="6">
        <f>IFERROR(VLOOKUP($B1448,Platts!$E$5:$M$4994,MATCH(F$3,Platts!$F$5:$M$5,0)+1,FALSE),F1447)</f>
        <v>62.69</v>
      </c>
      <c r="G1448" s="6">
        <f>IFERROR(VLOOKUP($B1448,Platts!$E$5:$M$4994,MATCH(G$3,Platts!$F$5:$M$5,0)+1,FALSE),G1447)</f>
        <v>65.09</v>
      </c>
      <c r="H1448" s="6">
        <f>IFERROR(VLOOKUP($B1448,Platts!$E$5:$M$4994,MATCH(H$3,Platts!$F$5:$M$5,0)+1,FALSE),H1447)</f>
        <v>60.07</v>
      </c>
      <c r="I1448" s="6">
        <f>IFERROR(VLOOKUP($B1448,Platts!$E$5:$M$4994,MATCH(I$3,Platts!$F$5:$M$5,0)+1,FALSE),I1447)</f>
        <v>64.22</v>
      </c>
      <c r="J1448" s="6">
        <f t="shared" si="44"/>
        <v>5.1300000000000026</v>
      </c>
    </row>
    <row r="1449" spans="2:10" x14ac:dyDescent="0.25">
      <c r="B1449" s="5">
        <f t="shared" si="45"/>
        <v>43815</v>
      </c>
      <c r="C1449" s="6">
        <f>IFERROR(VLOOKUP($B1449,Platts!$E$5:$M$4994,MATCH(C$3,Platts!$F$5:$M$5,0)+1,FALSE),C1448)</f>
        <v>55.43</v>
      </c>
      <c r="D1449" s="6">
        <f>IFERROR(VLOOKUP($B1449,Platts!$E$5:$M$4994,MATCH(D$3,Platts!$F$5:$M$5,0)+1,FALSE),D1448)</f>
        <v>61.97</v>
      </c>
      <c r="E1449" s="6">
        <f>IFERROR(VLOOKUP($B1449,Platts!$E$5:$M$4994,MATCH(E$3,Platts!$F$5:$M$5,0)+1,FALSE),E1448)</f>
        <v>56.42</v>
      </c>
      <c r="F1449" s="6">
        <f>IFERROR(VLOOKUP($B1449,Platts!$E$5:$M$4994,MATCH(F$3,Platts!$F$5:$M$5,0)+1,FALSE),F1448)</f>
        <v>62.87</v>
      </c>
      <c r="G1449" s="6">
        <f>IFERROR(VLOOKUP($B1449,Platts!$E$5:$M$4994,MATCH(G$3,Platts!$F$5:$M$5,0)+1,FALSE),G1448)</f>
        <v>65.709999999999994</v>
      </c>
      <c r="H1449" s="6">
        <f>IFERROR(VLOOKUP($B1449,Platts!$E$5:$M$4994,MATCH(H$3,Platts!$F$5:$M$5,0)+1,FALSE),H1448)</f>
        <v>60.21</v>
      </c>
      <c r="I1449" s="6">
        <f>IFERROR(VLOOKUP($B1449,Platts!$E$5:$M$4994,MATCH(I$3,Platts!$F$5:$M$5,0)+1,FALSE),I1448)</f>
        <v>64.36</v>
      </c>
      <c r="J1449" s="6">
        <f t="shared" si="44"/>
        <v>4.7800000000000011</v>
      </c>
    </row>
    <row r="1450" spans="2:10" x14ac:dyDescent="0.25">
      <c r="B1450" s="5">
        <f t="shared" si="45"/>
        <v>43816</v>
      </c>
      <c r="C1450" s="6">
        <f>IFERROR(VLOOKUP($B1450,Platts!$E$5:$M$4994,MATCH(C$3,Platts!$F$5:$M$5,0)+1,FALSE),C1449)</f>
        <v>56.03</v>
      </c>
      <c r="D1450" s="6">
        <f>IFERROR(VLOOKUP($B1450,Platts!$E$5:$M$4994,MATCH(D$3,Platts!$F$5:$M$5,0)+1,FALSE),D1449)</f>
        <v>62.56</v>
      </c>
      <c r="E1450" s="6">
        <f>IFERROR(VLOOKUP($B1450,Platts!$E$5:$M$4994,MATCH(E$3,Platts!$F$5:$M$5,0)+1,FALSE),E1449)</f>
        <v>57.01</v>
      </c>
      <c r="F1450" s="6">
        <f>IFERROR(VLOOKUP($B1450,Platts!$E$5:$M$4994,MATCH(F$3,Platts!$F$5:$M$5,0)+1,FALSE),F1449)</f>
        <v>63.46</v>
      </c>
      <c r="G1450" s="6">
        <f>IFERROR(VLOOKUP($B1450,Platts!$E$5:$M$4994,MATCH(G$3,Platts!$F$5:$M$5,0)+1,FALSE),G1449)</f>
        <v>66.23</v>
      </c>
      <c r="H1450" s="6">
        <f>IFERROR(VLOOKUP($B1450,Platts!$E$5:$M$4994,MATCH(H$3,Platts!$F$5:$M$5,0)+1,FALSE),H1449)</f>
        <v>60.94</v>
      </c>
      <c r="I1450" s="6">
        <f>IFERROR(VLOOKUP($B1450,Platts!$E$5:$M$4994,MATCH(I$3,Platts!$F$5:$M$5,0)+1,FALSE),I1449)</f>
        <v>64.94</v>
      </c>
      <c r="J1450" s="6">
        <f t="shared" si="44"/>
        <v>4.9099999999999966</v>
      </c>
    </row>
    <row r="1451" spans="2:10" x14ac:dyDescent="0.25">
      <c r="B1451" s="5">
        <f t="shared" si="45"/>
        <v>43817</v>
      </c>
      <c r="C1451" s="6">
        <f>IFERROR(VLOOKUP($B1451,Platts!$E$5:$M$4994,MATCH(C$3,Platts!$F$5:$M$5,0)+1,FALSE),C1450)</f>
        <v>56.04</v>
      </c>
      <c r="D1451" s="6">
        <f>IFERROR(VLOOKUP($B1451,Platts!$E$5:$M$4994,MATCH(D$3,Platts!$F$5:$M$5,0)+1,FALSE),D1450)</f>
        <v>62.57</v>
      </c>
      <c r="E1451" s="6">
        <f>IFERROR(VLOOKUP($B1451,Platts!$E$5:$M$4994,MATCH(E$3,Platts!$F$5:$M$5,0)+1,FALSE),E1450)</f>
        <v>57.02</v>
      </c>
      <c r="F1451" s="6">
        <f>IFERROR(VLOOKUP($B1451,Platts!$E$5:$M$4994,MATCH(F$3,Platts!$F$5:$M$5,0)+1,FALSE),F1450)</f>
        <v>63.47</v>
      </c>
      <c r="G1451" s="6">
        <f>IFERROR(VLOOKUP($B1451,Platts!$E$5:$M$4994,MATCH(G$3,Platts!$F$5:$M$5,0)+1,FALSE),G1450)</f>
        <v>66.09</v>
      </c>
      <c r="H1451" s="6">
        <f>IFERROR(VLOOKUP($B1451,Platts!$E$5:$M$4994,MATCH(H$3,Platts!$F$5:$M$5,0)+1,FALSE),H1450)</f>
        <v>60.93</v>
      </c>
      <c r="I1451" s="6">
        <f>IFERROR(VLOOKUP($B1451,Platts!$E$5:$M$4994,MATCH(I$3,Platts!$F$5:$M$5,0)+1,FALSE),I1450)</f>
        <v>64.63</v>
      </c>
      <c r="J1451" s="6">
        <f t="shared" si="44"/>
        <v>4.8900000000000006</v>
      </c>
    </row>
    <row r="1452" spans="2:10" x14ac:dyDescent="0.25">
      <c r="B1452" s="5">
        <f t="shared" si="45"/>
        <v>43818</v>
      </c>
      <c r="C1452" s="6">
        <f>IFERROR(VLOOKUP($B1452,Platts!$E$5:$M$4994,MATCH(C$3,Platts!$F$5:$M$5,0)+1,FALSE),C1451)</f>
        <v>56.24</v>
      </c>
      <c r="D1452" s="6">
        <f>IFERROR(VLOOKUP($B1452,Platts!$E$5:$M$4994,MATCH(D$3,Platts!$F$5:$M$5,0)+1,FALSE),D1451)</f>
        <v>62.41</v>
      </c>
      <c r="E1452" s="6">
        <f>IFERROR(VLOOKUP($B1452,Platts!$E$5:$M$4994,MATCH(E$3,Platts!$F$5:$M$5,0)+1,FALSE),E1451)</f>
        <v>56.86</v>
      </c>
      <c r="F1452" s="6">
        <f>IFERROR(VLOOKUP($B1452,Platts!$E$5:$M$4994,MATCH(F$3,Platts!$F$5:$M$5,0)+1,FALSE),F1451)</f>
        <v>63.31</v>
      </c>
      <c r="G1452" s="6">
        <f>IFERROR(VLOOKUP($B1452,Platts!$E$5:$M$4994,MATCH(G$3,Platts!$F$5:$M$5,0)+1,FALSE),G1451)</f>
        <v>66.8</v>
      </c>
      <c r="H1452" s="6">
        <f>IFERROR(VLOOKUP($B1452,Platts!$E$5:$M$4994,MATCH(H$3,Platts!$F$5:$M$5,0)+1,FALSE),H1451)</f>
        <v>61.22</v>
      </c>
      <c r="I1452" s="6">
        <f>IFERROR(VLOOKUP($B1452,Platts!$E$5:$M$4994,MATCH(I$3,Platts!$F$5:$M$5,0)+1,FALSE),I1451)</f>
        <v>64.42</v>
      </c>
      <c r="J1452" s="6">
        <f t="shared" si="44"/>
        <v>4.9799999999999969</v>
      </c>
    </row>
    <row r="1453" spans="2:10" x14ac:dyDescent="0.25">
      <c r="B1453" s="5">
        <f t="shared" si="45"/>
        <v>43819</v>
      </c>
      <c r="C1453" s="6">
        <f>IFERROR(VLOOKUP($B1453,Platts!$E$5:$M$4994,MATCH(C$3,Platts!$F$5:$M$5,0)+1,FALSE),C1452)</f>
        <v>55.81</v>
      </c>
      <c r="D1453" s="6">
        <f>IFERROR(VLOOKUP($B1453,Platts!$E$5:$M$4994,MATCH(D$3,Platts!$F$5:$M$5,0)+1,FALSE),D1452)</f>
        <v>61.62</v>
      </c>
      <c r="E1453" s="6">
        <f>IFERROR(VLOOKUP($B1453,Platts!$E$5:$M$4994,MATCH(E$3,Platts!$F$5:$M$5,0)+1,FALSE),E1452)</f>
        <v>56.07</v>
      </c>
      <c r="F1453" s="6">
        <f>IFERROR(VLOOKUP($B1453,Platts!$E$5:$M$4994,MATCH(F$3,Platts!$F$5:$M$5,0)+1,FALSE),F1452)</f>
        <v>62.52</v>
      </c>
      <c r="G1453" s="6">
        <f>IFERROR(VLOOKUP($B1453,Platts!$E$5:$M$4994,MATCH(G$3,Platts!$F$5:$M$5,0)+1,FALSE),G1452)</f>
        <v>66.16</v>
      </c>
      <c r="H1453" s="6">
        <f>IFERROR(VLOOKUP($B1453,Platts!$E$5:$M$4994,MATCH(H$3,Platts!$F$5:$M$5,0)+1,FALSE),H1452)</f>
        <v>60.39</v>
      </c>
      <c r="I1453" s="6">
        <f>IFERROR(VLOOKUP($B1453,Platts!$E$5:$M$4994,MATCH(I$3,Platts!$F$5:$M$5,0)+1,FALSE),I1452)</f>
        <v>63.59</v>
      </c>
      <c r="J1453" s="6">
        <f t="shared" si="44"/>
        <v>4.5799999999999983</v>
      </c>
    </row>
    <row r="1454" spans="2:10" x14ac:dyDescent="0.25">
      <c r="B1454" s="5">
        <f t="shared" si="45"/>
        <v>43820</v>
      </c>
      <c r="C1454" s="6">
        <f>IFERROR(VLOOKUP($B1454,Platts!$E$5:$M$4994,MATCH(C$3,Platts!$F$5:$M$5,0)+1,FALSE),C1453)</f>
        <v>55.81</v>
      </c>
      <c r="D1454" s="6">
        <f>IFERROR(VLOOKUP($B1454,Platts!$E$5:$M$4994,MATCH(D$3,Platts!$F$5:$M$5,0)+1,FALSE),D1453)</f>
        <v>61.62</v>
      </c>
      <c r="E1454" s="6">
        <f>IFERROR(VLOOKUP($B1454,Platts!$E$5:$M$4994,MATCH(E$3,Platts!$F$5:$M$5,0)+1,FALSE),E1453)</f>
        <v>56.07</v>
      </c>
      <c r="F1454" s="6">
        <f>IFERROR(VLOOKUP($B1454,Platts!$E$5:$M$4994,MATCH(F$3,Platts!$F$5:$M$5,0)+1,FALSE),F1453)</f>
        <v>62.52</v>
      </c>
      <c r="G1454" s="6">
        <f>IFERROR(VLOOKUP($B1454,Platts!$E$5:$M$4994,MATCH(G$3,Platts!$F$5:$M$5,0)+1,FALSE),G1453)</f>
        <v>66.16</v>
      </c>
      <c r="H1454" s="6">
        <f>IFERROR(VLOOKUP($B1454,Platts!$E$5:$M$4994,MATCH(H$3,Platts!$F$5:$M$5,0)+1,FALSE),H1453)</f>
        <v>60.39</v>
      </c>
      <c r="I1454" s="6">
        <f>IFERROR(VLOOKUP($B1454,Platts!$E$5:$M$4994,MATCH(I$3,Platts!$F$5:$M$5,0)+1,FALSE),I1453)</f>
        <v>63.59</v>
      </c>
      <c r="J1454" s="6">
        <f t="shared" si="44"/>
        <v>4.5799999999999983</v>
      </c>
    </row>
    <row r="1455" spans="2:10" x14ac:dyDescent="0.25">
      <c r="B1455" s="5">
        <f t="shared" si="45"/>
        <v>43821</v>
      </c>
      <c r="C1455" s="6">
        <f>IFERROR(VLOOKUP($B1455,Platts!$E$5:$M$4994,MATCH(C$3,Platts!$F$5:$M$5,0)+1,FALSE),C1454)</f>
        <v>55.81</v>
      </c>
      <c r="D1455" s="6">
        <f>IFERROR(VLOOKUP($B1455,Platts!$E$5:$M$4994,MATCH(D$3,Platts!$F$5:$M$5,0)+1,FALSE),D1454)</f>
        <v>61.62</v>
      </c>
      <c r="E1455" s="6">
        <f>IFERROR(VLOOKUP($B1455,Platts!$E$5:$M$4994,MATCH(E$3,Platts!$F$5:$M$5,0)+1,FALSE),E1454)</f>
        <v>56.07</v>
      </c>
      <c r="F1455" s="6">
        <f>IFERROR(VLOOKUP($B1455,Platts!$E$5:$M$4994,MATCH(F$3,Platts!$F$5:$M$5,0)+1,FALSE),F1454)</f>
        <v>62.52</v>
      </c>
      <c r="G1455" s="6">
        <f>IFERROR(VLOOKUP($B1455,Platts!$E$5:$M$4994,MATCH(G$3,Platts!$F$5:$M$5,0)+1,FALSE),G1454)</f>
        <v>66.16</v>
      </c>
      <c r="H1455" s="6">
        <f>IFERROR(VLOOKUP($B1455,Platts!$E$5:$M$4994,MATCH(H$3,Platts!$F$5:$M$5,0)+1,FALSE),H1454)</f>
        <v>60.39</v>
      </c>
      <c r="I1455" s="6">
        <f>IFERROR(VLOOKUP($B1455,Platts!$E$5:$M$4994,MATCH(I$3,Platts!$F$5:$M$5,0)+1,FALSE),I1454)</f>
        <v>63.59</v>
      </c>
      <c r="J1455" s="6">
        <f t="shared" si="44"/>
        <v>4.5799999999999983</v>
      </c>
    </row>
    <row r="1456" spans="2:10" x14ac:dyDescent="0.25">
      <c r="B1456" s="5">
        <f t="shared" si="45"/>
        <v>43822</v>
      </c>
      <c r="C1456" s="6">
        <f>IFERROR(VLOOKUP($B1456,Platts!$E$5:$M$4994,MATCH(C$3,Platts!$F$5:$M$5,0)+1,FALSE),C1455)</f>
        <v>55.95</v>
      </c>
      <c r="D1456" s="6">
        <f>IFERROR(VLOOKUP($B1456,Platts!$E$5:$M$4994,MATCH(D$3,Platts!$F$5:$M$5,0)+1,FALSE),D1455)</f>
        <v>62.15</v>
      </c>
      <c r="E1456" s="6">
        <f>IFERROR(VLOOKUP($B1456,Platts!$E$5:$M$4994,MATCH(E$3,Platts!$F$5:$M$5,0)+1,FALSE),E1455)</f>
        <v>56.6</v>
      </c>
      <c r="F1456" s="6">
        <f>IFERROR(VLOOKUP($B1456,Platts!$E$5:$M$4994,MATCH(F$3,Platts!$F$5:$M$5,0)+1,FALSE),F1455)</f>
        <v>63.05</v>
      </c>
      <c r="G1456" s="6">
        <f>IFERROR(VLOOKUP($B1456,Platts!$E$5:$M$4994,MATCH(G$3,Platts!$F$5:$M$5,0)+1,FALSE),G1455)</f>
        <v>66.34</v>
      </c>
      <c r="H1456" s="6">
        <f>IFERROR(VLOOKUP($B1456,Platts!$E$5:$M$4994,MATCH(H$3,Platts!$F$5:$M$5,0)+1,FALSE),H1455)</f>
        <v>60.52</v>
      </c>
      <c r="I1456" s="6">
        <f>IFERROR(VLOOKUP($B1456,Platts!$E$5:$M$4994,MATCH(I$3,Platts!$F$5:$M$5,0)+1,FALSE),I1455)</f>
        <v>63.72</v>
      </c>
      <c r="J1456" s="6">
        <f t="shared" si="44"/>
        <v>4.57</v>
      </c>
    </row>
    <row r="1457" spans="2:10" x14ac:dyDescent="0.25">
      <c r="B1457" s="5">
        <f t="shared" si="45"/>
        <v>43823</v>
      </c>
      <c r="C1457" s="6">
        <f>IFERROR(VLOOKUP($B1457,Platts!$E$5:$M$4994,MATCH(C$3,Platts!$F$5:$M$5,0)+1,FALSE),C1456)</f>
        <v>55.95</v>
      </c>
      <c r="D1457" s="6">
        <f>IFERROR(VLOOKUP($B1457,Platts!$E$5:$M$4994,MATCH(D$3,Platts!$F$5:$M$5,0)+1,FALSE),D1456)</f>
        <v>62.66</v>
      </c>
      <c r="E1457" s="6">
        <f>IFERROR(VLOOKUP($B1457,Platts!$E$5:$M$4994,MATCH(E$3,Platts!$F$5:$M$5,0)+1,FALSE),E1456)</f>
        <v>57.11</v>
      </c>
      <c r="F1457" s="6">
        <f>IFERROR(VLOOKUP($B1457,Platts!$E$5:$M$4994,MATCH(F$3,Platts!$F$5:$M$5,0)+1,FALSE),F1456)</f>
        <v>63.56</v>
      </c>
      <c r="G1457" s="6">
        <f>IFERROR(VLOOKUP($B1457,Platts!$E$5:$M$4994,MATCH(G$3,Platts!$F$5:$M$5,0)+1,FALSE),G1456)</f>
        <v>67.099999999999994</v>
      </c>
      <c r="H1457" s="6">
        <f>IFERROR(VLOOKUP($B1457,Platts!$E$5:$M$4994,MATCH(H$3,Platts!$F$5:$M$5,0)+1,FALSE),H1456)</f>
        <v>61.11</v>
      </c>
      <c r="I1457" s="6">
        <f>IFERROR(VLOOKUP($B1457,Platts!$E$5:$M$4994,MATCH(I$3,Platts!$F$5:$M$5,0)+1,FALSE),I1456)</f>
        <v>64.31</v>
      </c>
      <c r="J1457" s="6">
        <f t="shared" si="44"/>
        <v>5.1599999999999966</v>
      </c>
    </row>
    <row r="1458" spans="2:10" x14ac:dyDescent="0.25">
      <c r="B1458" s="5">
        <f t="shared" si="45"/>
        <v>43824</v>
      </c>
      <c r="C1458" s="6">
        <f>IFERROR(VLOOKUP($B1458,Platts!$E$5:$M$4994,MATCH(C$3,Platts!$F$5:$M$5,0)+1,FALSE),C1457)</f>
        <v>55.95</v>
      </c>
      <c r="D1458" s="6">
        <f>IFERROR(VLOOKUP($B1458,Platts!$E$5:$M$4994,MATCH(D$3,Platts!$F$5:$M$5,0)+1,FALSE),D1457)</f>
        <v>62.66</v>
      </c>
      <c r="E1458" s="6">
        <f>IFERROR(VLOOKUP($B1458,Platts!$E$5:$M$4994,MATCH(E$3,Platts!$F$5:$M$5,0)+1,FALSE),E1457)</f>
        <v>57.11</v>
      </c>
      <c r="F1458" s="6">
        <f>IFERROR(VLOOKUP($B1458,Platts!$E$5:$M$4994,MATCH(F$3,Platts!$F$5:$M$5,0)+1,FALSE),F1457)</f>
        <v>63.56</v>
      </c>
      <c r="G1458" s="6">
        <f>IFERROR(VLOOKUP($B1458,Platts!$E$5:$M$4994,MATCH(G$3,Platts!$F$5:$M$5,0)+1,FALSE),G1457)</f>
        <v>67.099999999999994</v>
      </c>
      <c r="H1458" s="6">
        <f>IFERROR(VLOOKUP($B1458,Platts!$E$5:$M$4994,MATCH(H$3,Platts!$F$5:$M$5,0)+1,FALSE),H1457)</f>
        <v>61.11</v>
      </c>
      <c r="I1458" s="6">
        <f>IFERROR(VLOOKUP($B1458,Platts!$E$5:$M$4994,MATCH(I$3,Platts!$F$5:$M$5,0)+1,FALSE),I1457)</f>
        <v>64.31</v>
      </c>
      <c r="J1458" s="6">
        <f t="shared" si="44"/>
        <v>5.1599999999999966</v>
      </c>
    </row>
    <row r="1459" spans="2:10" x14ac:dyDescent="0.25">
      <c r="B1459" s="5">
        <f t="shared" si="45"/>
        <v>43825</v>
      </c>
      <c r="C1459" s="6">
        <f>IFERROR(VLOOKUP($B1459,Platts!$E$5:$M$4994,MATCH(C$3,Platts!$F$5:$M$5,0)+1,FALSE),C1458)</f>
        <v>57.32</v>
      </c>
      <c r="D1459" s="6">
        <f>IFERROR(VLOOKUP($B1459,Platts!$E$5:$M$4994,MATCH(D$3,Platts!$F$5:$M$5,0)+1,FALSE),D1458)</f>
        <v>63.43</v>
      </c>
      <c r="E1459" s="6">
        <f>IFERROR(VLOOKUP($B1459,Platts!$E$5:$M$4994,MATCH(E$3,Platts!$F$5:$M$5,0)+1,FALSE),E1458)</f>
        <v>57.88</v>
      </c>
      <c r="F1459" s="6">
        <f>IFERROR(VLOOKUP($B1459,Platts!$E$5:$M$4994,MATCH(F$3,Platts!$F$5:$M$5,0)+1,FALSE),F1458)</f>
        <v>64.33</v>
      </c>
      <c r="G1459" s="6">
        <f>IFERROR(VLOOKUP($B1459,Platts!$E$5:$M$4994,MATCH(G$3,Platts!$F$5:$M$5,0)+1,FALSE),G1458)</f>
        <v>67.099999999999994</v>
      </c>
      <c r="H1459" s="6">
        <f>IFERROR(VLOOKUP($B1459,Platts!$E$5:$M$4994,MATCH(H$3,Platts!$F$5:$M$5,0)+1,FALSE),H1458)</f>
        <v>61.68</v>
      </c>
      <c r="I1459" s="6">
        <f>IFERROR(VLOOKUP($B1459,Platts!$E$5:$M$4994,MATCH(I$3,Platts!$F$5:$M$5,0)+1,FALSE),I1458)</f>
        <v>64.78</v>
      </c>
      <c r="J1459" s="6">
        <f t="shared" si="44"/>
        <v>4.3599999999999994</v>
      </c>
    </row>
    <row r="1460" spans="2:10" x14ac:dyDescent="0.25">
      <c r="B1460" s="5">
        <f t="shared" si="45"/>
        <v>43826</v>
      </c>
      <c r="C1460" s="6">
        <f>IFERROR(VLOOKUP($B1460,Platts!$E$5:$M$4994,MATCH(C$3,Platts!$F$5:$M$5,0)+1,FALSE),C1459)</f>
        <v>57.57</v>
      </c>
      <c r="D1460" s="6">
        <f>IFERROR(VLOOKUP($B1460,Platts!$E$5:$M$4994,MATCH(D$3,Platts!$F$5:$M$5,0)+1,FALSE),D1459)</f>
        <v>63.6</v>
      </c>
      <c r="E1460" s="6">
        <f>IFERROR(VLOOKUP($B1460,Platts!$E$5:$M$4994,MATCH(E$3,Platts!$F$5:$M$5,0)+1,FALSE),E1459)</f>
        <v>58.05</v>
      </c>
      <c r="F1460" s="6">
        <f>IFERROR(VLOOKUP($B1460,Platts!$E$5:$M$4994,MATCH(F$3,Platts!$F$5:$M$5,0)+1,FALSE),F1459)</f>
        <v>64.5</v>
      </c>
      <c r="G1460" s="6">
        <f>IFERROR(VLOOKUP($B1460,Platts!$E$5:$M$4994,MATCH(G$3,Platts!$F$5:$M$5,0)+1,FALSE),G1459)</f>
        <v>68.2</v>
      </c>
      <c r="H1460" s="6">
        <f>IFERROR(VLOOKUP($B1460,Platts!$E$5:$M$4994,MATCH(H$3,Platts!$F$5:$M$5,0)+1,FALSE),H1459)</f>
        <v>61.72</v>
      </c>
      <c r="I1460" s="6">
        <f>IFERROR(VLOOKUP($B1460,Platts!$E$5:$M$4994,MATCH(I$3,Platts!$F$5:$M$5,0)+1,FALSE),I1459)</f>
        <v>64.92</v>
      </c>
      <c r="J1460" s="6">
        <f t="shared" si="44"/>
        <v>4.1499999999999986</v>
      </c>
    </row>
    <row r="1461" spans="2:10" x14ac:dyDescent="0.25">
      <c r="B1461" s="5">
        <f t="shared" si="45"/>
        <v>43827</v>
      </c>
      <c r="C1461" s="6">
        <f>IFERROR(VLOOKUP($B1461,Platts!$E$5:$M$4994,MATCH(C$3,Platts!$F$5:$M$5,0)+1,FALSE),C1460)</f>
        <v>57.57</v>
      </c>
      <c r="D1461" s="6">
        <f>IFERROR(VLOOKUP($B1461,Platts!$E$5:$M$4994,MATCH(D$3,Platts!$F$5:$M$5,0)+1,FALSE),D1460)</f>
        <v>63.6</v>
      </c>
      <c r="E1461" s="6">
        <f>IFERROR(VLOOKUP($B1461,Platts!$E$5:$M$4994,MATCH(E$3,Platts!$F$5:$M$5,0)+1,FALSE),E1460)</f>
        <v>58.05</v>
      </c>
      <c r="F1461" s="6">
        <f>IFERROR(VLOOKUP($B1461,Platts!$E$5:$M$4994,MATCH(F$3,Platts!$F$5:$M$5,0)+1,FALSE),F1460)</f>
        <v>64.5</v>
      </c>
      <c r="G1461" s="6">
        <f>IFERROR(VLOOKUP($B1461,Platts!$E$5:$M$4994,MATCH(G$3,Platts!$F$5:$M$5,0)+1,FALSE),G1460)</f>
        <v>68.2</v>
      </c>
      <c r="H1461" s="6">
        <f>IFERROR(VLOOKUP($B1461,Platts!$E$5:$M$4994,MATCH(H$3,Platts!$F$5:$M$5,0)+1,FALSE),H1460)</f>
        <v>61.72</v>
      </c>
      <c r="I1461" s="6">
        <f>IFERROR(VLOOKUP($B1461,Platts!$E$5:$M$4994,MATCH(I$3,Platts!$F$5:$M$5,0)+1,FALSE),I1460)</f>
        <v>64.92</v>
      </c>
      <c r="J1461" s="6">
        <f t="shared" si="44"/>
        <v>4.1499999999999986</v>
      </c>
    </row>
    <row r="1462" spans="2:10" x14ac:dyDescent="0.25">
      <c r="B1462" s="5">
        <f t="shared" si="45"/>
        <v>43828</v>
      </c>
      <c r="C1462" s="6">
        <f>IFERROR(VLOOKUP($B1462,Platts!$E$5:$M$4994,MATCH(C$3,Platts!$F$5:$M$5,0)+1,FALSE),C1461)</f>
        <v>57.57</v>
      </c>
      <c r="D1462" s="6">
        <f>IFERROR(VLOOKUP($B1462,Platts!$E$5:$M$4994,MATCH(D$3,Platts!$F$5:$M$5,0)+1,FALSE),D1461)</f>
        <v>63.6</v>
      </c>
      <c r="E1462" s="6">
        <f>IFERROR(VLOOKUP($B1462,Platts!$E$5:$M$4994,MATCH(E$3,Platts!$F$5:$M$5,0)+1,FALSE),E1461)</f>
        <v>58.05</v>
      </c>
      <c r="F1462" s="6">
        <f>IFERROR(VLOOKUP($B1462,Platts!$E$5:$M$4994,MATCH(F$3,Platts!$F$5:$M$5,0)+1,FALSE),F1461)</f>
        <v>64.5</v>
      </c>
      <c r="G1462" s="6">
        <f>IFERROR(VLOOKUP($B1462,Platts!$E$5:$M$4994,MATCH(G$3,Platts!$F$5:$M$5,0)+1,FALSE),G1461)</f>
        <v>68.2</v>
      </c>
      <c r="H1462" s="6">
        <f>IFERROR(VLOOKUP($B1462,Platts!$E$5:$M$4994,MATCH(H$3,Platts!$F$5:$M$5,0)+1,FALSE),H1461)</f>
        <v>61.72</v>
      </c>
      <c r="I1462" s="6">
        <f>IFERROR(VLOOKUP($B1462,Platts!$E$5:$M$4994,MATCH(I$3,Platts!$F$5:$M$5,0)+1,FALSE),I1461)</f>
        <v>64.92</v>
      </c>
      <c r="J1462" s="6">
        <f t="shared" si="44"/>
        <v>4.1499999999999986</v>
      </c>
    </row>
    <row r="1463" spans="2:10" x14ac:dyDescent="0.25">
      <c r="B1463" s="5">
        <f t="shared" si="45"/>
        <v>43829</v>
      </c>
      <c r="C1463" s="6">
        <f>IFERROR(VLOOKUP($B1463,Platts!$E$5:$M$4994,MATCH(C$3,Platts!$F$5:$M$5,0)+1,FALSE),C1462)</f>
        <v>57.68</v>
      </c>
      <c r="D1463" s="6">
        <f>IFERROR(VLOOKUP($B1463,Platts!$E$5:$M$4994,MATCH(D$3,Platts!$F$5:$M$5,0)+1,FALSE),D1462)</f>
        <v>63.71</v>
      </c>
      <c r="E1463" s="6">
        <f>IFERROR(VLOOKUP($B1463,Platts!$E$5:$M$4994,MATCH(E$3,Platts!$F$5:$M$5,0)+1,FALSE),E1462)</f>
        <v>58.16</v>
      </c>
      <c r="F1463" s="6">
        <f>IFERROR(VLOOKUP($B1463,Platts!$E$5:$M$4994,MATCH(F$3,Platts!$F$5:$M$5,0)+1,FALSE),F1462)</f>
        <v>64.61</v>
      </c>
      <c r="G1463" s="6">
        <f>IFERROR(VLOOKUP($B1463,Platts!$E$5:$M$4994,MATCH(G$3,Platts!$F$5:$M$5,0)+1,FALSE),G1462)</f>
        <v>67.94</v>
      </c>
      <c r="H1463" s="6">
        <f>IFERROR(VLOOKUP($B1463,Platts!$E$5:$M$4994,MATCH(H$3,Platts!$F$5:$M$5,0)+1,FALSE),H1462)</f>
        <v>61.68</v>
      </c>
      <c r="I1463" s="6">
        <f>IFERROR(VLOOKUP($B1463,Platts!$E$5:$M$4994,MATCH(I$3,Platts!$F$5:$M$5,0)+1,FALSE),I1462)</f>
        <v>64.98</v>
      </c>
      <c r="J1463" s="6">
        <f t="shared" si="44"/>
        <v>4</v>
      </c>
    </row>
    <row r="1464" spans="2:10" x14ac:dyDescent="0.25">
      <c r="B1464" s="5">
        <f t="shared" si="45"/>
        <v>43830</v>
      </c>
      <c r="C1464" s="6">
        <f>IFERROR(VLOOKUP($B1464,Platts!$E$5:$M$4994,MATCH(C$3,Platts!$F$5:$M$5,0)+1,FALSE),C1463)</f>
        <v>56.14</v>
      </c>
      <c r="D1464" s="6">
        <f>IFERROR(VLOOKUP($B1464,Platts!$E$5:$M$4994,MATCH(D$3,Platts!$F$5:$M$5,0)+1,FALSE),D1463)</f>
        <v>62.37</v>
      </c>
      <c r="E1464" s="6">
        <f>IFERROR(VLOOKUP($B1464,Platts!$E$5:$M$4994,MATCH(E$3,Platts!$F$5:$M$5,0)+1,FALSE),E1463)</f>
        <v>56.82</v>
      </c>
      <c r="F1464" s="6">
        <f>IFERROR(VLOOKUP($B1464,Platts!$E$5:$M$4994,MATCH(F$3,Platts!$F$5:$M$5,0)+1,FALSE),F1463)</f>
        <v>63.27</v>
      </c>
      <c r="G1464" s="6">
        <f>IFERROR(VLOOKUP($B1464,Platts!$E$5:$M$4994,MATCH(G$3,Platts!$F$5:$M$5,0)+1,FALSE),G1463)</f>
        <v>67.08</v>
      </c>
      <c r="H1464" s="6">
        <f>IFERROR(VLOOKUP($B1464,Platts!$E$5:$M$4994,MATCH(H$3,Platts!$F$5:$M$5,0)+1,FALSE),H1463)</f>
        <v>61.06</v>
      </c>
      <c r="I1464" s="6">
        <f>IFERROR(VLOOKUP($B1464,Platts!$E$5:$M$4994,MATCH(I$3,Platts!$F$5:$M$5,0)+1,FALSE),I1463)</f>
        <v>64.91</v>
      </c>
      <c r="J1464" s="6">
        <f t="shared" si="44"/>
        <v>4.9200000000000017</v>
      </c>
    </row>
    <row r="1465" spans="2:10" x14ac:dyDescent="0.25">
      <c r="B1465" s="5">
        <f t="shared" si="45"/>
        <v>43831</v>
      </c>
      <c r="C1465" s="6">
        <f>IFERROR(VLOOKUP($B1465,Platts!$E$5:$M$4994,MATCH(C$3,Platts!$F$5:$M$5,0)+1,FALSE),C1464)</f>
        <v>56.14</v>
      </c>
      <c r="D1465" s="6">
        <f>IFERROR(VLOOKUP($B1465,Platts!$E$5:$M$4994,MATCH(D$3,Platts!$F$5:$M$5,0)+1,FALSE),D1464)</f>
        <v>62.37</v>
      </c>
      <c r="E1465" s="6">
        <f>IFERROR(VLOOKUP($B1465,Platts!$E$5:$M$4994,MATCH(E$3,Platts!$F$5:$M$5,0)+1,FALSE),E1464)</f>
        <v>56.82</v>
      </c>
      <c r="F1465" s="6">
        <f>IFERROR(VLOOKUP($B1465,Platts!$E$5:$M$4994,MATCH(F$3,Platts!$F$5:$M$5,0)+1,FALSE),F1464)</f>
        <v>63.27</v>
      </c>
      <c r="G1465" s="6">
        <f>IFERROR(VLOOKUP($B1465,Platts!$E$5:$M$4994,MATCH(G$3,Platts!$F$5:$M$5,0)+1,FALSE),G1464)</f>
        <v>67.08</v>
      </c>
      <c r="H1465" s="6">
        <f>IFERROR(VLOOKUP($B1465,Platts!$E$5:$M$4994,MATCH(H$3,Platts!$F$5:$M$5,0)+1,FALSE),H1464)</f>
        <v>61.06</v>
      </c>
      <c r="I1465" s="6">
        <f>IFERROR(VLOOKUP($B1465,Platts!$E$5:$M$4994,MATCH(I$3,Platts!$F$5:$M$5,0)+1,FALSE),I1464)</f>
        <v>64.91</v>
      </c>
      <c r="J1465" s="6">
        <f t="shared" si="44"/>
        <v>4.9200000000000017</v>
      </c>
    </row>
    <row r="1466" spans="2:10" x14ac:dyDescent="0.25">
      <c r="B1466" s="5">
        <f t="shared" si="45"/>
        <v>43832</v>
      </c>
      <c r="C1466" s="6">
        <f>IFERROR(VLOOKUP($B1466,Platts!$E$5:$M$4994,MATCH(C$3,Platts!$F$5:$M$5,0)+1,FALSE),C1465)</f>
        <v>56.67</v>
      </c>
      <c r="D1466" s="6">
        <f>IFERROR(VLOOKUP($B1466,Platts!$E$5:$M$4994,MATCH(D$3,Platts!$F$5:$M$5,0)+1,FALSE),D1465)</f>
        <v>60.58</v>
      </c>
      <c r="E1466" s="6">
        <f>IFERROR(VLOOKUP($B1466,Platts!$E$5:$M$4994,MATCH(E$3,Platts!$F$5:$M$5,0)+1,FALSE),E1465)</f>
        <v>56.98</v>
      </c>
      <c r="F1466" s="6">
        <f>IFERROR(VLOOKUP($B1466,Platts!$E$5:$M$4994,MATCH(F$3,Platts!$F$5:$M$5,0)+1,FALSE),F1465)</f>
        <v>63.03</v>
      </c>
      <c r="G1466" s="6">
        <f>IFERROR(VLOOKUP($B1466,Platts!$E$5:$M$4994,MATCH(G$3,Platts!$F$5:$M$5,0)+1,FALSE),G1465)</f>
        <v>65.84</v>
      </c>
      <c r="H1466" s="6">
        <f>IFERROR(VLOOKUP($B1466,Platts!$E$5:$M$4994,MATCH(H$3,Platts!$F$5:$M$5,0)+1,FALSE),H1465)</f>
        <v>61.18</v>
      </c>
      <c r="I1466" s="6">
        <f>IFERROR(VLOOKUP($B1466,Platts!$E$5:$M$4994,MATCH(I$3,Platts!$F$5:$M$5,0)+1,FALSE),I1465)</f>
        <v>65.08</v>
      </c>
      <c r="J1466" s="6">
        <f t="shared" si="44"/>
        <v>4.509999999999998</v>
      </c>
    </row>
    <row r="1467" spans="2:10" x14ac:dyDescent="0.25">
      <c r="B1467" s="5">
        <f t="shared" si="45"/>
        <v>43833</v>
      </c>
      <c r="C1467" s="6">
        <f>IFERROR(VLOOKUP($B1467,Platts!$E$5:$M$4994,MATCH(C$3,Platts!$F$5:$M$5,0)+1,FALSE),C1466)</f>
        <v>58.88</v>
      </c>
      <c r="D1467" s="6">
        <f>IFERROR(VLOOKUP($B1467,Platts!$E$5:$M$4994,MATCH(D$3,Platts!$F$5:$M$5,0)+1,FALSE),D1466)</f>
        <v>62.72</v>
      </c>
      <c r="E1467" s="6">
        <f>IFERROR(VLOOKUP($B1467,Platts!$E$5:$M$4994,MATCH(E$3,Platts!$F$5:$M$5,0)+1,FALSE),E1466)</f>
        <v>59.12</v>
      </c>
      <c r="F1467" s="6">
        <f>IFERROR(VLOOKUP($B1467,Platts!$E$5:$M$4994,MATCH(F$3,Platts!$F$5:$M$5,0)+1,FALSE),F1466)</f>
        <v>65.17</v>
      </c>
      <c r="G1467" s="6">
        <f>IFERROR(VLOOKUP($B1467,Platts!$E$5:$M$4994,MATCH(G$3,Platts!$F$5:$M$5,0)+1,FALSE),G1466)</f>
        <v>67.959999999999994</v>
      </c>
      <c r="H1467" s="6">
        <f>IFERROR(VLOOKUP($B1467,Platts!$E$5:$M$4994,MATCH(H$3,Platts!$F$5:$M$5,0)+1,FALSE),H1466)</f>
        <v>63.05</v>
      </c>
      <c r="I1467" s="6">
        <f>IFERROR(VLOOKUP($B1467,Platts!$E$5:$M$4994,MATCH(I$3,Platts!$F$5:$M$5,0)+1,FALSE),I1466)</f>
        <v>67</v>
      </c>
      <c r="J1467" s="6">
        <f t="shared" si="44"/>
        <v>4.1699999999999946</v>
      </c>
    </row>
    <row r="1468" spans="2:10" x14ac:dyDescent="0.25">
      <c r="B1468" s="5">
        <f t="shared" si="45"/>
        <v>43834</v>
      </c>
      <c r="C1468" s="6">
        <f>IFERROR(VLOOKUP($B1468,Platts!$E$5:$M$4994,MATCH(C$3,Platts!$F$5:$M$5,0)+1,FALSE),C1467)</f>
        <v>58.88</v>
      </c>
      <c r="D1468" s="6">
        <f>IFERROR(VLOOKUP($B1468,Platts!$E$5:$M$4994,MATCH(D$3,Platts!$F$5:$M$5,0)+1,FALSE),D1467)</f>
        <v>62.72</v>
      </c>
      <c r="E1468" s="6">
        <f>IFERROR(VLOOKUP($B1468,Platts!$E$5:$M$4994,MATCH(E$3,Platts!$F$5:$M$5,0)+1,FALSE),E1467)</f>
        <v>59.12</v>
      </c>
      <c r="F1468" s="6">
        <f>IFERROR(VLOOKUP($B1468,Platts!$E$5:$M$4994,MATCH(F$3,Platts!$F$5:$M$5,0)+1,FALSE),F1467)</f>
        <v>65.17</v>
      </c>
      <c r="G1468" s="6">
        <f>IFERROR(VLOOKUP($B1468,Platts!$E$5:$M$4994,MATCH(G$3,Platts!$F$5:$M$5,0)+1,FALSE),G1467)</f>
        <v>67.959999999999994</v>
      </c>
      <c r="H1468" s="6">
        <f>IFERROR(VLOOKUP($B1468,Platts!$E$5:$M$4994,MATCH(H$3,Platts!$F$5:$M$5,0)+1,FALSE),H1467)</f>
        <v>63.05</v>
      </c>
      <c r="I1468" s="6">
        <f>IFERROR(VLOOKUP($B1468,Platts!$E$5:$M$4994,MATCH(I$3,Platts!$F$5:$M$5,0)+1,FALSE),I1467)</f>
        <v>67</v>
      </c>
      <c r="J1468" s="6">
        <f t="shared" si="44"/>
        <v>4.1699999999999946</v>
      </c>
    </row>
    <row r="1469" spans="2:10" x14ac:dyDescent="0.25">
      <c r="B1469" s="5">
        <f t="shared" si="45"/>
        <v>43835</v>
      </c>
      <c r="C1469" s="6">
        <f>IFERROR(VLOOKUP($B1469,Platts!$E$5:$M$4994,MATCH(C$3,Platts!$F$5:$M$5,0)+1,FALSE),C1468)</f>
        <v>58.88</v>
      </c>
      <c r="D1469" s="6">
        <f>IFERROR(VLOOKUP($B1469,Platts!$E$5:$M$4994,MATCH(D$3,Platts!$F$5:$M$5,0)+1,FALSE),D1468)</f>
        <v>62.72</v>
      </c>
      <c r="E1469" s="6">
        <f>IFERROR(VLOOKUP($B1469,Platts!$E$5:$M$4994,MATCH(E$3,Platts!$F$5:$M$5,0)+1,FALSE),E1468)</f>
        <v>59.12</v>
      </c>
      <c r="F1469" s="6">
        <f>IFERROR(VLOOKUP($B1469,Platts!$E$5:$M$4994,MATCH(F$3,Platts!$F$5:$M$5,0)+1,FALSE),F1468)</f>
        <v>65.17</v>
      </c>
      <c r="G1469" s="6">
        <f>IFERROR(VLOOKUP($B1469,Platts!$E$5:$M$4994,MATCH(G$3,Platts!$F$5:$M$5,0)+1,FALSE),G1468)</f>
        <v>67.959999999999994</v>
      </c>
      <c r="H1469" s="6">
        <f>IFERROR(VLOOKUP($B1469,Platts!$E$5:$M$4994,MATCH(H$3,Platts!$F$5:$M$5,0)+1,FALSE),H1468)</f>
        <v>63.05</v>
      </c>
      <c r="I1469" s="6">
        <f>IFERROR(VLOOKUP($B1469,Platts!$E$5:$M$4994,MATCH(I$3,Platts!$F$5:$M$5,0)+1,FALSE),I1468)</f>
        <v>67</v>
      </c>
      <c r="J1469" s="6">
        <f t="shared" si="44"/>
        <v>4.1699999999999946</v>
      </c>
    </row>
    <row r="1470" spans="2:10" x14ac:dyDescent="0.25">
      <c r="B1470" s="5">
        <f t="shared" si="45"/>
        <v>43836</v>
      </c>
      <c r="C1470" s="6">
        <f>IFERROR(VLOOKUP($B1470,Platts!$E$5:$M$4994,MATCH(C$3,Platts!$F$5:$M$5,0)+1,FALSE),C1469)</f>
        <v>59.35</v>
      </c>
      <c r="D1470" s="6">
        <f>IFERROR(VLOOKUP($B1470,Platts!$E$5:$M$4994,MATCH(D$3,Platts!$F$5:$M$5,0)+1,FALSE),D1469)</f>
        <v>63</v>
      </c>
      <c r="E1470" s="6">
        <f>IFERROR(VLOOKUP($B1470,Platts!$E$5:$M$4994,MATCH(E$3,Platts!$F$5:$M$5,0)+1,FALSE),E1469)</f>
        <v>59.4</v>
      </c>
      <c r="F1470" s="6">
        <f>IFERROR(VLOOKUP($B1470,Platts!$E$5:$M$4994,MATCH(F$3,Platts!$F$5:$M$5,0)+1,FALSE),F1469)</f>
        <v>65.45</v>
      </c>
      <c r="G1470" s="6">
        <f>IFERROR(VLOOKUP($B1470,Platts!$E$5:$M$4994,MATCH(G$3,Platts!$F$5:$M$5,0)+1,FALSE),G1469)</f>
        <v>68.959999999999994</v>
      </c>
      <c r="H1470" s="6">
        <f>IFERROR(VLOOKUP($B1470,Platts!$E$5:$M$4994,MATCH(H$3,Platts!$F$5:$M$5,0)+1,FALSE),H1469)</f>
        <v>63.27</v>
      </c>
      <c r="I1470" s="6">
        <f>IFERROR(VLOOKUP($B1470,Platts!$E$5:$M$4994,MATCH(I$3,Platts!$F$5:$M$5,0)+1,FALSE),I1469)</f>
        <v>67.37</v>
      </c>
      <c r="J1470" s="6">
        <f t="shared" si="44"/>
        <v>3.9200000000000017</v>
      </c>
    </row>
    <row r="1471" spans="2:10" x14ac:dyDescent="0.25">
      <c r="B1471" s="5">
        <f t="shared" si="45"/>
        <v>43837</v>
      </c>
      <c r="C1471" s="6">
        <f>IFERROR(VLOOKUP($B1471,Platts!$E$5:$M$4994,MATCH(C$3,Platts!$F$5:$M$5,0)+1,FALSE),C1470)</f>
        <v>58.61</v>
      </c>
      <c r="D1471" s="6">
        <f>IFERROR(VLOOKUP($B1471,Platts!$E$5:$M$4994,MATCH(D$3,Platts!$F$5:$M$5,0)+1,FALSE),D1470)</f>
        <v>62.38</v>
      </c>
      <c r="E1471" s="6">
        <f>IFERROR(VLOOKUP($B1471,Platts!$E$5:$M$4994,MATCH(E$3,Platts!$F$5:$M$5,0)+1,FALSE),E1470)</f>
        <v>58.78</v>
      </c>
      <c r="F1471" s="6">
        <f>IFERROR(VLOOKUP($B1471,Platts!$E$5:$M$4994,MATCH(F$3,Platts!$F$5:$M$5,0)+1,FALSE),F1470)</f>
        <v>64.83</v>
      </c>
      <c r="G1471" s="6">
        <f>IFERROR(VLOOKUP($B1471,Platts!$E$5:$M$4994,MATCH(G$3,Platts!$F$5:$M$5,0)+1,FALSE),G1470)</f>
        <v>68.06</v>
      </c>
      <c r="H1471" s="6">
        <f>IFERROR(VLOOKUP($B1471,Platts!$E$5:$M$4994,MATCH(H$3,Platts!$F$5:$M$5,0)+1,FALSE),H1470)</f>
        <v>62.7</v>
      </c>
      <c r="I1471" s="6">
        <f>IFERROR(VLOOKUP($B1471,Platts!$E$5:$M$4994,MATCH(I$3,Platts!$F$5:$M$5,0)+1,FALSE),I1470)</f>
        <v>66.599999999999994</v>
      </c>
      <c r="J1471" s="6">
        <f t="shared" si="44"/>
        <v>4.0900000000000034</v>
      </c>
    </row>
    <row r="1472" spans="2:10" x14ac:dyDescent="0.25">
      <c r="B1472" s="5">
        <f t="shared" si="45"/>
        <v>43838</v>
      </c>
      <c r="C1472" s="6">
        <f>IFERROR(VLOOKUP($B1472,Platts!$E$5:$M$4994,MATCH(C$3,Platts!$F$5:$M$5,0)+1,FALSE),C1471)</f>
        <v>56.12</v>
      </c>
      <c r="D1472" s="6">
        <f>IFERROR(VLOOKUP($B1472,Platts!$E$5:$M$4994,MATCH(D$3,Platts!$F$5:$M$5,0)+1,FALSE),D1471)</f>
        <v>59.54</v>
      </c>
      <c r="E1472" s="6">
        <f>IFERROR(VLOOKUP($B1472,Platts!$E$5:$M$4994,MATCH(E$3,Platts!$F$5:$M$5,0)+1,FALSE),E1471)</f>
        <v>55.94</v>
      </c>
      <c r="F1472" s="6">
        <f>IFERROR(VLOOKUP($B1472,Platts!$E$5:$M$4994,MATCH(F$3,Platts!$F$5:$M$5,0)+1,FALSE),F1471)</f>
        <v>61.99</v>
      </c>
      <c r="G1472" s="6">
        <f>IFERROR(VLOOKUP($B1472,Platts!$E$5:$M$4994,MATCH(G$3,Platts!$F$5:$M$5,0)+1,FALSE),G1471)</f>
        <v>66.75</v>
      </c>
      <c r="H1472" s="6">
        <f>IFERROR(VLOOKUP($B1472,Platts!$E$5:$M$4994,MATCH(H$3,Platts!$F$5:$M$5,0)+1,FALSE),H1471)</f>
        <v>59.61</v>
      </c>
      <c r="I1472" s="6">
        <f>IFERROR(VLOOKUP($B1472,Platts!$E$5:$M$4994,MATCH(I$3,Platts!$F$5:$M$5,0)+1,FALSE),I1471)</f>
        <v>63.61</v>
      </c>
      <c r="J1472" s="6">
        <f t="shared" si="44"/>
        <v>3.490000000000002</v>
      </c>
    </row>
    <row r="1473" spans="2:10" x14ac:dyDescent="0.25">
      <c r="B1473" s="5">
        <f t="shared" si="45"/>
        <v>43839</v>
      </c>
      <c r="C1473" s="6">
        <f>IFERROR(VLOOKUP($B1473,Platts!$E$5:$M$4994,MATCH(C$3,Platts!$F$5:$M$5,0)+1,FALSE),C1472)</f>
        <v>55.7</v>
      </c>
      <c r="D1473" s="6">
        <f>IFERROR(VLOOKUP($B1473,Platts!$E$5:$M$4994,MATCH(D$3,Platts!$F$5:$M$5,0)+1,FALSE),D1472)</f>
        <v>59.31</v>
      </c>
      <c r="E1473" s="6">
        <f>IFERROR(VLOOKUP($B1473,Platts!$E$5:$M$4994,MATCH(E$3,Platts!$F$5:$M$5,0)+1,FALSE),E1472)</f>
        <v>55.71</v>
      </c>
      <c r="F1473" s="6">
        <f>IFERROR(VLOOKUP($B1473,Platts!$E$5:$M$4994,MATCH(F$3,Platts!$F$5:$M$5,0)+1,FALSE),F1472)</f>
        <v>61.76</v>
      </c>
      <c r="G1473" s="6">
        <f>IFERROR(VLOOKUP($B1473,Platts!$E$5:$M$4994,MATCH(G$3,Platts!$F$5:$M$5,0)+1,FALSE),G1472)</f>
        <v>65.540000000000006</v>
      </c>
      <c r="H1473" s="6">
        <f>IFERROR(VLOOKUP($B1473,Platts!$E$5:$M$4994,MATCH(H$3,Platts!$F$5:$M$5,0)+1,FALSE),H1472)</f>
        <v>59.56</v>
      </c>
      <c r="I1473" s="6">
        <f>IFERROR(VLOOKUP($B1473,Platts!$E$5:$M$4994,MATCH(I$3,Platts!$F$5:$M$5,0)+1,FALSE),I1472)</f>
        <v>63.51</v>
      </c>
      <c r="J1473" s="6">
        <f t="shared" si="44"/>
        <v>3.8599999999999994</v>
      </c>
    </row>
    <row r="1474" spans="2:10" x14ac:dyDescent="0.25">
      <c r="B1474" s="5">
        <f t="shared" si="45"/>
        <v>43840</v>
      </c>
      <c r="C1474" s="6">
        <f>IFERROR(VLOOKUP($B1474,Platts!$E$5:$M$4994,MATCH(C$3,Platts!$F$5:$M$5,0)+1,FALSE),C1473)</f>
        <v>55.33</v>
      </c>
      <c r="D1474" s="6">
        <f>IFERROR(VLOOKUP($B1474,Platts!$E$5:$M$4994,MATCH(D$3,Platts!$F$5:$M$5,0)+1,FALSE),D1473)</f>
        <v>58.98</v>
      </c>
      <c r="E1474" s="6">
        <f>IFERROR(VLOOKUP($B1474,Platts!$E$5:$M$4994,MATCH(E$3,Platts!$F$5:$M$5,0)+1,FALSE),E1473)</f>
        <v>55.38</v>
      </c>
      <c r="F1474" s="6">
        <f>IFERROR(VLOOKUP($B1474,Platts!$E$5:$M$4994,MATCH(F$3,Platts!$F$5:$M$5,0)+1,FALSE),F1473)</f>
        <v>61.43</v>
      </c>
      <c r="G1474" s="6">
        <f>IFERROR(VLOOKUP($B1474,Platts!$E$5:$M$4994,MATCH(G$3,Platts!$F$5:$M$5,0)+1,FALSE),G1473)</f>
        <v>65.569999999999993</v>
      </c>
      <c r="H1474" s="6">
        <f>IFERROR(VLOOKUP($B1474,Platts!$E$5:$M$4994,MATCH(H$3,Platts!$F$5:$M$5,0)+1,FALSE),H1473)</f>
        <v>59.04</v>
      </c>
      <c r="I1474" s="6">
        <f>IFERROR(VLOOKUP($B1474,Platts!$E$5:$M$4994,MATCH(I$3,Platts!$F$5:$M$5,0)+1,FALSE),I1473)</f>
        <v>62.94</v>
      </c>
      <c r="J1474" s="6">
        <f t="shared" si="44"/>
        <v>3.7100000000000009</v>
      </c>
    </row>
    <row r="1475" spans="2:10" x14ac:dyDescent="0.25">
      <c r="B1475" s="5">
        <f t="shared" si="45"/>
        <v>43841</v>
      </c>
      <c r="C1475" s="6">
        <f>IFERROR(VLOOKUP($B1475,Platts!$E$5:$M$4994,MATCH(C$3,Platts!$F$5:$M$5,0)+1,FALSE),C1474)</f>
        <v>55.33</v>
      </c>
      <c r="D1475" s="6">
        <f>IFERROR(VLOOKUP($B1475,Platts!$E$5:$M$4994,MATCH(D$3,Platts!$F$5:$M$5,0)+1,FALSE),D1474)</f>
        <v>58.98</v>
      </c>
      <c r="E1475" s="6">
        <f>IFERROR(VLOOKUP($B1475,Platts!$E$5:$M$4994,MATCH(E$3,Platts!$F$5:$M$5,0)+1,FALSE),E1474)</f>
        <v>55.38</v>
      </c>
      <c r="F1475" s="6">
        <f>IFERROR(VLOOKUP($B1475,Platts!$E$5:$M$4994,MATCH(F$3,Platts!$F$5:$M$5,0)+1,FALSE),F1474)</f>
        <v>61.43</v>
      </c>
      <c r="G1475" s="6">
        <f>IFERROR(VLOOKUP($B1475,Platts!$E$5:$M$4994,MATCH(G$3,Platts!$F$5:$M$5,0)+1,FALSE),G1474)</f>
        <v>65.569999999999993</v>
      </c>
      <c r="H1475" s="6">
        <f>IFERROR(VLOOKUP($B1475,Platts!$E$5:$M$4994,MATCH(H$3,Platts!$F$5:$M$5,0)+1,FALSE),H1474)</f>
        <v>59.04</v>
      </c>
      <c r="I1475" s="6">
        <f>IFERROR(VLOOKUP($B1475,Platts!$E$5:$M$4994,MATCH(I$3,Platts!$F$5:$M$5,0)+1,FALSE),I1474)</f>
        <v>62.94</v>
      </c>
      <c r="J1475" s="6">
        <f t="shared" si="44"/>
        <v>3.7100000000000009</v>
      </c>
    </row>
    <row r="1476" spans="2:10" x14ac:dyDescent="0.25">
      <c r="B1476" s="5">
        <f t="shared" si="45"/>
        <v>43842</v>
      </c>
      <c r="C1476" s="6">
        <f>IFERROR(VLOOKUP($B1476,Platts!$E$5:$M$4994,MATCH(C$3,Platts!$F$5:$M$5,0)+1,FALSE),C1475)</f>
        <v>55.33</v>
      </c>
      <c r="D1476" s="6">
        <f>IFERROR(VLOOKUP($B1476,Platts!$E$5:$M$4994,MATCH(D$3,Platts!$F$5:$M$5,0)+1,FALSE),D1475)</f>
        <v>58.98</v>
      </c>
      <c r="E1476" s="6">
        <f>IFERROR(VLOOKUP($B1476,Platts!$E$5:$M$4994,MATCH(E$3,Platts!$F$5:$M$5,0)+1,FALSE),E1475)</f>
        <v>55.38</v>
      </c>
      <c r="F1476" s="6">
        <f>IFERROR(VLOOKUP($B1476,Platts!$E$5:$M$4994,MATCH(F$3,Platts!$F$5:$M$5,0)+1,FALSE),F1475)</f>
        <v>61.43</v>
      </c>
      <c r="G1476" s="6">
        <f>IFERROR(VLOOKUP($B1476,Platts!$E$5:$M$4994,MATCH(G$3,Platts!$F$5:$M$5,0)+1,FALSE),G1475)</f>
        <v>65.569999999999993</v>
      </c>
      <c r="H1476" s="6">
        <f>IFERROR(VLOOKUP($B1476,Platts!$E$5:$M$4994,MATCH(H$3,Platts!$F$5:$M$5,0)+1,FALSE),H1475)</f>
        <v>59.04</v>
      </c>
      <c r="I1476" s="6">
        <f>IFERROR(VLOOKUP($B1476,Platts!$E$5:$M$4994,MATCH(I$3,Platts!$F$5:$M$5,0)+1,FALSE),I1475)</f>
        <v>62.94</v>
      </c>
      <c r="J1476" s="6">
        <f t="shared" ref="J1476:J1539" si="46">H1476-C1476</f>
        <v>3.7100000000000009</v>
      </c>
    </row>
    <row r="1477" spans="2:10" x14ac:dyDescent="0.25">
      <c r="B1477" s="5">
        <f t="shared" si="45"/>
        <v>43843</v>
      </c>
      <c r="C1477" s="6">
        <f>IFERROR(VLOOKUP($B1477,Platts!$E$5:$M$4994,MATCH(C$3,Platts!$F$5:$M$5,0)+1,FALSE),C1476)</f>
        <v>54.6</v>
      </c>
      <c r="D1477" s="6">
        <f>IFERROR(VLOOKUP($B1477,Platts!$E$5:$M$4994,MATCH(D$3,Platts!$F$5:$M$5,0)+1,FALSE),D1476)</f>
        <v>58.17</v>
      </c>
      <c r="E1477" s="6">
        <f>IFERROR(VLOOKUP($B1477,Platts!$E$5:$M$4994,MATCH(E$3,Platts!$F$5:$M$5,0)+1,FALSE),E1476)</f>
        <v>54.57</v>
      </c>
      <c r="F1477" s="6">
        <f>IFERROR(VLOOKUP($B1477,Platts!$E$5:$M$4994,MATCH(F$3,Platts!$F$5:$M$5,0)+1,FALSE),F1476)</f>
        <v>60.62</v>
      </c>
      <c r="G1477" s="6">
        <f>IFERROR(VLOOKUP($B1477,Platts!$E$5:$M$4994,MATCH(G$3,Platts!$F$5:$M$5,0)+1,FALSE),G1476)</f>
        <v>64.150000000000006</v>
      </c>
      <c r="H1477" s="6">
        <f>IFERROR(VLOOKUP($B1477,Platts!$E$5:$M$4994,MATCH(H$3,Platts!$F$5:$M$5,0)+1,FALSE),H1476)</f>
        <v>58.08</v>
      </c>
      <c r="I1477" s="6">
        <f>IFERROR(VLOOKUP($B1477,Platts!$E$5:$M$4994,MATCH(I$3,Platts!$F$5:$M$5,0)+1,FALSE),I1476)</f>
        <v>61.93</v>
      </c>
      <c r="J1477" s="6">
        <f t="shared" si="46"/>
        <v>3.4799999999999969</v>
      </c>
    </row>
    <row r="1478" spans="2:10" x14ac:dyDescent="0.25">
      <c r="B1478" s="5">
        <f t="shared" ref="B1478:B1541" si="47">B1477+1</f>
        <v>43844</v>
      </c>
      <c r="C1478" s="6">
        <f>IFERROR(VLOOKUP($B1478,Platts!$E$5:$M$4994,MATCH(C$3,Platts!$F$5:$M$5,0)+1,FALSE),C1477)</f>
        <v>54.82</v>
      </c>
      <c r="D1478" s="6">
        <f>IFERROR(VLOOKUP($B1478,Platts!$E$5:$M$4994,MATCH(D$3,Platts!$F$5:$M$5,0)+1,FALSE),D1477)</f>
        <v>58.62</v>
      </c>
      <c r="E1478" s="6">
        <f>IFERROR(VLOOKUP($B1478,Platts!$E$5:$M$4994,MATCH(E$3,Platts!$F$5:$M$5,0)+1,FALSE),E1477)</f>
        <v>55.02</v>
      </c>
      <c r="F1478" s="6">
        <f>IFERROR(VLOOKUP($B1478,Platts!$E$5:$M$4994,MATCH(F$3,Platts!$F$5:$M$5,0)+1,FALSE),F1477)</f>
        <v>61.07</v>
      </c>
      <c r="G1478" s="6">
        <f>IFERROR(VLOOKUP($B1478,Platts!$E$5:$M$4994,MATCH(G$3,Platts!$F$5:$M$5,0)+1,FALSE),G1477)</f>
        <v>64.819999999999993</v>
      </c>
      <c r="H1478" s="6">
        <f>IFERROR(VLOOKUP($B1478,Platts!$E$5:$M$4994,MATCH(H$3,Platts!$F$5:$M$5,0)+1,FALSE),H1477)</f>
        <v>58.23</v>
      </c>
      <c r="I1478" s="6">
        <f>IFERROR(VLOOKUP($B1478,Platts!$E$5:$M$4994,MATCH(I$3,Platts!$F$5:$M$5,0)+1,FALSE),I1477)</f>
        <v>62.13</v>
      </c>
      <c r="J1478" s="6">
        <f t="shared" si="46"/>
        <v>3.4099999999999966</v>
      </c>
    </row>
    <row r="1479" spans="2:10" x14ac:dyDescent="0.25">
      <c r="B1479" s="5">
        <f t="shared" si="47"/>
        <v>43845</v>
      </c>
      <c r="C1479" s="6">
        <f>IFERROR(VLOOKUP($B1479,Platts!$E$5:$M$4994,MATCH(C$3,Platts!$F$5:$M$5,0)+1,FALSE),C1478)</f>
        <v>54.4</v>
      </c>
      <c r="D1479" s="6">
        <f>IFERROR(VLOOKUP($B1479,Platts!$E$5:$M$4994,MATCH(D$3,Platts!$F$5:$M$5,0)+1,FALSE),D1478)</f>
        <v>58.2</v>
      </c>
      <c r="E1479" s="6">
        <f>IFERROR(VLOOKUP($B1479,Platts!$E$5:$M$4994,MATCH(E$3,Platts!$F$5:$M$5,0)+1,FALSE),E1478)</f>
        <v>54.6</v>
      </c>
      <c r="F1479" s="6">
        <f>IFERROR(VLOOKUP($B1479,Platts!$E$5:$M$4994,MATCH(F$3,Platts!$F$5:$M$5,0)+1,FALSE),F1478)</f>
        <v>60.65</v>
      </c>
      <c r="G1479" s="6">
        <f>IFERROR(VLOOKUP($B1479,Platts!$E$5:$M$4994,MATCH(G$3,Platts!$F$5:$M$5,0)+1,FALSE),G1478)</f>
        <v>63.93</v>
      </c>
      <c r="H1479" s="6">
        <f>IFERROR(VLOOKUP($B1479,Platts!$E$5:$M$4994,MATCH(H$3,Platts!$F$5:$M$5,0)+1,FALSE),H1478)</f>
        <v>57.81</v>
      </c>
      <c r="I1479" s="6">
        <f>IFERROR(VLOOKUP($B1479,Platts!$E$5:$M$4994,MATCH(I$3,Platts!$F$5:$M$5,0)+1,FALSE),I1478)</f>
        <v>61.56</v>
      </c>
      <c r="J1479" s="6">
        <f t="shared" si="46"/>
        <v>3.4100000000000037</v>
      </c>
    </row>
    <row r="1480" spans="2:10" x14ac:dyDescent="0.25">
      <c r="B1480" s="5">
        <f t="shared" si="47"/>
        <v>43846</v>
      </c>
      <c r="C1480" s="6">
        <f>IFERROR(VLOOKUP($B1480,Platts!$E$5:$M$4994,MATCH(C$3,Platts!$F$5:$M$5,0)+1,FALSE),C1479)</f>
        <v>54.95</v>
      </c>
      <c r="D1480" s="6">
        <f>IFERROR(VLOOKUP($B1480,Platts!$E$5:$M$4994,MATCH(D$3,Platts!$F$5:$M$5,0)+1,FALSE),D1479)</f>
        <v>58.74</v>
      </c>
      <c r="E1480" s="6">
        <f>IFERROR(VLOOKUP($B1480,Platts!$E$5:$M$4994,MATCH(E$3,Platts!$F$5:$M$5,0)+1,FALSE),E1479)</f>
        <v>55.14</v>
      </c>
      <c r="F1480" s="6">
        <f>IFERROR(VLOOKUP($B1480,Platts!$E$5:$M$4994,MATCH(F$3,Platts!$F$5:$M$5,0)+1,FALSE),F1479)</f>
        <v>61.19</v>
      </c>
      <c r="G1480" s="6">
        <f>IFERROR(VLOOKUP($B1480,Platts!$E$5:$M$4994,MATCH(G$3,Platts!$F$5:$M$5,0)+1,FALSE),G1479)</f>
        <v>64.87</v>
      </c>
      <c r="H1480" s="6">
        <f>IFERROR(VLOOKUP($B1480,Platts!$E$5:$M$4994,MATCH(H$3,Platts!$F$5:$M$5,0)+1,FALSE),H1479)</f>
        <v>58.52</v>
      </c>
      <c r="I1480" s="6">
        <f>IFERROR(VLOOKUP($B1480,Platts!$E$5:$M$4994,MATCH(I$3,Platts!$F$5:$M$5,0)+1,FALSE),I1479)</f>
        <v>62.32</v>
      </c>
      <c r="J1480" s="6">
        <f t="shared" si="46"/>
        <v>3.5700000000000003</v>
      </c>
    </row>
    <row r="1481" spans="2:10" x14ac:dyDescent="0.25">
      <c r="B1481" s="5">
        <f t="shared" si="47"/>
        <v>43847</v>
      </c>
      <c r="C1481" s="6">
        <f>IFERROR(VLOOKUP($B1481,Platts!$E$5:$M$4994,MATCH(C$3,Platts!$F$5:$M$5,0)+1,FALSE),C1480)</f>
        <v>55.06</v>
      </c>
      <c r="D1481" s="6">
        <f>IFERROR(VLOOKUP($B1481,Platts!$E$5:$M$4994,MATCH(D$3,Platts!$F$5:$M$5,0)+1,FALSE),D1480)</f>
        <v>58.74</v>
      </c>
      <c r="E1481" s="6">
        <f>IFERROR(VLOOKUP($B1481,Platts!$E$5:$M$4994,MATCH(E$3,Platts!$F$5:$M$5,0)+1,FALSE),E1480)</f>
        <v>55.14</v>
      </c>
      <c r="F1481" s="6">
        <f>IFERROR(VLOOKUP($B1481,Platts!$E$5:$M$4994,MATCH(F$3,Platts!$F$5:$M$5,0)+1,FALSE),F1480)</f>
        <v>61.19</v>
      </c>
      <c r="G1481" s="6">
        <f>IFERROR(VLOOKUP($B1481,Platts!$E$5:$M$4994,MATCH(G$3,Platts!$F$5:$M$5,0)+1,FALSE),G1480)</f>
        <v>64.59</v>
      </c>
      <c r="H1481" s="6">
        <f>IFERROR(VLOOKUP($B1481,Platts!$E$5:$M$4994,MATCH(H$3,Platts!$F$5:$M$5,0)+1,FALSE),H1480)</f>
        <v>58.54</v>
      </c>
      <c r="I1481" s="6">
        <f>IFERROR(VLOOKUP($B1481,Platts!$E$5:$M$4994,MATCH(I$3,Platts!$F$5:$M$5,0)+1,FALSE),I1480)</f>
        <v>62.24</v>
      </c>
      <c r="J1481" s="6">
        <f t="shared" si="46"/>
        <v>3.4799999999999969</v>
      </c>
    </row>
    <row r="1482" spans="2:10" x14ac:dyDescent="0.25">
      <c r="B1482" s="5">
        <f t="shared" si="47"/>
        <v>43848</v>
      </c>
      <c r="C1482" s="6">
        <f>IFERROR(VLOOKUP($B1482,Platts!$E$5:$M$4994,MATCH(C$3,Platts!$F$5:$M$5,0)+1,FALSE),C1481)</f>
        <v>55.06</v>
      </c>
      <c r="D1482" s="6">
        <f>IFERROR(VLOOKUP($B1482,Platts!$E$5:$M$4994,MATCH(D$3,Platts!$F$5:$M$5,0)+1,FALSE),D1481)</f>
        <v>58.74</v>
      </c>
      <c r="E1482" s="6">
        <f>IFERROR(VLOOKUP($B1482,Platts!$E$5:$M$4994,MATCH(E$3,Platts!$F$5:$M$5,0)+1,FALSE),E1481)</f>
        <v>55.14</v>
      </c>
      <c r="F1482" s="6">
        <f>IFERROR(VLOOKUP($B1482,Platts!$E$5:$M$4994,MATCH(F$3,Platts!$F$5:$M$5,0)+1,FALSE),F1481)</f>
        <v>61.19</v>
      </c>
      <c r="G1482" s="6">
        <f>IFERROR(VLOOKUP($B1482,Platts!$E$5:$M$4994,MATCH(G$3,Platts!$F$5:$M$5,0)+1,FALSE),G1481)</f>
        <v>64.59</v>
      </c>
      <c r="H1482" s="6">
        <f>IFERROR(VLOOKUP($B1482,Platts!$E$5:$M$4994,MATCH(H$3,Platts!$F$5:$M$5,0)+1,FALSE),H1481)</f>
        <v>58.54</v>
      </c>
      <c r="I1482" s="6">
        <f>IFERROR(VLOOKUP($B1482,Platts!$E$5:$M$4994,MATCH(I$3,Platts!$F$5:$M$5,0)+1,FALSE),I1481)</f>
        <v>62.24</v>
      </c>
      <c r="J1482" s="6">
        <f t="shared" si="46"/>
        <v>3.4799999999999969</v>
      </c>
    </row>
    <row r="1483" spans="2:10" x14ac:dyDescent="0.25">
      <c r="B1483" s="5">
        <f t="shared" si="47"/>
        <v>43849</v>
      </c>
      <c r="C1483" s="6">
        <f>IFERROR(VLOOKUP($B1483,Platts!$E$5:$M$4994,MATCH(C$3,Platts!$F$5:$M$5,0)+1,FALSE),C1482)</f>
        <v>55.06</v>
      </c>
      <c r="D1483" s="6">
        <f>IFERROR(VLOOKUP($B1483,Platts!$E$5:$M$4994,MATCH(D$3,Platts!$F$5:$M$5,0)+1,FALSE),D1482)</f>
        <v>58.74</v>
      </c>
      <c r="E1483" s="6">
        <f>IFERROR(VLOOKUP($B1483,Platts!$E$5:$M$4994,MATCH(E$3,Platts!$F$5:$M$5,0)+1,FALSE),E1482)</f>
        <v>55.14</v>
      </c>
      <c r="F1483" s="6">
        <f>IFERROR(VLOOKUP($B1483,Platts!$E$5:$M$4994,MATCH(F$3,Platts!$F$5:$M$5,0)+1,FALSE),F1482)</f>
        <v>61.19</v>
      </c>
      <c r="G1483" s="6">
        <f>IFERROR(VLOOKUP($B1483,Platts!$E$5:$M$4994,MATCH(G$3,Platts!$F$5:$M$5,0)+1,FALSE),G1482)</f>
        <v>64.59</v>
      </c>
      <c r="H1483" s="6">
        <f>IFERROR(VLOOKUP($B1483,Platts!$E$5:$M$4994,MATCH(H$3,Platts!$F$5:$M$5,0)+1,FALSE),H1482)</f>
        <v>58.54</v>
      </c>
      <c r="I1483" s="6">
        <f>IFERROR(VLOOKUP($B1483,Platts!$E$5:$M$4994,MATCH(I$3,Platts!$F$5:$M$5,0)+1,FALSE),I1482)</f>
        <v>62.24</v>
      </c>
      <c r="J1483" s="6">
        <f t="shared" si="46"/>
        <v>3.4799999999999969</v>
      </c>
    </row>
    <row r="1484" spans="2:10" x14ac:dyDescent="0.25">
      <c r="B1484" s="5">
        <f t="shared" si="47"/>
        <v>43850</v>
      </c>
      <c r="C1484" s="6">
        <f>IFERROR(VLOOKUP($B1484,Platts!$E$5:$M$4994,MATCH(C$3,Platts!$F$5:$M$5,0)+1,FALSE),C1483)</f>
        <v>55.06</v>
      </c>
      <c r="D1484" s="6">
        <f>IFERROR(VLOOKUP($B1484,Platts!$E$5:$M$4994,MATCH(D$3,Platts!$F$5:$M$5,0)+1,FALSE),D1483)</f>
        <v>58.74</v>
      </c>
      <c r="E1484" s="6">
        <f>IFERROR(VLOOKUP($B1484,Platts!$E$5:$M$4994,MATCH(E$3,Platts!$F$5:$M$5,0)+1,FALSE),E1483)</f>
        <v>55.14</v>
      </c>
      <c r="F1484" s="6">
        <f>IFERROR(VLOOKUP($B1484,Platts!$E$5:$M$4994,MATCH(F$3,Platts!$F$5:$M$5,0)+1,FALSE),F1483)</f>
        <v>61.19</v>
      </c>
      <c r="G1484" s="6">
        <f>IFERROR(VLOOKUP($B1484,Platts!$E$5:$M$4994,MATCH(G$3,Platts!$F$5:$M$5,0)+1,FALSE),G1483)</f>
        <v>65.180000000000007</v>
      </c>
      <c r="H1484" s="6">
        <f>IFERROR(VLOOKUP($B1484,Platts!$E$5:$M$4994,MATCH(H$3,Platts!$F$5:$M$5,0)+1,FALSE),H1483)</f>
        <v>58.54</v>
      </c>
      <c r="I1484" s="6">
        <f>IFERROR(VLOOKUP($B1484,Platts!$E$5:$M$4994,MATCH(I$3,Platts!$F$5:$M$5,0)+1,FALSE),I1483)</f>
        <v>62.24</v>
      </c>
      <c r="J1484" s="6">
        <f t="shared" si="46"/>
        <v>3.4799999999999969</v>
      </c>
    </row>
    <row r="1485" spans="2:10" x14ac:dyDescent="0.25">
      <c r="B1485" s="5">
        <f t="shared" si="47"/>
        <v>43851</v>
      </c>
      <c r="C1485" s="6">
        <f>IFERROR(VLOOKUP($B1485,Platts!$E$5:$M$4994,MATCH(C$3,Platts!$F$5:$M$5,0)+1,FALSE),C1484)</f>
        <v>54.79</v>
      </c>
      <c r="D1485" s="6">
        <f>IFERROR(VLOOKUP($B1485,Platts!$E$5:$M$4994,MATCH(D$3,Platts!$F$5:$M$5,0)+1,FALSE),D1484)</f>
        <v>58.41</v>
      </c>
      <c r="E1485" s="6">
        <f>IFERROR(VLOOKUP($B1485,Platts!$E$5:$M$4994,MATCH(E$3,Platts!$F$5:$M$5,0)+1,FALSE),E1484)</f>
        <v>54.81</v>
      </c>
      <c r="F1485" s="6">
        <f>IFERROR(VLOOKUP($B1485,Platts!$E$5:$M$4994,MATCH(F$3,Platts!$F$5:$M$5,0)+1,FALSE),F1484)</f>
        <v>60.86</v>
      </c>
      <c r="G1485" s="6">
        <f>IFERROR(VLOOKUP($B1485,Platts!$E$5:$M$4994,MATCH(G$3,Platts!$F$5:$M$5,0)+1,FALSE),G1484)</f>
        <v>64.72</v>
      </c>
      <c r="H1485" s="6">
        <f>IFERROR(VLOOKUP($B1485,Platts!$E$5:$M$4994,MATCH(H$3,Platts!$F$5:$M$5,0)+1,FALSE),H1484)</f>
        <v>58.34</v>
      </c>
      <c r="I1485" s="6">
        <f>IFERROR(VLOOKUP($B1485,Platts!$E$5:$M$4994,MATCH(I$3,Platts!$F$5:$M$5,0)+1,FALSE),I1484)</f>
        <v>62.04</v>
      </c>
      <c r="J1485" s="6">
        <f t="shared" si="46"/>
        <v>3.5500000000000043</v>
      </c>
    </row>
    <row r="1486" spans="2:10" x14ac:dyDescent="0.25">
      <c r="B1486" s="5">
        <f t="shared" si="47"/>
        <v>43852</v>
      </c>
      <c r="C1486" s="6">
        <f>IFERROR(VLOOKUP($B1486,Platts!$E$5:$M$4994,MATCH(C$3,Platts!$F$5:$M$5,0)+1,FALSE),C1485)</f>
        <v>53.43</v>
      </c>
      <c r="D1486" s="6">
        <f>IFERROR(VLOOKUP($B1486,Platts!$E$5:$M$4994,MATCH(D$3,Platts!$F$5:$M$5,0)+1,FALSE),D1485)</f>
        <v>56.85</v>
      </c>
      <c r="E1486" s="6">
        <f>IFERROR(VLOOKUP($B1486,Platts!$E$5:$M$4994,MATCH(E$3,Platts!$F$5:$M$5,0)+1,FALSE),E1485)</f>
        <v>53.25</v>
      </c>
      <c r="F1486" s="6">
        <f>IFERROR(VLOOKUP($B1486,Platts!$E$5:$M$4994,MATCH(F$3,Platts!$F$5:$M$5,0)+1,FALSE),F1485)</f>
        <v>59.3</v>
      </c>
      <c r="G1486" s="6">
        <f>IFERROR(VLOOKUP($B1486,Platts!$E$5:$M$4994,MATCH(G$3,Platts!$F$5:$M$5,0)+1,FALSE),G1485)</f>
        <v>63.27</v>
      </c>
      <c r="H1486" s="6">
        <f>IFERROR(VLOOKUP($B1486,Platts!$E$5:$M$4994,MATCH(H$3,Platts!$F$5:$M$5,0)+1,FALSE),H1485)</f>
        <v>56.64</v>
      </c>
      <c r="I1486" s="6">
        <f>IFERROR(VLOOKUP($B1486,Platts!$E$5:$M$4994,MATCH(I$3,Platts!$F$5:$M$5,0)+1,FALSE),I1485)</f>
        <v>60.49</v>
      </c>
      <c r="J1486" s="6">
        <f t="shared" si="46"/>
        <v>3.2100000000000009</v>
      </c>
    </row>
    <row r="1487" spans="2:10" x14ac:dyDescent="0.25">
      <c r="B1487" s="5">
        <f t="shared" si="47"/>
        <v>43853</v>
      </c>
      <c r="C1487" s="6">
        <f>IFERROR(VLOOKUP($B1487,Platts!$E$5:$M$4994,MATCH(C$3,Platts!$F$5:$M$5,0)+1,FALSE),C1486)</f>
        <v>52.27</v>
      </c>
      <c r="D1487" s="6">
        <f>IFERROR(VLOOKUP($B1487,Platts!$E$5:$M$4994,MATCH(D$3,Platts!$F$5:$M$5,0)+1,FALSE),D1486)</f>
        <v>55.86</v>
      </c>
      <c r="E1487" s="6">
        <f>IFERROR(VLOOKUP($B1487,Platts!$E$5:$M$4994,MATCH(E$3,Platts!$F$5:$M$5,0)+1,FALSE),E1486)</f>
        <v>52.26</v>
      </c>
      <c r="F1487" s="6">
        <f>IFERROR(VLOOKUP($B1487,Platts!$E$5:$M$4994,MATCH(F$3,Platts!$F$5:$M$5,0)+1,FALSE),F1486)</f>
        <v>58.31</v>
      </c>
      <c r="G1487" s="6">
        <f>IFERROR(VLOOKUP($B1487,Platts!$E$5:$M$4994,MATCH(G$3,Platts!$F$5:$M$5,0)+1,FALSE),G1486)</f>
        <v>61.85</v>
      </c>
      <c r="H1487" s="6">
        <f>IFERROR(VLOOKUP($B1487,Platts!$E$5:$M$4994,MATCH(H$3,Platts!$F$5:$M$5,0)+1,FALSE),H1486)</f>
        <v>55.5</v>
      </c>
      <c r="I1487" s="6">
        <f>IFERROR(VLOOKUP($B1487,Platts!$E$5:$M$4994,MATCH(I$3,Platts!$F$5:$M$5,0)+1,FALSE),I1486)</f>
        <v>59.35</v>
      </c>
      <c r="J1487" s="6">
        <f t="shared" si="46"/>
        <v>3.2299999999999969</v>
      </c>
    </row>
    <row r="1488" spans="2:10" x14ac:dyDescent="0.25">
      <c r="B1488" s="5">
        <f t="shared" si="47"/>
        <v>43854</v>
      </c>
      <c r="C1488" s="6">
        <f>IFERROR(VLOOKUP($B1488,Platts!$E$5:$M$4994,MATCH(C$3,Platts!$F$5:$M$5,0)+1,FALSE),C1487)</f>
        <v>51.09</v>
      </c>
      <c r="D1488" s="6">
        <f>IFERROR(VLOOKUP($B1488,Platts!$E$5:$M$4994,MATCH(D$3,Platts!$F$5:$M$5,0)+1,FALSE),D1487)</f>
        <v>54.71</v>
      </c>
      <c r="E1488" s="6">
        <f>IFERROR(VLOOKUP($B1488,Platts!$E$5:$M$4994,MATCH(E$3,Platts!$F$5:$M$5,0)+1,FALSE),E1487)</f>
        <v>51.11</v>
      </c>
      <c r="F1488" s="6">
        <f>IFERROR(VLOOKUP($B1488,Platts!$E$5:$M$4994,MATCH(F$3,Platts!$F$5:$M$5,0)+1,FALSE),F1487)</f>
        <v>57.16</v>
      </c>
      <c r="G1488" s="6">
        <f>IFERROR(VLOOKUP($B1488,Platts!$E$5:$M$4994,MATCH(G$3,Platts!$F$5:$M$5,0)+1,FALSE),G1487)</f>
        <v>60.59</v>
      </c>
      <c r="H1488" s="6">
        <f>IFERROR(VLOOKUP($B1488,Platts!$E$5:$M$4994,MATCH(H$3,Platts!$F$5:$M$5,0)+1,FALSE),H1487)</f>
        <v>54.1</v>
      </c>
      <c r="I1488" s="6">
        <f>IFERROR(VLOOKUP($B1488,Platts!$E$5:$M$4994,MATCH(I$3,Platts!$F$5:$M$5,0)+1,FALSE),I1487)</f>
        <v>58.2</v>
      </c>
      <c r="J1488" s="6">
        <f t="shared" si="46"/>
        <v>3.009999999999998</v>
      </c>
    </row>
    <row r="1489" spans="2:10" x14ac:dyDescent="0.25">
      <c r="B1489" s="5">
        <f t="shared" si="47"/>
        <v>43855</v>
      </c>
      <c r="C1489" s="6">
        <f>IFERROR(VLOOKUP($B1489,Platts!$E$5:$M$4994,MATCH(C$3,Platts!$F$5:$M$5,0)+1,FALSE),C1488)</f>
        <v>51.09</v>
      </c>
      <c r="D1489" s="6">
        <f>IFERROR(VLOOKUP($B1489,Platts!$E$5:$M$4994,MATCH(D$3,Platts!$F$5:$M$5,0)+1,FALSE),D1488)</f>
        <v>54.71</v>
      </c>
      <c r="E1489" s="6">
        <f>IFERROR(VLOOKUP($B1489,Platts!$E$5:$M$4994,MATCH(E$3,Platts!$F$5:$M$5,0)+1,FALSE),E1488)</f>
        <v>51.11</v>
      </c>
      <c r="F1489" s="6">
        <f>IFERROR(VLOOKUP($B1489,Platts!$E$5:$M$4994,MATCH(F$3,Platts!$F$5:$M$5,0)+1,FALSE),F1488)</f>
        <v>57.16</v>
      </c>
      <c r="G1489" s="6">
        <f>IFERROR(VLOOKUP($B1489,Platts!$E$5:$M$4994,MATCH(G$3,Platts!$F$5:$M$5,0)+1,FALSE),G1488)</f>
        <v>60.59</v>
      </c>
      <c r="H1489" s="6">
        <f>IFERROR(VLOOKUP($B1489,Platts!$E$5:$M$4994,MATCH(H$3,Platts!$F$5:$M$5,0)+1,FALSE),H1488)</f>
        <v>54.1</v>
      </c>
      <c r="I1489" s="6">
        <f>IFERROR(VLOOKUP($B1489,Platts!$E$5:$M$4994,MATCH(I$3,Platts!$F$5:$M$5,0)+1,FALSE),I1488)</f>
        <v>58.2</v>
      </c>
      <c r="J1489" s="6">
        <f t="shared" si="46"/>
        <v>3.009999999999998</v>
      </c>
    </row>
    <row r="1490" spans="2:10" x14ac:dyDescent="0.25">
      <c r="B1490" s="5">
        <f t="shared" si="47"/>
        <v>43856</v>
      </c>
      <c r="C1490" s="6">
        <f>IFERROR(VLOOKUP($B1490,Platts!$E$5:$M$4994,MATCH(C$3,Platts!$F$5:$M$5,0)+1,FALSE),C1489)</f>
        <v>51.09</v>
      </c>
      <c r="D1490" s="6">
        <f>IFERROR(VLOOKUP($B1490,Platts!$E$5:$M$4994,MATCH(D$3,Platts!$F$5:$M$5,0)+1,FALSE),D1489)</f>
        <v>54.71</v>
      </c>
      <c r="E1490" s="6">
        <f>IFERROR(VLOOKUP($B1490,Platts!$E$5:$M$4994,MATCH(E$3,Platts!$F$5:$M$5,0)+1,FALSE),E1489)</f>
        <v>51.11</v>
      </c>
      <c r="F1490" s="6">
        <f>IFERROR(VLOOKUP($B1490,Platts!$E$5:$M$4994,MATCH(F$3,Platts!$F$5:$M$5,0)+1,FALSE),F1489)</f>
        <v>57.16</v>
      </c>
      <c r="G1490" s="6">
        <f>IFERROR(VLOOKUP($B1490,Platts!$E$5:$M$4994,MATCH(G$3,Platts!$F$5:$M$5,0)+1,FALSE),G1489)</f>
        <v>60.59</v>
      </c>
      <c r="H1490" s="6">
        <f>IFERROR(VLOOKUP($B1490,Platts!$E$5:$M$4994,MATCH(H$3,Platts!$F$5:$M$5,0)+1,FALSE),H1489)</f>
        <v>54.1</v>
      </c>
      <c r="I1490" s="6">
        <f>IFERROR(VLOOKUP($B1490,Platts!$E$5:$M$4994,MATCH(I$3,Platts!$F$5:$M$5,0)+1,FALSE),I1489)</f>
        <v>58.2</v>
      </c>
      <c r="J1490" s="6">
        <f t="shared" si="46"/>
        <v>3.009999999999998</v>
      </c>
    </row>
    <row r="1491" spans="2:10" x14ac:dyDescent="0.25">
      <c r="B1491" s="5">
        <f t="shared" si="47"/>
        <v>43857</v>
      </c>
      <c r="C1491" s="6">
        <f>IFERROR(VLOOKUP($B1491,Platts!$E$5:$M$4994,MATCH(C$3,Platts!$F$5:$M$5,0)+1,FALSE),C1490)</f>
        <v>49.8</v>
      </c>
      <c r="D1491" s="6">
        <f>IFERROR(VLOOKUP($B1491,Platts!$E$5:$M$4994,MATCH(D$3,Platts!$F$5:$M$5,0)+1,FALSE),D1490)</f>
        <v>53.04</v>
      </c>
      <c r="E1491" s="6">
        <f>IFERROR(VLOOKUP($B1491,Platts!$E$5:$M$4994,MATCH(E$3,Platts!$F$5:$M$5,0)+1,FALSE),E1490)</f>
        <v>49.44</v>
      </c>
      <c r="F1491" s="6">
        <f>IFERROR(VLOOKUP($B1491,Platts!$E$5:$M$4994,MATCH(F$3,Platts!$F$5:$M$5,0)+1,FALSE),F1490)</f>
        <v>55.49</v>
      </c>
      <c r="G1491" s="6">
        <f>IFERROR(VLOOKUP($B1491,Platts!$E$5:$M$4994,MATCH(G$3,Platts!$F$5:$M$5,0)+1,FALSE),G1490)</f>
        <v>59.1</v>
      </c>
      <c r="H1491" s="6">
        <f>IFERROR(VLOOKUP($B1491,Platts!$E$5:$M$4994,MATCH(H$3,Platts!$F$5:$M$5,0)+1,FALSE),H1490)</f>
        <v>53.14</v>
      </c>
      <c r="I1491" s="6">
        <f>IFERROR(VLOOKUP($B1491,Platts!$E$5:$M$4994,MATCH(I$3,Platts!$F$5:$M$5,0)+1,FALSE),I1490)</f>
        <v>56.69</v>
      </c>
      <c r="J1491" s="6">
        <f t="shared" si="46"/>
        <v>3.3400000000000034</v>
      </c>
    </row>
    <row r="1492" spans="2:10" x14ac:dyDescent="0.25">
      <c r="B1492" s="5">
        <f t="shared" si="47"/>
        <v>43858</v>
      </c>
      <c r="C1492" s="6">
        <f>IFERROR(VLOOKUP($B1492,Platts!$E$5:$M$4994,MATCH(C$3,Platts!$F$5:$M$5,0)+1,FALSE),C1491)</f>
        <v>49.59</v>
      </c>
      <c r="D1492" s="6">
        <f>IFERROR(VLOOKUP($B1492,Platts!$E$5:$M$4994,MATCH(D$3,Platts!$F$5:$M$5,0)+1,FALSE),D1491)</f>
        <v>53.42</v>
      </c>
      <c r="E1492" s="6">
        <f>IFERROR(VLOOKUP($B1492,Platts!$E$5:$M$4994,MATCH(E$3,Platts!$F$5:$M$5,0)+1,FALSE),E1491)</f>
        <v>49.82</v>
      </c>
      <c r="F1492" s="6">
        <f>IFERROR(VLOOKUP($B1492,Platts!$E$5:$M$4994,MATCH(F$3,Platts!$F$5:$M$5,0)+1,FALSE),F1491)</f>
        <v>55.87</v>
      </c>
      <c r="G1492" s="6">
        <f>IFERROR(VLOOKUP($B1492,Platts!$E$5:$M$4994,MATCH(G$3,Platts!$F$5:$M$5,0)+1,FALSE),G1491)</f>
        <v>59.97</v>
      </c>
      <c r="H1492" s="6">
        <f>IFERROR(VLOOKUP($B1492,Platts!$E$5:$M$4994,MATCH(H$3,Platts!$F$5:$M$5,0)+1,FALSE),H1491)</f>
        <v>53.48</v>
      </c>
      <c r="I1492" s="6">
        <f>IFERROR(VLOOKUP($B1492,Platts!$E$5:$M$4994,MATCH(I$3,Platts!$F$5:$M$5,0)+1,FALSE),I1491)</f>
        <v>57.33</v>
      </c>
      <c r="J1492" s="6">
        <f t="shared" si="46"/>
        <v>3.8899999999999935</v>
      </c>
    </row>
    <row r="1493" spans="2:10" x14ac:dyDescent="0.25">
      <c r="B1493" s="5">
        <f t="shared" si="47"/>
        <v>43859</v>
      </c>
      <c r="C1493" s="6">
        <f>IFERROR(VLOOKUP($B1493,Platts!$E$5:$M$4994,MATCH(C$3,Platts!$F$5:$M$5,0)+1,FALSE),C1492)</f>
        <v>49.86</v>
      </c>
      <c r="D1493" s="6">
        <f>IFERROR(VLOOKUP($B1493,Platts!$E$5:$M$4994,MATCH(D$3,Platts!$F$5:$M$5,0)+1,FALSE),D1492)</f>
        <v>53.38</v>
      </c>
      <c r="E1493" s="6">
        <f>IFERROR(VLOOKUP($B1493,Platts!$E$5:$M$4994,MATCH(E$3,Platts!$F$5:$M$5,0)+1,FALSE),E1492)</f>
        <v>49.78</v>
      </c>
      <c r="F1493" s="6">
        <f>IFERROR(VLOOKUP($B1493,Platts!$E$5:$M$4994,MATCH(F$3,Platts!$F$5:$M$5,0)+1,FALSE),F1492)</f>
        <v>55.83</v>
      </c>
      <c r="G1493" s="6">
        <f>IFERROR(VLOOKUP($B1493,Platts!$E$5:$M$4994,MATCH(G$3,Platts!$F$5:$M$5,0)+1,FALSE),G1492)</f>
        <v>60.06</v>
      </c>
      <c r="H1493" s="6">
        <f>IFERROR(VLOOKUP($B1493,Platts!$E$5:$M$4994,MATCH(H$3,Platts!$F$5:$M$5,0)+1,FALSE),H1492)</f>
        <v>53.33</v>
      </c>
      <c r="I1493" s="6">
        <f>IFERROR(VLOOKUP($B1493,Platts!$E$5:$M$4994,MATCH(I$3,Platts!$F$5:$M$5,0)+1,FALSE),I1492)</f>
        <v>57.18</v>
      </c>
      <c r="J1493" s="6">
        <f t="shared" si="46"/>
        <v>3.4699999999999989</v>
      </c>
    </row>
    <row r="1494" spans="2:10" x14ac:dyDescent="0.25">
      <c r="B1494" s="5">
        <f t="shared" si="47"/>
        <v>43860</v>
      </c>
      <c r="C1494" s="6">
        <f>IFERROR(VLOOKUP($B1494,Platts!$E$5:$M$4994,MATCH(C$3,Platts!$F$5:$M$5,0)+1,FALSE),C1493)</f>
        <v>48.37</v>
      </c>
      <c r="D1494" s="6">
        <f>IFERROR(VLOOKUP($B1494,Platts!$E$5:$M$4994,MATCH(D$3,Platts!$F$5:$M$5,0)+1,FALSE),D1493)</f>
        <v>52.25</v>
      </c>
      <c r="E1494" s="6">
        <f>IFERROR(VLOOKUP($B1494,Platts!$E$5:$M$4994,MATCH(E$3,Platts!$F$5:$M$5,0)+1,FALSE),E1493)</f>
        <v>48.65</v>
      </c>
      <c r="F1494" s="6">
        <f>IFERROR(VLOOKUP($B1494,Platts!$E$5:$M$4994,MATCH(F$3,Platts!$F$5:$M$5,0)+1,FALSE),F1493)</f>
        <v>54.7</v>
      </c>
      <c r="G1494" s="6">
        <f>IFERROR(VLOOKUP($B1494,Platts!$E$5:$M$4994,MATCH(G$3,Platts!$F$5:$M$5,0)+1,FALSE),G1493)</f>
        <v>58.82</v>
      </c>
      <c r="H1494" s="6">
        <f>IFERROR(VLOOKUP($B1494,Platts!$E$5:$M$4994,MATCH(H$3,Platts!$F$5:$M$5,0)+1,FALSE),H1493)</f>
        <v>52.14</v>
      </c>
      <c r="I1494" s="6">
        <f>IFERROR(VLOOKUP($B1494,Platts!$E$5:$M$4994,MATCH(I$3,Platts!$F$5:$M$5,0)+1,FALSE),I1493)</f>
        <v>55.99</v>
      </c>
      <c r="J1494" s="6">
        <f t="shared" si="46"/>
        <v>3.7700000000000031</v>
      </c>
    </row>
    <row r="1495" spans="2:10" x14ac:dyDescent="0.25">
      <c r="B1495" s="5">
        <f t="shared" si="47"/>
        <v>43861</v>
      </c>
      <c r="C1495" s="6">
        <f>IFERROR(VLOOKUP($B1495,Platts!$E$5:$M$4994,MATCH(C$3,Platts!$F$5:$M$5,0)+1,FALSE),C1494)</f>
        <v>48.15</v>
      </c>
      <c r="D1495" s="6">
        <f>IFERROR(VLOOKUP($B1495,Platts!$E$5:$M$4994,MATCH(D$3,Platts!$F$5:$M$5,0)+1,FALSE),D1494)</f>
        <v>51.62</v>
      </c>
      <c r="E1495" s="6">
        <f>IFERROR(VLOOKUP($B1495,Platts!$E$5:$M$4994,MATCH(E$3,Platts!$F$5:$M$5,0)+1,FALSE),E1494)</f>
        <v>48.02</v>
      </c>
      <c r="F1495" s="6">
        <f>IFERROR(VLOOKUP($B1495,Platts!$E$5:$M$4994,MATCH(F$3,Platts!$F$5:$M$5,0)+1,FALSE),F1494)</f>
        <v>54.07</v>
      </c>
      <c r="G1495" s="6">
        <f>IFERROR(VLOOKUP($B1495,Platts!$E$5:$M$4994,MATCH(G$3,Platts!$F$5:$M$5,0)+1,FALSE),G1494)</f>
        <v>57.94</v>
      </c>
      <c r="H1495" s="6">
        <f>IFERROR(VLOOKUP($B1495,Platts!$E$5:$M$4994,MATCH(H$3,Platts!$F$5:$M$5,0)+1,FALSE),H1494)</f>
        <v>51.56</v>
      </c>
      <c r="I1495" s="6">
        <f>IFERROR(VLOOKUP($B1495,Platts!$E$5:$M$4994,MATCH(I$3,Platts!$F$5:$M$5,0)+1,FALSE),I1494)</f>
        <v>55.36</v>
      </c>
      <c r="J1495" s="6">
        <f t="shared" si="46"/>
        <v>3.4100000000000037</v>
      </c>
    </row>
    <row r="1496" spans="2:10" x14ac:dyDescent="0.25">
      <c r="B1496" s="5">
        <f t="shared" si="47"/>
        <v>43862</v>
      </c>
      <c r="C1496" s="6">
        <f>IFERROR(VLOOKUP($B1496,Platts!$E$5:$M$4994,MATCH(C$3,Platts!$F$5:$M$5,0)+1,FALSE),C1495)</f>
        <v>48.15</v>
      </c>
      <c r="D1496" s="6">
        <f>IFERROR(VLOOKUP($B1496,Platts!$E$5:$M$4994,MATCH(D$3,Platts!$F$5:$M$5,0)+1,FALSE),D1495)</f>
        <v>51.62</v>
      </c>
      <c r="E1496" s="6">
        <f>IFERROR(VLOOKUP($B1496,Platts!$E$5:$M$4994,MATCH(E$3,Platts!$F$5:$M$5,0)+1,FALSE),E1495)</f>
        <v>48.02</v>
      </c>
      <c r="F1496" s="6">
        <f>IFERROR(VLOOKUP($B1496,Platts!$E$5:$M$4994,MATCH(F$3,Platts!$F$5:$M$5,0)+1,FALSE),F1495)</f>
        <v>54.07</v>
      </c>
      <c r="G1496" s="6">
        <f>IFERROR(VLOOKUP($B1496,Platts!$E$5:$M$4994,MATCH(G$3,Platts!$F$5:$M$5,0)+1,FALSE),G1495)</f>
        <v>57.94</v>
      </c>
      <c r="H1496" s="6">
        <f>IFERROR(VLOOKUP($B1496,Platts!$E$5:$M$4994,MATCH(H$3,Platts!$F$5:$M$5,0)+1,FALSE),H1495)</f>
        <v>51.56</v>
      </c>
      <c r="I1496" s="6">
        <f>IFERROR(VLOOKUP($B1496,Platts!$E$5:$M$4994,MATCH(I$3,Platts!$F$5:$M$5,0)+1,FALSE),I1495)</f>
        <v>55.36</v>
      </c>
      <c r="J1496" s="6">
        <f t="shared" si="46"/>
        <v>3.4100000000000037</v>
      </c>
    </row>
    <row r="1497" spans="2:10" x14ac:dyDescent="0.25">
      <c r="B1497" s="5">
        <f t="shared" si="47"/>
        <v>43863</v>
      </c>
      <c r="C1497" s="6">
        <f>IFERROR(VLOOKUP($B1497,Platts!$E$5:$M$4994,MATCH(C$3,Platts!$F$5:$M$5,0)+1,FALSE),C1496)</f>
        <v>48.15</v>
      </c>
      <c r="D1497" s="6">
        <f>IFERROR(VLOOKUP($B1497,Platts!$E$5:$M$4994,MATCH(D$3,Platts!$F$5:$M$5,0)+1,FALSE),D1496)</f>
        <v>51.62</v>
      </c>
      <c r="E1497" s="6">
        <f>IFERROR(VLOOKUP($B1497,Platts!$E$5:$M$4994,MATCH(E$3,Platts!$F$5:$M$5,0)+1,FALSE),E1496)</f>
        <v>48.02</v>
      </c>
      <c r="F1497" s="6">
        <f>IFERROR(VLOOKUP($B1497,Platts!$E$5:$M$4994,MATCH(F$3,Platts!$F$5:$M$5,0)+1,FALSE),F1496)</f>
        <v>54.07</v>
      </c>
      <c r="G1497" s="6">
        <f>IFERROR(VLOOKUP($B1497,Platts!$E$5:$M$4994,MATCH(G$3,Platts!$F$5:$M$5,0)+1,FALSE),G1496)</f>
        <v>57.94</v>
      </c>
      <c r="H1497" s="6">
        <f>IFERROR(VLOOKUP($B1497,Platts!$E$5:$M$4994,MATCH(H$3,Platts!$F$5:$M$5,0)+1,FALSE),H1496)</f>
        <v>51.56</v>
      </c>
      <c r="I1497" s="6">
        <f>IFERROR(VLOOKUP($B1497,Platts!$E$5:$M$4994,MATCH(I$3,Platts!$F$5:$M$5,0)+1,FALSE),I1496)</f>
        <v>55.36</v>
      </c>
      <c r="J1497" s="6">
        <f t="shared" si="46"/>
        <v>3.4100000000000037</v>
      </c>
    </row>
    <row r="1498" spans="2:10" x14ac:dyDescent="0.25">
      <c r="B1498" s="5">
        <f t="shared" si="47"/>
        <v>43864</v>
      </c>
      <c r="C1498" s="6">
        <f>IFERROR(VLOOKUP($B1498,Platts!$E$5:$M$4994,MATCH(C$3,Platts!$F$5:$M$5,0)+1,FALSE),C1497)</f>
        <v>44.44</v>
      </c>
      <c r="D1498" s="6">
        <f>IFERROR(VLOOKUP($B1498,Platts!$E$5:$M$4994,MATCH(D$3,Platts!$F$5:$M$5,0)+1,FALSE),D1497)</f>
        <v>47.77</v>
      </c>
      <c r="E1498" s="6">
        <f>IFERROR(VLOOKUP($B1498,Platts!$E$5:$M$4994,MATCH(E$3,Platts!$F$5:$M$5,0)+1,FALSE),E1497)</f>
        <v>45.47</v>
      </c>
      <c r="F1498" s="6">
        <f>IFERROR(VLOOKUP($B1498,Platts!$E$5:$M$4994,MATCH(F$3,Platts!$F$5:$M$5,0)+1,FALSE),F1497)</f>
        <v>53.17</v>
      </c>
      <c r="G1498" s="6">
        <f>IFERROR(VLOOKUP($B1498,Platts!$E$5:$M$4994,MATCH(G$3,Platts!$F$5:$M$5,0)+1,FALSE),G1497)</f>
        <v>54.87</v>
      </c>
      <c r="H1498" s="6">
        <f>IFERROR(VLOOKUP($B1498,Platts!$E$5:$M$4994,MATCH(H$3,Platts!$F$5:$M$5,0)+1,FALSE),H1497)</f>
        <v>50.11</v>
      </c>
      <c r="I1498" s="6">
        <f>IFERROR(VLOOKUP($B1498,Platts!$E$5:$M$4994,MATCH(I$3,Platts!$F$5:$M$5,0)+1,FALSE),I1497)</f>
        <v>53.91</v>
      </c>
      <c r="J1498" s="6">
        <f t="shared" si="46"/>
        <v>5.6700000000000017</v>
      </c>
    </row>
    <row r="1499" spans="2:10" x14ac:dyDescent="0.25">
      <c r="B1499" s="5">
        <f t="shared" si="47"/>
        <v>43865</v>
      </c>
      <c r="C1499" s="6">
        <f>IFERROR(VLOOKUP($B1499,Platts!$E$5:$M$4994,MATCH(C$3,Platts!$F$5:$M$5,0)+1,FALSE),C1498)</f>
        <v>44.21</v>
      </c>
      <c r="D1499" s="6">
        <f>IFERROR(VLOOKUP($B1499,Platts!$E$5:$M$4994,MATCH(D$3,Platts!$F$5:$M$5,0)+1,FALSE),D1498)</f>
        <v>50.28</v>
      </c>
      <c r="E1499" s="6">
        <f>IFERROR(VLOOKUP($B1499,Platts!$E$5:$M$4994,MATCH(E$3,Platts!$F$5:$M$5,0)+1,FALSE),E1498)</f>
        <v>45.73</v>
      </c>
      <c r="F1499" s="6">
        <f>IFERROR(VLOOKUP($B1499,Platts!$E$5:$M$4994,MATCH(F$3,Platts!$F$5:$M$5,0)+1,FALSE),F1498)</f>
        <v>53.43</v>
      </c>
      <c r="G1499" s="6">
        <f>IFERROR(VLOOKUP($B1499,Platts!$E$5:$M$4994,MATCH(G$3,Platts!$F$5:$M$5,0)+1,FALSE),G1498)</f>
        <v>55.01</v>
      </c>
      <c r="H1499" s="6">
        <f>IFERROR(VLOOKUP($B1499,Platts!$E$5:$M$4994,MATCH(H$3,Platts!$F$5:$M$5,0)+1,FALSE),H1498)</f>
        <v>49.61</v>
      </c>
      <c r="I1499" s="6">
        <f>IFERROR(VLOOKUP($B1499,Platts!$E$5:$M$4994,MATCH(I$3,Platts!$F$5:$M$5,0)+1,FALSE),I1498)</f>
        <v>53.41</v>
      </c>
      <c r="J1499" s="6">
        <f t="shared" si="46"/>
        <v>5.3999999999999986</v>
      </c>
    </row>
    <row r="1500" spans="2:10" x14ac:dyDescent="0.25">
      <c r="B1500" s="5">
        <f t="shared" si="47"/>
        <v>43866</v>
      </c>
      <c r="C1500" s="6">
        <f>IFERROR(VLOOKUP($B1500,Platts!$E$5:$M$4994,MATCH(C$3,Platts!$F$5:$M$5,0)+1,FALSE),C1499)</f>
        <v>45.46</v>
      </c>
      <c r="D1500" s="6">
        <f>IFERROR(VLOOKUP($B1500,Platts!$E$5:$M$4994,MATCH(D$3,Platts!$F$5:$M$5,0)+1,FALSE),D1499)</f>
        <v>51.01</v>
      </c>
      <c r="E1500" s="6">
        <f>IFERROR(VLOOKUP($B1500,Platts!$E$5:$M$4994,MATCH(E$3,Platts!$F$5:$M$5,0)+1,FALSE),E1499)</f>
        <v>46.46</v>
      </c>
      <c r="F1500" s="6">
        <f>IFERROR(VLOOKUP($B1500,Platts!$E$5:$M$4994,MATCH(F$3,Platts!$F$5:$M$5,0)+1,FALSE),F1499)</f>
        <v>54.16</v>
      </c>
      <c r="G1500" s="6">
        <f>IFERROR(VLOOKUP($B1500,Platts!$E$5:$M$4994,MATCH(G$3,Platts!$F$5:$M$5,0)+1,FALSE),G1499)</f>
        <v>56.09</v>
      </c>
      <c r="H1500" s="6">
        <f>IFERROR(VLOOKUP($B1500,Platts!$E$5:$M$4994,MATCH(H$3,Platts!$F$5:$M$5,0)+1,FALSE),H1499)</f>
        <v>50.75</v>
      </c>
      <c r="I1500" s="6">
        <f>IFERROR(VLOOKUP($B1500,Platts!$E$5:$M$4994,MATCH(I$3,Platts!$F$5:$M$5,0)+1,FALSE),I1499)</f>
        <v>54.65</v>
      </c>
      <c r="J1500" s="6">
        <f t="shared" si="46"/>
        <v>5.2899999999999991</v>
      </c>
    </row>
    <row r="1501" spans="2:10" x14ac:dyDescent="0.25">
      <c r="B1501" s="5">
        <f t="shared" si="47"/>
        <v>43867</v>
      </c>
      <c r="C1501" s="6">
        <f>IFERROR(VLOOKUP($B1501,Platts!$E$5:$M$4994,MATCH(C$3,Platts!$F$5:$M$5,0)+1,FALSE),C1500)</f>
        <v>45.37</v>
      </c>
      <c r="D1501" s="6">
        <f>IFERROR(VLOOKUP($B1501,Platts!$E$5:$M$4994,MATCH(D$3,Platts!$F$5:$M$5,0)+1,FALSE),D1500)</f>
        <v>50.76</v>
      </c>
      <c r="E1501" s="6">
        <f>IFERROR(VLOOKUP($B1501,Platts!$E$5:$M$4994,MATCH(E$3,Platts!$F$5:$M$5,0)+1,FALSE),E1500)</f>
        <v>46.21</v>
      </c>
      <c r="F1501" s="6">
        <f>IFERROR(VLOOKUP($B1501,Platts!$E$5:$M$4994,MATCH(F$3,Platts!$F$5:$M$5,0)+1,FALSE),F1500)</f>
        <v>53.91</v>
      </c>
      <c r="G1501" s="6">
        <f>IFERROR(VLOOKUP($B1501,Platts!$E$5:$M$4994,MATCH(G$3,Platts!$F$5:$M$5,0)+1,FALSE),G1500)</f>
        <v>55.16</v>
      </c>
      <c r="H1501" s="6">
        <f>IFERROR(VLOOKUP($B1501,Platts!$E$5:$M$4994,MATCH(H$3,Platts!$F$5:$M$5,0)+1,FALSE),H1500)</f>
        <v>50.95</v>
      </c>
      <c r="I1501" s="6">
        <f>IFERROR(VLOOKUP($B1501,Platts!$E$5:$M$4994,MATCH(I$3,Platts!$F$5:$M$5,0)+1,FALSE),I1500)</f>
        <v>54.7</v>
      </c>
      <c r="J1501" s="6">
        <f t="shared" si="46"/>
        <v>5.5800000000000054</v>
      </c>
    </row>
    <row r="1502" spans="2:10" x14ac:dyDescent="0.25">
      <c r="B1502" s="5">
        <f t="shared" si="47"/>
        <v>43868</v>
      </c>
      <c r="C1502" s="6">
        <f>IFERROR(VLOOKUP($B1502,Platts!$E$5:$M$4994,MATCH(C$3,Platts!$F$5:$M$5,0)+1,FALSE),C1501)</f>
        <v>44.82</v>
      </c>
      <c r="D1502" s="6">
        <f>IFERROR(VLOOKUP($B1502,Platts!$E$5:$M$4994,MATCH(D$3,Platts!$F$5:$M$5,0)+1,FALSE),D1501)</f>
        <v>50.2</v>
      </c>
      <c r="E1502" s="6">
        <f>IFERROR(VLOOKUP($B1502,Platts!$E$5:$M$4994,MATCH(E$3,Platts!$F$5:$M$5,0)+1,FALSE),E1501)</f>
        <v>45.65</v>
      </c>
      <c r="F1502" s="6">
        <f>IFERROR(VLOOKUP($B1502,Platts!$E$5:$M$4994,MATCH(F$3,Platts!$F$5:$M$5,0)+1,FALSE),F1501)</f>
        <v>53.35</v>
      </c>
      <c r="G1502" s="6">
        <f>IFERROR(VLOOKUP($B1502,Platts!$E$5:$M$4994,MATCH(G$3,Platts!$F$5:$M$5,0)+1,FALSE),G1501)</f>
        <v>55.11</v>
      </c>
      <c r="H1502" s="6">
        <f>IFERROR(VLOOKUP($B1502,Platts!$E$5:$M$4994,MATCH(H$3,Platts!$F$5:$M$5,0)+1,FALSE),H1501)</f>
        <v>50.32</v>
      </c>
      <c r="I1502" s="6">
        <f>IFERROR(VLOOKUP($B1502,Platts!$E$5:$M$4994,MATCH(I$3,Platts!$F$5:$M$5,0)+1,FALSE),I1501)</f>
        <v>53.97</v>
      </c>
      <c r="J1502" s="6">
        <f t="shared" si="46"/>
        <v>5.5</v>
      </c>
    </row>
    <row r="1503" spans="2:10" x14ac:dyDescent="0.25">
      <c r="B1503" s="5">
        <f t="shared" si="47"/>
        <v>43869</v>
      </c>
      <c r="C1503" s="6">
        <f>IFERROR(VLOOKUP($B1503,Platts!$E$5:$M$4994,MATCH(C$3,Platts!$F$5:$M$5,0)+1,FALSE),C1502)</f>
        <v>44.82</v>
      </c>
      <c r="D1503" s="6">
        <f>IFERROR(VLOOKUP($B1503,Platts!$E$5:$M$4994,MATCH(D$3,Platts!$F$5:$M$5,0)+1,FALSE),D1502)</f>
        <v>50.2</v>
      </c>
      <c r="E1503" s="6">
        <f>IFERROR(VLOOKUP($B1503,Platts!$E$5:$M$4994,MATCH(E$3,Platts!$F$5:$M$5,0)+1,FALSE),E1502)</f>
        <v>45.65</v>
      </c>
      <c r="F1503" s="6">
        <f>IFERROR(VLOOKUP($B1503,Platts!$E$5:$M$4994,MATCH(F$3,Platts!$F$5:$M$5,0)+1,FALSE),F1502)</f>
        <v>53.35</v>
      </c>
      <c r="G1503" s="6">
        <f>IFERROR(VLOOKUP($B1503,Platts!$E$5:$M$4994,MATCH(G$3,Platts!$F$5:$M$5,0)+1,FALSE),G1502)</f>
        <v>55.11</v>
      </c>
      <c r="H1503" s="6">
        <f>IFERROR(VLOOKUP($B1503,Platts!$E$5:$M$4994,MATCH(H$3,Platts!$F$5:$M$5,0)+1,FALSE),H1502)</f>
        <v>50.32</v>
      </c>
      <c r="I1503" s="6">
        <f>IFERROR(VLOOKUP($B1503,Platts!$E$5:$M$4994,MATCH(I$3,Platts!$F$5:$M$5,0)+1,FALSE),I1502)</f>
        <v>53.97</v>
      </c>
      <c r="J1503" s="6">
        <f t="shared" si="46"/>
        <v>5.5</v>
      </c>
    </row>
    <row r="1504" spans="2:10" x14ac:dyDescent="0.25">
      <c r="B1504" s="5">
        <f t="shared" si="47"/>
        <v>43870</v>
      </c>
      <c r="C1504" s="6">
        <f>IFERROR(VLOOKUP($B1504,Platts!$E$5:$M$4994,MATCH(C$3,Platts!$F$5:$M$5,0)+1,FALSE),C1503)</f>
        <v>44.82</v>
      </c>
      <c r="D1504" s="6">
        <f>IFERROR(VLOOKUP($B1504,Platts!$E$5:$M$4994,MATCH(D$3,Platts!$F$5:$M$5,0)+1,FALSE),D1503)</f>
        <v>50.2</v>
      </c>
      <c r="E1504" s="6">
        <f>IFERROR(VLOOKUP($B1504,Platts!$E$5:$M$4994,MATCH(E$3,Platts!$F$5:$M$5,0)+1,FALSE),E1503)</f>
        <v>45.65</v>
      </c>
      <c r="F1504" s="6">
        <f>IFERROR(VLOOKUP($B1504,Platts!$E$5:$M$4994,MATCH(F$3,Platts!$F$5:$M$5,0)+1,FALSE),F1503)</f>
        <v>53.35</v>
      </c>
      <c r="G1504" s="6">
        <f>IFERROR(VLOOKUP($B1504,Platts!$E$5:$M$4994,MATCH(G$3,Platts!$F$5:$M$5,0)+1,FALSE),G1503)</f>
        <v>55.11</v>
      </c>
      <c r="H1504" s="6">
        <f>IFERROR(VLOOKUP($B1504,Platts!$E$5:$M$4994,MATCH(H$3,Platts!$F$5:$M$5,0)+1,FALSE),H1503)</f>
        <v>50.32</v>
      </c>
      <c r="I1504" s="6">
        <f>IFERROR(VLOOKUP($B1504,Platts!$E$5:$M$4994,MATCH(I$3,Platts!$F$5:$M$5,0)+1,FALSE),I1503)</f>
        <v>53.97</v>
      </c>
      <c r="J1504" s="6">
        <f t="shared" si="46"/>
        <v>5.5</v>
      </c>
    </row>
    <row r="1505" spans="2:10" x14ac:dyDescent="0.25">
      <c r="B1505" s="5">
        <f t="shared" si="47"/>
        <v>43871</v>
      </c>
      <c r="C1505" s="6">
        <f>IFERROR(VLOOKUP($B1505,Platts!$E$5:$M$4994,MATCH(C$3,Platts!$F$5:$M$5,0)+1,FALSE),C1504)</f>
        <v>43.72</v>
      </c>
      <c r="D1505" s="6">
        <f>IFERROR(VLOOKUP($B1505,Platts!$E$5:$M$4994,MATCH(D$3,Platts!$F$5:$M$5,0)+1,FALSE),D1504)</f>
        <v>49.18</v>
      </c>
      <c r="E1505" s="6">
        <f>IFERROR(VLOOKUP($B1505,Platts!$E$5:$M$4994,MATCH(E$3,Platts!$F$5:$M$5,0)+1,FALSE),E1504)</f>
        <v>44.63</v>
      </c>
      <c r="F1505" s="6">
        <f>IFERROR(VLOOKUP($B1505,Platts!$E$5:$M$4994,MATCH(F$3,Platts!$F$5:$M$5,0)+1,FALSE),F1504)</f>
        <v>52.33</v>
      </c>
      <c r="G1505" s="6">
        <f>IFERROR(VLOOKUP($B1505,Platts!$E$5:$M$4994,MATCH(G$3,Platts!$F$5:$M$5,0)+1,FALSE),G1504)</f>
        <v>53.71</v>
      </c>
      <c r="H1505" s="6">
        <f>IFERROR(VLOOKUP($B1505,Platts!$E$5:$M$4994,MATCH(H$3,Platts!$F$5:$M$5,0)+1,FALSE),H1504)</f>
        <v>49.57</v>
      </c>
      <c r="I1505" s="6">
        <f>IFERROR(VLOOKUP($B1505,Platts!$E$5:$M$4994,MATCH(I$3,Platts!$F$5:$M$5,0)+1,FALSE),I1504)</f>
        <v>53.02</v>
      </c>
      <c r="J1505" s="6">
        <f t="shared" si="46"/>
        <v>5.8500000000000014</v>
      </c>
    </row>
    <row r="1506" spans="2:10" x14ac:dyDescent="0.25">
      <c r="B1506" s="5">
        <f t="shared" si="47"/>
        <v>43872</v>
      </c>
      <c r="C1506" s="6">
        <f>IFERROR(VLOOKUP($B1506,Platts!$E$5:$M$4994,MATCH(C$3,Platts!$F$5:$M$5,0)+1,FALSE),C1505)</f>
        <v>44.27</v>
      </c>
      <c r="D1506" s="6">
        <f>IFERROR(VLOOKUP($B1506,Platts!$E$5:$M$4994,MATCH(D$3,Platts!$F$5:$M$5,0)+1,FALSE),D1505)</f>
        <v>49.62</v>
      </c>
      <c r="E1506" s="6">
        <f>IFERROR(VLOOKUP($B1506,Platts!$E$5:$M$4994,MATCH(E$3,Platts!$F$5:$M$5,0)+1,FALSE),E1505)</f>
        <v>45.07</v>
      </c>
      <c r="F1506" s="6">
        <f>IFERROR(VLOOKUP($B1506,Platts!$E$5:$M$4994,MATCH(F$3,Platts!$F$5:$M$5,0)+1,FALSE),F1505)</f>
        <v>52.77</v>
      </c>
      <c r="G1506" s="6">
        <f>IFERROR(VLOOKUP($B1506,Platts!$E$5:$M$4994,MATCH(G$3,Platts!$F$5:$M$5,0)+1,FALSE),G1505)</f>
        <v>54.17</v>
      </c>
      <c r="H1506" s="6">
        <f>IFERROR(VLOOKUP($B1506,Platts!$E$5:$M$4994,MATCH(H$3,Platts!$F$5:$M$5,0)+1,FALSE),H1505)</f>
        <v>49.94</v>
      </c>
      <c r="I1506" s="6">
        <f>IFERROR(VLOOKUP($B1506,Platts!$E$5:$M$4994,MATCH(I$3,Platts!$F$5:$M$5,0)+1,FALSE),I1505)</f>
        <v>53.29</v>
      </c>
      <c r="J1506" s="6">
        <f t="shared" si="46"/>
        <v>5.6699999999999946</v>
      </c>
    </row>
    <row r="1507" spans="2:10" x14ac:dyDescent="0.25">
      <c r="B1507" s="5">
        <f t="shared" si="47"/>
        <v>43873</v>
      </c>
      <c r="C1507" s="6">
        <f>IFERROR(VLOOKUP($B1507,Platts!$E$5:$M$4994,MATCH(C$3,Platts!$F$5:$M$5,0)+1,FALSE),C1506)</f>
        <v>45.9</v>
      </c>
      <c r="D1507" s="6">
        <f>IFERROR(VLOOKUP($B1507,Platts!$E$5:$M$4994,MATCH(D$3,Platts!$F$5:$M$5,0)+1,FALSE),D1506)</f>
        <v>51.36</v>
      </c>
      <c r="E1507" s="6">
        <f>IFERROR(VLOOKUP($B1507,Platts!$E$5:$M$4994,MATCH(E$3,Platts!$F$5:$M$5,0)+1,FALSE),E1506)</f>
        <v>46.81</v>
      </c>
      <c r="F1507" s="6">
        <f>IFERROR(VLOOKUP($B1507,Platts!$E$5:$M$4994,MATCH(F$3,Platts!$F$5:$M$5,0)+1,FALSE),F1506)</f>
        <v>54.51</v>
      </c>
      <c r="G1507" s="6">
        <f>IFERROR(VLOOKUP($B1507,Platts!$E$5:$M$4994,MATCH(G$3,Platts!$F$5:$M$5,0)+1,FALSE),G1506)</f>
        <v>55.78</v>
      </c>
      <c r="H1507" s="6">
        <f>IFERROR(VLOOKUP($B1507,Platts!$E$5:$M$4994,MATCH(H$3,Platts!$F$5:$M$5,0)+1,FALSE),H1506)</f>
        <v>51.17</v>
      </c>
      <c r="I1507" s="6">
        <f>IFERROR(VLOOKUP($B1507,Platts!$E$5:$M$4994,MATCH(I$3,Platts!$F$5:$M$5,0)+1,FALSE),I1506)</f>
        <v>54.67</v>
      </c>
      <c r="J1507" s="6">
        <f t="shared" si="46"/>
        <v>5.2700000000000031</v>
      </c>
    </row>
    <row r="1508" spans="2:10" x14ac:dyDescent="0.25">
      <c r="B1508" s="5">
        <f t="shared" si="47"/>
        <v>43874</v>
      </c>
      <c r="C1508" s="6">
        <f>IFERROR(VLOOKUP($B1508,Platts!$E$5:$M$4994,MATCH(C$3,Platts!$F$5:$M$5,0)+1,FALSE),C1507)</f>
        <v>46.35</v>
      </c>
      <c r="D1508" s="6">
        <f>IFERROR(VLOOKUP($B1508,Platts!$E$5:$M$4994,MATCH(D$3,Platts!$F$5:$M$5,0)+1,FALSE),D1507)</f>
        <v>51.75</v>
      </c>
      <c r="E1508" s="6">
        <f>IFERROR(VLOOKUP($B1508,Platts!$E$5:$M$4994,MATCH(E$3,Platts!$F$5:$M$5,0)+1,FALSE),E1507)</f>
        <v>47.2</v>
      </c>
      <c r="F1508" s="6">
        <f>IFERROR(VLOOKUP($B1508,Platts!$E$5:$M$4994,MATCH(F$3,Platts!$F$5:$M$5,0)+1,FALSE),F1507)</f>
        <v>54.9</v>
      </c>
      <c r="G1508" s="6">
        <f>IFERROR(VLOOKUP($B1508,Platts!$E$5:$M$4994,MATCH(G$3,Platts!$F$5:$M$5,0)+1,FALSE),G1507)</f>
        <v>56.23</v>
      </c>
      <c r="H1508" s="6">
        <f>IFERROR(VLOOKUP($B1508,Platts!$E$5:$M$4994,MATCH(H$3,Platts!$F$5:$M$5,0)+1,FALSE),H1507)</f>
        <v>51.42</v>
      </c>
      <c r="I1508" s="6">
        <f>IFERROR(VLOOKUP($B1508,Platts!$E$5:$M$4994,MATCH(I$3,Platts!$F$5:$M$5,0)+1,FALSE),I1507)</f>
        <v>54.97</v>
      </c>
      <c r="J1508" s="6">
        <f t="shared" si="46"/>
        <v>5.07</v>
      </c>
    </row>
    <row r="1509" spans="2:10" x14ac:dyDescent="0.25">
      <c r="B1509" s="5">
        <f t="shared" si="47"/>
        <v>43875</v>
      </c>
      <c r="C1509" s="6">
        <f>IFERROR(VLOOKUP($B1509,Platts!$E$5:$M$4994,MATCH(C$3,Platts!$F$5:$M$5,0)+1,FALSE),C1508)</f>
        <v>47.23</v>
      </c>
      <c r="D1509" s="6">
        <f>IFERROR(VLOOKUP($B1509,Platts!$E$5:$M$4994,MATCH(D$3,Platts!$F$5:$M$5,0)+1,FALSE),D1508)</f>
        <v>52.52</v>
      </c>
      <c r="E1509" s="6">
        <f>IFERROR(VLOOKUP($B1509,Platts!$E$5:$M$4994,MATCH(E$3,Platts!$F$5:$M$5,0)+1,FALSE),E1508)</f>
        <v>47.97</v>
      </c>
      <c r="F1509" s="6">
        <f>IFERROR(VLOOKUP($B1509,Platts!$E$5:$M$4994,MATCH(F$3,Platts!$F$5:$M$5,0)+1,FALSE),F1508)</f>
        <v>55.67</v>
      </c>
      <c r="G1509" s="6">
        <f>IFERROR(VLOOKUP($B1509,Platts!$E$5:$M$4994,MATCH(G$3,Platts!$F$5:$M$5,0)+1,FALSE),G1508)</f>
        <v>57.18</v>
      </c>
      <c r="H1509" s="6">
        <f>IFERROR(VLOOKUP($B1509,Platts!$E$5:$M$4994,MATCH(H$3,Platts!$F$5:$M$5,0)+1,FALSE),H1508)</f>
        <v>52.05</v>
      </c>
      <c r="I1509" s="6">
        <f>IFERROR(VLOOKUP($B1509,Platts!$E$5:$M$4994,MATCH(I$3,Platts!$F$5:$M$5,0)+1,FALSE),I1508)</f>
        <v>55.75</v>
      </c>
      <c r="J1509" s="6">
        <f t="shared" si="46"/>
        <v>4.82</v>
      </c>
    </row>
    <row r="1510" spans="2:10" x14ac:dyDescent="0.25">
      <c r="B1510" s="5">
        <f t="shared" si="47"/>
        <v>43876</v>
      </c>
      <c r="C1510" s="6">
        <f>IFERROR(VLOOKUP($B1510,Platts!$E$5:$M$4994,MATCH(C$3,Platts!$F$5:$M$5,0)+1,FALSE),C1509)</f>
        <v>47.23</v>
      </c>
      <c r="D1510" s="6">
        <f>IFERROR(VLOOKUP($B1510,Platts!$E$5:$M$4994,MATCH(D$3,Platts!$F$5:$M$5,0)+1,FALSE),D1509)</f>
        <v>52.52</v>
      </c>
      <c r="E1510" s="6">
        <f>IFERROR(VLOOKUP($B1510,Platts!$E$5:$M$4994,MATCH(E$3,Platts!$F$5:$M$5,0)+1,FALSE),E1509)</f>
        <v>47.97</v>
      </c>
      <c r="F1510" s="6">
        <f>IFERROR(VLOOKUP($B1510,Platts!$E$5:$M$4994,MATCH(F$3,Platts!$F$5:$M$5,0)+1,FALSE),F1509)</f>
        <v>55.67</v>
      </c>
      <c r="G1510" s="6">
        <f>IFERROR(VLOOKUP($B1510,Platts!$E$5:$M$4994,MATCH(G$3,Platts!$F$5:$M$5,0)+1,FALSE),G1509)</f>
        <v>57.18</v>
      </c>
      <c r="H1510" s="6">
        <f>IFERROR(VLOOKUP($B1510,Platts!$E$5:$M$4994,MATCH(H$3,Platts!$F$5:$M$5,0)+1,FALSE),H1509)</f>
        <v>52.05</v>
      </c>
      <c r="I1510" s="6">
        <f>IFERROR(VLOOKUP($B1510,Platts!$E$5:$M$4994,MATCH(I$3,Platts!$F$5:$M$5,0)+1,FALSE),I1509)</f>
        <v>55.75</v>
      </c>
      <c r="J1510" s="6">
        <f t="shared" si="46"/>
        <v>4.82</v>
      </c>
    </row>
    <row r="1511" spans="2:10" x14ac:dyDescent="0.25">
      <c r="B1511" s="5">
        <f t="shared" si="47"/>
        <v>43877</v>
      </c>
      <c r="C1511" s="6">
        <f>IFERROR(VLOOKUP($B1511,Platts!$E$5:$M$4994,MATCH(C$3,Platts!$F$5:$M$5,0)+1,FALSE),C1510)</f>
        <v>47.23</v>
      </c>
      <c r="D1511" s="6">
        <f>IFERROR(VLOOKUP($B1511,Platts!$E$5:$M$4994,MATCH(D$3,Platts!$F$5:$M$5,0)+1,FALSE),D1510)</f>
        <v>52.52</v>
      </c>
      <c r="E1511" s="6">
        <f>IFERROR(VLOOKUP($B1511,Platts!$E$5:$M$4994,MATCH(E$3,Platts!$F$5:$M$5,0)+1,FALSE),E1510)</f>
        <v>47.97</v>
      </c>
      <c r="F1511" s="6">
        <f>IFERROR(VLOOKUP($B1511,Platts!$E$5:$M$4994,MATCH(F$3,Platts!$F$5:$M$5,0)+1,FALSE),F1510)</f>
        <v>55.67</v>
      </c>
      <c r="G1511" s="6">
        <f>IFERROR(VLOOKUP($B1511,Platts!$E$5:$M$4994,MATCH(G$3,Platts!$F$5:$M$5,0)+1,FALSE),G1510)</f>
        <v>57.18</v>
      </c>
      <c r="H1511" s="6">
        <f>IFERROR(VLOOKUP($B1511,Platts!$E$5:$M$4994,MATCH(H$3,Platts!$F$5:$M$5,0)+1,FALSE),H1510)</f>
        <v>52.05</v>
      </c>
      <c r="I1511" s="6">
        <f>IFERROR(VLOOKUP($B1511,Platts!$E$5:$M$4994,MATCH(I$3,Platts!$F$5:$M$5,0)+1,FALSE),I1510)</f>
        <v>55.75</v>
      </c>
      <c r="J1511" s="6">
        <f t="shared" si="46"/>
        <v>4.82</v>
      </c>
    </row>
    <row r="1512" spans="2:10" x14ac:dyDescent="0.25">
      <c r="B1512" s="5">
        <f t="shared" si="47"/>
        <v>43878</v>
      </c>
      <c r="C1512" s="6">
        <f>IFERROR(VLOOKUP($B1512,Platts!$E$5:$M$4994,MATCH(C$3,Platts!$F$5:$M$5,0)+1,FALSE),C1511)</f>
        <v>47.23</v>
      </c>
      <c r="D1512" s="6">
        <f>IFERROR(VLOOKUP($B1512,Platts!$E$5:$M$4994,MATCH(D$3,Platts!$F$5:$M$5,0)+1,FALSE),D1511)</f>
        <v>52.52</v>
      </c>
      <c r="E1512" s="6">
        <f>IFERROR(VLOOKUP($B1512,Platts!$E$5:$M$4994,MATCH(E$3,Platts!$F$5:$M$5,0)+1,FALSE),E1511)</f>
        <v>47.97</v>
      </c>
      <c r="F1512" s="6">
        <f>IFERROR(VLOOKUP($B1512,Platts!$E$5:$M$4994,MATCH(F$3,Platts!$F$5:$M$5,0)+1,FALSE),F1511)</f>
        <v>55.67</v>
      </c>
      <c r="G1512" s="6">
        <f>IFERROR(VLOOKUP($B1512,Platts!$E$5:$M$4994,MATCH(G$3,Platts!$F$5:$M$5,0)+1,FALSE),G1511)</f>
        <v>57.33</v>
      </c>
      <c r="H1512" s="6">
        <f>IFERROR(VLOOKUP($B1512,Platts!$E$5:$M$4994,MATCH(H$3,Platts!$F$5:$M$5,0)+1,FALSE),H1511)</f>
        <v>52.05</v>
      </c>
      <c r="I1512" s="6">
        <f>IFERROR(VLOOKUP($B1512,Platts!$E$5:$M$4994,MATCH(I$3,Platts!$F$5:$M$5,0)+1,FALSE),I1511)</f>
        <v>55.75</v>
      </c>
      <c r="J1512" s="6">
        <f t="shared" si="46"/>
        <v>4.82</v>
      </c>
    </row>
    <row r="1513" spans="2:10" x14ac:dyDescent="0.25">
      <c r="B1513" s="5">
        <f t="shared" si="47"/>
        <v>43879</v>
      </c>
      <c r="C1513" s="6">
        <f>IFERROR(VLOOKUP($B1513,Platts!$E$5:$M$4994,MATCH(C$3,Platts!$F$5:$M$5,0)+1,FALSE),C1512)</f>
        <v>47.49</v>
      </c>
      <c r="D1513" s="6">
        <f>IFERROR(VLOOKUP($B1513,Platts!$E$5:$M$4994,MATCH(D$3,Platts!$F$5:$M$5,0)+1,FALSE),D1512)</f>
        <v>52.71</v>
      </c>
      <c r="E1513" s="6">
        <f>IFERROR(VLOOKUP($B1513,Platts!$E$5:$M$4994,MATCH(E$3,Platts!$F$5:$M$5,0)+1,FALSE),E1512)</f>
        <v>48.16</v>
      </c>
      <c r="F1513" s="6">
        <f>IFERROR(VLOOKUP($B1513,Platts!$E$5:$M$4994,MATCH(F$3,Platts!$F$5:$M$5,0)+1,FALSE),F1512)</f>
        <v>55.86</v>
      </c>
      <c r="G1513" s="6">
        <f>IFERROR(VLOOKUP($B1513,Platts!$E$5:$M$4994,MATCH(G$3,Platts!$F$5:$M$5,0)+1,FALSE),G1512)</f>
        <v>57.09</v>
      </c>
      <c r="H1513" s="6">
        <f>IFERROR(VLOOKUP($B1513,Platts!$E$5:$M$4994,MATCH(H$3,Platts!$F$5:$M$5,0)+1,FALSE),H1512)</f>
        <v>52.05</v>
      </c>
      <c r="I1513" s="6">
        <f>IFERROR(VLOOKUP($B1513,Platts!$E$5:$M$4994,MATCH(I$3,Platts!$F$5:$M$5,0)+1,FALSE),I1512)</f>
        <v>55.85</v>
      </c>
      <c r="J1513" s="6">
        <f t="shared" si="46"/>
        <v>4.5599999999999952</v>
      </c>
    </row>
    <row r="1514" spans="2:10" x14ac:dyDescent="0.25">
      <c r="B1514" s="5">
        <f t="shared" si="47"/>
        <v>43880</v>
      </c>
      <c r="C1514" s="6">
        <f>IFERROR(VLOOKUP($B1514,Platts!$E$5:$M$4994,MATCH(C$3,Platts!$F$5:$M$5,0)+1,FALSE),C1513)</f>
        <v>48.85</v>
      </c>
      <c r="D1514" s="6">
        <f>IFERROR(VLOOKUP($B1514,Platts!$E$5:$M$4994,MATCH(D$3,Platts!$F$5:$M$5,0)+1,FALSE),D1513)</f>
        <v>54.01</v>
      </c>
      <c r="E1514" s="6">
        <f>IFERROR(VLOOKUP($B1514,Platts!$E$5:$M$4994,MATCH(E$3,Platts!$F$5:$M$5,0)+1,FALSE),E1513)</f>
        <v>49.46</v>
      </c>
      <c r="F1514" s="6">
        <f>IFERROR(VLOOKUP($B1514,Platts!$E$5:$M$4994,MATCH(F$3,Platts!$F$5:$M$5,0)+1,FALSE),F1513)</f>
        <v>57.16</v>
      </c>
      <c r="G1514" s="6">
        <f>IFERROR(VLOOKUP($B1514,Platts!$E$5:$M$4994,MATCH(G$3,Platts!$F$5:$M$5,0)+1,FALSE),G1513)</f>
        <v>59.35</v>
      </c>
      <c r="H1514" s="6">
        <f>IFERROR(VLOOKUP($B1514,Platts!$E$5:$M$4994,MATCH(H$3,Platts!$F$5:$M$5,0)+1,FALSE),H1513)</f>
        <v>53.29</v>
      </c>
      <c r="I1514" s="6">
        <f>IFERROR(VLOOKUP($B1514,Platts!$E$5:$M$4994,MATCH(I$3,Platts!$F$5:$M$5,0)+1,FALSE),I1513)</f>
        <v>56.64</v>
      </c>
      <c r="J1514" s="6">
        <f t="shared" si="46"/>
        <v>4.4399999999999977</v>
      </c>
    </row>
    <row r="1515" spans="2:10" x14ac:dyDescent="0.25">
      <c r="B1515" s="5">
        <f t="shared" si="47"/>
        <v>43881</v>
      </c>
      <c r="C1515" s="6">
        <f>IFERROR(VLOOKUP($B1515,Platts!$E$5:$M$4994,MATCH(C$3,Platts!$F$5:$M$5,0)+1,FALSE),C1514)</f>
        <v>49.15</v>
      </c>
      <c r="D1515" s="6">
        <f>IFERROR(VLOOKUP($B1515,Platts!$E$5:$M$4994,MATCH(D$3,Platts!$F$5:$M$5,0)+1,FALSE),D1514)</f>
        <v>54.37</v>
      </c>
      <c r="E1515" s="6">
        <f>IFERROR(VLOOKUP($B1515,Platts!$E$5:$M$4994,MATCH(E$3,Platts!$F$5:$M$5,0)+1,FALSE),E1514)</f>
        <v>49.82</v>
      </c>
      <c r="F1515" s="6">
        <f>IFERROR(VLOOKUP($B1515,Platts!$E$5:$M$4994,MATCH(F$3,Platts!$F$5:$M$5,0)+1,FALSE),F1514)</f>
        <v>57.52</v>
      </c>
      <c r="G1515" s="6">
        <f>IFERROR(VLOOKUP($B1515,Platts!$E$5:$M$4994,MATCH(G$3,Platts!$F$5:$M$5,0)+1,FALSE),G1514)</f>
        <v>59.71</v>
      </c>
      <c r="H1515" s="6">
        <f>IFERROR(VLOOKUP($B1515,Platts!$E$5:$M$4994,MATCH(H$3,Platts!$F$5:$M$5,0)+1,FALSE),H1514)</f>
        <v>53.78</v>
      </c>
      <c r="I1515" s="6">
        <f>IFERROR(VLOOKUP($B1515,Platts!$E$5:$M$4994,MATCH(I$3,Platts!$F$5:$M$5,0)+1,FALSE),I1514)</f>
        <v>57.08</v>
      </c>
      <c r="J1515" s="6">
        <f t="shared" si="46"/>
        <v>4.6300000000000026</v>
      </c>
    </row>
    <row r="1516" spans="2:10" x14ac:dyDescent="0.25">
      <c r="B1516" s="5">
        <f t="shared" si="47"/>
        <v>43882</v>
      </c>
      <c r="C1516" s="6">
        <f>IFERROR(VLOOKUP($B1516,Platts!$E$5:$M$4994,MATCH(C$3,Platts!$F$5:$M$5,0)+1,FALSE),C1515)</f>
        <v>48.47</v>
      </c>
      <c r="D1516" s="6">
        <f>IFERROR(VLOOKUP($B1516,Platts!$E$5:$M$4994,MATCH(D$3,Platts!$F$5:$M$5,0)+1,FALSE),D1515)</f>
        <v>53.74</v>
      </c>
      <c r="E1516" s="6">
        <f>IFERROR(VLOOKUP($B1516,Platts!$E$5:$M$4994,MATCH(E$3,Platts!$F$5:$M$5,0)+1,FALSE),E1515)</f>
        <v>49.19</v>
      </c>
      <c r="F1516" s="6">
        <f>IFERROR(VLOOKUP($B1516,Platts!$E$5:$M$4994,MATCH(F$3,Platts!$F$5:$M$5,0)+1,FALSE),F1515)</f>
        <v>56.89</v>
      </c>
      <c r="G1516" s="6">
        <f>IFERROR(VLOOKUP($B1516,Platts!$E$5:$M$4994,MATCH(G$3,Platts!$F$5:$M$5,0)+1,FALSE),G1515)</f>
        <v>58.14</v>
      </c>
      <c r="H1516" s="6">
        <f>IFERROR(VLOOKUP($B1516,Platts!$E$5:$M$4994,MATCH(H$3,Platts!$F$5:$M$5,0)+1,FALSE),H1515)</f>
        <v>53.31</v>
      </c>
      <c r="I1516" s="6">
        <f>IFERROR(VLOOKUP($B1516,Platts!$E$5:$M$4994,MATCH(I$3,Platts!$F$5:$M$5,0)+1,FALSE),I1515)</f>
        <v>56.46</v>
      </c>
      <c r="J1516" s="6">
        <f t="shared" si="46"/>
        <v>4.8400000000000034</v>
      </c>
    </row>
    <row r="1517" spans="2:10" x14ac:dyDescent="0.25">
      <c r="B1517" s="5">
        <f t="shared" si="47"/>
        <v>43883</v>
      </c>
      <c r="C1517" s="6">
        <f>IFERROR(VLOOKUP($B1517,Platts!$E$5:$M$4994,MATCH(C$3,Platts!$F$5:$M$5,0)+1,FALSE),C1516)</f>
        <v>48.47</v>
      </c>
      <c r="D1517" s="6">
        <f>IFERROR(VLOOKUP($B1517,Platts!$E$5:$M$4994,MATCH(D$3,Platts!$F$5:$M$5,0)+1,FALSE),D1516)</f>
        <v>53.74</v>
      </c>
      <c r="E1517" s="6">
        <f>IFERROR(VLOOKUP($B1517,Platts!$E$5:$M$4994,MATCH(E$3,Platts!$F$5:$M$5,0)+1,FALSE),E1516)</f>
        <v>49.19</v>
      </c>
      <c r="F1517" s="6">
        <f>IFERROR(VLOOKUP($B1517,Platts!$E$5:$M$4994,MATCH(F$3,Platts!$F$5:$M$5,0)+1,FALSE),F1516)</f>
        <v>56.89</v>
      </c>
      <c r="G1517" s="6">
        <f>IFERROR(VLOOKUP($B1517,Platts!$E$5:$M$4994,MATCH(G$3,Platts!$F$5:$M$5,0)+1,FALSE),G1516)</f>
        <v>58.14</v>
      </c>
      <c r="H1517" s="6">
        <f>IFERROR(VLOOKUP($B1517,Platts!$E$5:$M$4994,MATCH(H$3,Platts!$F$5:$M$5,0)+1,FALSE),H1516)</f>
        <v>53.31</v>
      </c>
      <c r="I1517" s="6">
        <f>IFERROR(VLOOKUP($B1517,Platts!$E$5:$M$4994,MATCH(I$3,Platts!$F$5:$M$5,0)+1,FALSE),I1516)</f>
        <v>56.46</v>
      </c>
      <c r="J1517" s="6">
        <f t="shared" si="46"/>
        <v>4.8400000000000034</v>
      </c>
    </row>
    <row r="1518" spans="2:10" x14ac:dyDescent="0.25">
      <c r="B1518" s="5">
        <f t="shared" si="47"/>
        <v>43884</v>
      </c>
      <c r="C1518" s="6">
        <f>IFERROR(VLOOKUP($B1518,Platts!$E$5:$M$4994,MATCH(C$3,Platts!$F$5:$M$5,0)+1,FALSE),C1517)</f>
        <v>48.47</v>
      </c>
      <c r="D1518" s="6">
        <f>IFERROR(VLOOKUP($B1518,Platts!$E$5:$M$4994,MATCH(D$3,Platts!$F$5:$M$5,0)+1,FALSE),D1517)</f>
        <v>53.74</v>
      </c>
      <c r="E1518" s="6">
        <f>IFERROR(VLOOKUP($B1518,Platts!$E$5:$M$4994,MATCH(E$3,Platts!$F$5:$M$5,0)+1,FALSE),E1517)</f>
        <v>49.19</v>
      </c>
      <c r="F1518" s="6">
        <f>IFERROR(VLOOKUP($B1518,Platts!$E$5:$M$4994,MATCH(F$3,Platts!$F$5:$M$5,0)+1,FALSE),F1517)</f>
        <v>56.89</v>
      </c>
      <c r="G1518" s="6">
        <f>IFERROR(VLOOKUP($B1518,Platts!$E$5:$M$4994,MATCH(G$3,Platts!$F$5:$M$5,0)+1,FALSE),G1517)</f>
        <v>58.14</v>
      </c>
      <c r="H1518" s="6">
        <f>IFERROR(VLOOKUP($B1518,Platts!$E$5:$M$4994,MATCH(H$3,Platts!$F$5:$M$5,0)+1,FALSE),H1517)</f>
        <v>53.31</v>
      </c>
      <c r="I1518" s="6">
        <f>IFERROR(VLOOKUP($B1518,Platts!$E$5:$M$4994,MATCH(I$3,Platts!$F$5:$M$5,0)+1,FALSE),I1517)</f>
        <v>56.46</v>
      </c>
      <c r="J1518" s="6">
        <f t="shared" si="46"/>
        <v>4.8400000000000034</v>
      </c>
    </row>
    <row r="1519" spans="2:10" x14ac:dyDescent="0.25">
      <c r="B1519" s="5">
        <f t="shared" si="47"/>
        <v>43885</v>
      </c>
      <c r="C1519" s="6">
        <f>IFERROR(VLOOKUP($B1519,Platts!$E$5:$M$4994,MATCH(C$3,Platts!$F$5:$M$5,0)+1,FALSE),C1518)</f>
        <v>46.41</v>
      </c>
      <c r="D1519" s="6">
        <f>IFERROR(VLOOKUP($B1519,Platts!$E$5:$M$4994,MATCH(D$3,Platts!$F$5:$M$5,0)+1,FALSE),D1518)</f>
        <v>51.7</v>
      </c>
      <c r="E1519" s="6">
        <f>IFERROR(VLOOKUP($B1519,Platts!$E$5:$M$4994,MATCH(E$3,Platts!$F$5:$M$5,0)+1,FALSE),E1518)</f>
        <v>47.15</v>
      </c>
      <c r="F1519" s="6">
        <f>IFERROR(VLOOKUP($B1519,Platts!$E$5:$M$4994,MATCH(F$3,Platts!$F$5:$M$5,0)+1,FALSE),F1518)</f>
        <v>54.85</v>
      </c>
      <c r="G1519" s="6">
        <f>IFERROR(VLOOKUP($B1519,Platts!$E$5:$M$4994,MATCH(G$3,Platts!$F$5:$M$5,0)+1,FALSE),G1518)</f>
        <v>55.67</v>
      </c>
      <c r="H1519" s="6">
        <f>IFERROR(VLOOKUP($B1519,Platts!$E$5:$M$4994,MATCH(H$3,Platts!$F$5:$M$5,0)+1,FALSE),H1518)</f>
        <v>51.35</v>
      </c>
      <c r="I1519" s="6">
        <f>IFERROR(VLOOKUP($B1519,Platts!$E$5:$M$4994,MATCH(I$3,Platts!$F$5:$M$5,0)+1,FALSE),I1518)</f>
        <v>54.45</v>
      </c>
      <c r="J1519" s="6">
        <f t="shared" si="46"/>
        <v>4.9400000000000048</v>
      </c>
    </row>
    <row r="1520" spans="2:10" x14ac:dyDescent="0.25">
      <c r="B1520" s="5">
        <f t="shared" si="47"/>
        <v>43886</v>
      </c>
      <c r="C1520" s="6">
        <f>IFERROR(VLOOKUP($B1520,Platts!$E$5:$M$4994,MATCH(C$3,Platts!$F$5:$M$5,0)+1,FALSE),C1519)</f>
        <v>44.94</v>
      </c>
      <c r="D1520" s="6">
        <f>IFERROR(VLOOKUP($B1520,Platts!$E$5:$M$4994,MATCH(D$3,Platts!$F$5:$M$5,0)+1,FALSE),D1519)</f>
        <v>49.87</v>
      </c>
      <c r="E1520" s="6">
        <f>IFERROR(VLOOKUP($B1520,Platts!$E$5:$M$4994,MATCH(E$3,Platts!$F$5:$M$5,0)+1,FALSE),E1519)</f>
        <v>45.32</v>
      </c>
      <c r="F1520" s="6">
        <f>IFERROR(VLOOKUP($B1520,Platts!$E$5:$M$4994,MATCH(F$3,Platts!$F$5:$M$5,0)+1,FALSE),F1519)</f>
        <v>53.02</v>
      </c>
      <c r="G1520" s="6">
        <f>IFERROR(VLOOKUP($B1520,Platts!$E$5:$M$4994,MATCH(G$3,Platts!$F$5:$M$5,0)+1,FALSE),G1519)</f>
        <v>55.75</v>
      </c>
      <c r="H1520" s="6">
        <f>IFERROR(VLOOKUP($B1520,Platts!$E$5:$M$4994,MATCH(H$3,Platts!$F$5:$M$5,0)+1,FALSE),H1519)</f>
        <v>49.82</v>
      </c>
      <c r="I1520" s="6">
        <f>IFERROR(VLOOKUP($B1520,Platts!$E$5:$M$4994,MATCH(I$3,Platts!$F$5:$M$5,0)+1,FALSE),I1519)</f>
        <v>52.92</v>
      </c>
      <c r="J1520" s="6">
        <f t="shared" si="46"/>
        <v>4.8800000000000026</v>
      </c>
    </row>
    <row r="1521" spans="2:10" x14ac:dyDescent="0.25">
      <c r="B1521" s="5">
        <f t="shared" si="47"/>
        <v>43887</v>
      </c>
      <c r="C1521" s="6">
        <f>IFERROR(VLOOKUP($B1521,Platts!$E$5:$M$4994,MATCH(C$3,Platts!$F$5:$M$5,0)+1,FALSE),C1520)</f>
        <v>43.46</v>
      </c>
      <c r="D1521" s="6">
        <f>IFERROR(VLOOKUP($B1521,Platts!$E$5:$M$4994,MATCH(D$3,Platts!$F$5:$M$5,0)+1,FALSE),D1520)</f>
        <v>48.68</v>
      </c>
      <c r="E1521" s="6">
        <f>IFERROR(VLOOKUP($B1521,Platts!$E$5:$M$4994,MATCH(E$3,Platts!$F$5:$M$5,0)+1,FALSE),E1520)</f>
        <v>44.13</v>
      </c>
      <c r="F1521" s="6">
        <f>IFERROR(VLOOKUP($B1521,Platts!$E$5:$M$4994,MATCH(F$3,Platts!$F$5:$M$5,0)+1,FALSE),F1520)</f>
        <v>51.83</v>
      </c>
      <c r="G1521" s="6">
        <f>IFERROR(VLOOKUP($B1521,Platts!$E$5:$M$4994,MATCH(G$3,Platts!$F$5:$M$5,0)+1,FALSE),G1520)</f>
        <v>54.73</v>
      </c>
      <c r="H1521" s="6">
        <f>IFERROR(VLOOKUP($B1521,Platts!$E$5:$M$4994,MATCH(H$3,Platts!$F$5:$M$5,0)+1,FALSE),H1520)</f>
        <v>48.73</v>
      </c>
      <c r="I1521" s="6">
        <f>IFERROR(VLOOKUP($B1521,Platts!$E$5:$M$4994,MATCH(I$3,Platts!$F$5:$M$5,0)+1,FALSE),I1520)</f>
        <v>51.58</v>
      </c>
      <c r="J1521" s="6">
        <f t="shared" si="46"/>
        <v>5.269999999999996</v>
      </c>
    </row>
    <row r="1522" spans="2:10" x14ac:dyDescent="0.25">
      <c r="B1522" s="5">
        <f t="shared" si="47"/>
        <v>43888</v>
      </c>
      <c r="C1522" s="6">
        <f>IFERROR(VLOOKUP($B1522,Platts!$E$5:$M$4994,MATCH(C$3,Platts!$F$5:$M$5,0)+1,FALSE),C1521)</f>
        <v>42.05</v>
      </c>
      <c r="D1522" s="6">
        <f>IFERROR(VLOOKUP($B1522,Platts!$E$5:$M$4994,MATCH(D$3,Platts!$F$5:$M$5,0)+1,FALSE),D1521)</f>
        <v>47.16</v>
      </c>
      <c r="E1522" s="6">
        <f>IFERROR(VLOOKUP($B1522,Platts!$E$5:$M$4994,MATCH(E$3,Platts!$F$5:$M$5,0)+1,FALSE),E1521)</f>
        <v>42.61</v>
      </c>
      <c r="F1522" s="6">
        <f>IFERROR(VLOOKUP($B1522,Platts!$E$5:$M$4994,MATCH(F$3,Platts!$F$5:$M$5,0)+1,FALSE),F1521)</f>
        <v>50.31</v>
      </c>
      <c r="G1522" s="6">
        <f>IFERROR(VLOOKUP($B1522,Platts!$E$5:$M$4994,MATCH(G$3,Platts!$F$5:$M$5,0)+1,FALSE),G1521)</f>
        <v>51.79</v>
      </c>
      <c r="H1522" s="6">
        <f>IFERROR(VLOOKUP($B1522,Platts!$E$5:$M$4994,MATCH(H$3,Platts!$F$5:$M$5,0)+1,FALSE),H1521)</f>
        <v>47.09</v>
      </c>
      <c r="I1522" s="6">
        <f>IFERROR(VLOOKUP($B1522,Platts!$E$5:$M$4994,MATCH(I$3,Platts!$F$5:$M$5,0)+1,FALSE),I1521)</f>
        <v>49.94</v>
      </c>
      <c r="J1522" s="6">
        <f t="shared" si="46"/>
        <v>5.0400000000000063</v>
      </c>
    </row>
    <row r="1523" spans="2:10" x14ac:dyDescent="0.25">
      <c r="B1523" s="5">
        <f t="shared" si="47"/>
        <v>43889</v>
      </c>
      <c r="C1523" s="6">
        <f>IFERROR(VLOOKUP($B1523,Platts!$E$5:$M$4994,MATCH(C$3,Platts!$F$5:$M$5,0)+1,FALSE),C1522)</f>
        <v>39.76</v>
      </c>
      <c r="D1523" s="6">
        <f>IFERROR(VLOOKUP($B1523,Platts!$E$5:$M$4994,MATCH(D$3,Platts!$F$5:$M$5,0)+1,FALSE),D1522)</f>
        <v>45.29</v>
      </c>
      <c r="E1523" s="6">
        <f>IFERROR(VLOOKUP($B1523,Platts!$E$5:$M$4994,MATCH(E$3,Platts!$F$5:$M$5,0)+1,FALSE),E1522)</f>
        <v>40.74</v>
      </c>
      <c r="F1523" s="6">
        <f>IFERROR(VLOOKUP($B1523,Platts!$E$5:$M$4994,MATCH(F$3,Platts!$F$5:$M$5,0)+1,FALSE),F1522)</f>
        <v>48.44</v>
      </c>
      <c r="G1523" s="6">
        <f>IFERROR(VLOOKUP($B1523,Platts!$E$5:$M$4994,MATCH(G$3,Platts!$F$5:$M$5,0)+1,FALSE),G1522)</f>
        <v>49.94</v>
      </c>
      <c r="H1523" s="6">
        <f>IFERROR(VLOOKUP($B1523,Platts!$E$5:$M$4994,MATCH(H$3,Platts!$F$5:$M$5,0)+1,FALSE),H1522)</f>
        <v>44.76</v>
      </c>
      <c r="I1523" s="6">
        <f>IFERROR(VLOOKUP($B1523,Platts!$E$5:$M$4994,MATCH(I$3,Platts!$F$5:$M$5,0)+1,FALSE),I1522)</f>
        <v>47.96</v>
      </c>
      <c r="J1523" s="6">
        <f t="shared" si="46"/>
        <v>5</v>
      </c>
    </row>
    <row r="1524" spans="2:10" x14ac:dyDescent="0.25">
      <c r="B1524" s="5">
        <f t="shared" si="47"/>
        <v>43890</v>
      </c>
      <c r="C1524" s="6">
        <f>IFERROR(VLOOKUP($B1524,Platts!$E$5:$M$4994,MATCH(C$3,Platts!$F$5:$M$5,0)+1,FALSE),C1523)</f>
        <v>39.76</v>
      </c>
      <c r="D1524" s="6">
        <f>IFERROR(VLOOKUP($B1524,Platts!$E$5:$M$4994,MATCH(D$3,Platts!$F$5:$M$5,0)+1,FALSE),D1523)</f>
        <v>45.29</v>
      </c>
      <c r="E1524" s="6">
        <f>IFERROR(VLOOKUP($B1524,Platts!$E$5:$M$4994,MATCH(E$3,Platts!$F$5:$M$5,0)+1,FALSE),E1523)</f>
        <v>40.74</v>
      </c>
      <c r="F1524" s="6">
        <f>IFERROR(VLOOKUP($B1524,Platts!$E$5:$M$4994,MATCH(F$3,Platts!$F$5:$M$5,0)+1,FALSE),F1523)</f>
        <v>48.44</v>
      </c>
      <c r="G1524" s="6">
        <f>IFERROR(VLOOKUP($B1524,Platts!$E$5:$M$4994,MATCH(G$3,Platts!$F$5:$M$5,0)+1,FALSE),G1523)</f>
        <v>49.94</v>
      </c>
      <c r="H1524" s="6">
        <f>IFERROR(VLOOKUP($B1524,Platts!$E$5:$M$4994,MATCH(H$3,Platts!$F$5:$M$5,0)+1,FALSE),H1523)</f>
        <v>44.76</v>
      </c>
      <c r="I1524" s="6">
        <f>IFERROR(VLOOKUP($B1524,Platts!$E$5:$M$4994,MATCH(I$3,Platts!$F$5:$M$5,0)+1,FALSE),I1523)</f>
        <v>47.96</v>
      </c>
      <c r="J1524" s="6">
        <f t="shared" si="46"/>
        <v>5</v>
      </c>
    </row>
    <row r="1525" spans="2:10" x14ac:dyDescent="0.25">
      <c r="B1525" s="5">
        <f t="shared" si="47"/>
        <v>43891</v>
      </c>
      <c r="C1525" s="6">
        <f>IFERROR(VLOOKUP($B1525,Platts!$E$5:$M$4994,MATCH(C$3,Platts!$F$5:$M$5,0)+1,FALSE),C1524)</f>
        <v>39.76</v>
      </c>
      <c r="D1525" s="6">
        <f>IFERROR(VLOOKUP($B1525,Platts!$E$5:$M$4994,MATCH(D$3,Platts!$F$5:$M$5,0)+1,FALSE),D1524)</f>
        <v>45.29</v>
      </c>
      <c r="E1525" s="6">
        <f>IFERROR(VLOOKUP($B1525,Platts!$E$5:$M$4994,MATCH(E$3,Platts!$F$5:$M$5,0)+1,FALSE),E1524)</f>
        <v>40.74</v>
      </c>
      <c r="F1525" s="6">
        <f>IFERROR(VLOOKUP($B1525,Platts!$E$5:$M$4994,MATCH(F$3,Platts!$F$5:$M$5,0)+1,FALSE),F1524)</f>
        <v>48.44</v>
      </c>
      <c r="G1525" s="6">
        <f>IFERROR(VLOOKUP($B1525,Platts!$E$5:$M$4994,MATCH(G$3,Platts!$F$5:$M$5,0)+1,FALSE),G1524)</f>
        <v>49.94</v>
      </c>
      <c r="H1525" s="6">
        <f>IFERROR(VLOOKUP($B1525,Platts!$E$5:$M$4994,MATCH(H$3,Platts!$F$5:$M$5,0)+1,FALSE),H1524)</f>
        <v>44.76</v>
      </c>
      <c r="I1525" s="6">
        <f>IFERROR(VLOOKUP($B1525,Platts!$E$5:$M$4994,MATCH(I$3,Platts!$F$5:$M$5,0)+1,FALSE),I1524)</f>
        <v>47.96</v>
      </c>
      <c r="J1525" s="6">
        <f t="shared" si="46"/>
        <v>5</v>
      </c>
    </row>
    <row r="1526" spans="2:10" x14ac:dyDescent="0.25">
      <c r="B1526" s="5">
        <f t="shared" si="47"/>
        <v>43892</v>
      </c>
      <c r="C1526" s="6">
        <f>IFERROR(VLOOKUP($B1526,Platts!$E$5:$M$4994,MATCH(C$3,Platts!$F$5:$M$5,0)+1,FALSE),C1525)</f>
        <v>41.85</v>
      </c>
      <c r="D1526" s="6">
        <f>IFERROR(VLOOKUP($B1526,Platts!$E$5:$M$4994,MATCH(D$3,Platts!$F$5:$M$5,0)+1,FALSE),D1525)</f>
        <v>45.41</v>
      </c>
      <c r="E1526" s="6">
        <f>IFERROR(VLOOKUP($B1526,Platts!$E$5:$M$4994,MATCH(E$3,Platts!$F$5:$M$5,0)+1,FALSE),E1525)</f>
        <v>42.76</v>
      </c>
      <c r="F1526" s="6">
        <f>IFERROR(VLOOKUP($B1526,Platts!$E$5:$M$4994,MATCH(F$3,Platts!$F$5:$M$5,0)+1,FALSE),F1525)</f>
        <v>50.21</v>
      </c>
      <c r="G1526" s="6">
        <f>IFERROR(VLOOKUP($B1526,Platts!$E$5:$M$4994,MATCH(G$3,Platts!$F$5:$M$5,0)+1,FALSE),G1525)</f>
        <v>51.63</v>
      </c>
      <c r="H1526" s="6">
        <f>IFERROR(VLOOKUP($B1526,Platts!$E$5:$M$4994,MATCH(H$3,Platts!$F$5:$M$5,0)+1,FALSE),H1525)</f>
        <v>46.75</v>
      </c>
      <c r="I1526" s="6">
        <f>IFERROR(VLOOKUP($B1526,Platts!$E$5:$M$4994,MATCH(I$3,Platts!$F$5:$M$5,0)+1,FALSE),I1525)</f>
        <v>49.85</v>
      </c>
      <c r="J1526" s="6">
        <f t="shared" si="46"/>
        <v>4.8999999999999986</v>
      </c>
    </row>
    <row r="1527" spans="2:10" x14ac:dyDescent="0.25">
      <c r="B1527" s="5">
        <f t="shared" si="47"/>
        <v>43893</v>
      </c>
      <c r="C1527" s="6">
        <f>IFERROR(VLOOKUP($B1527,Platts!$E$5:$M$4994,MATCH(C$3,Platts!$F$5:$M$5,0)+1,FALSE),C1526)</f>
        <v>42.02</v>
      </c>
      <c r="D1527" s="6">
        <f>IFERROR(VLOOKUP($B1527,Platts!$E$5:$M$4994,MATCH(D$3,Platts!$F$5:$M$5,0)+1,FALSE),D1526)</f>
        <v>45.44</v>
      </c>
      <c r="E1527" s="6">
        <f>IFERROR(VLOOKUP($B1527,Platts!$E$5:$M$4994,MATCH(E$3,Platts!$F$5:$M$5,0)+1,FALSE),E1526)</f>
        <v>42.79</v>
      </c>
      <c r="F1527" s="6">
        <f>IFERROR(VLOOKUP($B1527,Platts!$E$5:$M$4994,MATCH(F$3,Platts!$F$5:$M$5,0)+1,FALSE),F1526)</f>
        <v>50.24</v>
      </c>
      <c r="G1527" s="6">
        <f>IFERROR(VLOOKUP($B1527,Platts!$E$5:$M$4994,MATCH(G$3,Platts!$F$5:$M$5,0)+1,FALSE),G1526)</f>
        <v>52.13</v>
      </c>
      <c r="H1527" s="6">
        <f>IFERROR(VLOOKUP($B1527,Platts!$E$5:$M$4994,MATCH(H$3,Platts!$F$5:$M$5,0)+1,FALSE),H1526)</f>
        <v>47.18</v>
      </c>
      <c r="I1527" s="6">
        <f>IFERROR(VLOOKUP($B1527,Platts!$E$5:$M$4994,MATCH(I$3,Platts!$F$5:$M$5,0)+1,FALSE),I1526)</f>
        <v>50.33</v>
      </c>
      <c r="J1527" s="6">
        <f t="shared" si="46"/>
        <v>5.1599999999999966</v>
      </c>
    </row>
    <row r="1528" spans="2:10" x14ac:dyDescent="0.25">
      <c r="B1528" s="5">
        <f t="shared" si="47"/>
        <v>43894</v>
      </c>
      <c r="C1528" s="6">
        <f>IFERROR(VLOOKUP($B1528,Platts!$E$5:$M$4994,MATCH(C$3,Platts!$F$5:$M$5,0)+1,FALSE),C1527)</f>
        <v>41.37</v>
      </c>
      <c r="D1528" s="6">
        <f>IFERROR(VLOOKUP($B1528,Platts!$E$5:$M$4994,MATCH(D$3,Platts!$F$5:$M$5,0)+1,FALSE),D1527)</f>
        <v>44.88</v>
      </c>
      <c r="E1528" s="6">
        <f>IFERROR(VLOOKUP($B1528,Platts!$E$5:$M$4994,MATCH(E$3,Platts!$F$5:$M$5,0)+1,FALSE),E1527)</f>
        <v>42.23</v>
      </c>
      <c r="F1528" s="6">
        <f>IFERROR(VLOOKUP($B1528,Platts!$E$5:$M$4994,MATCH(F$3,Platts!$F$5:$M$5,0)+1,FALSE),F1527)</f>
        <v>49.68</v>
      </c>
      <c r="G1528" s="6">
        <f>IFERROR(VLOOKUP($B1528,Platts!$E$5:$M$4994,MATCH(G$3,Platts!$F$5:$M$5,0)+1,FALSE),G1527)</f>
        <v>51.83</v>
      </c>
      <c r="H1528" s="6">
        <f>IFERROR(VLOOKUP($B1528,Platts!$E$5:$M$4994,MATCH(H$3,Platts!$F$5:$M$5,0)+1,FALSE),H1527)</f>
        <v>46.78</v>
      </c>
      <c r="I1528" s="6">
        <f>IFERROR(VLOOKUP($B1528,Platts!$E$5:$M$4994,MATCH(I$3,Platts!$F$5:$M$5,0)+1,FALSE),I1527)</f>
        <v>49.98</v>
      </c>
      <c r="J1528" s="6">
        <f t="shared" si="46"/>
        <v>5.4100000000000037</v>
      </c>
    </row>
    <row r="1529" spans="2:10" x14ac:dyDescent="0.25">
      <c r="B1529" s="5">
        <f t="shared" si="47"/>
        <v>43895</v>
      </c>
      <c r="C1529" s="6">
        <f>IFERROR(VLOOKUP($B1529,Platts!$E$5:$M$4994,MATCH(C$3,Platts!$F$5:$M$5,0)+1,FALSE),C1528)</f>
        <v>40.32</v>
      </c>
      <c r="D1529" s="6">
        <f>IFERROR(VLOOKUP($B1529,Platts!$E$5:$M$4994,MATCH(D$3,Platts!$F$5:$M$5,0)+1,FALSE),D1528)</f>
        <v>43.67</v>
      </c>
      <c r="E1529" s="6">
        <f>IFERROR(VLOOKUP($B1529,Platts!$E$5:$M$4994,MATCH(E$3,Platts!$F$5:$M$5,0)+1,FALSE),E1528)</f>
        <v>41.02</v>
      </c>
      <c r="F1529" s="6">
        <f>IFERROR(VLOOKUP($B1529,Platts!$E$5:$M$4994,MATCH(F$3,Platts!$F$5:$M$5,0)+1,FALSE),F1528)</f>
        <v>48.47</v>
      </c>
      <c r="G1529" s="6">
        <f>IFERROR(VLOOKUP($B1529,Platts!$E$5:$M$4994,MATCH(G$3,Platts!$F$5:$M$5,0)+1,FALSE),G1528)</f>
        <v>51.41</v>
      </c>
      <c r="H1529" s="6">
        <f>IFERROR(VLOOKUP($B1529,Platts!$E$5:$M$4994,MATCH(H$3,Platts!$F$5:$M$5,0)+1,FALSE),H1528)</f>
        <v>45.9</v>
      </c>
      <c r="I1529" s="6">
        <f>IFERROR(VLOOKUP($B1529,Platts!$E$5:$M$4994,MATCH(I$3,Platts!$F$5:$M$5,0)+1,FALSE),I1528)</f>
        <v>49.05</v>
      </c>
      <c r="J1529" s="6">
        <f t="shared" si="46"/>
        <v>5.5799999999999983</v>
      </c>
    </row>
    <row r="1530" spans="2:10" x14ac:dyDescent="0.25">
      <c r="B1530" s="5">
        <f t="shared" si="47"/>
        <v>43896</v>
      </c>
      <c r="C1530" s="6">
        <f>IFERROR(VLOOKUP($B1530,Platts!$E$5:$M$4994,MATCH(C$3,Platts!$F$5:$M$5,0)+1,FALSE),C1529)</f>
        <v>35.75</v>
      </c>
      <c r="D1530" s="6">
        <f>IFERROR(VLOOKUP($B1530,Platts!$E$5:$M$4994,MATCH(D$3,Platts!$F$5:$M$5,0)+1,FALSE),D1529)</f>
        <v>38.96</v>
      </c>
      <c r="E1530" s="6">
        <f>IFERROR(VLOOKUP($B1530,Platts!$E$5:$M$4994,MATCH(E$3,Platts!$F$5:$M$5,0)+1,FALSE),E1529)</f>
        <v>36.31</v>
      </c>
      <c r="F1530" s="6">
        <f>IFERROR(VLOOKUP($B1530,Platts!$E$5:$M$4994,MATCH(F$3,Platts!$F$5:$M$5,0)+1,FALSE),F1529)</f>
        <v>43.76</v>
      </c>
      <c r="G1530" s="6">
        <f>IFERROR(VLOOKUP($B1530,Platts!$E$5:$M$4994,MATCH(G$3,Platts!$F$5:$M$5,0)+1,FALSE),G1529)</f>
        <v>45.56</v>
      </c>
      <c r="H1530" s="6">
        <f>IFERROR(VLOOKUP($B1530,Platts!$E$5:$M$4994,MATCH(H$3,Platts!$F$5:$M$5,0)+1,FALSE),H1529)</f>
        <v>41.28</v>
      </c>
      <c r="I1530" s="6">
        <f>IFERROR(VLOOKUP($B1530,Platts!$E$5:$M$4994,MATCH(I$3,Platts!$F$5:$M$5,0)+1,FALSE),I1529)</f>
        <v>44.08</v>
      </c>
      <c r="J1530" s="6">
        <f t="shared" si="46"/>
        <v>5.5300000000000011</v>
      </c>
    </row>
    <row r="1531" spans="2:10" x14ac:dyDescent="0.25">
      <c r="B1531" s="5">
        <f t="shared" si="47"/>
        <v>43897</v>
      </c>
      <c r="C1531" s="6">
        <f>IFERROR(VLOOKUP($B1531,Platts!$E$5:$M$4994,MATCH(C$3,Platts!$F$5:$M$5,0)+1,FALSE),C1530)</f>
        <v>35.75</v>
      </c>
      <c r="D1531" s="6">
        <f>IFERROR(VLOOKUP($B1531,Platts!$E$5:$M$4994,MATCH(D$3,Platts!$F$5:$M$5,0)+1,FALSE),D1530)</f>
        <v>38.96</v>
      </c>
      <c r="E1531" s="6">
        <f>IFERROR(VLOOKUP($B1531,Platts!$E$5:$M$4994,MATCH(E$3,Platts!$F$5:$M$5,0)+1,FALSE),E1530)</f>
        <v>36.31</v>
      </c>
      <c r="F1531" s="6">
        <f>IFERROR(VLOOKUP($B1531,Platts!$E$5:$M$4994,MATCH(F$3,Platts!$F$5:$M$5,0)+1,FALSE),F1530)</f>
        <v>43.76</v>
      </c>
      <c r="G1531" s="6">
        <f>IFERROR(VLOOKUP($B1531,Platts!$E$5:$M$4994,MATCH(G$3,Platts!$F$5:$M$5,0)+1,FALSE),G1530)</f>
        <v>45.56</v>
      </c>
      <c r="H1531" s="6">
        <f>IFERROR(VLOOKUP($B1531,Platts!$E$5:$M$4994,MATCH(H$3,Platts!$F$5:$M$5,0)+1,FALSE),H1530)</f>
        <v>41.28</v>
      </c>
      <c r="I1531" s="6">
        <f>IFERROR(VLOOKUP($B1531,Platts!$E$5:$M$4994,MATCH(I$3,Platts!$F$5:$M$5,0)+1,FALSE),I1530)</f>
        <v>44.08</v>
      </c>
      <c r="J1531" s="6">
        <f t="shared" si="46"/>
        <v>5.5300000000000011</v>
      </c>
    </row>
    <row r="1532" spans="2:10" x14ac:dyDescent="0.25">
      <c r="B1532" s="5">
        <f t="shared" si="47"/>
        <v>43898</v>
      </c>
      <c r="C1532" s="6">
        <f>IFERROR(VLOOKUP($B1532,Platts!$E$5:$M$4994,MATCH(C$3,Platts!$F$5:$M$5,0)+1,FALSE),C1531)</f>
        <v>35.75</v>
      </c>
      <c r="D1532" s="6">
        <f>IFERROR(VLOOKUP($B1532,Platts!$E$5:$M$4994,MATCH(D$3,Platts!$F$5:$M$5,0)+1,FALSE),D1531)</f>
        <v>38.96</v>
      </c>
      <c r="E1532" s="6">
        <f>IFERROR(VLOOKUP($B1532,Platts!$E$5:$M$4994,MATCH(E$3,Platts!$F$5:$M$5,0)+1,FALSE),E1531)</f>
        <v>36.31</v>
      </c>
      <c r="F1532" s="6">
        <f>IFERROR(VLOOKUP($B1532,Platts!$E$5:$M$4994,MATCH(F$3,Platts!$F$5:$M$5,0)+1,FALSE),F1531)</f>
        <v>43.76</v>
      </c>
      <c r="G1532" s="6">
        <f>IFERROR(VLOOKUP($B1532,Platts!$E$5:$M$4994,MATCH(G$3,Platts!$F$5:$M$5,0)+1,FALSE),G1531)</f>
        <v>45.56</v>
      </c>
      <c r="H1532" s="6">
        <f>IFERROR(VLOOKUP($B1532,Platts!$E$5:$M$4994,MATCH(H$3,Platts!$F$5:$M$5,0)+1,FALSE),H1531)</f>
        <v>41.28</v>
      </c>
      <c r="I1532" s="6">
        <f>IFERROR(VLOOKUP($B1532,Platts!$E$5:$M$4994,MATCH(I$3,Platts!$F$5:$M$5,0)+1,FALSE),I1531)</f>
        <v>44.08</v>
      </c>
      <c r="J1532" s="6">
        <f t="shared" si="46"/>
        <v>5.5300000000000011</v>
      </c>
    </row>
    <row r="1533" spans="2:10" x14ac:dyDescent="0.25">
      <c r="B1533" s="5">
        <f t="shared" si="47"/>
        <v>43899</v>
      </c>
      <c r="C1533" s="6">
        <f>IFERROR(VLOOKUP($B1533,Platts!$E$5:$M$4994,MATCH(C$3,Platts!$F$5:$M$5,0)+1,FALSE),C1532)</f>
        <v>24.43</v>
      </c>
      <c r="D1533" s="6">
        <f>IFERROR(VLOOKUP($B1533,Platts!$E$5:$M$4994,MATCH(D$3,Platts!$F$5:$M$5,0)+1,FALSE),D1532)</f>
        <v>27.98</v>
      </c>
      <c r="E1533" s="6">
        <f>IFERROR(VLOOKUP($B1533,Platts!$E$5:$M$4994,MATCH(E$3,Platts!$F$5:$M$5,0)+1,FALSE),E1532)</f>
        <v>25.33</v>
      </c>
      <c r="F1533" s="6">
        <f>IFERROR(VLOOKUP($B1533,Platts!$E$5:$M$4994,MATCH(F$3,Platts!$F$5:$M$5,0)+1,FALSE),F1532)</f>
        <v>32.78</v>
      </c>
      <c r="G1533" s="6">
        <f>IFERROR(VLOOKUP($B1533,Platts!$E$5:$M$4994,MATCH(G$3,Platts!$F$5:$M$5,0)+1,FALSE),G1532)</f>
        <v>36.409999999999997</v>
      </c>
      <c r="H1533" s="6">
        <f>IFERROR(VLOOKUP($B1533,Platts!$E$5:$M$4994,MATCH(H$3,Platts!$F$5:$M$5,0)+1,FALSE),H1532)</f>
        <v>31.13</v>
      </c>
      <c r="I1533" s="6">
        <f>IFERROR(VLOOKUP($B1533,Platts!$E$5:$M$4994,MATCH(I$3,Platts!$F$5:$M$5,0)+1,FALSE),I1532)</f>
        <v>32.130000000000003</v>
      </c>
      <c r="J1533" s="6">
        <f t="shared" si="46"/>
        <v>6.6999999999999993</v>
      </c>
    </row>
    <row r="1534" spans="2:10" x14ac:dyDescent="0.25">
      <c r="B1534" s="5">
        <f t="shared" si="47"/>
        <v>43900</v>
      </c>
      <c r="C1534" s="6">
        <f>IFERROR(VLOOKUP($B1534,Platts!$E$5:$M$4994,MATCH(C$3,Platts!$F$5:$M$5,0)+1,FALSE),C1533)</f>
        <v>27.4</v>
      </c>
      <c r="D1534" s="6">
        <f>IFERROR(VLOOKUP($B1534,Platts!$E$5:$M$4994,MATCH(D$3,Platts!$F$5:$M$5,0)+1,FALSE),D1533)</f>
        <v>31.24</v>
      </c>
      <c r="E1534" s="6">
        <f>IFERROR(VLOOKUP($B1534,Platts!$E$5:$M$4994,MATCH(E$3,Platts!$F$5:$M$5,0)+1,FALSE),E1533)</f>
        <v>28.59</v>
      </c>
      <c r="F1534" s="6">
        <f>IFERROR(VLOOKUP($B1534,Platts!$E$5:$M$4994,MATCH(F$3,Platts!$F$5:$M$5,0)+1,FALSE),F1533)</f>
        <v>36.04</v>
      </c>
      <c r="G1534" s="6">
        <f>IFERROR(VLOOKUP($B1534,Platts!$E$5:$M$4994,MATCH(G$3,Platts!$F$5:$M$5,0)+1,FALSE),G1533)</f>
        <v>36.76</v>
      </c>
      <c r="H1534" s="6">
        <f>IFERROR(VLOOKUP($B1534,Platts!$E$5:$M$4994,MATCH(H$3,Platts!$F$5:$M$5,0)+1,FALSE),H1533)</f>
        <v>34.36</v>
      </c>
      <c r="I1534" s="6">
        <f>IFERROR(VLOOKUP($B1534,Platts!$E$5:$M$4994,MATCH(I$3,Platts!$F$5:$M$5,0)+1,FALSE),I1533)</f>
        <v>35.61</v>
      </c>
      <c r="J1534" s="6">
        <f t="shared" si="46"/>
        <v>6.9600000000000009</v>
      </c>
    </row>
    <row r="1535" spans="2:10" x14ac:dyDescent="0.25">
      <c r="B1535" s="5">
        <f t="shared" si="47"/>
        <v>43901</v>
      </c>
      <c r="C1535" s="6">
        <f>IFERROR(VLOOKUP($B1535,Platts!$E$5:$M$4994,MATCH(C$3,Platts!$F$5:$M$5,0)+1,FALSE),C1534)</f>
        <v>25.93</v>
      </c>
      <c r="D1535" s="6">
        <f>IFERROR(VLOOKUP($B1535,Platts!$E$5:$M$4994,MATCH(D$3,Platts!$F$5:$M$5,0)+1,FALSE),D1534)</f>
        <v>29.22</v>
      </c>
      <c r="E1535" s="6">
        <f>IFERROR(VLOOKUP($B1535,Platts!$E$5:$M$4994,MATCH(E$3,Platts!$F$5:$M$5,0)+1,FALSE),E1534)</f>
        <v>26.57</v>
      </c>
      <c r="F1535" s="6">
        <f>IFERROR(VLOOKUP($B1535,Platts!$E$5:$M$4994,MATCH(F$3,Platts!$F$5:$M$5,0)+1,FALSE),F1534)</f>
        <v>34.020000000000003</v>
      </c>
      <c r="G1535" s="6">
        <f>IFERROR(VLOOKUP($B1535,Platts!$E$5:$M$4994,MATCH(G$3,Platts!$F$5:$M$5,0)+1,FALSE),G1534)</f>
        <v>36.22</v>
      </c>
      <c r="H1535" s="6">
        <f>IFERROR(VLOOKUP($B1535,Platts!$E$5:$M$4994,MATCH(H$3,Platts!$F$5:$M$5,0)+1,FALSE),H1534)</f>
        <v>32.979999999999997</v>
      </c>
      <c r="I1535" s="6">
        <f>IFERROR(VLOOKUP($B1535,Platts!$E$5:$M$4994,MATCH(I$3,Platts!$F$5:$M$5,0)+1,FALSE),I1534)</f>
        <v>33.93</v>
      </c>
      <c r="J1535" s="6">
        <f t="shared" si="46"/>
        <v>7.0499999999999972</v>
      </c>
    </row>
    <row r="1536" spans="2:10" x14ac:dyDescent="0.25">
      <c r="B1536" s="5">
        <f t="shared" si="47"/>
        <v>43902</v>
      </c>
      <c r="C1536" s="6">
        <f>IFERROR(VLOOKUP($B1536,Platts!$E$5:$M$4994,MATCH(C$3,Platts!$F$5:$M$5,0)+1,FALSE),C1535)</f>
        <v>23.58</v>
      </c>
      <c r="D1536" s="6">
        <f>IFERROR(VLOOKUP($B1536,Platts!$E$5:$M$4994,MATCH(D$3,Platts!$F$5:$M$5,0)+1,FALSE),D1535)</f>
        <v>26.95</v>
      </c>
      <c r="E1536" s="6">
        <f>IFERROR(VLOOKUP($B1536,Platts!$E$5:$M$4994,MATCH(E$3,Platts!$F$5:$M$5,0)+1,FALSE),E1535)</f>
        <v>24.3</v>
      </c>
      <c r="F1536" s="6">
        <f>IFERROR(VLOOKUP($B1536,Platts!$E$5:$M$4994,MATCH(F$3,Platts!$F$5:$M$5,0)+1,FALSE),F1535)</f>
        <v>31.75</v>
      </c>
      <c r="G1536" s="6">
        <f>IFERROR(VLOOKUP($B1536,Platts!$E$5:$M$4994,MATCH(G$3,Platts!$F$5:$M$5,0)+1,FALSE),G1535)</f>
        <v>32.76</v>
      </c>
      <c r="H1536" s="6">
        <f>IFERROR(VLOOKUP($B1536,Platts!$E$5:$M$4994,MATCH(H$3,Platts!$F$5:$M$5,0)+1,FALSE),H1535)</f>
        <v>31.5</v>
      </c>
      <c r="I1536" s="6">
        <f>IFERROR(VLOOKUP($B1536,Platts!$E$5:$M$4994,MATCH(I$3,Platts!$F$5:$M$5,0)+1,FALSE),I1535)</f>
        <v>32.1</v>
      </c>
      <c r="J1536" s="6">
        <f t="shared" si="46"/>
        <v>7.9200000000000017</v>
      </c>
    </row>
    <row r="1537" spans="2:10" x14ac:dyDescent="0.25">
      <c r="B1537" s="5">
        <f t="shared" si="47"/>
        <v>43903</v>
      </c>
      <c r="C1537" s="6">
        <f>IFERROR(VLOOKUP($B1537,Platts!$E$5:$M$4994,MATCH(C$3,Platts!$F$5:$M$5,0)+1,FALSE),C1536)</f>
        <v>24.19</v>
      </c>
      <c r="D1537" s="6">
        <f>IFERROR(VLOOKUP($B1537,Platts!$E$5:$M$4994,MATCH(D$3,Platts!$F$5:$M$5,0)+1,FALSE),D1536)</f>
        <v>27.73</v>
      </c>
      <c r="E1537" s="6">
        <f>IFERROR(VLOOKUP($B1537,Platts!$E$5:$M$4994,MATCH(E$3,Platts!$F$5:$M$5,0)+1,FALSE),E1536)</f>
        <v>25.08</v>
      </c>
      <c r="F1537" s="6">
        <f>IFERROR(VLOOKUP($B1537,Platts!$E$5:$M$4994,MATCH(F$3,Platts!$F$5:$M$5,0)+1,FALSE),F1536)</f>
        <v>32.53</v>
      </c>
      <c r="G1537" s="6">
        <f>IFERROR(VLOOKUP($B1537,Platts!$E$5:$M$4994,MATCH(G$3,Platts!$F$5:$M$5,0)+1,FALSE),G1536)</f>
        <v>33.46</v>
      </c>
      <c r="H1537" s="6">
        <f>IFERROR(VLOOKUP($B1537,Platts!$E$5:$M$4994,MATCH(H$3,Platts!$F$5:$M$5,0)+1,FALSE),H1536)</f>
        <v>31.73</v>
      </c>
      <c r="I1537" s="6">
        <f>IFERROR(VLOOKUP($B1537,Platts!$E$5:$M$4994,MATCH(I$3,Platts!$F$5:$M$5,0)+1,FALSE),I1536)</f>
        <v>32.18</v>
      </c>
      <c r="J1537" s="6">
        <f t="shared" si="46"/>
        <v>7.5399999999999991</v>
      </c>
    </row>
    <row r="1538" spans="2:10" x14ac:dyDescent="0.25">
      <c r="B1538" s="5">
        <f t="shared" si="47"/>
        <v>43904</v>
      </c>
      <c r="C1538" s="6">
        <f>IFERROR(VLOOKUP($B1538,Platts!$E$5:$M$4994,MATCH(C$3,Platts!$F$5:$M$5,0)+1,FALSE),C1537)</f>
        <v>24.19</v>
      </c>
      <c r="D1538" s="6">
        <f>IFERROR(VLOOKUP($B1538,Platts!$E$5:$M$4994,MATCH(D$3,Platts!$F$5:$M$5,0)+1,FALSE),D1537)</f>
        <v>27.73</v>
      </c>
      <c r="E1538" s="6">
        <f>IFERROR(VLOOKUP($B1538,Platts!$E$5:$M$4994,MATCH(E$3,Platts!$F$5:$M$5,0)+1,FALSE),E1537)</f>
        <v>25.08</v>
      </c>
      <c r="F1538" s="6">
        <f>IFERROR(VLOOKUP($B1538,Platts!$E$5:$M$4994,MATCH(F$3,Platts!$F$5:$M$5,0)+1,FALSE),F1537)</f>
        <v>32.53</v>
      </c>
      <c r="G1538" s="6">
        <f>IFERROR(VLOOKUP($B1538,Platts!$E$5:$M$4994,MATCH(G$3,Platts!$F$5:$M$5,0)+1,FALSE),G1537)</f>
        <v>33.46</v>
      </c>
      <c r="H1538" s="6">
        <f>IFERROR(VLOOKUP($B1538,Platts!$E$5:$M$4994,MATCH(H$3,Platts!$F$5:$M$5,0)+1,FALSE),H1537)</f>
        <v>31.73</v>
      </c>
      <c r="I1538" s="6">
        <f>IFERROR(VLOOKUP($B1538,Platts!$E$5:$M$4994,MATCH(I$3,Platts!$F$5:$M$5,0)+1,FALSE),I1537)</f>
        <v>32.18</v>
      </c>
      <c r="J1538" s="6">
        <f t="shared" si="46"/>
        <v>7.5399999999999991</v>
      </c>
    </row>
    <row r="1539" spans="2:10" x14ac:dyDescent="0.25">
      <c r="B1539" s="5">
        <f t="shared" si="47"/>
        <v>43905</v>
      </c>
      <c r="C1539" s="6">
        <f>IFERROR(VLOOKUP($B1539,Platts!$E$5:$M$4994,MATCH(C$3,Platts!$F$5:$M$5,0)+1,FALSE),C1538)</f>
        <v>24.19</v>
      </c>
      <c r="D1539" s="6">
        <f>IFERROR(VLOOKUP($B1539,Platts!$E$5:$M$4994,MATCH(D$3,Platts!$F$5:$M$5,0)+1,FALSE),D1538)</f>
        <v>27.73</v>
      </c>
      <c r="E1539" s="6">
        <f>IFERROR(VLOOKUP($B1539,Platts!$E$5:$M$4994,MATCH(E$3,Platts!$F$5:$M$5,0)+1,FALSE),E1538)</f>
        <v>25.08</v>
      </c>
      <c r="F1539" s="6">
        <f>IFERROR(VLOOKUP($B1539,Platts!$E$5:$M$4994,MATCH(F$3,Platts!$F$5:$M$5,0)+1,FALSE),F1538)</f>
        <v>32.53</v>
      </c>
      <c r="G1539" s="6">
        <f>IFERROR(VLOOKUP($B1539,Platts!$E$5:$M$4994,MATCH(G$3,Platts!$F$5:$M$5,0)+1,FALSE),G1538)</f>
        <v>33.46</v>
      </c>
      <c r="H1539" s="6">
        <f>IFERROR(VLOOKUP($B1539,Platts!$E$5:$M$4994,MATCH(H$3,Platts!$F$5:$M$5,0)+1,FALSE),H1538)</f>
        <v>31.73</v>
      </c>
      <c r="I1539" s="6">
        <f>IFERROR(VLOOKUP($B1539,Platts!$E$5:$M$4994,MATCH(I$3,Platts!$F$5:$M$5,0)+1,FALSE),I1538)</f>
        <v>32.18</v>
      </c>
      <c r="J1539" s="6">
        <f t="shared" si="46"/>
        <v>7.5399999999999991</v>
      </c>
    </row>
    <row r="1540" spans="2:10" x14ac:dyDescent="0.25">
      <c r="B1540" s="5">
        <f t="shared" si="47"/>
        <v>43906</v>
      </c>
      <c r="C1540" s="6">
        <f>IFERROR(VLOOKUP($B1540,Platts!$E$5:$M$4994,MATCH(C$3,Platts!$F$5:$M$5,0)+1,FALSE),C1539)</f>
        <v>21.03</v>
      </c>
      <c r="D1540" s="6">
        <f>IFERROR(VLOOKUP($B1540,Platts!$E$5:$M$4994,MATCH(D$3,Platts!$F$5:$M$5,0)+1,FALSE),D1539)</f>
        <v>23.88</v>
      </c>
      <c r="E1540" s="6">
        <f>IFERROR(VLOOKUP($B1540,Platts!$E$5:$M$4994,MATCH(E$3,Platts!$F$5:$M$5,0)+1,FALSE),E1539)</f>
        <v>21.23</v>
      </c>
      <c r="F1540" s="6">
        <f>IFERROR(VLOOKUP($B1540,Platts!$E$5:$M$4994,MATCH(F$3,Platts!$F$5:$M$5,0)+1,FALSE),F1539)</f>
        <v>28.68</v>
      </c>
      <c r="G1540" s="6">
        <f>IFERROR(VLOOKUP($B1540,Platts!$E$5:$M$4994,MATCH(G$3,Platts!$F$5:$M$5,0)+1,FALSE),G1539)</f>
        <v>29.95</v>
      </c>
      <c r="H1540" s="6">
        <f>IFERROR(VLOOKUP($B1540,Platts!$E$5:$M$4994,MATCH(H$3,Platts!$F$5:$M$5,0)+1,FALSE),H1539)</f>
        <v>28.7</v>
      </c>
      <c r="I1540" s="6">
        <f>IFERROR(VLOOKUP($B1540,Platts!$E$5:$M$4994,MATCH(I$3,Platts!$F$5:$M$5,0)+1,FALSE),I1539)</f>
        <v>28.9</v>
      </c>
      <c r="J1540" s="6">
        <f t="shared" ref="J1540:J1603" si="48">H1540-C1540</f>
        <v>7.6699999999999982</v>
      </c>
    </row>
    <row r="1541" spans="2:10" x14ac:dyDescent="0.25">
      <c r="B1541" s="5">
        <f t="shared" si="47"/>
        <v>43907</v>
      </c>
      <c r="C1541" s="6">
        <f>IFERROR(VLOOKUP($B1541,Platts!$E$5:$M$4994,MATCH(C$3,Platts!$F$5:$M$5,0)+1,FALSE),C1540)</f>
        <v>18.78</v>
      </c>
      <c r="D1541" s="6">
        <f>IFERROR(VLOOKUP($B1541,Platts!$E$5:$M$4994,MATCH(D$3,Platts!$F$5:$M$5,0)+1,FALSE),D1540)</f>
        <v>21.84</v>
      </c>
      <c r="E1541" s="6">
        <f>IFERROR(VLOOKUP($B1541,Platts!$E$5:$M$4994,MATCH(E$3,Platts!$F$5:$M$5,0)+1,FALSE),E1540)</f>
        <v>19.190000000000001</v>
      </c>
      <c r="F1541" s="6">
        <f>IFERROR(VLOOKUP($B1541,Platts!$E$5:$M$4994,MATCH(F$3,Platts!$F$5:$M$5,0)+1,FALSE),F1540)</f>
        <v>26.64</v>
      </c>
      <c r="G1541" s="6">
        <f>IFERROR(VLOOKUP($B1541,Platts!$E$5:$M$4994,MATCH(G$3,Platts!$F$5:$M$5,0)+1,FALSE),G1540)</f>
        <v>29.69</v>
      </c>
      <c r="H1541" s="6">
        <f>IFERROR(VLOOKUP($B1541,Platts!$E$5:$M$4994,MATCH(H$3,Platts!$F$5:$M$5,0)+1,FALSE),H1540)</f>
        <v>26.95</v>
      </c>
      <c r="I1541" s="6">
        <f>IFERROR(VLOOKUP($B1541,Platts!$E$5:$M$4994,MATCH(I$3,Platts!$F$5:$M$5,0)+1,FALSE),I1540)</f>
        <v>26.6</v>
      </c>
      <c r="J1541" s="6">
        <f t="shared" si="48"/>
        <v>8.1699999999999982</v>
      </c>
    </row>
    <row r="1542" spans="2:10" x14ac:dyDescent="0.25">
      <c r="B1542" s="5">
        <f t="shared" ref="B1542:B1605" si="49">B1541+1</f>
        <v>43908</v>
      </c>
      <c r="C1542" s="6">
        <f>IFERROR(VLOOKUP($B1542,Platts!$E$5:$M$4994,MATCH(C$3,Platts!$F$5:$M$5,0)+1,FALSE),C1541)</f>
        <v>14.54</v>
      </c>
      <c r="D1542" s="6">
        <f>IFERROR(VLOOKUP($B1542,Platts!$E$5:$M$4994,MATCH(D$3,Platts!$F$5:$M$5,0)+1,FALSE),D1541)</f>
        <v>16.29</v>
      </c>
      <c r="E1542" s="6">
        <f>IFERROR(VLOOKUP($B1542,Platts!$E$5:$M$4994,MATCH(E$3,Platts!$F$5:$M$5,0)+1,FALSE),E1541)</f>
        <v>13.64</v>
      </c>
      <c r="F1542" s="6">
        <f>IFERROR(VLOOKUP($B1542,Platts!$E$5:$M$4994,MATCH(F$3,Platts!$F$5:$M$5,0)+1,FALSE),F1541)</f>
        <v>21.09</v>
      </c>
      <c r="G1542" s="6">
        <f>IFERROR(VLOOKUP($B1542,Platts!$E$5:$M$4994,MATCH(G$3,Platts!$F$5:$M$5,0)+1,FALSE),G1541)</f>
        <v>25.26</v>
      </c>
      <c r="H1542" s="6">
        <f>IFERROR(VLOOKUP($B1542,Platts!$E$5:$M$4994,MATCH(H$3,Platts!$F$5:$M$5,0)+1,FALSE),H1541)</f>
        <v>20.37</v>
      </c>
      <c r="I1542" s="6">
        <f>IFERROR(VLOOKUP($B1542,Platts!$E$5:$M$4994,MATCH(I$3,Platts!$F$5:$M$5,0)+1,FALSE),I1541)</f>
        <v>19.12</v>
      </c>
      <c r="J1542" s="6">
        <f t="shared" si="48"/>
        <v>5.8300000000000018</v>
      </c>
    </row>
    <row r="1543" spans="2:10" x14ac:dyDescent="0.25">
      <c r="B1543" s="5">
        <f t="shared" si="49"/>
        <v>43909</v>
      </c>
      <c r="C1543" s="6">
        <f>IFERROR(VLOOKUP($B1543,Platts!$E$5:$M$4994,MATCH(C$3,Platts!$F$5:$M$5,0)+1,FALSE),C1542)</f>
        <v>17.7</v>
      </c>
      <c r="D1543" s="6">
        <f>IFERROR(VLOOKUP($B1543,Platts!$E$5:$M$4994,MATCH(D$3,Platts!$F$5:$M$5,0)+1,FALSE),D1542)</f>
        <v>20.420000000000002</v>
      </c>
      <c r="E1543" s="6">
        <f>IFERROR(VLOOKUP($B1543,Platts!$E$5:$M$4994,MATCH(E$3,Platts!$F$5:$M$5,0)+1,FALSE),E1542)</f>
        <v>17.77</v>
      </c>
      <c r="F1543" s="6">
        <f>IFERROR(VLOOKUP($B1543,Platts!$E$5:$M$4994,MATCH(F$3,Platts!$F$5:$M$5,0)+1,FALSE),F1542)</f>
        <v>25.22</v>
      </c>
      <c r="G1543" s="6">
        <f>IFERROR(VLOOKUP($B1543,Platts!$E$5:$M$4994,MATCH(G$3,Platts!$F$5:$M$5,0)+1,FALSE),G1542)</f>
        <v>26.79</v>
      </c>
      <c r="H1543" s="6">
        <f>IFERROR(VLOOKUP($B1543,Platts!$E$5:$M$4994,MATCH(H$3,Platts!$F$5:$M$5,0)+1,FALSE),H1542)</f>
        <v>25.22</v>
      </c>
      <c r="I1543" s="6">
        <f>IFERROR(VLOOKUP($B1543,Platts!$E$5:$M$4994,MATCH(I$3,Platts!$F$5:$M$5,0)+1,FALSE),I1542)</f>
        <v>23.27</v>
      </c>
      <c r="J1543" s="6">
        <f t="shared" si="48"/>
        <v>7.52</v>
      </c>
    </row>
    <row r="1544" spans="2:10" x14ac:dyDescent="0.25">
      <c r="B1544" s="5">
        <f t="shared" si="49"/>
        <v>43910</v>
      </c>
      <c r="C1544" s="6">
        <f>IFERROR(VLOOKUP($B1544,Platts!$E$5:$M$4994,MATCH(C$3,Platts!$F$5:$M$5,0)+1,FALSE),C1543)</f>
        <v>15.78</v>
      </c>
      <c r="D1544" s="6">
        <f>IFERROR(VLOOKUP($B1544,Platts!$E$5:$M$4994,MATCH(D$3,Platts!$F$5:$M$5,0)+1,FALSE),D1543)</f>
        <v>18.489999999999998</v>
      </c>
      <c r="E1544" s="6">
        <f>IFERROR(VLOOKUP($B1544,Platts!$E$5:$M$4994,MATCH(E$3,Platts!$F$5:$M$5,0)+1,FALSE),E1543)</f>
        <v>15.84</v>
      </c>
      <c r="F1544" s="6">
        <f>IFERROR(VLOOKUP($B1544,Platts!$E$5:$M$4994,MATCH(F$3,Platts!$F$5:$M$5,0)+1,FALSE),F1543)</f>
        <v>23.29</v>
      </c>
      <c r="G1544" s="6">
        <f>IFERROR(VLOOKUP($B1544,Platts!$E$5:$M$4994,MATCH(G$3,Platts!$F$5:$M$5,0)+1,FALSE),G1543)</f>
        <v>27.94</v>
      </c>
      <c r="H1544" s="6">
        <f>IFERROR(VLOOKUP($B1544,Platts!$E$5:$M$4994,MATCH(H$3,Platts!$F$5:$M$5,0)+1,FALSE),H1543)</f>
        <v>22.43</v>
      </c>
      <c r="I1544" s="6">
        <f>IFERROR(VLOOKUP($B1544,Platts!$E$5:$M$4994,MATCH(I$3,Platts!$F$5:$M$5,0)+1,FALSE),I1543)</f>
        <v>19.63</v>
      </c>
      <c r="J1544" s="6">
        <f t="shared" si="48"/>
        <v>6.65</v>
      </c>
    </row>
    <row r="1545" spans="2:10" x14ac:dyDescent="0.25">
      <c r="B1545" s="5">
        <f t="shared" si="49"/>
        <v>43911</v>
      </c>
      <c r="C1545" s="6">
        <f>IFERROR(VLOOKUP($B1545,Platts!$E$5:$M$4994,MATCH(C$3,Platts!$F$5:$M$5,0)+1,FALSE),C1544)</f>
        <v>15.78</v>
      </c>
      <c r="D1545" s="6">
        <f>IFERROR(VLOOKUP($B1545,Platts!$E$5:$M$4994,MATCH(D$3,Platts!$F$5:$M$5,0)+1,FALSE),D1544)</f>
        <v>18.489999999999998</v>
      </c>
      <c r="E1545" s="6">
        <f>IFERROR(VLOOKUP($B1545,Platts!$E$5:$M$4994,MATCH(E$3,Platts!$F$5:$M$5,0)+1,FALSE),E1544)</f>
        <v>15.84</v>
      </c>
      <c r="F1545" s="6">
        <f>IFERROR(VLOOKUP($B1545,Platts!$E$5:$M$4994,MATCH(F$3,Platts!$F$5:$M$5,0)+1,FALSE),F1544)</f>
        <v>23.29</v>
      </c>
      <c r="G1545" s="6">
        <f>IFERROR(VLOOKUP($B1545,Platts!$E$5:$M$4994,MATCH(G$3,Platts!$F$5:$M$5,0)+1,FALSE),G1544)</f>
        <v>27.94</v>
      </c>
      <c r="H1545" s="6">
        <f>IFERROR(VLOOKUP($B1545,Platts!$E$5:$M$4994,MATCH(H$3,Platts!$F$5:$M$5,0)+1,FALSE),H1544)</f>
        <v>22.43</v>
      </c>
      <c r="I1545" s="6">
        <f>IFERROR(VLOOKUP($B1545,Platts!$E$5:$M$4994,MATCH(I$3,Platts!$F$5:$M$5,0)+1,FALSE),I1544)</f>
        <v>19.63</v>
      </c>
      <c r="J1545" s="6">
        <f t="shared" si="48"/>
        <v>6.65</v>
      </c>
    </row>
    <row r="1546" spans="2:10" x14ac:dyDescent="0.25">
      <c r="B1546" s="5">
        <f t="shared" si="49"/>
        <v>43912</v>
      </c>
      <c r="C1546" s="6">
        <f>IFERROR(VLOOKUP($B1546,Platts!$E$5:$M$4994,MATCH(C$3,Platts!$F$5:$M$5,0)+1,FALSE),C1545)</f>
        <v>15.78</v>
      </c>
      <c r="D1546" s="6">
        <f>IFERROR(VLOOKUP($B1546,Platts!$E$5:$M$4994,MATCH(D$3,Platts!$F$5:$M$5,0)+1,FALSE),D1545)</f>
        <v>18.489999999999998</v>
      </c>
      <c r="E1546" s="6">
        <f>IFERROR(VLOOKUP($B1546,Platts!$E$5:$M$4994,MATCH(E$3,Platts!$F$5:$M$5,0)+1,FALSE),E1545)</f>
        <v>15.84</v>
      </c>
      <c r="F1546" s="6">
        <f>IFERROR(VLOOKUP($B1546,Platts!$E$5:$M$4994,MATCH(F$3,Platts!$F$5:$M$5,0)+1,FALSE),F1545)</f>
        <v>23.29</v>
      </c>
      <c r="G1546" s="6">
        <f>IFERROR(VLOOKUP($B1546,Platts!$E$5:$M$4994,MATCH(G$3,Platts!$F$5:$M$5,0)+1,FALSE),G1545)</f>
        <v>27.94</v>
      </c>
      <c r="H1546" s="6">
        <f>IFERROR(VLOOKUP($B1546,Platts!$E$5:$M$4994,MATCH(H$3,Platts!$F$5:$M$5,0)+1,FALSE),H1545)</f>
        <v>22.43</v>
      </c>
      <c r="I1546" s="6">
        <f>IFERROR(VLOOKUP($B1546,Platts!$E$5:$M$4994,MATCH(I$3,Platts!$F$5:$M$5,0)+1,FALSE),I1545)</f>
        <v>19.63</v>
      </c>
      <c r="J1546" s="6">
        <f t="shared" si="48"/>
        <v>6.65</v>
      </c>
    </row>
    <row r="1547" spans="2:10" x14ac:dyDescent="0.25">
      <c r="B1547" s="5">
        <f t="shared" si="49"/>
        <v>43913</v>
      </c>
      <c r="C1547" s="6">
        <f>IFERROR(VLOOKUP($B1547,Platts!$E$5:$M$4994,MATCH(C$3,Platts!$F$5:$M$5,0)+1,FALSE),C1546)</f>
        <v>15.33</v>
      </c>
      <c r="D1547" s="6">
        <f>IFERROR(VLOOKUP($B1547,Platts!$E$5:$M$4994,MATCH(D$3,Platts!$F$5:$M$5,0)+1,FALSE),D1546)</f>
        <v>17.93</v>
      </c>
      <c r="E1547" s="6">
        <f>IFERROR(VLOOKUP($B1547,Platts!$E$5:$M$4994,MATCH(E$3,Platts!$F$5:$M$5,0)+1,FALSE),E1546)</f>
        <v>15.28</v>
      </c>
      <c r="F1547" s="6">
        <f>IFERROR(VLOOKUP($B1547,Platts!$E$5:$M$4994,MATCH(F$3,Platts!$F$5:$M$5,0)+1,FALSE),F1546)</f>
        <v>22.73</v>
      </c>
      <c r="G1547" s="6">
        <f>IFERROR(VLOOKUP($B1547,Platts!$E$5:$M$4994,MATCH(G$3,Platts!$F$5:$M$5,0)+1,FALSE),G1546)</f>
        <v>25.24</v>
      </c>
      <c r="H1547" s="6">
        <f>IFERROR(VLOOKUP($B1547,Platts!$E$5:$M$4994,MATCH(H$3,Platts!$F$5:$M$5,0)+1,FALSE),H1546)</f>
        <v>20.36</v>
      </c>
      <c r="I1547" s="6">
        <f>IFERROR(VLOOKUP($B1547,Platts!$E$5:$M$4994,MATCH(I$3,Platts!$F$5:$M$5,0)+1,FALSE),I1546)</f>
        <v>19.21</v>
      </c>
      <c r="J1547" s="6">
        <f t="shared" si="48"/>
        <v>5.0299999999999994</v>
      </c>
    </row>
    <row r="1548" spans="2:10" x14ac:dyDescent="0.25">
      <c r="B1548" s="5">
        <f t="shared" si="49"/>
        <v>43914</v>
      </c>
      <c r="C1548" s="6">
        <f>IFERROR(VLOOKUP($B1548,Platts!$E$5:$M$4994,MATCH(C$3,Platts!$F$5:$M$5,0)+1,FALSE),C1547)</f>
        <v>16.059999999999999</v>
      </c>
      <c r="D1548" s="6">
        <f>IFERROR(VLOOKUP($B1548,Platts!$E$5:$M$4994,MATCH(D$3,Platts!$F$5:$M$5,0)+1,FALSE),D1547)</f>
        <v>19.03</v>
      </c>
      <c r="E1548" s="6">
        <f>IFERROR(VLOOKUP($B1548,Platts!$E$5:$M$4994,MATCH(E$3,Platts!$F$5:$M$5,0)+1,FALSE),E1547)</f>
        <v>16.38</v>
      </c>
      <c r="F1548" s="6">
        <f>IFERROR(VLOOKUP($B1548,Platts!$E$5:$M$4994,MATCH(F$3,Platts!$F$5:$M$5,0)+1,FALSE),F1547)</f>
        <v>23.83</v>
      </c>
      <c r="G1548" s="6">
        <f>IFERROR(VLOOKUP($B1548,Platts!$E$5:$M$4994,MATCH(G$3,Platts!$F$5:$M$5,0)+1,FALSE),G1547)</f>
        <v>27.4</v>
      </c>
      <c r="H1548" s="6">
        <f>IFERROR(VLOOKUP($B1548,Platts!$E$5:$M$4994,MATCH(H$3,Platts!$F$5:$M$5,0)+1,FALSE),H1547)</f>
        <v>20.76</v>
      </c>
      <c r="I1548" s="6">
        <f>IFERROR(VLOOKUP($B1548,Platts!$E$5:$M$4994,MATCH(I$3,Platts!$F$5:$M$5,0)+1,FALSE),I1547)</f>
        <v>22.01</v>
      </c>
      <c r="J1548" s="6">
        <f t="shared" si="48"/>
        <v>4.7000000000000028</v>
      </c>
    </row>
    <row r="1549" spans="2:10" x14ac:dyDescent="0.25">
      <c r="B1549" s="5">
        <f t="shared" si="49"/>
        <v>43915</v>
      </c>
      <c r="C1549" s="6">
        <f>IFERROR(VLOOKUP($B1549,Platts!$E$5:$M$4994,MATCH(C$3,Platts!$F$5:$M$5,0)+1,FALSE),C1548)</f>
        <v>16.84</v>
      </c>
      <c r="D1549" s="6">
        <f>IFERROR(VLOOKUP($B1549,Platts!$E$5:$M$4994,MATCH(D$3,Platts!$F$5:$M$5,0)+1,FALSE),D1548)</f>
        <v>19.170000000000002</v>
      </c>
      <c r="E1549" s="6">
        <f>IFERROR(VLOOKUP($B1549,Platts!$E$5:$M$4994,MATCH(E$3,Platts!$F$5:$M$5,0)+1,FALSE),E1548)</f>
        <v>16.52</v>
      </c>
      <c r="F1549" s="6">
        <f>IFERROR(VLOOKUP($B1549,Platts!$E$5:$M$4994,MATCH(F$3,Platts!$F$5:$M$5,0)+1,FALSE),F1548)</f>
        <v>23.97</v>
      </c>
      <c r="G1549" s="6">
        <f>IFERROR(VLOOKUP($B1549,Platts!$E$5:$M$4994,MATCH(G$3,Platts!$F$5:$M$5,0)+1,FALSE),G1548)</f>
        <v>26.68</v>
      </c>
      <c r="H1549" s="6">
        <f>IFERROR(VLOOKUP($B1549,Platts!$E$5:$M$4994,MATCH(H$3,Platts!$F$5:$M$5,0)+1,FALSE),H1548)</f>
        <v>17.989999999999998</v>
      </c>
      <c r="I1549" s="6">
        <f>IFERROR(VLOOKUP($B1549,Platts!$E$5:$M$4994,MATCH(I$3,Platts!$F$5:$M$5,0)+1,FALSE),I1548)</f>
        <v>19.239999999999998</v>
      </c>
      <c r="J1549" s="6">
        <f t="shared" si="48"/>
        <v>1.1499999999999986</v>
      </c>
    </row>
    <row r="1550" spans="2:10" x14ac:dyDescent="0.25">
      <c r="B1550" s="5">
        <f t="shared" si="49"/>
        <v>43916</v>
      </c>
      <c r="C1550" s="6">
        <f>IFERROR(VLOOKUP($B1550,Platts!$E$5:$M$4994,MATCH(C$3,Platts!$F$5:$M$5,0)+1,FALSE),C1549)</f>
        <v>14.67</v>
      </c>
      <c r="D1550" s="6">
        <f>IFERROR(VLOOKUP($B1550,Platts!$E$5:$M$4994,MATCH(D$3,Platts!$F$5:$M$5,0)+1,FALSE),D1549)</f>
        <v>16.93</v>
      </c>
      <c r="E1550" s="6">
        <f>IFERROR(VLOOKUP($B1550,Platts!$E$5:$M$4994,MATCH(E$3,Platts!$F$5:$M$5,0)+1,FALSE),E1549)</f>
        <v>14.28</v>
      </c>
      <c r="F1550" s="6">
        <f>IFERROR(VLOOKUP($B1550,Platts!$E$5:$M$4994,MATCH(F$3,Platts!$F$5:$M$5,0)+1,FALSE),F1549)</f>
        <v>21.73</v>
      </c>
      <c r="G1550" s="6">
        <f>IFERROR(VLOOKUP($B1550,Platts!$E$5:$M$4994,MATCH(G$3,Platts!$F$5:$M$5,0)+1,FALSE),G1549)</f>
        <v>26.79</v>
      </c>
      <c r="H1550" s="6">
        <f>IFERROR(VLOOKUP($B1550,Platts!$E$5:$M$4994,MATCH(H$3,Platts!$F$5:$M$5,0)+1,FALSE),H1549)</f>
        <v>22.6</v>
      </c>
      <c r="I1550" s="6">
        <f>IFERROR(VLOOKUP($B1550,Platts!$E$5:$M$4994,MATCH(I$3,Platts!$F$5:$M$5,0)+1,FALSE),I1549)</f>
        <v>19.8</v>
      </c>
      <c r="J1550" s="6">
        <f t="shared" si="48"/>
        <v>7.9300000000000015</v>
      </c>
    </row>
    <row r="1551" spans="2:10" x14ac:dyDescent="0.25">
      <c r="B1551" s="5">
        <f t="shared" si="49"/>
        <v>43917</v>
      </c>
      <c r="C1551" s="6">
        <f>IFERROR(VLOOKUP($B1551,Platts!$E$5:$M$4994,MATCH(C$3,Platts!$F$5:$M$5,0)+1,FALSE),C1550)</f>
        <v>13.01</v>
      </c>
      <c r="D1551" s="6">
        <f>IFERROR(VLOOKUP($B1551,Platts!$E$5:$M$4994,MATCH(D$3,Platts!$F$5:$M$5,0)+1,FALSE),D1550)</f>
        <v>14.33</v>
      </c>
      <c r="E1551" s="6">
        <f>IFERROR(VLOOKUP($B1551,Platts!$E$5:$M$4994,MATCH(E$3,Platts!$F$5:$M$5,0)+1,FALSE),E1550)</f>
        <v>11.68</v>
      </c>
      <c r="F1551" s="6">
        <f>IFERROR(VLOOKUP($B1551,Platts!$E$5:$M$4994,MATCH(F$3,Platts!$F$5:$M$5,0)+1,FALSE),F1550)</f>
        <v>19.13</v>
      </c>
      <c r="G1551" s="6">
        <f>IFERROR(VLOOKUP($B1551,Platts!$E$5:$M$4994,MATCH(G$3,Platts!$F$5:$M$5,0)+1,FALSE),G1550)</f>
        <v>24.2</v>
      </c>
      <c r="H1551" s="6">
        <f>IFERROR(VLOOKUP($B1551,Platts!$E$5:$M$4994,MATCH(H$3,Platts!$F$5:$M$5,0)+1,FALSE),H1550)</f>
        <v>21.51</v>
      </c>
      <c r="I1551" s="6">
        <f>IFERROR(VLOOKUP($B1551,Platts!$E$5:$M$4994,MATCH(I$3,Platts!$F$5:$M$5,0)+1,FALSE),I1550)</f>
        <v>16.809999999999999</v>
      </c>
      <c r="J1551" s="6">
        <f t="shared" si="48"/>
        <v>8.5000000000000018</v>
      </c>
    </row>
    <row r="1552" spans="2:10" x14ac:dyDescent="0.25">
      <c r="B1552" s="5">
        <f t="shared" si="49"/>
        <v>43918</v>
      </c>
      <c r="C1552" s="6">
        <f>IFERROR(VLOOKUP($B1552,Platts!$E$5:$M$4994,MATCH(C$3,Platts!$F$5:$M$5,0)+1,FALSE),C1551)</f>
        <v>13.01</v>
      </c>
      <c r="D1552" s="6">
        <f>IFERROR(VLOOKUP($B1552,Platts!$E$5:$M$4994,MATCH(D$3,Platts!$F$5:$M$5,0)+1,FALSE),D1551)</f>
        <v>14.33</v>
      </c>
      <c r="E1552" s="6">
        <f>IFERROR(VLOOKUP($B1552,Platts!$E$5:$M$4994,MATCH(E$3,Platts!$F$5:$M$5,0)+1,FALSE),E1551)</f>
        <v>11.68</v>
      </c>
      <c r="F1552" s="6">
        <f>IFERROR(VLOOKUP($B1552,Platts!$E$5:$M$4994,MATCH(F$3,Platts!$F$5:$M$5,0)+1,FALSE),F1551)</f>
        <v>19.13</v>
      </c>
      <c r="G1552" s="6">
        <f>IFERROR(VLOOKUP($B1552,Platts!$E$5:$M$4994,MATCH(G$3,Platts!$F$5:$M$5,0)+1,FALSE),G1551)</f>
        <v>24.2</v>
      </c>
      <c r="H1552" s="6">
        <f>IFERROR(VLOOKUP($B1552,Platts!$E$5:$M$4994,MATCH(H$3,Platts!$F$5:$M$5,0)+1,FALSE),H1551)</f>
        <v>21.51</v>
      </c>
      <c r="I1552" s="6">
        <f>IFERROR(VLOOKUP($B1552,Platts!$E$5:$M$4994,MATCH(I$3,Platts!$F$5:$M$5,0)+1,FALSE),I1551)</f>
        <v>16.809999999999999</v>
      </c>
      <c r="J1552" s="6">
        <f t="shared" si="48"/>
        <v>8.5000000000000018</v>
      </c>
    </row>
    <row r="1553" spans="2:10" x14ac:dyDescent="0.25">
      <c r="B1553" s="5">
        <f t="shared" si="49"/>
        <v>43919</v>
      </c>
      <c r="C1553" s="6">
        <f>IFERROR(VLOOKUP($B1553,Platts!$E$5:$M$4994,MATCH(C$3,Platts!$F$5:$M$5,0)+1,FALSE),C1552)</f>
        <v>13.01</v>
      </c>
      <c r="D1553" s="6">
        <f>IFERROR(VLOOKUP($B1553,Platts!$E$5:$M$4994,MATCH(D$3,Platts!$F$5:$M$5,0)+1,FALSE),D1552)</f>
        <v>14.33</v>
      </c>
      <c r="E1553" s="6">
        <f>IFERROR(VLOOKUP($B1553,Platts!$E$5:$M$4994,MATCH(E$3,Platts!$F$5:$M$5,0)+1,FALSE),E1552)</f>
        <v>11.68</v>
      </c>
      <c r="F1553" s="6">
        <f>IFERROR(VLOOKUP($B1553,Platts!$E$5:$M$4994,MATCH(F$3,Platts!$F$5:$M$5,0)+1,FALSE),F1552)</f>
        <v>19.13</v>
      </c>
      <c r="G1553" s="6">
        <f>IFERROR(VLOOKUP($B1553,Platts!$E$5:$M$4994,MATCH(G$3,Platts!$F$5:$M$5,0)+1,FALSE),G1552)</f>
        <v>24.2</v>
      </c>
      <c r="H1553" s="6">
        <f>IFERROR(VLOOKUP($B1553,Platts!$E$5:$M$4994,MATCH(H$3,Platts!$F$5:$M$5,0)+1,FALSE),H1552)</f>
        <v>21.51</v>
      </c>
      <c r="I1553" s="6">
        <f>IFERROR(VLOOKUP($B1553,Platts!$E$5:$M$4994,MATCH(I$3,Platts!$F$5:$M$5,0)+1,FALSE),I1552)</f>
        <v>16.809999999999999</v>
      </c>
      <c r="J1553" s="6">
        <f t="shared" si="48"/>
        <v>8.5000000000000018</v>
      </c>
    </row>
    <row r="1554" spans="2:10" x14ac:dyDescent="0.25">
      <c r="B1554" s="5">
        <f t="shared" si="49"/>
        <v>43920</v>
      </c>
      <c r="C1554" s="6">
        <f>IFERROR(VLOOKUP($B1554,Platts!$E$5:$M$4994,MATCH(C$3,Platts!$F$5:$M$5,0)+1,FALSE),C1553)</f>
        <v>10.37</v>
      </c>
      <c r="D1554" s="6">
        <f>IFERROR(VLOOKUP($B1554,Platts!$E$5:$M$4994,MATCH(D$3,Platts!$F$5:$M$5,0)+1,FALSE),D1553)</f>
        <v>11.7</v>
      </c>
      <c r="E1554" s="6">
        <f>IFERROR(VLOOKUP($B1554,Platts!$E$5:$M$4994,MATCH(E$3,Platts!$F$5:$M$5,0)+1,FALSE),E1553)</f>
        <v>9.0500000000000007</v>
      </c>
      <c r="F1554" s="6">
        <f>IFERROR(VLOOKUP($B1554,Platts!$E$5:$M$4994,MATCH(F$3,Platts!$F$5:$M$5,0)+1,FALSE),F1553)</f>
        <v>16.5</v>
      </c>
      <c r="G1554" s="6">
        <f>IFERROR(VLOOKUP($B1554,Platts!$E$5:$M$4994,MATCH(G$3,Platts!$F$5:$M$5,0)+1,FALSE),G1553)</f>
        <v>21.85</v>
      </c>
      <c r="H1554" s="6">
        <f>IFERROR(VLOOKUP($B1554,Platts!$E$5:$M$4994,MATCH(H$3,Platts!$F$5:$M$5,0)+1,FALSE),H1553)</f>
        <v>20.09</v>
      </c>
      <c r="I1554" s="6">
        <f>IFERROR(VLOOKUP($B1554,Platts!$E$5:$M$4994,MATCH(I$3,Platts!$F$5:$M$5,0)+1,FALSE),I1553)</f>
        <v>13.09</v>
      </c>
      <c r="J1554" s="6">
        <f t="shared" si="48"/>
        <v>9.7200000000000006</v>
      </c>
    </row>
    <row r="1555" spans="2:10" x14ac:dyDescent="0.25">
      <c r="B1555" s="5">
        <f t="shared" si="49"/>
        <v>43921</v>
      </c>
      <c r="C1555" s="6">
        <f>IFERROR(VLOOKUP($B1555,Platts!$E$5:$M$4994,MATCH(C$3,Platts!$F$5:$M$5,0)+1,FALSE),C1554)</f>
        <v>10.76</v>
      </c>
      <c r="D1555" s="6">
        <f>IFERROR(VLOOKUP($B1555,Platts!$E$5:$M$4994,MATCH(D$3,Platts!$F$5:$M$5,0)+1,FALSE),D1554)</f>
        <v>12.95</v>
      </c>
      <c r="E1555" s="6">
        <f>IFERROR(VLOOKUP($B1555,Platts!$E$5:$M$4994,MATCH(E$3,Platts!$F$5:$M$5,0)+1,FALSE),E1554)</f>
        <v>10.3</v>
      </c>
      <c r="F1555" s="6">
        <f>IFERROR(VLOOKUP($B1555,Platts!$E$5:$M$4994,MATCH(F$3,Platts!$F$5:$M$5,0)+1,FALSE),F1554)</f>
        <v>17.75</v>
      </c>
      <c r="G1555" s="6">
        <f>IFERROR(VLOOKUP($B1555,Platts!$E$5:$M$4994,MATCH(G$3,Platts!$F$5:$M$5,0)+1,FALSE),G1554)</f>
        <v>22.01</v>
      </c>
      <c r="H1555" s="6">
        <f>IFERROR(VLOOKUP($B1555,Platts!$E$5:$M$4994,MATCH(H$3,Platts!$F$5:$M$5,0)+1,FALSE),H1554)</f>
        <v>20.48</v>
      </c>
      <c r="I1555" s="6">
        <f>IFERROR(VLOOKUP($B1555,Platts!$E$5:$M$4994,MATCH(I$3,Platts!$F$5:$M$5,0)+1,FALSE),I1554)</f>
        <v>13.23</v>
      </c>
      <c r="J1555" s="6">
        <f t="shared" si="48"/>
        <v>9.7200000000000006</v>
      </c>
    </row>
    <row r="1556" spans="2:10" x14ac:dyDescent="0.25">
      <c r="B1556" s="5">
        <f t="shared" si="49"/>
        <v>43922</v>
      </c>
      <c r="C1556" s="6">
        <f>IFERROR(VLOOKUP($B1556,Platts!$E$5:$M$4994,MATCH(C$3,Platts!$F$5:$M$5,0)+1,FALSE),C1555)</f>
        <v>10.61</v>
      </c>
      <c r="D1556" s="6">
        <f>IFERROR(VLOOKUP($B1556,Platts!$E$5:$M$4994,MATCH(D$3,Platts!$F$5:$M$5,0)+1,FALSE),D1555)</f>
        <v>10.89</v>
      </c>
      <c r="E1556" s="6">
        <f>IFERROR(VLOOKUP($B1556,Platts!$E$5:$M$4994,MATCH(E$3,Platts!$F$5:$M$5,0)+1,FALSE),E1555)</f>
        <v>9.89</v>
      </c>
      <c r="F1556" s="6">
        <f>IFERROR(VLOOKUP($B1556,Platts!$E$5:$M$4994,MATCH(F$3,Platts!$F$5:$M$5,0)+1,FALSE),F1555)</f>
        <v>17.190000000000001</v>
      </c>
      <c r="G1556" s="6">
        <f>IFERROR(VLOOKUP($B1556,Platts!$E$5:$M$4994,MATCH(G$3,Platts!$F$5:$M$5,0)+1,FALSE),G1555)</f>
        <v>24.59</v>
      </c>
      <c r="H1556" s="6">
        <f>IFERROR(VLOOKUP($B1556,Platts!$E$5:$M$4994,MATCH(H$3,Platts!$F$5:$M$5,0)+1,FALSE),H1555)</f>
        <v>20.309999999999999</v>
      </c>
      <c r="I1556" s="6">
        <f>IFERROR(VLOOKUP($B1556,Platts!$E$5:$M$4994,MATCH(I$3,Platts!$F$5:$M$5,0)+1,FALSE),I1555)</f>
        <v>13.06</v>
      </c>
      <c r="J1556" s="6">
        <f t="shared" si="48"/>
        <v>9.6999999999999993</v>
      </c>
    </row>
    <row r="1557" spans="2:10" x14ac:dyDescent="0.25">
      <c r="B1557" s="5">
        <f t="shared" si="49"/>
        <v>43923</v>
      </c>
      <c r="C1557" s="6">
        <f>IFERROR(VLOOKUP($B1557,Platts!$E$5:$M$4994,MATCH(C$3,Platts!$F$5:$M$5,0)+1,FALSE),C1556)</f>
        <v>16.05</v>
      </c>
      <c r="D1557" s="6">
        <f>IFERROR(VLOOKUP($B1557,Platts!$E$5:$M$4994,MATCH(D$3,Platts!$F$5:$M$5,0)+1,FALSE),D1556)</f>
        <v>15.44</v>
      </c>
      <c r="E1557" s="6">
        <f>IFERROR(VLOOKUP($B1557,Platts!$E$5:$M$4994,MATCH(E$3,Platts!$F$5:$M$5,0)+1,FALSE),E1556)</f>
        <v>14.44</v>
      </c>
      <c r="F1557" s="6">
        <f>IFERROR(VLOOKUP($B1557,Platts!$E$5:$M$4994,MATCH(F$3,Platts!$F$5:$M$5,0)+1,FALSE),F1556)</f>
        <v>21.74</v>
      </c>
      <c r="G1557" s="6">
        <f>IFERROR(VLOOKUP($B1557,Platts!$E$5:$M$4994,MATCH(G$3,Platts!$F$5:$M$5,0)+1,FALSE),G1556)</f>
        <v>28.15</v>
      </c>
      <c r="H1557" s="6">
        <f>IFERROR(VLOOKUP($B1557,Platts!$E$5:$M$4994,MATCH(H$3,Platts!$F$5:$M$5,0)+1,FALSE),H1556)</f>
        <v>25.32</v>
      </c>
      <c r="I1557" s="6">
        <f>IFERROR(VLOOKUP($B1557,Platts!$E$5:$M$4994,MATCH(I$3,Platts!$F$5:$M$5,0)+1,FALSE),I1556)</f>
        <v>18.07</v>
      </c>
      <c r="J1557" s="6">
        <f t="shared" si="48"/>
        <v>9.27</v>
      </c>
    </row>
    <row r="1558" spans="2:10" x14ac:dyDescent="0.25">
      <c r="B1558" s="5">
        <f t="shared" si="49"/>
        <v>43924</v>
      </c>
      <c r="C1558" s="6">
        <f>IFERROR(VLOOKUP($B1558,Platts!$E$5:$M$4994,MATCH(C$3,Platts!$F$5:$M$5,0)+1,FALSE),C1557)</f>
        <v>20.48</v>
      </c>
      <c r="D1558" s="6">
        <f>IFERROR(VLOOKUP($B1558,Platts!$E$5:$M$4994,MATCH(D$3,Platts!$F$5:$M$5,0)+1,FALSE),D1557)</f>
        <v>20.62</v>
      </c>
      <c r="E1558" s="6">
        <f>IFERROR(VLOOKUP($B1558,Platts!$E$5:$M$4994,MATCH(E$3,Platts!$F$5:$M$5,0)+1,FALSE),E1557)</f>
        <v>19.62</v>
      </c>
      <c r="F1558" s="6">
        <f>IFERROR(VLOOKUP($B1558,Platts!$E$5:$M$4994,MATCH(F$3,Platts!$F$5:$M$5,0)+1,FALSE),F1557)</f>
        <v>26.92</v>
      </c>
      <c r="G1558" s="6">
        <f>IFERROR(VLOOKUP($B1558,Platts!$E$5:$M$4994,MATCH(G$3,Platts!$F$5:$M$5,0)+1,FALSE),G1557)</f>
        <v>32.58</v>
      </c>
      <c r="H1558" s="6">
        <f>IFERROR(VLOOKUP($B1558,Platts!$E$5:$M$4994,MATCH(H$3,Platts!$F$5:$M$5,0)+1,FALSE),H1557)</f>
        <v>28.34</v>
      </c>
      <c r="I1558" s="6">
        <f>IFERROR(VLOOKUP($B1558,Platts!$E$5:$M$4994,MATCH(I$3,Platts!$F$5:$M$5,0)+1,FALSE),I1557)</f>
        <v>22.64</v>
      </c>
      <c r="J1558" s="6">
        <f t="shared" si="48"/>
        <v>7.8599999999999994</v>
      </c>
    </row>
    <row r="1559" spans="2:10" x14ac:dyDescent="0.25">
      <c r="B1559" s="5">
        <f t="shared" si="49"/>
        <v>43925</v>
      </c>
      <c r="C1559" s="6">
        <f>IFERROR(VLOOKUP($B1559,Platts!$E$5:$M$4994,MATCH(C$3,Platts!$F$5:$M$5,0)+1,FALSE),C1558)</f>
        <v>20.48</v>
      </c>
      <c r="D1559" s="6">
        <f>IFERROR(VLOOKUP($B1559,Platts!$E$5:$M$4994,MATCH(D$3,Platts!$F$5:$M$5,0)+1,FALSE),D1558)</f>
        <v>20.62</v>
      </c>
      <c r="E1559" s="6">
        <f>IFERROR(VLOOKUP($B1559,Platts!$E$5:$M$4994,MATCH(E$3,Platts!$F$5:$M$5,0)+1,FALSE),E1558)</f>
        <v>19.62</v>
      </c>
      <c r="F1559" s="6">
        <f>IFERROR(VLOOKUP($B1559,Platts!$E$5:$M$4994,MATCH(F$3,Platts!$F$5:$M$5,0)+1,FALSE),F1558)</f>
        <v>26.92</v>
      </c>
      <c r="G1559" s="6">
        <f>IFERROR(VLOOKUP($B1559,Platts!$E$5:$M$4994,MATCH(G$3,Platts!$F$5:$M$5,0)+1,FALSE),G1558)</f>
        <v>32.58</v>
      </c>
      <c r="H1559" s="6">
        <f>IFERROR(VLOOKUP($B1559,Platts!$E$5:$M$4994,MATCH(H$3,Platts!$F$5:$M$5,0)+1,FALSE),H1558)</f>
        <v>28.34</v>
      </c>
      <c r="I1559" s="6">
        <f>IFERROR(VLOOKUP($B1559,Platts!$E$5:$M$4994,MATCH(I$3,Platts!$F$5:$M$5,0)+1,FALSE),I1558)</f>
        <v>22.64</v>
      </c>
      <c r="J1559" s="6">
        <f t="shared" si="48"/>
        <v>7.8599999999999994</v>
      </c>
    </row>
    <row r="1560" spans="2:10" x14ac:dyDescent="0.25">
      <c r="B1560" s="5">
        <f t="shared" si="49"/>
        <v>43926</v>
      </c>
      <c r="C1560" s="6">
        <f>IFERROR(VLOOKUP($B1560,Platts!$E$5:$M$4994,MATCH(C$3,Platts!$F$5:$M$5,0)+1,FALSE),C1559)</f>
        <v>20.48</v>
      </c>
      <c r="D1560" s="6">
        <f>IFERROR(VLOOKUP($B1560,Platts!$E$5:$M$4994,MATCH(D$3,Platts!$F$5:$M$5,0)+1,FALSE),D1559)</f>
        <v>20.62</v>
      </c>
      <c r="E1560" s="6">
        <f>IFERROR(VLOOKUP($B1560,Platts!$E$5:$M$4994,MATCH(E$3,Platts!$F$5:$M$5,0)+1,FALSE),E1559)</f>
        <v>19.62</v>
      </c>
      <c r="F1560" s="6">
        <f>IFERROR(VLOOKUP($B1560,Platts!$E$5:$M$4994,MATCH(F$3,Platts!$F$5:$M$5,0)+1,FALSE),F1559)</f>
        <v>26.92</v>
      </c>
      <c r="G1560" s="6">
        <f>IFERROR(VLOOKUP($B1560,Platts!$E$5:$M$4994,MATCH(G$3,Platts!$F$5:$M$5,0)+1,FALSE),G1559)</f>
        <v>32.58</v>
      </c>
      <c r="H1560" s="6">
        <f>IFERROR(VLOOKUP($B1560,Platts!$E$5:$M$4994,MATCH(H$3,Platts!$F$5:$M$5,0)+1,FALSE),H1559)</f>
        <v>28.34</v>
      </c>
      <c r="I1560" s="6">
        <f>IFERROR(VLOOKUP($B1560,Platts!$E$5:$M$4994,MATCH(I$3,Platts!$F$5:$M$5,0)+1,FALSE),I1559)</f>
        <v>22.64</v>
      </c>
      <c r="J1560" s="6">
        <f t="shared" si="48"/>
        <v>7.8599999999999994</v>
      </c>
    </row>
    <row r="1561" spans="2:10" x14ac:dyDescent="0.25">
      <c r="B1561" s="5">
        <f t="shared" si="49"/>
        <v>43927</v>
      </c>
      <c r="C1561" s="6">
        <f>IFERROR(VLOOKUP($B1561,Platts!$E$5:$M$4994,MATCH(C$3,Platts!$F$5:$M$5,0)+1,FALSE),C1560)</f>
        <v>18.66</v>
      </c>
      <c r="D1561" s="6">
        <f>IFERROR(VLOOKUP($B1561,Platts!$E$5:$M$4994,MATCH(D$3,Platts!$F$5:$M$5,0)+1,FALSE),D1560)</f>
        <v>18.14</v>
      </c>
      <c r="E1561" s="6">
        <f>IFERROR(VLOOKUP($B1561,Platts!$E$5:$M$4994,MATCH(E$3,Platts!$F$5:$M$5,0)+1,FALSE),E1560)</f>
        <v>17.14</v>
      </c>
      <c r="F1561" s="6">
        <f>IFERROR(VLOOKUP($B1561,Platts!$E$5:$M$4994,MATCH(F$3,Platts!$F$5:$M$5,0)+1,FALSE),F1560)</f>
        <v>24.44</v>
      </c>
      <c r="G1561" s="6">
        <f>IFERROR(VLOOKUP($B1561,Platts!$E$5:$M$4994,MATCH(G$3,Platts!$F$5:$M$5,0)+1,FALSE),G1560)</f>
        <v>31.97</v>
      </c>
      <c r="H1561" s="6">
        <f>IFERROR(VLOOKUP($B1561,Platts!$E$5:$M$4994,MATCH(H$3,Platts!$F$5:$M$5,0)+1,FALSE),H1560)</f>
        <v>26.08</v>
      </c>
      <c r="I1561" s="6">
        <f>IFERROR(VLOOKUP($B1561,Platts!$E$5:$M$4994,MATCH(I$3,Platts!$F$5:$M$5,0)+1,FALSE),I1560)</f>
        <v>21.58</v>
      </c>
      <c r="J1561" s="6">
        <f t="shared" si="48"/>
        <v>7.4199999999999982</v>
      </c>
    </row>
    <row r="1562" spans="2:10" x14ac:dyDescent="0.25">
      <c r="B1562" s="5">
        <f t="shared" si="49"/>
        <v>43928</v>
      </c>
      <c r="C1562" s="6">
        <f>IFERROR(VLOOKUP($B1562,Platts!$E$5:$M$4994,MATCH(C$3,Platts!$F$5:$M$5,0)+1,FALSE),C1561)</f>
        <v>16.649999999999999</v>
      </c>
      <c r="D1562" s="6">
        <f>IFERROR(VLOOKUP($B1562,Platts!$E$5:$M$4994,MATCH(D$3,Platts!$F$5:$M$5,0)+1,FALSE),D1561)</f>
        <v>16.45</v>
      </c>
      <c r="E1562" s="6">
        <f>IFERROR(VLOOKUP($B1562,Platts!$E$5:$M$4994,MATCH(E$3,Platts!$F$5:$M$5,0)+1,FALSE),E1561)</f>
        <v>15.45</v>
      </c>
      <c r="F1562" s="6">
        <f>IFERROR(VLOOKUP($B1562,Platts!$E$5:$M$4994,MATCH(F$3,Platts!$F$5:$M$5,0)+1,FALSE),F1561)</f>
        <v>22.75</v>
      </c>
      <c r="G1562" s="6">
        <f>IFERROR(VLOOKUP($B1562,Platts!$E$5:$M$4994,MATCH(G$3,Platts!$F$5:$M$5,0)+1,FALSE),G1561)</f>
        <v>32.99</v>
      </c>
      <c r="H1562" s="6">
        <f>IFERROR(VLOOKUP($B1562,Platts!$E$5:$M$4994,MATCH(H$3,Platts!$F$5:$M$5,0)+1,FALSE),H1561)</f>
        <v>23.63</v>
      </c>
      <c r="I1562" s="6">
        <f>IFERROR(VLOOKUP($B1562,Platts!$E$5:$M$4994,MATCH(I$3,Platts!$F$5:$M$5,0)+1,FALSE),I1561)</f>
        <v>19.13</v>
      </c>
      <c r="J1562" s="6">
        <f t="shared" si="48"/>
        <v>6.98</v>
      </c>
    </row>
    <row r="1563" spans="2:10" x14ac:dyDescent="0.25">
      <c r="B1563" s="5">
        <f t="shared" si="49"/>
        <v>43929</v>
      </c>
      <c r="C1563" s="6">
        <f>IFERROR(VLOOKUP($B1563,Platts!$E$5:$M$4994,MATCH(C$3,Platts!$F$5:$M$5,0)+1,FALSE),C1562)</f>
        <v>17.89</v>
      </c>
      <c r="D1563" s="6">
        <f>IFERROR(VLOOKUP($B1563,Platts!$E$5:$M$4994,MATCH(D$3,Platts!$F$5:$M$5,0)+1,FALSE),D1562)</f>
        <v>17.739999999999998</v>
      </c>
      <c r="E1563" s="6">
        <f>IFERROR(VLOOKUP($B1563,Platts!$E$5:$M$4994,MATCH(E$3,Platts!$F$5:$M$5,0)+1,FALSE),E1562)</f>
        <v>16.739999999999998</v>
      </c>
      <c r="F1563" s="6">
        <f>IFERROR(VLOOKUP($B1563,Platts!$E$5:$M$4994,MATCH(F$3,Platts!$F$5:$M$5,0)+1,FALSE),F1562)</f>
        <v>24.04</v>
      </c>
      <c r="G1563" s="6">
        <f>IFERROR(VLOOKUP($B1563,Platts!$E$5:$M$4994,MATCH(G$3,Platts!$F$5:$M$5,0)+1,FALSE),G1562)</f>
        <v>32.03</v>
      </c>
      <c r="H1563" s="6">
        <f>IFERROR(VLOOKUP($B1563,Platts!$E$5:$M$4994,MATCH(H$3,Platts!$F$5:$M$5,0)+1,FALSE),H1562)</f>
        <v>25.09</v>
      </c>
      <c r="I1563" s="6">
        <f>IFERROR(VLOOKUP($B1563,Platts!$E$5:$M$4994,MATCH(I$3,Platts!$F$5:$M$5,0)+1,FALSE),I1562)</f>
        <v>19.84</v>
      </c>
      <c r="J1563" s="6">
        <f t="shared" si="48"/>
        <v>7.1999999999999993</v>
      </c>
    </row>
    <row r="1564" spans="2:10" x14ac:dyDescent="0.25">
      <c r="B1564" s="5">
        <f t="shared" si="49"/>
        <v>43930</v>
      </c>
      <c r="C1564" s="6">
        <f>IFERROR(VLOOKUP($B1564,Platts!$E$5:$M$4994,MATCH(C$3,Platts!$F$5:$M$5,0)+1,FALSE),C1563)</f>
        <v>16.54</v>
      </c>
      <c r="D1564" s="6">
        <f>IFERROR(VLOOKUP($B1564,Platts!$E$5:$M$4994,MATCH(D$3,Platts!$F$5:$M$5,0)+1,FALSE),D1563)</f>
        <v>16.170000000000002</v>
      </c>
      <c r="E1564" s="6">
        <f>IFERROR(VLOOKUP($B1564,Platts!$E$5:$M$4994,MATCH(E$3,Platts!$F$5:$M$5,0)+1,FALSE),E1563)</f>
        <v>15.17</v>
      </c>
      <c r="F1564" s="6">
        <f>IFERROR(VLOOKUP($B1564,Platts!$E$5:$M$4994,MATCH(F$3,Platts!$F$5:$M$5,0)+1,FALSE),F1563)</f>
        <v>22.47</v>
      </c>
      <c r="G1564" s="6">
        <f>IFERROR(VLOOKUP($B1564,Platts!$E$5:$M$4994,MATCH(G$3,Platts!$F$5:$M$5,0)+1,FALSE),G1563)</f>
        <v>32.93</v>
      </c>
      <c r="H1564" s="6">
        <f>IFERROR(VLOOKUP($B1564,Platts!$E$5:$M$4994,MATCH(H$3,Platts!$F$5:$M$5,0)+1,FALSE),H1563)</f>
        <v>22.76</v>
      </c>
      <c r="I1564" s="6">
        <f>IFERROR(VLOOKUP($B1564,Platts!$E$5:$M$4994,MATCH(I$3,Platts!$F$5:$M$5,0)+1,FALSE),I1563)</f>
        <v>19.559999999999999</v>
      </c>
      <c r="J1564" s="6">
        <f t="shared" si="48"/>
        <v>6.2200000000000024</v>
      </c>
    </row>
    <row r="1565" spans="2:10" x14ac:dyDescent="0.25">
      <c r="B1565" s="5">
        <f t="shared" si="49"/>
        <v>43931</v>
      </c>
      <c r="C1565" s="6">
        <f>IFERROR(VLOOKUP($B1565,Platts!$E$5:$M$4994,MATCH(C$3,Platts!$F$5:$M$5,0)+1,FALSE),C1564)</f>
        <v>16.54</v>
      </c>
      <c r="D1565" s="6">
        <f>IFERROR(VLOOKUP($B1565,Platts!$E$5:$M$4994,MATCH(D$3,Platts!$F$5:$M$5,0)+1,FALSE),D1564)</f>
        <v>16.170000000000002</v>
      </c>
      <c r="E1565" s="6">
        <f>IFERROR(VLOOKUP($B1565,Platts!$E$5:$M$4994,MATCH(E$3,Platts!$F$5:$M$5,0)+1,FALSE),E1564)</f>
        <v>15.17</v>
      </c>
      <c r="F1565" s="6">
        <f>IFERROR(VLOOKUP($B1565,Platts!$E$5:$M$4994,MATCH(F$3,Platts!$F$5:$M$5,0)+1,FALSE),F1564)</f>
        <v>22.47</v>
      </c>
      <c r="G1565" s="6">
        <f>IFERROR(VLOOKUP($B1565,Platts!$E$5:$M$4994,MATCH(G$3,Platts!$F$5:$M$5,0)+1,FALSE),G1564)</f>
        <v>32.93</v>
      </c>
      <c r="H1565" s="6">
        <f>IFERROR(VLOOKUP($B1565,Platts!$E$5:$M$4994,MATCH(H$3,Platts!$F$5:$M$5,0)+1,FALSE),H1564)</f>
        <v>22.76</v>
      </c>
      <c r="I1565" s="6">
        <f>IFERROR(VLOOKUP($B1565,Platts!$E$5:$M$4994,MATCH(I$3,Platts!$F$5:$M$5,0)+1,FALSE),I1564)</f>
        <v>19.559999999999999</v>
      </c>
      <c r="J1565" s="6">
        <f t="shared" si="48"/>
        <v>6.2200000000000024</v>
      </c>
    </row>
    <row r="1566" spans="2:10" x14ac:dyDescent="0.25">
      <c r="B1566" s="5">
        <f t="shared" si="49"/>
        <v>43932</v>
      </c>
      <c r="C1566" s="6">
        <f>IFERROR(VLOOKUP($B1566,Platts!$E$5:$M$4994,MATCH(C$3,Platts!$F$5:$M$5,0)+1,FALSE),C1565)</f>
        <v>16.54</v>
      </c>
      <c r="D1566" s="6">
        <f>IFERROR(VLOOKUP($B1566,Platts!$E$5:$M$4994,MATCH(D$3,Platts!$F$5:$M$5,0)+1,FALSE),D1565)</f>
        <v>16.170000000000002</v>
      </c>
      <c r="E1566" s="6">
        <f>IFERROR(VLOOKUP($B1566,Platts!$E$5:$M$4994,MATCH(E$3,Platts!$F$5:$M$5,0)+1,FALSE),E1565)</f>
        <v>15.17</v>
      </c>
      <c r="F1566" s="6">
        <f>IFERROR(VLOOKUP($B1566,Platts!$E$5:$M$4994,MATCH(F$3,Platts!$F$5:$M$5,0)+1,FALSE),F1565)</f>
        <v>22.47</v>
      </c>
      <c r="G1566" s="6">
        <f>IFERROR(VLOOKUP($B1566,Platts!$E$5:$M$4994,MATCH(G$3,Platts!$F$5:$M$5,0)+1,FALSE),G1565)</f>
        <v>32.93</v>
      </c>
      <c r="H1566" s="6">
        <f>IFERROR(VLOOKUP($B1566,Platts!$E$5:$M$4994,MATCH(H$3,Platts!$F$5:$M$5,0)+1,FALSE),H1565)</f>
        <v>22.76</v>
      </c>
      <c r="I1566" s="6">
        <f>IFERROR(VLOOKUP($B1566,Platts!$E$5:$M$4994,MATCH(I$3,Platts!$F$5:$M$5,0)+1,FALSE),I1565)</f>
        <v>19.559999999999999</v>
      </c>
      <c r="J1566" s="6">
        <f t="shared" si="48"/>
        <v>6.2200000000000024</v>
      </c>
    </row>
    <row r="1567" spans="2:10" x14ac:dyDescent="0.25">
      <c r="B1567" s="5">
        <f t="shared" si="49"/>
        <v>43933</v>
      </c>
      <c r="C1567" s="6">
        <f>IFERROR(VLOOKUP($B1567,Platts!$E$5:$M$4994,MATCH(C$3,Platts!$F$5:$M$5,0)+1,FALSE),C1566)</f>
        <v>16.54</v>
      </c>
      <c r="D1567" s="6">
        <f>IFERROR(VLOOKUP($B1567,Platts!$E$5:$M$4994,MATCH(D$3,Platts!$F$5:$M$5,0)+1,FALSE),D1566)</f>
        <v>16.170000000000002</v>
      </c>
      <c r="E1567" s="6">
        <f>IFERROR(VLOOKUP($B1567,Platts!$E$5:$M$4994,MATCH(E$3,Platts!$F$5:$M$5,0)+1,FALSE),E1566)</f>
        <v>15.17</v>
      </c>
      <c r="F1567" s="6">
        <f>IFERROR(VLOOKUP($B1567,Platts!$E$5:$M$4994,MATCH(F$3,Platts!$F$5:$M$5,0)+1,FALSE),F1566)</f>
        <v>22.47</v>
      </c>
      <c r="G1567" s="6">
        <f>IFERROR(VLOOKUP($B1567,Platts!$E$5:$M$4994,MATCH(G$3,Platts!$F$5:$M$5,0)+1,FALSE),G1566)</f>
        <v>32.93</v>
      </c>
      <c r="H1567" s="6">
        <f>IFERROR(VLOOKUP($B1567,Platts!$E$5:$M$4994,MATCH(H$3,Platts!$F$5:$M$5,0)+1,FALSE),H1566)</f>
        <v>22.76</v>
      </c>
      <c r="I1567" s="6">
        <f>IFERROR(VLOOKUP($B1567,Platts!$E$5:$M$4994,MATCH(I$3,Platts!$F$5:$M$5,0)+1,FALSE),I1566)</f>
        <v>19.559999999999999</v>
      </c>
      <c r="J1567" s="6">
        <f t="shared" si="48"/>
        <v>6.2200000000000024</v>
      </c>
    </row>
    <row r="1568" spans="2:10" x14ac:dyDescent="0.25">
      <c r="B1568" s="5">
        <f t="shared" si="49"/>
        <v>43934</v>
      </c>
      <c r="C1568" s="6">
        <f>IFERROR(VLOOKUP($B1568,Platts!$E$5:$M$4994,MATCH(C$3,Platts!$F$5:$M$5,0)+1,FALSE),C1567)</f>
        <v>17.16</v>
      </c>
      <c r="D1568" s="6">
        <f>IFERROR(VLOOKUP($B1568,Platts!$E$5:$M$4994,MATCH(D$3,Platts!$F$5:$M$5,0)+1,FALSE),D1567)</f>
        <v>17.010000000000002</v>
      </c>
      <c r="E1568" s="6">
        <f>IFERROR(VLOOKUP($B1568,Platts!$E$5:$M$4994,MATCH(E$3,Platts!$F$5:$M$5,0)+1,FALSE),E1567)</f>
        <v>16.010000000000002</v>
      </c>
      <c r="F1568" s="6">
        <f>IFERROR(VLOOKUP($B1568,Platts!$E$5:$M$4994,MATCH(F$3,Platts!$F$5:$M$5,0)+1,FALSE),F1567)</f>
        <v>23.31</v>
      </c>
      <c r="G1568" s="6">
        <f>IFERROR(VLOOKUP($B1568,Platts!$E$5:$M$4994,MATCH(G$3,Platts!$F$5:$M$5,0)+1,FALSE),G1567)</f>
        <v>32.93</v>
      </c>
      <c r="H1568" s="6">
        <f>IFERROR(VLOOKUP($B1568,Platts!$E$5:$M$4994,MATCH(H$3,Platts!$F$5:$M$5,0)+1,FALSE),H1567)</f>
        <v>22.41</v>
      </c>
      <c r="I1568" s="6">
        <f>IFERROR(VLOOKUP($B1568,Platts!$E$5:$M$4994,MATCH(I$3,Platts!$F$5:$M$5,0)+1,FALSE),I1567)</f>
        <v>21.46</v>
      </c>
      <c r="J1568" s="6">
        <f t="shared" si="48"/>
        <v>5.25</v>
      </c>
    </row>
    <row r="1569" spans="2:10" x14ac:dyDescent="0.25">
      <c r="B1569" s="5">
        <f t="shared" si="49"/>
        <v>43935</v>
      </c>
      <c r="C1569" s="6">
        <f>IFERROR(VLOOKUP($B1569,Platts!$E$5:$M$4994,MATCH(C$3,Platts!$F$5:$M$5,0)+1,FALSE),C1568)</f>
        <v>15.3</v>
      </c>
      <c r="D1569" s="6">
        <f>IFERROR(VLOOKUP($B1569,Platts!$E$5:$M$4994,MATCH(D$3,Platts!$F$5:$M$5,0)+1,FALSE),D1568)</f>
        <v>15.38</v>
      </c>
      <c r="E1569" s="6">
        <f>IFERROR(VLOOKUP($B1569,Platts!$E$5:$M$4994,MATCH(E$3,Platts!$F$5:$M$5,0)+1,FALSE),E1568)</f>
        <v>14.38</v>
      </c>
      <c r="F1569" s="6">
        <f>IFERROR(VLOOKUP($B1569,Platts!$E$5:$M$4994,MATCH(F$3,Platts!$F$5:$M$5,0)+1,FALSE),F1568)</f>
        <v>21.68</v>
      </c>
      <c r="G1569" s="6">
        <f>IFERROR(VLOOKUP($B1569,Platts!$E$5:$M$4994,MATCH(G$3,Platts!$F$5:$M$5,0)+1,FALSE),G1568)</f>
        <v>30.03</v>
      </c>
      <c r="H1569" s="6">
        <f>IFERROR(VLOOKUP($B1569,Platts!$E$5:$M$4994,MATCH(H$3,Platts!$F$5:$M$5,0)+1,FALSE),H1568)</f>
        <v>20.11</v>
      </c>
      <c r="I1569" s="6">
        <f>IFERROR(VLOOKUP($B1569,Platts!$E$5:$M$4994,MATCH(I$3,Platts!$F$5:$M$5,0)+1,FALSE),I1568)</f>
        <v>20.66</v>
      </c>
      <c r="J1569" s="6">
        <f t="shared" si="48"/>
        <v>4.8099999999999987</v>
      </c>
    </row>
    <row r="1570" spans="2:10" x14ac:dyDescent="0.25">
      <c r="B1570" s="5">
        <f t="shared" si="49"/>
        <v>43936</v>
      </c>
      <c r="C1570" s="6">
        <f>IFERROR(VLOOKUP($B1570,Platts!$E$5:$M$4994,MATCH(C$3,Platts!$F$5:$M$5,0)+1,FALSE),C1569)</f>
        <v>14.23</v>
      </c>
      <c r="D1570" s="6">
        <f>IFERROR(VLOOKUP($B1570,Platts!$E$5:$M$4994,MATCH(D$3,Platts!$F$5:$M$5,0)+1,FALSE),D1569)</f>
        <v>14.86</v>
      </c>
      <c r="E1570" s="6">
        <f>IFERROR(VLOOKUP($B1570,Platts!$E$5:$M$4994,MATCH(E$3,Platts!$F$5:$M$5,0)+1,FALSE),E1569)</f>
        <v>13.86</v>
      </c>
      <c r="F1570" s="6">
        <f>IFERROR(VLOOKUP($B1570,Platts!$E$5:$M$4994,MATCH(F$3,Platts!$F$5:$M$5,0)+1,FALSE),F1569)</f>
        <v>21.16</v>
      </c>
      <c r="G1570" s="6">
        <f>IFERROR(VLOOKUP($B1570,Platts!$E$5:$M$4994,MATCH(G$3,Platts!$F$5:$M$5,0)+1,FALSE),G1569)</f>
        <v>27.25</v>
      </c>
      <c r="H1570" s="6">
        <f>IFERROR(VLOOKUP($B1570,Platts!$E$5:$M$4994,MATCH(H$3,Platts!$F$5:$M$5,0)+1,FALSE),H1569)</f>
        <v>19.87</v>
      </c>
      <c r="I1570" s="6">
        <f>IFERROR(VLOOKUP($B1570,Platts!$E$5:$M$4994,MATCH(I$3,Platts!$F$5:$M$5,0)+1,FALSE),I1569)</f>
        <v>20.87</v>
      </c>
      <c r="J1570" s="6">
        <f t="shared" si="48"/>
        <v>5.6400000000000006</v>
      </c>
    </row>
    <row r="1571" spans="2:10" x14ac:dyDescent="0.25">
      <c r="B1571" s="5">
        <f t="shared" si="49"/>
        <v>43937</v>
      </c>
      <c r="C1571" s="6">
        <f>IFERROR(VLOOKUP($B1571,Platts!$E$5:$M$4994,MATCH(C$3,Platts!$F$5:$M$5,0)+1,FALSE),C1570)</f>
        <v>14.17</v>
      </c>
      <c r="D1571" s="6">
        <f>IFERROR(VLOOKUP($B1571,Platts!$E$5:$M$4994,MATCH(D$3,Platts!$F$5:$M$5,0)+1,FALSE),D1570)</f>
        <v>14.83</v>
      </c>
      <c r="E1571" s="6">
        <f>IFERROR(VLOOKUP($B1571,Platts!$E$5:$M$4994,MATCH(E$3,Platts!$F$5:$M$5,0)+1,FALSE),E1570)</f>
        <v>13.83</v>
      </c>
      <c r="F1571" s="6">
        <f>IFERROR(VLOOKUP($B1571,Platts!$E$5:$M$4994,MATCH(F$3,Platts!$F$5:$M$5,0)+1,FALSE),F1570)</f>
        <v>21.13</v>
      </c>
      <c r="G1571" s="6">
        <f>IFERROR(VLOOKUP($B1571,Platts!$E$5:$M$4994,MATCH(G$3,Platts!$F$5:$M$5,0)+1,FALSE),G1570)</f>
        <v>27.44</v>
      </c>
      <c r="H1571" s="6">
        <f>IFERROR(VLOOKUP($B1571,Platts!$E$5:$M$4994,MATCH(H$3,Platts!$F$5:$M$5,0)+1,FALSE),H1570)</f>
        <v>19.87</v>
      </c>
      <c r="I1571" s="6">
        <f>IFERROR(VLOOKUP($B1571,Platts!$E$5:$M$4994,MATCH(I$3,Platts!$F$5:$M$5,0)+1,FALSE),I1570)</f>
        <v>21.87</v>
      </c>
      <c r="J1571" s="6">
        <f t="shared" si="48"/>
        <v>5.7000000000000011</v>
      </c>
    </row>
    <row r="1572" spans="2:10" x14ac:dyDescent="0.25">
      <c r="B1572" s="5">
        <f t="shared" si="49"/>
        <v>43938</v>
      </c>
      <c r="C1572" s="6">
        <f>IFERROR(VLOOKUP($B1572,Platts!$E$5:$M$4994,MATCH(C$3,Platts!$F$5:$M$5,0)+1,FALSE),C1571)</f>
        <v>14.35</v>
      </c>
      <c r="D1572" s="6">
        <f>IFERROR(VLOOKUP($B1572,Platts!$E$5:$M$4994,MATCH(D$3,Platts!$F$5:$M$5,0)+1,FALSE),D1571)</f>
        <v>14.81</v>
      </c>
      <c r="E1572" s="6">
        <f>IFERROR(VLOOKUP($B1572,Platts!$E$5:$M$4994,MATCH(E$3,Platts!$F$5:$M$5,0)+1,FALSE),E1571)</f>
        <v>13.81</v>
      </c>
      <c r="F1572" s="6">
        <f>IFERROR(VLOOKUP($B1572,Platts!$E$5:$M$4994,MATCH(F$3,Platts!$F$5:$M$5,0)+1,FALSE),F1571)</f>
        <v>21.11</v>
      </c>
      <c r="G1572" s="6">
        <f>IFERROR(VLOOKUP($B1572,Platts!$E$5:$M$4994,MATCH(G$3,Platts!$F$5:$M$5,0)+1,FALSE),G1571)</f>
        <v>27.98</v>
      </c>
      <c r="H1572" s="6">
        <f>IFERROR(VLOOKUP($B1572,Platts!$E$5:$M$4994,MATCH(H$3,Platts!$F$5:$M$5,0)+1,FALSE),H1571)</f>
        <v>18.27</v>
      </c>
      <c r="I1572" s="6">
        <f>IFERROR(VLOOKUP($B1572,Platts!$E$5:$M$4994,MATCH(I$3,Platts!$F$5:$M$5,0)+1,FALSE),I1571)</f>
        <v>21.72</v>
      </c>
      <c r="J1572" s="6">
        <f t="shared" si="48"/>
        <v>3.92</v>
      </c>
    </row>
    <row r="1573" spans="2:10" x14ac:dyDescent="0.25">
      <c r="B1573" s="5">
        <f t="shared" si="49"/>
        <v>43939</v>
      </c>
      <c r="C1573" s="6">
        <f>IFERROR(VLOOKUP($B1573,Platts!$E$5:$M$4994,MATCH(C$3,Platts!$F$5:$M$5,0)+1,FALSE),C1572)</f>
        <v>14.35</v>
      </c>
      <c r="D1573" s="6">
        <f>IFERROR(VLOOKUP($B1573,Platts!$E$5:$M$4994,MATCH(D$3,Platts!$F$5:$M$5,0)+1,FALSE),D1572)</f>
        <v>14.81</v>
      </c>
      <c r="E1573" s="6">
        <f>IFERROR(VLOOKUP($B1573,Platts!$E$5:$M$4994,MATCH(E$3,Platts!$F$5:$M$5,0)+1,FALSE),E1572)</f>
        <v>13.81</v>
      </c>
      <c r="F1573" s="6">
        <f>IFERROR(VLOOKUP($B1573,Platts!$E$5:$M$4994,MATCH(F$3,Platts!$F$5:$M$5,0)+1,FALSE),F1572)</f>
        <v>21.11</v>
      </c>
      <c r="G1573" s="6">
        <f>IFERROR(VLOOKUP($B1573,Platts!$E$5:$M$4994,MATCH(G$3,Platts!$F$5:$M$5,0)+1,FALSE),G1572)</f>
        <v>27.98</v>
      </c>
      <c r="H1573" s="6">
        <f>IFERROR(VLOOKUP($B1573,Platts!$E$5:$M$4994,MATCH(H$3,Platts!$F$5:$M$5,0)+1,FALSE),H1572)</f>
        <v>18.27</v>
      </c>
      <c r="I1573" s="6">
        <f>IFERROR(VLOOKUP($B1573,Platts!$E$5:$M$4994,MATCH(I$3,Platts!$F$5:$M$5,0)+1,FALSE),I1572)</f>
        <v>21.72</v>
      </c>
      <c r="J1573" s="6">
        <f t="shared" si="48"/>
        <v>3.92</v>
      </c>
    </row>
    <row r="1574" spans="2:10" x14ac:dyDescent="0.25">
      <c r="B1574" s="5">
        <f t="shared" si="49"/>
        <v>43940</v>
      </c>
      <c r="C1574" s="6">
        <f>IFERROR(VLOOKUP($B1574,Platts!$E$5:$M$4994,MATCH(C$3,Platts!$F$5:$M$5,0)+1,FALSE),C1573)</f>
        <v>14.35</v>
      </c>
      <c r="D1574" s="6">
        <f>IFERROR(VLOOKUP($B1574,Platts!$E$5:$M$4994,MATCH(D$3,Platts!$F$5:$M$5,0)+1,FALSE),D1573)</f>
        <v>14.81</v>
      </c>
      <c r="E1574" s="6">
        <f>IFERROR(VLOOKUP($B1574,Platts!$E$5:$M$4994,MATCH(E$3,Platts!$F$5:$M$5,0)+1,FALSE),E1573)</f>
        <v>13.81</v>
      </c>
      <c r="F1574" s="6">
        <f>IFERROR(VLOOKUP($B1574,Platts!$E$5:$M$4994,MATCH(F$3,Platts!$F$5:$M$5,0)+1,FALSE),F1573)</f>
        <v>21.11</v>
      </c>
      <c r="G1574" s="6">
        <f>IFERROR(VLOOKUP($B1574,Platts!$E$5:$M$4994,MATCH(G$3,Platts!$F$5:$M$5,0)+1,FALSE),G1573)</f>
        <v>27.98</v>
      </c>
      <c r="H1574" s="6">
        <f>IFERROR(VLOOKUP($B1574,Platts!$E$5:$M$4994,MATCH(H$3,Platts!$F$5:$M$5,0)+1,FALSE),H1573)</f>
        <v>18.27</v>
      </c>
      <c r="I1574" s="6">
        <f>IFERROR(VLOOKUP($B1574,Platts!$E$5:$M$4994,MATCH(I$3,Platts!$F$5:$M$5,0)+1,FALSE),I1573)</f>
        <v>21.72</v>
      </c>
      <c r="J1574" s="6">
        <f t="shared" si="48"/>
        <v>3.92</v>
      </c>
    </row>
    <row r="1575" spans="2:10" x14ac:dyDescent="0.25">
      <c r="B1575" s="5">
        <f t="shared" si="49"/>
        <v>43941</v>
      </c>
      <c r="C1575" s="6">
        <f>IFERROR(VLOOKUP($B1575,Platts!$E$5:$M$4994,MATCH(C$3,Platts!$F$5:$M$5,0)+1,FALSE),C1574)</f>
        <v>-2.37</v>
      </c>
      <c r="D1575" s="6">
        <f>IFERROR(VLOOKUP($B1575,Platts!$E$5:$M$4994,MATCH(D$3,Platts!$F$5:$M$5,0)+1,FALSE),D1574)</f>
        <v>-6.56</v>
      </c>
      <c r="E1575" s="6">
        <f>IFERROR(VLOOKUP($B1575,Platts!$E$5:$M$4994,MATCH(E$3,Platts!$F$5:$M$5,0)+1,FALSE),E1574)</f>
        <v>-7.56</v>
      </c>
      <c r="F1575" s="6">
        <f>IFERROR(VLOOKUP($B1575,Platts!$E$5:$M$4994,MATCH(F$3,Platts!$F$5:$M$5,0)+1,FALSE),F1574)</f>
        <v>-0.26</v>
      </c>
      <c r="G1575" s="6">
        <f>IFERROR(VLOOKUP($B1575,Platts!$E$5:$M$4994,MATCH(G$3,Platts!$F$5:$M$5,0)+1,FALSE),G1574)</f>
        <v>26.21</v>
      </c>
      <c r="H1575" s="6">
        <f>IFERROR(VLOOKUP($B1575,Platts!$E$5:$M$4994,MATCH(H$3,Platts!$F$5:$M$5,0)+1,FALSE),H1574)</f>
        <v>-37.630000000000003</v>
      </c>
      <c r="I1575" s="6">
        <f>IFERROR(VLOOKUP($B1575,Platts!$E$5:$M$4994,MATCH(I$3,Platts!$F$5:$M$5,0)+1,FALSE),I1574)</f>
        <v>11.74</v>
      </c>
      <c r="J1575" s="6">
        <f t="shared" si="48"/>
        <v>-35.260000000000005</v>
      </c>
    </row>
    <row r="1576" spans="2:10" x14ac:dyDescent="0.25">
      <c r="B1576" s="5">
        <f t="shared" si="49"/>
        <v>43942</v>
      </c>
      <c r="C1576" s="6">
        <f>IFERROR(VLOOKUP($B1576,Platts!$E$5:$M$4994,MATCH(C$3,Platts!$F$5:$M$5,0)+1,FALSE),C1575)</f>
        <v>7.12</v>
      </c>
      <c r="D1576" s="6">
        <f>IFERROR(VLOOKUP($B1576,Platts!$E$5:$M$4994,MATCH(D$3,Platts!$F$5:$M$5,0)+1,FALSE),D1575)</f>
        <v>6.38</v>
      </c>
      <c r="E1576" s="6">
        <f>IFERROR(VLOOKUP($B1576,Platts!$E$5:$M$4994,MATCH(E$3,Platts!$F$5:$M$5,0)+1,FALSE),E1575)</f>
        <v>5.38</v>
      </c>
      <c r="F1576" s="6">
        <f>IFERROR(VLOOKUP($B1576,Platts!$E$5:$M$4994,MATCH(F$3,Platts!$F$5:$M$5,0)+1,FALSE),F1575)</f>
        <v>12.68</v>
      </c>
      <c r="G1576" s="6">
        <f>IFERROR(VLOOKUP($B1576,Platts!$E$5:$M$4994,MATCH(G$3,Platts!$F$5:$M$5,0)+1,FALSE),G1575)</f>
        <v>19.670000000000002</v>
      </c>
      <c r="H1576" s="6">
        <f>IFERROR(VLOOKUP($B1576,Platts!$E$5:$M$4994,MATCH(H$3,Platts!$F$5:$M$5,0)+1,FALSE),H1575)</f>
        <v>10.01</v>
      </c>
      <c r="I1576" s="6">
        <f>IFERROR(VLOOKUP($B1576,Platts!$E$5:$M$4994,MATCH(I$3,Platts!$F$5:$M$5,0)+1,FALSE),I1575)</f>
        <v>16.059999999999999</v>
      </c>
      <c r="J1576" s="6">
        <f t="shared" si="48"/>
        <v>2.8899999999999997</v>
      </c>
    </row>
    <row r="1577" spans="2:10" x14ac:dyDescent="0.25">
      <c r="B1577" s="5">
        <f t="shared" si="49"/>
        <v>43943</v>
      </c>
      <c r="C1577" s="6">
        <f>IFERROR(VLOOKUP($B1577,Platts!$E$5:$M$4994,MATCH(C$3,Platts!$F$5:$M$5,0)+1,FALSE),C1576)</f>
        <v>7.19</v>
      </c>
      <c r="D1577" s="6">
        <f>IFERROR(VLOOKUP($B1577,Platts!$E$5:$M$4994,MATCH(D$3,Platts!$F$5:$M$5,0)+1,FALSE),D1576)</f>
        <v>8.41</v>
      </c>
      <c r="E1577" s="6">
        <f>IFERROR(VLOOKUP($B1577,Platts!$E$5:$M$4994,MATCH(E$3,Platts!$F$5:$M$5,0)+1,FALSE),E1576)</f>
        <v>7.41</v>
      </c>
      <c r="F1577" s="6">
        <f>IFERROR(VLOOKUP($B1577,Platts!$E$5:$M$4994,MATCH(F$3,Platts!$F$5:$M$5,0)+1,FALSE),F1576)</f>
        <v>14.71</v>
      </c>
      <c r="G1577" s="6">
        <f>IFERROR(VLOOKUP($B1577,Platts!$E$5:$M$4994,MATCH(G$3,Platts!$F$5:$M$5,0)+1,FALSE),G1576)</f>
        <v>20.239999999999998</v>
      </c>
      <c r="H1577" s="6">
        <f>IFERROR(VLOOKUP($B1577,Platts!$E$5:$M$4994,MATCH(H$3,Platts!$F$5:$M$5,0)+1,FALSE),H1576)</f>
        <v>11.78</v>
      </c>
      <c r="I1577" s="6">
        <f>IFERROR(VLOOKUP($B1577,Platts!$E$5:$M$4994,MATCH(I$3,Platts!$F$5:$M$5,0)+1,FALSE),I1576)</f>
        <v>17.829999999999998</v>
      </c>
      <c r="J1577" s="6">
        <f t="shared" si="48"/>
        <v>4.589999999999999</v>
      </c>
    </row>
    <row r="1578" spans="2:10" x14ac:dyDescent="0.25">
      <c r="B1578" s="5">
        <f t="shared" si="49"/>
        <v>43944</v>
      </c>
      <c r="C1578" s="6">
        <f>IFERROR(VLOOKUP($B1578,Platts!$E$5:$M$4994,MATCH(C$3,Platts!$F$5:$M$5,0)+1,FALSE),C1577)</f>
        <v>8.5399999999999991</v>
      </c>
      <c r="D1578" s="6">
        <f>IFERROR(VLOOKUP($B1578,Platts!$E$5:$M$4994,MATCH(D$3,Platts!$F$5:$M$5,0)+1,FALSE),D1577)</f>
        <v>10.66</v>
      </c>
      <c r="E1578" s="6">
        <f>IFERROR(VLOOKUP($B1578,Platts!$E$5:$M$4994,MATCH(E$3,Platts!$F$5:$M$5,0)+1,FALSE),E1577)</f>
        <v>9.66</v>
      </c>
      <c r="F1578" s="6">
        <f>IFERROR(VLOOKUP($B1578,Platts!$E$5:$M$4994,MATCH(F$3,Platts!$F$5:$M$5,0)+1,FALSE),F1577)</f>
        <v>16.96</v>
      </c>
      <c r="G1578" s="6">
        <f>IFERROR(VLOOKUP($B1578,Platts!$E$5:$M$4994,MATCH(G$3,Platts!$F$5:$M$5,0)+1,FALSE),G1577)</f>
        <v>22.26</v>
      </c>
      <c r="H1578" s="6">
        <f>IFERROR(VLOOKUP($B1578,Platts!$E$5:$M$4994,MATCH(H$3,Platts!$F$5:$M$5,0)+1,FALSE),H1577)</f>
        <v>15.7</v>
      </c>
      <c r="I1578" s="6">
        <f>IFERROR(VLOOKUP($B1578,Platts!$E$5:$M$4994,MATCH(I$3,Platts!$F$5:$M$5,0)+1,FALSE),I1577)</f>
        <v>21.75</v>
      </c>
      <c r="J1578" s="6">
        <f t="shared" si="48"/>
        <v>7.16</v>
      </c>
    </row>
    <row r="1579" spans="2:10" x14ac:dyDescent="0.25">
      <c r="B1579" s="5">
        <f t="shared" si="49"/>
        <v>43945</v>
      </c>
      <c r="C1579" s="6">
        <f>IFERROR(VLOOKUP($B1579,Platts!$E$5:$M$4994,MATCH(C$3,Platts!$F$5:$M$5,0)+1,FALSE),C1578)</f>
        <v>8.5299999999999994</v>
      </c>
      <c r="D1579" s="6">
        <f>IFERROR(VLOOKUP($B1579,Platts!$E$5:$M$4994,MATCH(D$3,Platts!$F$5:$M$5,0)+1,FALSE),D1578)</f>
        <v>9.99</v>
      </c>
      <c r="E1579" s="6">
        <f>IFERROR(VLOOKUP($B1579,Platts!$E$5:$M$4994,MATCH(E$3,Platts!$F$5:$M$5,0)+1,FALSE),E1578)</f>
        <v>8.99</v>
      </c>
      <c r="F1579" s="6">
        <f>IFERROR(VLOOKUP($B1579,Platts!$E$5:$M$4994,MATCH(F$3,Platts!$F$5:$M$5,0)+1,FALSE),F1578)</f>
        <v>16.29</v>
      </c>
      <c r="G1579" s="6">
        <f>IFERROR(VLOOKUP($B1579,Platts!$E$5:$M$4994,MATCH(G$3,Platts!$F$5:$M$5,0)+1,FALSE),G1578)</f>
        <v>21.4</v>
      </c>
      <c r="H1579" s="6">
        <f>IFERROR(VLOOKUP($B1579,Platts!$E$5:$M$4994,MATCH(H$3,Platts!$F$5:$M$5,0)+1,FALSE),H1578)</f>
        <v>16.29</v>
      </c>
      <c r="I1579" s="6">
        <f>IFERROR(VLOOKUP($B1579,Platts!$E$5:$M$4994,MATCH(I$3,Platts!$F$5:$M$5,0)+1,FALSE),I1578)</f>
        <v>20.239999999999998</v>
      </c>
      <c r="J1579" s="6">
        <f t="shared" si="48"/>
        <v>7.76</v>
      </c>
    </row>
    <row r="1580" spans="2:10" x14ac:dyDescent="0.25">
      <c r="B1580" s="5">
        <f t="shared" si="49"/>
        <v>43946</v>
      </c>
      <c r="C1580" s="6">
        <f>IFERROR(VLOOKUP($B1580,Platts!$E$5:$M$4994,MATCH(C$3,Platts!$F$5:$M$5,0)+1,FALSE),C1579)</f>
        <v>8.5299999999999994</v>
      </c>
      <c r="D1580" s="6">
        <f>IFERROR(VLOOKUP($B1580,Platts!$E$5:$M$4994,MATCH(D$3,Platts!$F$5:$M$5,0)+1,FALSE),D1579)</f>
        <v>9.99</v>
      </c>
      <c r="E1580" s="6">
        <f>IFERROR(VLOOKUP($B1580,Platts!$E$5:$M$4994,MATCH(E$3,Platts!$F$5:$M$5,0)+1,FALSE),E1579)</f>
        <v>8.99</v>
      </c>
      <c r="F1580" s="6">
        <f>IFERROR(VLOOKUP($B1580,Platts!$E$5:$M$4994,MATCH(F$3,Platts!$F$5:$M$5,0)+1,FALSE),F1579)</f>
        <v>16.29</v>
      </c>
      <c r="G1580" s="6">
        <f>IFERROR(VLOOKUP($B1580,Platts!$E$5:$M$4994,MATCH(G$3,Platts!$F$5:$M$5,0)+1,FALSE),G1579)</f>
        <v>21.4</v>
      </c>
      <c r="H1580" s="6">
        <f>IFERROR(VLOOKUP($B1580,Platts!$E$5:$M$4994,MATCH(H$3,Platts!$F$5:$M$5,0)+1,FALSE),H1579)</f>
        <v>16.29</v>
      </c>
      <c r="I1580" s="6">
        <f>IFERROR(VLOOKUP($B1580,Platts!$E$5:$M$4994,MATCH(I$3,Platts!$F$5:$M$5,0)+1,FALSE),I1579)</f>
        <v>20.239999999999998</v>
      </c>
      <c r="J1580" s="6">
        <f t="shared" si="48"/>
        <v>7.76</v>
      </c>
    </row>
    <row r="1581" spans="2:10" x14ac:dyDescent="0.25">
      <c r="B1581" s="5">
        <f t="shared" si="49"/>
        <v>43947</v>
      </c>
      <c r="C1581" s="6">
        <f>IFERROR(VLOOKUP($B1581,Platts!$E$5:$M$4994,MATCH(C$3,Platts!$F$5:$M$5,0)+1,FALSE),C1580)</f>
        <v>8.5299999999999994</v>
      </c>
      <c r="D1581" s="6">
        <f>IFERROR(VLOOKUP($B1581,Platts!$E$5:$M$4994,MATCH(D$3,Platts!$F$5:$M$5,0)+1,FALSE),D1580)</f>
        <v>9.99</v>
      </c>
      <c r="E1581" s="6">
        <f>IFERROR(VLOOKUP($B1581,Platts!$E$5:$M$4994,MATCH(E$3,Platts!$F$5:$M$5,0)+1,FALSE),E1580)</f>
        <v>8.99</v>
      </c>
      <c r="F1581" s="6">
        <f>IFERROR(VLOOKUP($B1581,Platts!$E$5:$M$4994,MATCH(F$3,Platts!$F$5:$M$5,0)+1,FALSE),F1580)</f>
        <v>16.29</v>
      </c>
      <c r="G1581" s="6">
        <f>IFERROR(VLOOKUP($B1581,Platts!$E$5:$M$4994,MATCH(G$3,Platts!$F$5:$M$5,0)+1,FALSE),G1580)</f>
        <v>21.4</v>
      </c>
      <c r="H1581" s="6">
        <f>IFERROR(VLOOKUP($B1581,Platts!$E$5:$M$4994,MATCH(H$3,Platts!$F$5:$M$5,0)+1,FALSE),H1580)</f>
        <v>16.29</v>
      </c>
      <c r="I1581" s="6">
        <f>IFERROR(VLOOKUP($B1581,Platts!$E$5:$M$4994,MATCH(I$3,Platts!$F$5:$M$5,0)+1,FALSE),I1580)</f>
        <v>20.239999999999998</v>
      </c>
      <c r="J1581" s="6">
        <f t="shared" si="48"/>
        <v>7.76</v>
      </c>
    </row>
    <row r="1582" spans="2:10" x14ac:dyDescent="0.25">
      <c r="B1582" s="5">
        <f t="shared" si="49"/>
        <v>43948</v>
      </c>
      <c r="C1582" s="6">
        <f>IFERROR(VLOOKUP($B1582,Platts!$E$5:$M$4994,MATCH(C$3,Platts!$F$5:$M$5,0)+1,FALSE),C1581)</f>
        <v>6.55</v>
      </c>
      <c r="D1582" s="6">
        <f>IFERROR(VLOOKUP($B1582,Platts!$E$5:$M$4994,MATCH(D$3,Platts!$F$5:$M$5,0)+1,FALSE),D1581)</f>
        <v>7.92</v>
      </c>
      <c r="E1582" s="6">
        <f>IFERROR(VLOOKUP($B1582,Platts!$E$5:$M$4994,MATCH(E$3,Platts!$F$5:$M$5,0)+1,FALSE),E1581)</f>
        <v>6.92</v>
      </c>
      <c r="F1582" s="6">
        <f>IFERROR(VLOOKUP($B1582,Platts!$E$5:$M$4994,MATCH(F$3,Platts!$F$5:$M$5,0)+1,FALSE),F1581)</f>
        <v>14.22</v>
      </c>
      <c r="G1582" s="6">
        <f>IFERROR(VLOOKUP($B1582,Platts!$E$5:$M$4994,MATCH(G$3,Platts!$F$5:$M$5,0)+1,FALSE),G1581)</f>
        <v>19.149999999999999</v>
      </c>
      <c r="H1582" s="6">
        <f>IFERROR(VLOOKUP($B1582,Platts!$E$5:$M$4994,MATCH(H$3,Platts!$F$5:$M$5,0)+1,FALSE),H1581)</f>
        <v>12.78</v>
      </c>
      <c r="I1582" s="6">
        <f>IFERROR(VLOOKUP($B1582,Platts!$E$5:$M$4994,MATCH(I$3,Platts!$F$5:$M$5,0)+1,FALSE),I1581)</f>
        <v>15.98</v>
      </c>
      <c r="J1582" s="6">
        <f t="shared" si="48"/>
        <v>6.2299999999999995</v>
      </c>
    </row>
    <row r="1583" spans="2:10" x14ac:dyDescent="0.25">
      <c r="B1583" s="5">
        <f t="shared" si="49"/>
        <v>43949</v>
      </c>
      <c r="C1583" s="6">
        <f>IFERROR(VLOOKUP($B1583,Platts!$E$5:$M$4994,MATCH(C$3,Platts!$F$5:$M$5,0)+1,FALSE),C1582)</f>
        <v>7.33</v>
      </c>
      <c r="D1583" s="6">
        <f>IFERROR(VLOOKUP($B1583,Platts!$E$5:$M$4994,MATCH(D$3,Platts!$F$5:$M$5,0)+1,FALSE),D1582)</f>
        <v>8.86</v>
      </c>
      <c r="E1583" s="6">
        <f>IFERROR(VLOOKUP($B1583,Platts!$E$5:$M$4994,MATCH(E$3,Platts!$F$5:$M$5,0)+1,FALSE),E1582)</f>
        <v>7.86</v>
      </c>
      <c r="F1583" s="6">
        <f>IFERROR(VLOOKUP($B1583,Platts!$E$5:$M$4994,MATCH(F$3,Platts!$F$5:$M$5,0)+1,FALSE),F1582)</f>
        <v>15.16</v>
      </c>
      <c r="G1583" s="6">
        <f>IFERROR(VLOOKUP($B1583,Platts!$E$5:$M$4994,MATCH(G$3,Platts!$F$5:$M$5,0)+1,FALSE),G1582)</f>
        <v>20.010000000000002</v>
      </c>
      <c r="H1583" s="6">
        <f>IFERROR(VLOOKUP($B1583,Platts!$E$5:$M$4994,MATCH(H$3,Platts!$F$5:$M$5,0)+1,FALSE),H1582)</f>
        <v>12.34</v>
      </c>
      <c r="I1583" s="6">
        <f>IFERROR(VLOOKUP($B1583,Platts!$E$5:$M$4994,MATCH(I$3,Platts!$F$5:$M$5,0)+1,FALSE),I1582)</f>
        <v>17.59</v>
      </c>
      <c r="J1583" s="6">
        <f t="shared" si="48"/>
        <v>5.01</v>
      </c>
    </row>
    <row r="1584" spans="2:10" x14ac:dyDescent="0.25">
      <c r="B1584" s="5">
        <f t="shared" si="49"/>
        <v>43950</v>
      </c>
      <c r="C1584" s="6">
        <f>IFERROR(VLOOKUP($B1584,Platts!$E$5:$M$4994,MATCH(C$3,Platts!$F$5:$M$5,0)+1,FALSE),C1583)</f>
        <v>9.44</v>
      </c>
      <c r="D1584" s="6">
        <f>IFERROR(VLOOKUP($B1584,Platts!$E$5:$M$4994,MATCH(D$3,Platts!$F$5:$M$5,0)+1,FALSE),D1583)</f>
        <v>10.97</v>
      </c>
      <c r="E1584" s="6">
        <f>IFERROR(VLOOKUP($B1584,Platts!$E$5:$M$4994,MATCH(E$3,Platts!$F$5:$M$5,0)+1,FALSE),E1583)</f>
        <v>9.9700000000000006</v>
      </c>
      <c r="F1584" s="6">
        <f>IFERROR(VLOOKUP($B1584,Platts!$E$5:$M$4994,MATCH(F$3,Platts!$F$5:$M$5,0)+1,FALSE),F1583)</f>
        <v>17.27</v>
      </c>
      <c r="G1584" s="6">
        <f>IFERROR(VLOOKUP($B1584,Platts!$E$5:$M$4994,MATCH(G$3,Platts!$F$5:$M$5,0)+1,FALSE),G1583)</f>
        <v>22.53</v>
      </c>
      <c r="H1584" s="6">
        <f>IFERROR(VLOOKUP($B1584,Platts!$E$5:$M$4994,MATCH(H$3,Platts!$F$5:$M$5,0)+1,FALSE),H1583)</f>
        <v>15.06</v>
      </c>
      <c r="I1584" s="6">
        <f>IFERROR(VLOOKUP($B1584,Platts!$E$5:$M$4994,MATCH(I$3,Platts!$F$5:$M$5,0)+1,FALSE),I1583)</f>
        <v>19.71</v>
      </c>
      <c r="J1584" s="6">
        <f t="shared" si="48"/>
        <v>5.620000000000001</v>
      </c>
    </row>
    <row r="1585" spans="2:10" x14ac:dyDescent="0.25">
      <c r="B1585" s="5">
        <f t="shared" si="49"/>
        <v>43951</v>
      </c>
      <c r="C1585" s="6">
        <f>IFERROR(VLOOKUP($B1585,Platts!$E$5:$M$4994,MATCH(C$3,Platts!$F$5:$M$5,0)+1,FALSE),C1584)</f>
        <v>12.5</v>
      </c>
      <c r="D1585" s="6">
        <f>IFERROR(VLOOKUP($B1585,Platts!$E$5:$M$4994,MATCH(D$3,Platts!$F$5:$M$5,0)+1,FALSE),D1584)</f>
        <v>14.15</v>
      </c>
      <c r="E1585" s="6">
        <f>IFERROR(VLOOKUP($B1585,Platts!$E$5:$M$4994,MATCH(E$3,Platts!$F$5:$M$5,0)+1,FALSE),E1584)</f>
        <v>13.15</v>
      </c>
      <c r="F1585" s="6">
        <f>IFERROR(VLOOKUP($B1585,Platts!$E$5:$M$4994,MATCH(F$3,Platts!$F$5:$M$5,0)+1,FALSE),F1584)</f>
        <v>20.45</v>
      </c>
      <c r="G1585" s="6">
        <f>IFERROR(VLOOKUP($B1585,Platts!$E$5:$M$4994,MATCH(G$3,Platts!$F$5:$M$5,0)+1,FALSE),G1584)</f>
        <v>25.42</v>
      </c>
      <c r="H1585" s="6">
        <f>IFERROR(VLOOKUP($B1585,Platts!$E$5:$M$4994,MATCH(H$3,Platts!$F$5:$M$5,0)+1,FALSE),H1584)</f>
        <v>18.84</v>
      </c>
      <c r="I1585" s="6">
        <f>IFERROR(VLOOKUP($B1585,Platts!$E$5:$M$4994,MATCH(I$3,Platts!$F$5:$M$5,0)+1,FALSE),I1584)</f>
        <v>23.39</v>
      </c>
      <c r="J1585" s="6">
        <f t="shared" si="48"/>
        <v>6.34</v>
      </c>
    </row>
    <row r="1586" spans="2:10" x14ac:dyDescent="0.25">
      <c r="B1586" s="5">
        <f t="shared" si="49"/>
        <v>43952</v>
      </c>
      <c r="C1586" s="6">
        <f>IFERROR(VLOOKUP($B1586,Platts!$E$5:$M$4994,MATCH(C$3,Platts!$F$5:$M$5,0)+1,FALSE),C1585)</f>
        <v>12.5</v>
      </c>
      <c r="D1586" s="6">
        <f>IFERROR(VLOOKUP($B1586,Platts!$E$5:$M$4994,MATCH(D$3,Platts!$F$5:$M$5,0)+1,FALSE),D1585)</f>
        <v>22.22</v>
      </c>
      <c r="E1586" s="6">
        <f>IFERROR(VLOOKUP($B1586,Platts!$E$5:$M$4994,MATCH(E$3,Platts!$F$5:$M$5,0)+1,FALSE),E1585)</f>
        <v>18.82</v>
      </c>
      <c r="F1586" s="6">
        <f>IFERROR(VLOOKUP($B1586,Platts!$E$5:$M$4994,MATCH(F$3,Platts!$F$5:$M$5,0)+1,FALSE),F1585)</f>
        <v>22.87</v>
      </c>
      <c r="G1586" s="6">
        <f>IFERROR(VLOOKUP($B1586,Platts!$E$5:$M$4994,MATCH(G$3,Platts!$F$5:$M$5,0)+1,FALSE),G1585)</f>
        <v>26.25</v>
      </c>
      <c r="H1586" s="6">
        <f>IFERROR(VLOOKUP($B1586,Platts!$E$5:$M$4994,MATCH(H$3,Platts!$F$5:$M$5,0)+1,FALSE),H1585)</f>
        <v>19.78</v>
      </c>
      <c r="I1586" s="6">
        <f>IFERROR(VLOOKUP($B1586,Platts!$E$5:$M$4994,MATCH(I$3,Platts!$F$5:$M$5,0)+1,FALSE),I1585)</f>
        <v>24.33</v>
      </c>
      <c r="J1586" s="6">
        <f t="shared" si="48"/>
        <v>7.2800000000000011</v>
      </c>
    </row>
    <row r="1587" spans="2:10" x14ac:dyDescent="0.25">
      <c r="B1587" s="5">
        <f t="shared" si="49"/>
        <v>43953</v>
      </c>
      <c r="C1587" s="6">
        <f>IFERROR(VLOOKUP($B1587,Platts!$E$5:$M$4994,MATCH(C$3,Platts!$F$5:$M$5,0)+1,FALSE),C1586)</f>
        <v>12.5</v>
      </c>
      <c r="D1587" s="6">
        <f>IFERROR(VLOOKUP($B1587,Platts!$E$5:$M$4994,MATCH(D$3,Platts!$F$5:$M$5,0)+1,FALSE),D1586)</f>
        <v>22.22</v>
      </c>
      <c r="E1587" s="6">
        <f>IFERROR(VLOOKUP($B1587,Platts!$E$5:$M$4994,MATCH(E$3,Platts!$F$5:$M$5,0)+1,FALSE),E1586)</f>
        <v>18.82</v>
      </c>
      <c r="F1587" s="6">
        <f>IFERROR(VLOOKUP($B1587,Platts!$E$5:$M$4994,MATCH(F$3,Platts!$F$5:$M$5,0)+1,FALSE),F1586)</f>
        <v>22.87</v>
      </c>
      <c r="G1587" s="6">
        <f>IFERROR(VLOOKUP($B1587,Platts!$E$5:$M$4994,MATCH(G$3,Platts!$F$5:$M$5,0)+1,FALSE),G1586)</f>
        <v>26.25</v>
      </c>
      <c r="H1587" s="6">
        <f>IFERROR(VLOOKUP($B1587,Platts!$E$5:$M$4994,MATCH(H$3,Platts!$F$5:$M$5,0)+1,FALSE),H1586)</f>
        <v>19.78</v>
      </c>
      <c r="I1587" s="6">
        <f>IFERROR(VLOOKUP($B1587,Platts!$E$5:$M$4994,MATCH(I$3,Platts!$F$5:$M$5,0)+1,FALSE),I1586)</f>
        <v>24.33</v>
      </c>
      <c r="J1587" s="6">
        <f t="shared" si="48"/>
        <v>7.2800000000000011</v>
      </c>
    </row>
    <row r="1588" spans="2:10" x14ac:dyDescent="0.25">
      <c r="B1588" s="5">
        <f t="shared" si="49"/>
        <v>43954</v>
      </c>
      <c r="C1588" s="6">
        <f>IFERROR(VLOOKUP($B1588,Platts!$E$5:$M$4994,MATCH(C$3,Platts!$F$5:$M$5,0)+1,FALSE),C1587)</f>
        <v>12.5</v>
      </c>
      <c r="D1588" s="6">
        <f>IFERROR(VLOOKUP($B1588,Platts!$E$5:$M$4994,MATCH(D$3,Platts!$F$5:$M$5,0)+1,FALSE),D1587)</f>
        <v>22.22</v>
      </c>
      <c r="E1588" s="6">
        <f>IFERROR(VLOOKUP($B1588,Platts!$E$5:$M$4994,MATCH(E$3,Platts!$F$5:$M$5,0)+1,FALSE),E1587)</f>
        <v>18.82</v>
      </c>
      <c r="F1588" s="6">
        <f>IFERROR(VLOOKUP($B1588,Platts!$E$5:$M$4994,MATCH(F$3,Platts!$F$5:$M$5,0)+1,FALSE),F1587)</f>
        <v>22.87</v>
      </c>
      <c r="G1588" s="6">
        <f>IFERROR(VLOOKUP($B1588,Platts!$E$5:$M$4994,MATCH(G$3,Platts!$F$5:$M$5,0)+1,FALSE),G1587)</f>
        <v>26.25</v>
      </c>
      <c r="H1588" s="6">
        <f>IFERROR(VLOOKUP($B1588,Platts!$E$5:$M$4994,MATCH(H$3,Platts!$F$5:$M$5,0)+1,FALSE),H1587)</f>
        <v>19.78</v>
      </c>
      <c r="I1588" s="6">
        <f>IFERROR(VLOOKUP($B1588,Platts!$E$5:$M$4994,MATCH(I$3,Platts!$F$5:$M$5,0)+1,FALSE),I1587)</f>
        <v>24.33</v>
      </c>
      <c r="J1588" s="6">
        <f t="shared" si="48"/>
        <v>7.2800000000000011</v>
      </c>
    </row>
    <row r="1589" spans="2:10" x14ac:dyDescent="0.25">
      <c r="B1589" s="5">
        <f t="shared" si="49"/>
        <v>43955</v>
      </c>
      <c r="C1589" s="6">
        <f>IFERROR(VLOOKUP($B1589,Platts!$E$5:$M$4994,MATCH(C$3,Platts!$F$5:$M$5,0)+1,FALSE),C1588)</f>
        <v>18.170000000000002</v>
      </c>
      <c r="D1589" s="6">
        <f>IFERROR(VLOOKUP($B1589,Platts!$E$5:$M$4994,MATCH(D$3,Platts!$F$5:$M$5,0)+1,FALSE),D1588)</f>
        <v>22.99</v>
      </c>
      <c r="E1589" s="6">
        <f>IFERROR(VLOOKUP($B1589,Platts!$E$5:$M$4994,MATCH(E$3,Platts!$F$5:$M$5,0)+1,FALSE),E1588)</f>
        <v>19.59</v>
      </c>
      <c r="F1589" s="6">
        <f>IFERROR(VLOOKUP($B1589,Platts!$E$5:$M$4994,MATCH(F$3,Platts!$F$5:$M$5,0)+1,FALSE),F1588)</f>
        <v>23.64</v>
      </c>
      <c r="G1589" s="6">
        <f>IFERROR(VLOOKUP($B1589,Platts!$E$5:$M$4994,MATCH(G$3,Platts!$F$5:$M$5,0)+1,FALSE),G1588)</f>
        <v>26.19</v>
      </c>
      <c r="H1589" s="6">
        <f>IFERROR(VLOOKUP($B1589,Platts!$E$5:$M$4994,MATCH(H$3,Platts!$F$5:$M$5,0)+1,FALSE),H1588)</f>
        <v>20.39</v>
      </c>
      <c r="I1589" s="6">
        <f>IFERROR(VLOOKUP($B1589,Platts!$E$5:$M$4994,MATCH(I$3,Platts!$F$5:$M$5,0)+1,FALSE),I1588)</f>
        <v>25.49</v>
      </c>
      <c r="J1589" s="6">
        <f t="shared" si="48"/>
        <v>2.2199999999999989</v>
      </c>
    </row>
    <row r="1590" spans="2:10" x14ac:dyDescent="0.25">
      <c r="B1590" s="5">
        <f t="shared" si="49"/>
        <v>43956</v>
      </c>
      <c r="C1590" s="6">
        <f>IFERROR(VLOOKUP($B1590,Platts!$E$5:$M$4994,MATCH(C$3,Platts!$F$5:$M$5,0)+1,FALSE),C1589)</f>
        <v>21.67</v>
      </c>
      <c r="D1590" s="6">
        <f>IFERROR(VLOOKUP($B1590,Platts!$E$5:$M$4994,MATCH(D$3,Platts!$F$5:$M$5,0)+1,FALSE),D1589)</f>
        <v>26.7</v>
      </c>
      <c r="E1590" s="6">
        <f>IFERROR(VLOOKUP($B1590,Platts!$E$5:$M$4994,MATCH(E$3,Platts!$F$5:$M$5,0)+1,FALSE),E1589)</f>
        <v>23.3</v>
      </c>
      <c r="F1590" s="6">
        <f>IFERROR(VLOOKUP($B1590,Platts!$E$5:$M$4994,MATCH(F$3,Platts!$F$5:$M$5,0)+1,FALSE),F1589)</f>
        <v>27.35</v>
      </c>
      <c r="G1590" s="6">
        <f>IFERROR(VLOOKUP($B1590,Platts!$E$5:$M$4994,MATCH(G$3,Platts!$F$5:$M$5,0)+1,FALSE),G1589)</f>
        <v>29.91</v>
      </c>
      <c r="H1590" s="6">
        <f>IFERROR(VLOOKUP($B1590,Platts!$E$5:$M$4994,MATCH(H$3,Platts!$F$5:$M$5,0)+1,FALSE),H1589)</f>
        <v>24.56</v>
      </c>
      <c r="I1590" s="6">
        <f>IFERROR(VLOOKUP($B1590,Platts!$E$5:$M$4994,MATCH(I$3,Platts!$F$5:$M$5,0)+1,FALSE),I1589)</f>
        <v>28.01</v>
      </c>
      <c r="J1590" s="6">
        <f t="shared" si="48"/>
        <v>2.889999999999997</v>
      </c>
    </row>
    <row r="1591" spans="2:10" x14ac:dyDescent="0.25">
      <c r="B1591" s="5">
        <f t="shared" si="49"/>
        <v>43957</v>
      </c>
      <c r="C1591" s="6">
        <f>IFERROR(VLOOKUP($B1591,Platts!$E$5:$M$4994,MATCH(C$3,Platts!$F$5:$M$5,0)+1,FALSE),C1590)</f>
        <v>21.1</v>
      </c>
      <c r="D1591" s="6">
        <f>IFERROR(VLOOKUP($B1591,Platts!$E$5:$M$4994,MATCH(D$3,Platts!$F$5:$M$5,0)+1,FALSE),D1590)</f>
        <v>25.96</v>
      </c>
      <c r="E1591" s="6">
        <f>IFERROR(VLOOKUP($B1591,Platts!$E$5:$M$4994,MATCH(E$3,Platts!$F$5:$M$5,0)+1,FALSE),E1590)</f>
        <v>22.56</v>
      </c>
      <c r="F1591" s="6">
        <f>IFERROR(VLOOKUP($B1591,Platts!$E$5:$M$4994,MATCH(F$3,Platts!$F$5:$M$5,0)+1,FALSE),F1590)</f>
        <v>26.61</v>
      </c>
      <c r="G1591" s="6">
        <f>IFERROR(VLOOKUP($B1591,Platts!$E$5:$M$4994,MATCH(G$3,Platts!$F$5:$M$5,0)+1,FALSE),G1590)</f>
        <v>29.13</v>
      </c>
      <c r="H1591" s="6">
        <f>IFERROR(VLOOKUP($B1591,Platts!$E$5:$M$4994,MATCH(H$3,Platts!$F$5:$M$5,0)+1,FALSE),H1590)</f>
        <v>23.99</v>
      </c>
      <c r="I1591" s="6">
        <f>IFERROR(VLOOKUP($B1591,Platts!$E$5:$M$4994,MATCH(I$3,Platts!$F$5:$M$5,0)+1,FALSE),I1590)</f>
        <v>27.59</v>
      </c>
      <c r="J1591" s="6">
        <f t="shared" si="48"/>
        <v>2.889999999999997</v>
      </c>
    </row>
    <row r="1592" spans="2:10" x14ac:dyDescent="0.25">
      <c r="B1592" s="5">
        <f t="shared" si="49"/>
        <v>43958</v>
      </c>
      <c r="C1592" s="6">
        <f>IFERROR(VLOOKUP($B1592,Platts!$E$5:$M$4994,MATCH(C$3,Platts!$F$5:$M$5,0)+1,FALSE),C1591)</f>
        <v>21.1</v>
      </c>
      <c r="D1592" s="6">
        <f>IFERROR(VLOOKUP($B1592,Platts!$E$5:$M$4994,MATCH(D$3,Platts!$F$5:$M$5,0)+1,FALSE),D1591)</f>
        <v>25.08</v>
      </c>
      <c r="E1592" s="6">
        <f>IFERROR(VLOOKUP($B1592,Platts!$E$5:$M$4994,MATCH(E$3,Platts!$F$5:$M$5,0)+1,FALSE),E1591)</f>
        <v>21.68</v>
      </c>
      <c r="F1592" s="6">
        <f>IFERROR(VLOOKUP($B1592,Platts!$E$5:$M$4994,MATCH(F$3,Platts!$F$5:$M$5,0)+1,FALSE),F1591)</f>
        <v>25.73</v>
      </c>
      <c r="G1592" s="6">
        <f>IFERROR(VLOOKUP($B1592,Platts!$E$5:$M$4994,MATCH(G$3,Platts!$F$5:$M$5,0)+1,FALSE),G1591)</f>
        <v>30.89</v>
      </c>
      <c r="H1592" s="6">
        <f>IFERROR(VLOOKUP($B1592,Platts!$E$5:$M$4994,MATCH(H$3,Platts!$F$5:$M$5,0)+1,FALSE),H1591)</f>
        <v>23.55</v>
      </c>
      <c r="I1592" s="6">
        <f>IFERROR(VLOOKUP($B1592,Platts!$E$5:$M$4994,MATCH(I$3,Platts!$F$5:$M$5,0)+1,FALSE),I1591)</f>
        <v>27</v>
      </c>
      <c r="J1592" s="6">
        <f t="shared" si="48"/>
        <v>2.4499999999999993</v>
      </c>
    </row>
    <row r="1593" spans="2:10" x14ac:dyDescent="0.25">
      <c r="B1593" s="5">
        <f t="shared" si="49"/>
        <v>43959</v>
      </c>
      <c r="C1593" s="6">
        <f>IFERROR(VLOOKUP($B1593,Platts!$E$5:$M$4994,MATCH(C$3,Platts!$F$5:$M$5,0)+1,FALSE),C1592)</f>
        <v>21.89</v>
      </c>
      <c r="D1593" s="6">
        <f>IFERROR(VLOOKUP($B1593,Platts!$E$5:$M$4994,MATCH(D$3,Platts!$F$5:$M$5,0)+1,FALSE),D1592)</f>
        <v>26.55</v>
      </c>
      <c r="E1593" s="6">
        <f>IFERROR(VLOOKUP($B1593,Platts!$E$5:$M$4994,MATCH(E$3,Platts!$F$5:$M$5,0)+1,FALSE),E1592)</f>
        <v>23.15</v>
      </c>
      <c r="F1593" s="6">
        <f>IFERROR(VLOOKUP($B1593,Platts!$E$5:$M$4994,MATCH(F$3,Platts!$F$5:$M$5,0)+1,FALSE),F1592)</f>
        <v>27.2</v>
      </c>
      <c r="G1593" s="6">
        <f>IFERROR(VLOOKUP($B1593,Platts!$E$5:$M$4994,MATCH(G$3,Platts!$F$5:$M$5,0)+1,FALSE),G1592)</f>
        <v>30.89</v>
      </c>
      <c r="H1593" s="6">
        <f>IFERROR(VLOOKUP($B1593,Platts!$E$5:$M$4994,MATCH(H$3,Platts!$F$5:$M$5,0)+1,FALSE),H1592)</f>
        <v>24.74</v>
      </c>
      <c r="I1593" s="6">
        <f>IFERROR(VLOOKUP($B1593,Platts!$E$5:$M$4994,MATCH(I$3,Platts!$F$5:$M$5,0)+1,FALSE),I1592)</f>
        <v>28.54</v>
      </c>
      <c r="J1593" s="6">
        <f t="shared" si="48"/>
        <v>2.8499999999999979</v>
      </c>
    </row>
    <row r="1594" spans="2:10" x14ac:dyDescent="0.25">
      <c r="B1594" s="5">
        <f t="shared" si="49"/>
        <v>43960</v>
      </c>
      <c r="C1594" s="6">
        <f>IFERROR(VLOOKUP($B1594,Platts!$E$5:$M$4994,MATCH(C$3,Platts!$F$5:$M$5,0)+1,FALSE),C1593)</f>
        <v>21.89</v>
      </c>
      <c r="D1594" s="6">
        <f>IFERROR(VLOOKUP($B1594,Platts!$E$5:$M$4994,MATCH(D$3,Platts!$F$5:$M$5,0)+1,FALSE),D1593)</f>
        <v>26.55</v>
      </c>
      <c r="E1594" s="6">
        <f>IFERROR(VLOOKUP($B1594,Platts!$E$5:$M$4994,MATCH(E$3,Platts!$F$5:$M$5,0)+1,FALSE),E1593)</f>
        <v>23.15</v>
      </c>
      <c r="F1594" s="6">
        <f>IFERROR(VLOOKUP($B1594,Platts!$E$5:$M$4994,MATCH(F$3,Platts!$F$5:$M$5,0)+1,FALSE),F1593)</f>
        <v>27.2</v>
      </c>
      <c r="G1594" s="6">
        <f>IFERROR(VLOOKUP($B1594,Platts!$E$5:$M$4994,MATCH(G$3,Platts!$F$5:$M$5,0)+1,FALSE),G1593)</f>
        <v>30.89</v>
      </c>
      <c r="H1594" s="6">
        <f>IFERROR(VLOOKUP($B1594,Platts!$E$5:$M$4994,MATCH(H$3,Platts!$F$5:$M$5,0)+1,FALSE),H1593)</f>
        <v>24.74</v>
      </c>
      <c r="I1594" s="6">
        <f>IFERROR(VLOOKUP($B1594,Platts!$E$5:$M$4994,MATCH(I$3,Platts!$F$5:$M$5,0)+1,FALSE),I1593)</f>
        <v>28.54</v>
      </c>
      <c r="J1594" s="6">
        <f t="shared" si="48"/>
        <v>2.8499999999999979</v>
      </c>
    </row>
    <row r="1595" spans="2:10" x14ac:dyDescent="0.25">
      <c r="B1595" s="5">
        <f t="shared" si="49"/>
        <v>43961</v>
      </c>
      <c r="C1595" s="6">
        <f>IFERROR(VLOOKUP($B1595,Platts!$E$5:$M$4994,MATCH(C$3,Platts!$F$5:$M$5,0)+1,FALSE),C1594)</f>
        <v>21.89</v>
      </c>
      <c r="D1595" s="6">
        <f>IFERROR(VLOOKUP($B1595,Platts!$E$5:$M$4994,MATCH(D$3,Platts!$F$5:$M$5,0)+1,FALSE),D1594)</f>
        <v>26.55</v>
      </c>
      <c r="E1595" s="6">
        <f>IFERROR(VLOOKUP($B1595,Platts!$E$5:$M$4994,MATCH(E$3,Platts!$F$5:$M$5,0)+1,FALSE),E1594)</f>
        <v>23.15</v>
      </c>
      <c r="F1595" s="6">
        <f>IFERROR(VLOOKUP($B1595,Platts!$E$5:$M$4994,MATCH(F$3,Platts!$F$5:$M$5,0)+1,FALSE),F1594)</f>
        <v>27.2</v>
      </c>
      <c r="G1595" s="6">
        <f>IFERROR(VLOOKUP($B1595,Platts!$E$5:$M$4994,MATCH(G$3,Platts!$F$5:$M$5,0)+1,FALSE),G1594)</f>
        <v>30.89</v>
      </c>
      <c r="H1595" s="6">
        <f>IFERROR(VLOOKUP($B1595,Platts!$E$5:$M$4994,MATCH(H$3,Platts!$F$5:$M$5,0)+1,FALSE),H1594)</f>
        <v>24.74</v>
      </c>
      <c r="I1595" s="6">
        <f>IFERROR(VLOOKUP($B1595,Platts!$E$5:$M$4994,MATCH(I$3,Platts!$F$5:$M$5,0)+1,FALSE),I1594)</f>
        <v>28.54</v>
      </c>
      <c r="J1595" s="6">
        <f t="shared" si="48"/>
        <v>2.8499999999999979</v>
      </c>
    </row>
    <row r="1596" spans="2:10" x14ac:dyDescent="0.25">
      <c r="B1596" s="5">
        <f t="shared" si="49"/>
        <v>43962</v>
      </c>
      <c r="C1596" s="6">
        <f>IFERROR(VLOOKUP($B1596,Platts!$E$5:$M$4994,MATCH(C$3,Platts!$F$5:$M$5,0)+1,FALSE),C1595)</f>
        <v>21.05</v>
      </c>
      <c r="D1596" s="6">
        <f>IFERROR(VLOOKUP($B1596,Platts!$E$5:$M$4994,MATCH(D$3,Platts!$F$5:$M$5,0)+1,FALSE),D1595)</f>
        <v>26.03</v>
      </c>
      <c r="E1596" s="6">
        <f>IFERROR(VLOOKUP($B1596,Platts!$E$5:$M$4994,MATCH(E$3,Platts!$F$5:$M$5,0)+1,FALSE),E1595)</f>
        <v>22.63</v>
      </c>
      <c r="F1596" s="6">
        <f>IFERROR(VLOOKUP($B1596,Platts!$E$5:$M$4994,MATCH(F$3,Platts!$F$5:$M$5,0)+1,FALSE),F1595)</f>
        <v>26.68</v>
      </c>
      <c r="G1596" s="6">
        <f>IFERROR(VLOOKUP($B1596,Platts!$E$5:$M$4994,MATCH(G$3,Platts!$F$5:$M$5,0)+1,FALSE),G1595)</f>
        <v>29.81</v>
      </c>
      <c r="H1596" s="6">
        <f>IFERROR(VLOOKUP($B1596,Platts!$E$5:$M$4994,MATCH(H$3,Platts!$F$5:$M$5,0)+1,FALSE),H1595)</f>
        <v>24.14</v>
      </c>
      <c r="I1596" s="6">
        <f>IFERROR(VLOOKUP($B1596,Platts!$E$5:$M$4994,MATCH(I$3,Platts!$F$5:$M$5,0)+1,FALSE),I1595)</f>
        <v>27.94</v>
      </c>
      <c r="J1596" s="6">
        <f t="shared" si="48"/>
        <v>3.09</v>
      </c>
    </row>
    <row r="1597" spans="2:10" x14ac:dyDescent="0.25">
      <c r="B1597" s="5">
        <f t="shared" si="49"/>
        <v>43963</v>
      </c>
      <c r="C1597" s="6">
        <f>IFERROR(VLOOKUP($B1597,Platts!$E$5:$M$4994,MATCH(C$3,Platts!$F$5:$M$5,0)+1,FALSE),C1596)</f>
        <v>21.95</v>
      </c>
      <c r="D1597" s="6">
        <f>IFERROR(VLOOKUP($B1597,Platts!$E$5:$M$4994,MATCH(D$3,Platts!$F$5:$M$5,0)+1,FALSE),D1596)</f>
        <v>23.87</v>
      </c>
      <c r="E1597" s="6">
        <f>IFERROR(VLOOKUP($B1597,Platts!$E$5:$M$4994,MATCH(E$3,Platts!$F$5:$M$5,0)+1,FALSE),E1596)</f>
        <v>23.47</v>
      </c>
      <c r="F1597" s="6">
        <f>IFERROR(VLOOKUP($B1597,Platts!$E$5:$M$4994,MATCH(F$3,Platts!$F$5:$M$5,0)+1,FALSE),F1596)</f>
        <v>27.52</v>
      </c>
      <c r="G1597" s="6">
        <f>IFERROR(VLOOKUP($B1597,Platts!$E$5:$M$4994,MATCH(G$3,Platts!$F$5:$M$5,0)+1,FALSE),G1596)</f>
        <v>29.94</v>
      </c>
      <c r="H1597" s="6">
        <f>IFERROR(VLOOKUP($B1597,Platts!$E$5:$M$4994,MATCH(H$3,Platts!$F$5:$M$5,0)+1,FALSE),H1596)</f>
        <v>25.78</v>
      </c>
      <c r="I1597" s="6">
        <f>IFERROR(VLOOKUP($B1597,Platts!$E$5:$M$4994,MATCH(I$3,Platts!$F$5:$M$5,0)+1,FALSE),I1596)</f>
        <v>29.58</v>
      </c>
      <c r="J1597" s="6">
        <f t="shared" si="48"/>
        <v>3.8300000000000018</v>
      </c>
    </row>
    <row r="1598" spans="2:10" x14ac:dyDescent="0.25">
      <c r="B1598" s="5">
        <f t="shared" si="49"/>
        <v>43964</v>
      </c>
      <c r="C1598" s="6">
        <f>IFERROR(VLOOKUP($B1598,Platts!$E$5:$M$4994,MATCH(C$3,Platts!$F$5:$M$5,0)+1,FALSE),C1597)</f>
        <v>21.13</v>
      </c>
      <c r="D1598" s="6">
        <f>IFERROR(VLOOKUP($B1598,Platts!$E$5:$M$4994,MATCH(D$3,Platts!$F$5:$M$5,0)+1,FALSE),D1597)</f>
        <v>22.94</v>
      </c>
      <c r="E1598" s="6">
        <f>IFERROR(VLOOKUP($B1598,Platts!$E$5:$M$4994,MATCH(E$3,Platts!$F$5:$M$5,0)+1,FALSE),E1597)</f>
        <v>22.54</v>
      </c>
      <c r="F1598" s="6">
        <f>IFERROR(VLOOKUP($B1598,Platts!$E$5:$M$4994,MATCH(F$3,Platts!$F$5:$M$5,0)+1,FALSE),F1597)</f>
        <v>26.59</v>
      </c>
      <c r="G1598" s="6">
        <f>IFERROR(VLOOKUP($B1598,Platts!$E$5:$M$4994,MATCH(G$3,Platts!$F$5:$M$5,0)+1,FALSE),G1597)</f>
        <v>29.76</v>
      </c>
      <c r="H1598" s="6">
        <f>IFERROR(VLOOKUP($B1598,Platts!$E$5:$M$4994,MATCH(H$3,Platts!$F$5:$M$5,0)+1,FALSE),H1597)</f>
        <v>25.29</v>
      </c>
      <c r="I1598" s="6">
        <f>IFERROR(VLOOKUP($B1598,Platts!$E$5:$M$4994,MATCH(I$3,Platts!$F$5:$M$5,0)+1,FALSE),I1597)</f>
        <v>29.09</v>
      </c>
      <c r="J1598" s="6">
        <f t="shared" si="48"/>
        <v>4.16</v>
      </c>
    </row>
    <row r="1599" spans="2:10" x14ac:dyDescent="0.25">
      <c r="B1599" s="5">
        <f t="shared" si="49"/>
        <v>43965</v>
      </c>
      <c r="C1599" s="6">
        <f>IFERROR(VLOOKUP($B1599,Platts!$E$5:$M$4994,MATCH(C$3,Platts!$F$5:$M$5,0)+1,FALSE),C1598)</f>
        <v>23.08</v>
      </c>
      <c r="D1599" s="6">
        <f>IFERROR(VLOOKUP($B1599,Platts!$E$5:$M$4994,MATCH(D$3,Platts!$F$5:$M$5,0)+1,FALSE),D1598)</f>
        <v>24.95</v>
      </c>
      <c r="E1599" s="6">
        <f>IFERROR(VLOOKUP($B1599,Platts!$E$5:$M$4994,MATCH(E$3,Platts!$F$5:$M$5,0)+1,FALSE),E1598)</f>
        <v>24.55</v>
      </c>
      <c r="F1599" s="6">
        <f>IFERROR(VLOOKUP($B1599,Platts!$E$5:$M$4994,MATCH(F$3,Platts!$F$5:$M$5,0)+1,FALSE),F1598)</f>
        <v>28.6</v>
      </c>
      <c r="G1599" s="6">
        <f>IFERROR(VLOOKUP($B1599,Platts!$E$5:$M$4994,MATCH(G$3,Platts!$F$5:$M$5,0)+1,FALSE),G1598)</f>
        <v>29.99</v>
      </c>
      <c r="H1599" s="6">
        <f>IFERROR(VLOOKUP($B1599,Platts!$E$5:$M$4994,MATCH(H$3,Platts!$F$5:$M$5,0)+1,FALSE),H1598)</f>
        <v>27.56</v>
      </c>
      <c r="I1599" s="6">
        <f>IFERROR(VLOOKUP($B1599,Platts!$E$5:$M$4994,MATCH(I$3,Platts!$F$5:$M$5,0)+1,FALSE),I1598)</f>
        <v>31.06</v>
      </c>
      <c r="J1599" s="6">
        <f t="shared" si="48"/>
        <v>4.4800000000000004</v>
      </c>
    </row>
    <row r="1600" spans="2:10" x14ac:dyDescent="0.25">
      <c r="B1600" s="5">
        <f t="shared" si="49"/>
        <v>43966</v>
      </c>
      <c r="C1600" s="6">
        <f>IFERROR(VLOOKUP($B1600,Platts!$E$5:$M$4994,MATCH(C$3,Platts!$F$5:$M$5,0)+1,FALSE),C1599)</f>
        <v>24.74</v>
      </c>
      <c r="D1600" s="6">
        <f>IFERROR(VLOOKUP($B1600,Platts!$E$5:$M$4994,MATCH(D$3,Platts!$F$5:$M$5,0)+1,FALSE),D1599)</f>
        <v>26.47</v>
      </c>
      <c r="E1600" s="6">
        <f>IFERROR(VLOOKUP($B1600,Platts!$E$5:$M$4994,MATCH(E$3,Platts!$F$5:$M$5,0)+1,FALSE),E1599)</f>
        <v>26.07</v>
      </c>
      <c r="F1600" s="6">
        <f>IFERROR(VLOOKUP($B1600,Platts!$E$5:$M$4994,MATCH(F$3,Platts!$F$5:$M$5,0)+1,FALSE),F1599)</f>
        <v>30.12</v>
      </c>
      <c r="G1600" s="6">
        <f>IFERROR(VLOOKUP($B1600,Platts!$E$5:$M$4994,MATCH(G$3,Platts!$F$5:$M$5,0)+1,FALSE),G1599)</f>
        <v>31.8</v>
      </c>
      <c r="H1600" s="6">
        <f>IFERROR(VLOOKUP($B1600,Platts!$E$5:$M$4994,MATCH(H$3,Platts!$F$5:$M$5,0)+1,FALSE),H1599)</f>
        <v>29.43</v>
      </c>
      <c r="I1600" s="6">
        <f>IFERROR(VLOOKUP($B1600,Platts!$E$5:$M$4994,MATCH(I$3,Platts!$F$5:$M$5,0)+1,FALSE),I1599)</f>
        <v>32.78</v>
      </c>
      <c r="J1600" s="6">
        <f t="shared" si="48"/>
        <v>4.6900000000000013</v>
      </c>
    </row>
    <row r="1601" spans="2:10" x14ac:dyDescent="0.25">
      <c r="B1601" s="5">
        <f t="shared" si="49"/>
        <v>43967</v>
      </c>
      <c r="C1601" s="6">
        <f>IFERROR(VLOOKUP($B1601,Platts!$E$5:$M$4994,MATCH(C$3,Platts!$F$5:$M$5,0)+1,FALSE),C1600)</f>
        <v>24.74</v>
      </c>
      <c r="D1601" s="6">
        <f>IFERROR(VLOOKUP($B1601,Platts!$E$5:$M$4994,MATCH(D$3,Platts!$F$5:$M$5,0)+1,FALSE),D1600)</f>
        <v>26.47</v>
      </c>
      <c r="E1601" s="6">
        <f>IFERROR(VLOOKUP($B1601,Platts!$E$5:$M$4994,MATCH(E$3,Platts!$F$5:$M$5,0)+1,FALSE),E1600)</f>
        <v>26.07</v>
      </c>
      <c r="F1601" s="6">
        <f>IFERROR(VLOOKUP($B1601,Platts!$E$5:$M$4994,MATCH(F$3,Platts!$F$5:$M$5,0)+1,FALSE),F1600)</f>
        <v>30.12</v>
      </c>
      <c r="G1601" s="6">
        <f>IFERROR(VLOOKUP($B1601,Platts!$E$5:$M$4994,MATCH(G$3,Platts!$F$5:$M$5,0)+1,FALSE),G1600)</f>
        <v>31.8</v>
      </c>
      <c r="H1601" s="6">
        <f>IFERROR(VLOOKUP($B1601,Platts!$E$5:$M$4994,MATCH(H$3,Platts!$F$5:$M$5,0)+1,FALSE),H1600)</f>
        <v>29.43</v>
      </c>
      <c r="I1601" s="6">
        <f>IFERROR(VLOOKUP($B1601,Platts!$E$5:$M$4994,MATCH(I$3,Platts!$F$5:$M$5,0)+1,FALSE),I1600)</f>
        <v>32.78</v>
      </c>
      <c r="J1601" s="6">
        <f t="shared" si="48"/>
        <v>4.6900000000000013</v>
      </c>
    </row>
    <row r="1602" spans="2:10" x14ac:dyDescent="0.25">
      <c r="B1602" s="5">
        <f t="shared" si="49"/>
        <v>43968</v>
      </c>
      <c r="C1602" s="6">
        <f>IFERROR(VLOOKUP($B1602,Platts!$E$5:$M$4994,MATCH(C$3,Platts!$F$5:$M$5,0)+1,FALSE),C1601)</f>
        <v>24.74</v>
      </c>
      <c r="D1602" s="6">
        <f>IFERROR(VLOOKUP($B1602,Platts!$E$5:$M$4994,MATCH(D$3,Platts!$F$5:$M$5,0)+1,FALSE),D1601)</f>
        <v>26.47</v>
      </c>
      <c r="E1602" s="6">
        <f>IFERROR(VLOOKUP($B1602,Platts!$E$5:$M$4994,MATCH(E$3,Platts!$F$5:$M$5,0)+1,FALSE),E1601)</f>
        <v>26.07</v>
      </c>
      <c r="F1602" s="6">
        <f>IFERROR(VLOOKUP($B1602,Platts!$E$5:$M$4994,MATCH(F$3,Platts!$F$5:$M$5,0)+1,FALSE),F1601)</f>
        <v>30.12</v>
      </c>
      <c r="G1602" s="6">
        <f>IFERROR(VLOOKUP($B1602,Platts!$E$5:$M$4994,MATCH(G$3,Platts!$F$5:$M$5,0)+1,FALSE),G1601)</f>
        <v>31.8</v>
      </c>
      <c r="H1602" s="6">
        <f>IFERROR(VLOOKUP($B1602,Platts!$E$5:$M$4994,MATCH(H$3,Platts!$F$5:$M$5,0)+1,FALSE),H1601)</f>
        <v>29.43</v>
      </c>
      <c r="I1602" s="6">
        <f>IFERROR(VLOOKUP($B1602,Platts!$E$5:$M$4994,MATCH(I$3,Platts!$F$5:$M$5,0)+1,FALSE),I1601)</f>
        <v>32.78</v>
      </c>
      <c r="J1602" s="6">
        <f t="shared" si="48"/>
        <v>4.6900000000000013</v>
      </c>
    </row>
    <row r="1603" spans="2:10" x14ac:dyDescent="0.25">
      <c r="B1603" s="5">
        <f t="shared" si="49"/>
        <v>43969</v>
      </c>
      <c r="C1603" s="6">
        <f>IFERROR(VLOOKUP($B1603,Platts!$E$5:$M$4994,MATCH(C$3,Platts!$F$5:$M$5,0)+1,FALSE),C1602)</f>
        <v>26.73</v>
      </c>
      <c r="D1603" s="6">
        <f>IFERROR(VLOOKUP($B1603,Platts!$E$5:$M$4994,MATCH(D$3,Platts!$F$5:$M$5,0)+1,FALSE),D1602)</f>
        <v>28.61</v>
      </c>
      <c r="E1603" s="6">
        <f>IFERROR(VLOOKUP($B1603,Platts!$E$5:$M$4994,MATCH(E$3,Platts!$F$5:$M$5,0)+1,FALSE),E1602)</f>
        <v>28.21</v>
      </c>
      <c r="F1603" s="6">
        <f>IFERROR(VLOOKUP($B1603,Platts!$E$5:$M$4994,MATCH(F$3,Platts!$F$5:$M$5,0)+1,FALSE),F1602)</f>
        <v>32.26</v>
      </c>
      <c r="G1603" s="6">
        <f>IFERROR(VLOOKUP($B1603,Platts!$E$5:$M$4994,MATCH(G$3,Platts!$F$5:$M$5,0)+1,FALSE),G1602)</f>
        <v>35.619999999999997</v>
      </c>
      <c r="H1603" s="6">
        <f>IFERROR(VLOOKUP($B1603,Platts!$E$5:$M$4994,MATCH(H$3,Platts!$F$5:$M$5,0)+1,FALSE),H1602)</f>
        <v>31.82</v>
      </c>
      <c r="I1603" s="6">
        <f>IFERROR(VLOOKUP($B1603,Platts!$E$5:$M$4994,MATCH(I$3,Platts!$F$5:$M$5,0)+1,FALSE),I1602)</f>
        <v>34.57</v>
      </c>
      <c r="J1603" s="6">
        <f t="shared" si="48"/>
        <v>5.09</v>
      </c>
    </row>
    <row r="1604" spans="2:10" x14ac:dyDescent="0.25">
      <c r="B1604" s="5">
        <f t="shared" si="49"/>
        <v>43970</v>
      </c>
      <c r="C1604" s="6">
        <f>IFERROR(VLOOKUP($B1604,Platts!$E$5:$M$4994,MATCH(C$3,Platts!$F$5:$M$5,0)+1,FALSE),C1603)</f>
        <v>26.55</v>
      </c>
      <c r="D1604" s="6">
        <f>IFERROR(VLOOKUP($B1604,Platts!$E$5:$M$4994,MATCH(D$3,Platts!$F$5:$M$5,0)+1,FALSE),D1603)</f>
        <v>28.2</v>
      </c>
      <c r="E1604" s="6">
        <f>IFERROR(VLOOKUP($B1604,Platts!$E$5:$M$4994,MATCH(E$3,Platts!$F$5:$M$5,0)+1,FALSE),E1603)</f>
        <v>27.8</v>
      </c>
      <c r="F1604" s="6">
        <f>IFERROR(VLOOKUP($B1604,Platts!$E$5:$M$4994,MATCH(F$3,Platts!$F$5:$M$5,0)+1,FALSE),F1603)</f>
        <v>31.85</v>
      </c>
      <c r="G1604" s="6">
        <f>IFERROR(VLOOKUP($B1604,Platts!$E$5:$M$4994,MATCH(G$3,Platts!$F$5:$M$5,0)+1,FALSE),G1603)</f>
        <v>34.67</v>
      </c>
      <c r="H1604" s="6">
        <f>IFERROR(VLOOKUP($B1604,Platts!$E$5:$M$4994,MATCH(H$3,Platts!$F$5:$M$5,0)+1,FALSE),H1603)</f>
        <v>32.54</v>
      </c>
      <c r="I1604" s="6">
        <f>IFERROR(VLOOKUP($B1604,Platts!$E$5:$M$4994,MATCH(I$3,Platts!$F$5:$M$5,0)+1,FALSE),I1603)</f>
        <v>34.54</v>
      </c>
      <c r="J1604" s="6">
        <f t="shared" ref="J1604:J1667" si="50">H1604-C1604</f>
        <v>5.9899999999999984</v>
      </c>
    </row>
    <row r="1605" spans="2:10" x14ac:dyDescent="0.25">
      <c r="B1605" s="5">
        <f t="shared" si="49"/>
        <v>43971</v>
      </c>
      <c r="C1605" s="6">
        <f>IFERROR(VLOOKUP($B1605,Platts!$E$5:$M$4994,MATCH(C$3,Platts!$F$5:$M$5,0)+1,FALSE),C1604)</f>
        <v>27.71</v>
      </c>
      <c r="D1605" s="6">
        <f>IFERROR(VLOOKUP($B1605,Platts!$E$5:$M$4994,MATCH(D$3,Platts!$F$5:$M$5,0)+1,FALSE),D1604)</f>
        <v>29.82</v>
      </c>
      <c r="E1605" s="6">
        <f>IFERROR(VLOOKUP($B1605,Platts!$E$5:$M$4994,MATCH(E$3,Platts!$F$5:$M$5,0)+1,FALSE),E1604)</f>
        <v>29.42</v>
      </c>
      <c r="F1605" s="6">
        <f>IFERROR(VLOOKUP($B1605,Platts!$E$5:$M$4994,MATCH(F$3,Platts!$F$5:$M$5,0)+1,FALSE),F1604)</f>
        <v>33.47</v>
      </c>
      <c r="G1605" s="6">
        <f>IFERROR(VLOOKUP($B1605,Platts!$E$5:$M$4994,MATCH(G$3,Platts!$F$5:$M$5,0)+1,FALSE),G1604)</f>
        <v>35.700000000000003</v>
      </c>
      <c r="H1605" s="6">
        <f>IFERROR(VLOOKUP($B1605,Platts!$E$5:$M$4994,MATCH(H$3,Platts!$F$5:$M$5,0)+1,FALSE),H1604)</f>
        <v>33.81</v>
      </c>
      <c r="I1605" s="6">
        <f>IFERROR(VLOOKUP($B1605,Platts!$E$5:$M$4994,MATCH(I$3,Platts!$F$5:$M$5,0)+1,FALSE),I1604)</f>
        <v>35.31</v>
      </c>
      <c r="J1605" s="6">
        <f t="shared" si="50"/>
        <v>6.1000000000000014</v>
      </c>
    </row>
    <row r="1606" spans="2:10" x14ac:dyDescent="0.25">
      <c r="B1606" s="5">
        <f t="shared" ref="B1606:B1669" si="51">B1605+1</f>
        <v>43972</v>
      </c>
      <c r="C1606" s="6">
        <f>IFERROR(VLOOKUP($B1606,Platts!$E$5:$M$4994,MATCH(C$3,Platts!$F$5:$M$5,0)+1,FALSE),C1605)</f>
        <v>28.03</v>
      </c>
      <c r="D1606" s="6">
        <f>IFERROR(VLOOKUP($B1606,Platts!$E$5:$M$4994,MATCH(D$3,Platts!$F$5:$M$5,0)+1,FALSE),D1605)</f>
        <v>30.08</v>
      </c>
      <c r="E1606" s="6">
        <f>IFERROR(VLOOKUP($B1606,Platts!$E$5:$M$4994,MATCH(E$3,Platts!$F$5:$M$5,0)+1,FALSE),E1605)</f>
        <v>29.68</v>
      </c>
      <c r="F1606" s="6">
        <f>IFERROR(VLOOKUP($B1606,Platts!$E$5:$M$4994,MATCH(F$3,Platts!$F$5:$M$5,0)+1,FALSE),F1605)</f>
        <v>33.729999999999997</v>
      </c>
      <c r="G1606" s="6">
        <f>IFERROR(VLOOKUP($B1606,Platts!$E$5:$M$4994,MATCH(G$3,Platts!$F$5:$M$5,0)+1,FALSE),G1605)</f>
        <v>36</v>
      </c>
      <c r="H1606" s="6">
        <f>IFERROR(VLOOKUP($B1606,Platts!$E$5:$M$4994,MATCH(H$3,Platts!$F$5:$M$5,0)+1,FALSE),H1605)</f>
        <v>34.14</v>
      </c>
      <c r="I1606" s="6">
        <f>IFERROR(VLOOKUP($B1606,Platts!$E$5:$M$4994,MATCH(I$3,Platts!$F$5:$M$5,0)+1,FALSE),I1605)</f>
        <v>35.39</v>
      </c>
      <c r="J1606" s="6">
        <f t="shared" si="50"/>
        <v>6.1099999999999994</v>
      </c>
    </row>
    <row r="1607" spans="2:10" x14ac:dyDescent="0.25">
      <c r="B1607" s="5">
        <f t="shared" si="51"/>
        <v>43973</v>
      </c>
      <c r="C1607" s="6">
        <f>IFERROR(VLOOKUP($B1607,Platts!$E$5:$M$4994,MATCH(C$3,Platts!$F$5:$M$5,0)+1,FALSE),C1606)</f>
        <v>27.3</v>
      </c>
      <c r="D1607" s="6">
        <f>IFERROR(VLOOKUP($B1607,Platts!$E$5:$M$4994,MATCH(D$3,Platts!$F$5:$M$5,0)+1,FALSE),D1606)</f>
        <v>29.33</v>
      </c>
      <c r="E1607" s="6">
        <f>IFERROR(VLOOKUP($B1607,Platts!$E$5:$M$4994,MATCH(E$3,Platts!$F$5:$M$5,0)+1,FALSE),E1606)</f>
        <v>28.93</v>
      </c>
      <c r="F1607" s="6">
        <f>IFERROR(VLOOKUP($B1607,Platts!$E$5:$M$4994,MATCH(F$3,Platts!$F$5:$M$5,0)+1,FALSE),F1606)</f>
        <v>32.979999999999997</v>
      </c>
      <c r="G1607" s="6">
        <f>IFERROR(VLOOKUP($B1607,Platts!$E$5:$M$4994,MATCH(G$3,Platts!$F$5:$M$5,0)+1,FALSE),G1606)</f>
        <v>34.68</v>
      </c>
      <c r="H1607" s="6">
        <f>IFERROR(VLOOKUP($B1607,Platts!$E$5:$M$4994,MATCH(H$3,Platts!$F$5:$M$5,0)+1,FALSE),H1606)</f>
        <v>33.549999999999997</v>
      </c>
      <c r="I1607" s="6">
        <f>IFERROR(VLOOKUP($B1607,Platts!$E$5:$M$4994,MATCH(I$3,Platts!$F$5:$M$5,0)+1,FALSE),I1606)</f>
        <v>34.799999999999997</v>
      </c>
      <c r="J1607" s="6">
        <f t="shared" si="50"/>
        <v>6.2499999999999964</v>
      </c>
    </row>
    <row r="1608" spans="2:10" x14ac:dyDescent="0.25">
      <c r="B1608" s="5">
        <f t="shared" si="51"/>
        <v>43974</v>
      </c>
      <c r="C1608" s="6">
        <f>IFERROR(VLOOKUP($B1608,Platts!$E$5:$M$4994,MATCH(C$3,Platts!$F$5:$M$5,0)+1,FALSE),C1607)</f>
        <v>27.3</v>
      </c>
      <c r="D1608" s="6">
        <f>IFERROR(VLOOKUP($B1608,Platts!$E$5:$M$4994,MATCH(D$3,Platts!$F$5:$M$5,0)+1,FALSE),D1607)</f>
        <v>29.33</v>
      </c>
      <c r="E1608" s="6">
        <f>IFERROR(VLOOKUP($B1608,Platts!$E$5:$M$4994,MATCH(E$3,Platts!$F$5:$M$5,0)+1,FALSE),E1607)</f>
        <v>28.93</v>
      </c>
      <c r="F1608" s="6">
        <f>IFERROR(VLOOKUP($B1608,Platts!$E$5:$M$4994,MATCH(F$3,Platts!$F$5:$M$5,0)+1,FALSE),F1607)</f>
        <v>32.979999999999997</v>
      </c>
      <c r="G1608" s="6">
        <f>IFERROR(VLOOKUP($B1608,Platts!$E$5:$M$4994,MATCH(G$3,Platts!$F$5:$M$5,0)+1,FALSE),G1607)</f>
        <v>34.68</v>
      </c>
      <c r="H1608" s="6">
        <f>IFERROR(VLOOKUP($B1608,Platts!$E$5:$M$4994,MATCH(H$3,Platts!$F$5:$M$5,0)+1,FALSE),H1607)</f>
        <v>33.549999999999997</v>
      </c>
      <c r="I1608" s="6">
        <f>IFERROR(VLOOKUP($B1608,Platts!$E$5:$M$4994,MATCH(I$3,Platts!$F$5:$M$5,0)+1,FALSE),I1607)</f>
        <v>34.799999999999997</v>
      </c>
      <c r="J1608" s="6">
        <f t="shared" si="50"/>
        <v>6.2499999999999964</v>
      </c>
    </row>
    <row r="1609" spans="2:10" x14ac:dyDescent="0.25">
      <c r="B1609" s="5">
        <f t="shared" si="51"/>
        <v>43975</v>
      </c>
      <c r="C1609" s="6">
        <f>IFERROR(VLOOKUP($B1609,Platts!$E$5:$M$4994,MATCH(C$3,Platts!$F$5:$M$5,0)+1,FALSE),C1608)</f>
        <v>27.3</v>
      </c>
      <c r="D1609" s="6">
        <f>IFERROR(VLOOKUP($B1609,Platts!$E$5:$M$4994,MATCH(D$3,Platts!$F$5:$M$5,0)+1,FALSE),D1608)</f>
        <v>29.33</v>
      </c>
      <c r="E1609" s="6">
        <f>IFERROR(VLOOKUP($B1609,Platts!$E$5:$M$4994,MATCH(E$3,Platts!$F$5:$M$5,0)+1,FALSE),E1608)</f>
        <v>28.93</v>
      </c>
      <c r="F1609" s="6">
        <f>IFERROR(VLOOKUP($B1609,Platts!$E$5:$M$4994,MATCH(F$3,Platts!$F$5:$M$5,0)+1,FALSE),F1608)</f>
        <v>32.979999999999997</v>
      </c>
      <c r="G1609" s="6">
        <f>IFERROR(VLOOKUP($B1609,Platts!$E$5:$M$4994,MATCH(G$3,Platts!$F$5:$M$5,0)+1,FALSE),G1608)</f>
        <v>34.68</v>
      </c>
      <c r="H1609" s="6">
        <f>IFERROR(VLOOKUP($B1609,Platts!$E$5:$M$4994,MATCH(H$3,Platts!$F$5:$M$5,0)+1,FALSE),H1608)</f>
        <v>33.549999999999997</v>
      </c>
      <c r="I1609" s="6">
        <f>IFERROR(VLOOKUP($B1609,Platts!$E$5:$M$4994,MATCH(I$3,Platts!$F$5:$M$5,0)+1,FALSE),I1608)</f>
        <v>34.799999999999997</v>
      </c>
      <c r="J1609" s="6">
        <f t="shared" si="50"/>
        <v>6.2499999999999964</v>
      </c>
    </row>
    <row r="1610" spans="2:10" x14ac:dyDescent="0.25">
      <c r="B1610" s="5">
        <f t="shared" si="51"/>
        <v>43976</v>
      </c>
      <c r="C1610" s="6">
        <f>IFERROR(VLOOKUP($B1610,Platts!$E$5:$M$4994,MATCH(C$3,Platts!$F$5:$M$5,0)+1,FALSE),C1609)</f>
        <v>27.3</v>
      </c>
      <c r="D1610" s="6">
        <f>IFERROR(VLOOKUP($B1610,Platts!$E$5:$M$4994,MATCH(D$3,Platts!$F$5:$M$5,0)+1,FALSE),D1609)</f>
        <v>29.33</v>
      </c>
      <c r="E1610" s="6">
        <f>IFERROR(VLOOKUP($B1610,Platts!$E$5:$M$4994,MATCH(E$3,Platts!$F$5:$M$5,0)+1,FALSE),E1609)</f>
        <v>28.93</v>
      </c>
      <c r="F1610" s="6">
        <f>IFERROR(VLOOKUP($B1610,Platts!$E$5:$M$4994,MATCH(F$3,Platts!$F$5:$M$5,0)+1,FALSE),F1609)</f>
        <v>32.979999999999997</v>
      </c>
      <c r="G1610" s="6">
        <f>IFERROR(VLOOKUP($B1610,Platts!$E$5:$M$4994,MATCH(G$3,Platts!$F$5:$M$5,0)+1,FALSE),G1609)</f>
        <v>34.68</v>
      </c>
      <c r="H1610" s="6">
        <f>IFERROR(VLOOKUP($B1610,Platts!$E$5:$M$4994,MATCH(H$3,Platts!$F$5:$M$5,0)+1,FALSE),H1609)</f>
        <v>33.549999999999997</v>
      </c>
      <c r="I1610" s="6">
        <f>IFERROR(VLOOKUP($B1610,Platts!$E$5:$M$4994,MATCH(I$3,Platts!$F$5:$M$5,0)+1,FALSE),I1609)</f>
        <v>34.799999999999997</v>
      </c>
      <c r="J1610" s="6">
        <f t="shared" si="50"/>
        <v>6.2499999999999964</v>
      </c>
    </row>
    <row r="1611" spans="2:10" x14ac:dyDescent="0.25">
      <c r="B1611" s="5">
        <f t="shared" si="51"/>
        <v>43977</v>
      </c>
      <c r="C1611" s="6">
        <f>IFERROR(VLOOKUP($B1611,Platts!$E$5:$M$4994,MATCH(C$3,Platts!$F$5:$M$5,0)+1,FALSE),C1610)</f>
        <v>28.65</v>
      </c>
      <c r="D1611" s="6">
        <f>IFERROR(VLOOKUP($B1611,Platts!$E$5:$M$4994,MATCH(D$3,Platts!$F$5:$M$5,0)+1,FALSE),D1610)</f>
        <v>30.54</v>
      </c>
      <c r="E1611" s="6">
        <f>IFERROR(VLOOKUP($B1611,Platts!$E$5:$M$4994,MATCH(E$3,Platts!$F$5:$M$5,0)+1,FALSE),E1610)</f>
        <v>30.14</v>
      </c>
      <c r="F1611" s="6">
        <f>IFERROR(VLOOKUP($B1611,Platts!$E$5:$M$4994,MATCH(F$3,Platts!$F$5:$M$5,0)+1,FALSE),F1610)</f>
        <v>34.19</v>
      </c>
      <c r="G1611" s="6">
        <f>IFERROR(VLOOKUP($B1611,Platts!$E$5:$M$4994,MATCH(G$3,Platts!$F$5:$M$5,0)+1,FALSE),G1610)</f>
        <v>35.6</v>
      </c>
      <c r="H1611" s="6">
        <f>IFERROR(VLOOKUP($B1611,Platts!$E$5:$M$4994,MATCH(H$3,Platts!$F$5:$M$5,0)+1,FALSE),H1610)</f>
        <v>34.35</v>
      </c>
      <c r="I1611" s="6">
        <f>IFERROR(VLOOKUP($B1611,Platts!$E$5:$M$4994,MATCH(I$3,Platts!$F$5:$M$5,0)+1,FALSE),I1610)</f>
        <v>36</v>
      </c>
      <c r="J1611" s="6">
        <f t="shared" si="50"/>
        <v>5.7000000000000028</v>
      </c>
    </row>
    <row r="1612" spans="2:10" x14ac:dyDescent="0.25">
      <c r="B1612" s="5">
        <f t="shared" si="51"/>
        <v>43978</v>
      </c>
      <c r="C1612" s="6">
        <f>IFERROR(VLOOKUP($B1612,Platts!$E$5:$M$4994,MATCH(C$3,Platts!$F$5:$M$5,0)+1,FALSE),C1611)</f>
        <v>27.37</v>
      </c>
      <c r="D1612" s="6">
        <f>IFERROR(VLOOKUP($B1612,Platts!$E$5:$M$4994,MATCH(D$3,Platts!$F$5:$M$5,0)+1,FALSE),D1611)</f>
        <v>29.17</v>
      </c>
      <c r="E1612" s="6">
        <f>IFERROR(VLOOKUP($B1612,Platts!$E$5:$M$4994,MATCH(E$3,Platts!$F$5:$M$5,0)+1,FALSE),E1611)</f>
        <v>28.77</v>
      </c>
      <c r="F1612" s="6">
        <f>IFERROR(VLOOKUP($B1612,Platts!$E$5:$M$4994,MATCH(F$3,Platts!$F$5:$M$5,0)+1,FALSE),F1611)</f>
        <v>32.82</v>
      </c>
      <c r="G1612" s="6">
        <f>IFERROR(VLOOKUP($B1612,Platts!$E$5:$M$4994,MATCH(G$3,Platts!$F$5:$M$5,0)+1,FALSE),G1611)</f>
        <v>34.35</v>
      </c>
      <c r="H1612" s="6">
        <f>IFERROR(VLOOKUP($B1612,Platts!$E$5:$M$4994,MATCH(H$3,Platts!$F$5:$M$5,0)+1,FALSE),H1611)</f>
        <v>32.81</v>
      </c>
      <c r="I1612" s="6">
        <f>IFERROR(VLOOKUP($B1612,Platts!$E$5:$M$4994,MATCH(I$3,Platts!$F$5:$M$5,0)+1,FALSE),I1611)</f>
        <v>34.31</v>
      </c>
      <c r="J1612" s="6">
        <f t="shared" si="50"/>
        <v>5.4400000000000013</v>
      </c>
    </row>
    <row r="1613" spans="2:10" x14ac:dyDescent="0.25">
      <c r="B1613" s="5">
        <f t="shared" si="51"/>
        <v>43979</v>
      </c>
      <c r="C1613" s="6">
        <f>IFERROR(VLOOKUP($B1613,Platts!$E$5:$M$4994,MATCH(C$3,Platts!$F$5:$M$5,0)+1,FALSE),C1612)</f>
        <v>27.92</v>
      </c>
      <c r="D1613" s="6">
        <f>IFERROR(VLOOKUP($B1613,Platts!$E$5:$M$4994,MATCH(D$3,Platts!$F$5:$M$5,0)+1,FALSE),D1612)</f>
        <v>29.86</v>
      </c>
      <c r="E1613" s="6">
        <f>IFERROR(VLOOKUP($B1613,Platts!$E$5:$M$4994,MATCH(E$3,Platts!$F$5:$M$5,0)+1,FALSE),E1612)</f>
        <v>29.46</v>
      </c>
      <c r="F1613" s="6">
        <f>IFERROR(VLOOKUP($B1613,Platts!$E$5:$M$4994,MATCH(F$3,Platts!$F$5:$M$5,0)+1,FALSE),F1612)</f>
        <v>33.51</v>
      </c>
      <c r="G1613" s="6">
        <f>IFERROR(VLOOKUP($B1613,Platts!$E$5:$M$4994,MATCH(G$3,Platts!$F$5:$M$5,0)+1,FALSE),G1612)</f>
        <v>34.630000000000003</v>
      </c>
      <c r="H1613" s="6">
        <f>IFERROR(VLOOKUP($B1613,Platts!$E$5:$M$4994,MATCH(H$3,Platts!$F$5:$M$5,0)+1,FALSE),H1612)</f>
        <v>33.71</v>
      </c>
      <c r="I1613" s="6">
        <f>IFERROR(VLOOKUP($B1613,Platts!$E$5:$M$4994,MATCH(I$3,Platts!$F$5:$M$5,0)+1,FALSE),I1612)</f>
        <v>35.56</v>
      </c>
      <c r="J1613" s="6">
        <f t="shared" si="50"/>
        <v>5.7899999999999991</v>
      </c>
    </row>
    <row r="1614" spans="2:10" x14ac:dyDescent="0.25">
      <c r="B1614" s="5">
        <f t="shared" si="51"/>
        <v>43980</v>
      </c>
      <c r="C1614" s="6">
        <f>IFERROR(VLOOKUP($B1614,Platts!$E$5:$M$4994,MATCH(C$3,Platts!$F$5:$M$5,0)+1,FALSE),C1613)</f>
        <v>29.87</v>
      </c>
      <c r="D1614" s="6">
        <f>IFERROR(VLOOKUP($B1614,Platts!$E$5:$M$4994,MATCH(D$3,Platts!$F$5:$M$5,0)+1,FALSE),D1613)</f>
        <v>30.96</v>
      </c>
      <c r="E1614" s="6">
        <f>IFERROR(VLOOKUP($B1614,Platts!$E$5:$M$4994,MATCH(E$3,Platts!$F$5:$M$5,0)+1,FALSE),E1613)</f>
        <v>30.56</v>
      </c>
      <c r="F1614" s="6">
        <f>IFERROR(VLOOKUP($B1614,Platts!$E$5:$M$4994,MATCH(F$3,Platts!$F$5:$M$5,0)+1,FALSE),F1613)</f>
        <v>34.61</v>
      </c>
      <c r="G1614" s="6">
        <f>IFERROR(VLOOKUP($B1614,Platts!$E$5:$M$4994,MATCH(G$3,Platts!$F$5:$M$5,0)+1,FALSE),G1613)</f>
        <v>35.6</v>
      </c>
      <c r="H1614" s="6">
        <f>IFERROR(VLOOKUP($B1614,Platts!$E$5:$M$4994,MATCH(H$3,Platts!$F$5:$M$5,0)+1,FALSE),H1613)</f>
        <v>35.49</v>
      </c>
      <c r="I1614" s="6">
        <f>IFERROR(VLOOKUP($B1614,Platts!$E$5:$M$4994,MATCH(I$3,Platts!$F$5:$M$5,0)+1,FALSE),I1613)</f>
        <v>36.99</v>
      </c>
      <c r="J1614" s="6">
        <f t="shared" si="50"/>
        <v>5.620000000000001</v>
      </c>
    </row>
    <row r="1615" spans="2:10" x14ac:dyDescent="0.25">
      <c r="B1615" s="5">
        <f t="shared" si="51"/>
        <v>43981</v>
      </c>
      <c r="C1615" s="6">
        <f>IFERROR(VLOOKUP($B1615,Platts!$E$5:$M$4994,MATCH(C$3,Platts!$F$5:$M$5,0)+1,FALSE),C1614)</f>
        <v>29.87</v>
      </c>
      <c r="D1615" s="6">
        <f>IFERROR(VLOOKUP($B1615,Platts!$E$5:$M$4994,MATCH(D$3,Platts!$F$5:$M$5,0)+1,FALSE),D1614)</f>
        <v>30.96</v>
      </c>
      <c r="E1615" s="6">
        <f>IFERROR(VLOOKUP($B1615,Platts!$E$5:$M$4994,MATCH(E$3,Platts!$F$5:$M$5,0)+1,FALSE),E1614)</f>
        <v>30.56</v>
      </c>
      <c r="F1615" s="6">
        <f>IFERROR(VLOOKUP($B1615,Platts!$E$5:$M$4994,MATCH(F$3,Platts!$F$5:$M$5,0)+1,FALSE),F1614)</f>
        <v>34.61</v>
      </c>
      <c r="G1615" s="6">
        <f>IFERROR(VLOOKUP($B1615,Platts!$E$5:$M$4994,MATCH(G$3,Platts!$F$5:$M$5,0)+1,FALSE),G1614)</f>
        <v>35.6</v>
      </c>
      <c r="H1615" s="6">
        <f>IFERROR(VLOOKUP($B1615,Platts!$E$5:$M$4994,MATCH(H$3,Platts!$F$5:$M$5,0)+1,FALSE),H1614)</f>
        <v>35.49</v>
      </c>
      <c r="I1615" s="6">
        <f>IFERROR(VLOOKUP($B1615,Platts!$E$5:$M$4994,MATCH(I$3,Platts!$F$5:$M$5,0)+1,FALSE),I1614)</f>
        <v>36.99</v>
      </c>
      <c r="J1615" s="6">
        <f t="shared" si="50"/>
        <v>5.620000000000001</v>
      </c>
    </row>
    <row r="1616" spans="2:10" x14ac:dyDescent="0.25">
      <c r="B1616" s="5">
        <f t="shared" si="51"/>
        <v>43982</v>
      </c>
      <c r="C1616" s="6">
        <f>IFERROR(VLOOKUP($B1616,Platts!$E$5:$M$4994,MATCH(C$3,Platts!$F$5:$M$5,0)+1,FALSE),C1615)</f>
        <v>29.87</v>
      </c>
      <c r="D1616" s="6">
        <f>IFERROR(VLOOKUP($B1616,Platts!$E$5:$M$4994,MATCH(D$3,Platts!$F$5:$M$5,0)+1,FALSE),D1615)</f>
        <v>30.96</v>
      </c>
      <c r="E1616" s="6">
        <f>IFERROR(VLOOKUP($B1616,Platts!$E$5:$M$4994,MATCH(E$3,Platts!$F$5:$M$5,0)+1,FALSE),E1615)</f>
        <v>30.56</v>
      </c>
      <c r="F1616" s="6">
        <f>IFERROR(VLOOKUP($B1616,Platts!$E$5:$M$4994,MATCH(F$3,Platts!$F$5:$M$5,0)+1,FALSE),F1615)</f>
        <v>34.61</v>
      </c>
      <c r="G1616" s="6">
        <f>IFERROR(VLOOKUP($B1616,Platts!$E$5:$M$4994,MATCH(G$3,Platts!$F$5:$M$5,0)+1,FALSE),G1615)</f>
        <v>35.6</v>
      </c>
      <c r="H1616" s="6">
        <f>IFERROR(VLOOKUP($B1616,Platts!$E$5:$M$4994,MATCH(H$3,Platts!$F$5:$M$5,0)+1,FALSE),H1615)</f>
        <v>35.49</v>
      </c>
      <c r="I1616" s="6">
        <f>IFERROR(VLOOKUP($B1616,Platts!$E$5:$M$4994,MATCH(I$3,Platts!$F$5:$M$5,0)+1,FALSE),I1615)</f>
        <v>36.99</v>
      </c>
      <c r="J1616" s="6">
        <f t="shared" si="50"/>
        <v>5.620000000000001</v>
      </c>
    </row>
    <row r="1617" spans="2:10" x14ac:dyDescent="0.25">
      <c r="B1617" s="5">
        <f t="shared" si="51"/>
        <v>43983</v>
      </c>
      <c r="C1617" s="6">
        <f>IFERROR(VLOOKUP($B1617,Platts!$E$5:$M$4994,MATCH(C$3,Platts!$F$5:$M$5,0)+1,FALSE),C1616)</f>
        <v>31.14</v>
      </c>
      <c r="D1617" s="6">
        <f>IFERROR(VLOOKUP($B1617,Platts!$E$5:$M$4994,MATCH(D$3,Platts!$F$5:$M$5,0)+1,FALSE),D1616)</f>
        <v>33.56</v>
      </c>
      <c r="E1617" s="6">
        <f>IFERROR(VLOOKUP($B1617,Platts!$E$5:$M$4994,MATCH(E$3,Platts!$F$5:$M$5,0)+1,FALSE),E1616)</f>
        <v>33.26</v>
      </c>
      <c r="F1617" s="6">
        <f>IFERROR(VLOOKUP($B1617,Platts!$E$5:$M$4994,MATCH(F$3,Platts!$F$5:$M$5,0)+1,FALSE),F1616)</f>
        <v>36.909999999999997</v>
      </c>
      <c r="G1617" s="6">
        <f>IFERROR(VLOOKUP($B1617,Platts!$E$5:$M$4994,MATCH(G$3,Platts!$F$5:$M$5,0)+1,FALSE),G1616)</f>
        <v>37.549999999999997</v>
      </c>
      <c r="H1617" s="6">
        <f>IFERROR(VLOOKUP($B1617,Platts!$E$5:$M$4994,MATCH(H$3,Platts!$F$5:$M$5,0)+1,FALSE),H1616)</f>
        <v>35.44</v>
      </c>
      <c r="I1617" s="6">
        <f>IFERROR(VLOOKUP($B1617,Platts!$E$5:$M$4994,MATCH(I$3,Platts!$F$5:$M$5,0)+1,FALSE),I1616)</f>
        <v>36.69</v>
      </c>
      <c r="J1617" s="6">
        <f t="shared" si="50"/>
        <v>4.2999999999999972</v>
      </c>
    </row>
    <row r="1618" spans="2:10" x14ac:dyDescent="0.25">
      <c r="B1618" s="5">
        <f t="shared" si="51"/>
        <v>43984</v>
      </c>
      <c r="C1618" s="6">
        <f>IFERROR(VLOOKUP($B1618,Platts!$E$5:$M$4994,MATCH(C$3,Platts!$F$5:$M$5,0)+1,FALSE),C1617)</f>
        <v>32.4</v>
      </c>
      <c r="D1618" s="6">
        <f>IFERROR(VLOOKUP($B1618,Platts!$E$5:$M$4994,MATCH(D$3,Platts!$F$5:$M$5,0)+1,FALSE),D1617)</f>
        <v>34.869999999999997</v>
      </c>
      <c r="E1618" s="6">
        <f>IFERROR(VLOOKUP($B1618,Platts!$E$5:$M$4994,MATCH(E$3,Platts!$F$5:$M$5,0)+1,FALSE),E1617)</f>
        <v>34.57</v>
      </c>
      <c r="F1618" s="6">
        <f>IFERROR(VLOOKUP($B1618,Platts!$E$5:$M$4994,MATCH(F$3,Platts!$F$5:$M$5,0)+1,FALSE),F1617)</f>
        <v>38.22</v>
      </c>
      <c r="G1618" s="6">
        <f>IFERROR(VLOOKUP($B1618,Platts!$E$5:$M$4994,MATCH(G$3,Platts!$F$5:$M$5,0)+1,FALSE),G1617)</f>
        <v>39.51</v>
      </c>
      <c r="H1618" s="6">
        <f>IFERROR(VLOOKUP($B1618,Platts!$E$5:$M$4994,MATCH(H$3,Platts!$F$5:$M$5,0)+1,FALSE),H1617)</f>
        <v>36.81</v>
      </c>
      <c r="I1618" s="6">
        <f>IFERROR(VLOOKUP($B1618,Platts!$E$5:$M$4994,MATCH(I$3,Platts!$F$5:$M$5,0)+1,FALSE),I1617)</f>
        <v>38.31</v>
      </c>
      <c r="J1618" s="6">
        <f t="shared" si="50"/>
        <v>4.4100000000000037</v>
      </c>
    </row>
    <row r="1619" spans="2:10" x14ac:dyDescent="0.25">
      <c r="B1619" s="5">
        <f t="shared" si="51"/>
        <v>43985</v>
      </c>
      <c r="C1619" s="6">
        <f>IFERROR(VLOOKUP($B1619,Platts!$E$5:$M$4994,MATCH(C$3,Platts!$F$5:$M$5,0)+1,FALSE),C1618)</f>
        <v>32.64</v>
      </c>
      <c r="D1619" s="6">
        <f>IFERROR(VLOOKUP($B1619,Platts!$E$5:$M$4994,MATCH(D$3,Platts!$F$5:$M$5,0)+1,FALSE),D1618)</f>
        <v>34.9</v>
      </c>
      <c r="E1619" s="6">
        <f>IFERROR(VLOOKUP($B1619,Platts!$E$5:$M$4994,MATCH(E$3,Platts!$F$5:$M$5,0)+1,FALSE),E1618)</f>
        <v>34.6</v>
      </c>
      <c r="F1619" s="6">
        <f>IFERROR(VLOOKUP($B1619,Platts!$E$5:$M$4994,MATCH(F$3,Platts!$F$5:$M$5,0)+1,FALSE),F1618)</f>
        <v>38.25</v>
      </c>
      <c r="G1619" s="6">
        <f>IFERROR(VLOOKUP($B1619,Platts!$E$5:$M$4994,MATCH(G$3,Platts!$F$5:$M$5,0)+1,FALSE),G1618)</f>
        <v>39.520000000000003</v>
      </c>
      <c r="H1619" s="6">
        <f>IFERROR(VLOOKUP($B1619,Platts!$E$5:$M$4994,MATCH(H$3,Platts!$F$5:$M$5,0)+1,FALSE),H1618)</f>
        <v>37.29</v>
      </c>
      <c r="I1619" s="6">
        <f>IFERROR(VLOOKUP($B1619,Platts!$E$5:$M$4994,MATCH(I$3,Platts!$F$5:$M$5,0)+1,FALSE),I1618)</f>
        <v>38.79</v>
      </c>
      <c r="J1619" s="6">
        <f t="shared" si="50"/>
        <v>4.6499999999999986</v>
      </c>
    </row>
    <row r="1620" spans="2:10" x14ac:dyDescent="0.25">
      <c r="B1620" s="5">
        <f t="shared" si="51"/>
        <v>43986</v>
      </c>
      <c r="C1620" s="6">
        <f>IFERROR(VLOOKUP($B1620,Platts!$E$5:$M$4994,MATCH(C$3,Platts!$F$5:$M$5,0)+1,FALSE),C1619)</f>
        <v>32.61</v>
      </c>
      <c r="D1620" s="6">
        <f>IFERROR(VLOOKUP($B1620,Platts!$E$5:$M$4994,MATCH(D$3,Platts!$F$5:$M$5,0)+1,FALSE),D1619)</f>
        <v>35.1</v>
      </c>
      <c r="E1620" s="6">
        <f>IFERROR(VLOOKUP($B1620,Platts!$E$5:$M$4994,MATCH(E$3,Platts!$F$5:$M$5,0)+1,FALSE),E1619)</f>
        <v>34.799999999999997</v>
      </c>
      <c r="F1620" s="6">
        <f>IFERROR(VLOOKUP($B1620,Platts!$E$5:$M$4994,MATCH(F$3,Platts!$F$5:$M$5,0)+1,FALSE),F1619)</f>
        <v>38.450000000000003</v>
      </c>
      <c r="G1620" s="6">
        <f>IFERROR(VLOOKUP($B1620,Platts!$E$5:$M$4994,MATCH(G$3,Platts!$F$5:$M$5,0)+1,FALSE),G1619)</f>
        <v>39.26</v>
      </c>
      <c r="H1620" s="6">
        <f>IFERROR(VLOOKUP($B1620,Platts!$E$5:$M$4994,MATCH(H$3,Platts!$F$5:$M$5,0)+1,FALSE),H1619)</f>
        <v>37.409999999999997</v>
      </c>
      <c r="I1620" s="6">
        <f>IFERROR(VLOOKUP($B1620,Platts!$E$5:$M$4994,MATCH(I$3,Platts!$F$5:$M$5,0)+1,FALSE),I1619)</f>
        <v>38.76</v>
      </c>
      <c r="J1620" s="6">
        <f t="shared" si="50"/>
        <v>4.7999999999999972</v>
      </c>
    </row>
    <row r="1621" spans="2:10" x14ac:dyDescent="0.25">
      <c r="B1621" s="5">
        <f t="shared" si="51"/>
        <v>43987</v>
      </c>
      <c r="C1621" s="6">
        <f>IFERROR(VLOOKUP($B1621,Platts!$E$5:$M$4994,MATCH(C$3,Platts!$F$5:$M$5,0)+1,FALSE),C1620)</f>
        <v>34.770000000000003</v>
      </c>
      <c r="D1621" s="6">
        <f>IFERROR(VLOOKUP($B1621,Platts!$E$5:$M$4994,MATCH(D$3,Platts!$F$5:$M$5,0)+1,FALSE),D1620)</f>
        <v>37.19</v>
      </c>
      <c r="E1621" s="6">
        <f>IFERROR(VLOOKUP($B1621,Platts!$E$5:$M$4994,MATCH(E$3,Platts!$F$5:$M$5,0)+1,FALSE),E1620)</f>
        <v>36.89</v>
      </c>
      <c r="F1621" s="6">
        <f>IFERROR(VLOOKUP($B1621,Platts!$E$5:$M$4994,MATCH(F$3,Platts!$F$5:$M$5,0)+1,FALSE),F1620)</f>
        <v>40.54</v>
      </c>
      <c r="G1621" s="6">
        <f>IFERROR(VLOOKUP($B1621,Platts!$E$5:$M$4994,MATCH(G$3,Platts!$F$5:$M$5,0)+1,FALSE),G1620)</f>
        <v>42.19</v>
      </c>
      <c r="H1621" s="6">
        <f>IFERROR(VLOOKUP($B1621,Platts!$E$5:$M$4994,MATCH(H$3,Platts!$F$5:$M$5,0)+1,FALSE),H1620)</f>
        <v>39.549999999999997</v>
      </c>
      <c r="I1621" s="6">
        <f>IFERROR(VLOOKUP($B1621,Platts!$E$5:$M$4994,MATCH(I$3,Platts!$F$5:$M$5,0)+1,FALSE),I1620)</f>
        <v>40.9</v>
      </c>
      <c r="J1621" s="6">
        <f t="shared" si="50"/>
        <v>4.779999999999994</v>
      </c>
    </row>
    <row r="1622" spans="2:10" x14ac:dyDescent="0.25">
      <c r="B1622" s="5">
        <f t="shared" si="51"/>
        <v>43988</v>
      </c>
      <c r="C1622" s="6">
        <f>IFERROR(VLOOKUP($B1622,Platts!$E$5:$M$4994,MATCH(C$3,Platts!$F$5:$M$5,0)+1,FALSE),C1621)</f>
        <v>34.770000000000003</v>
      </c>
      <c r="D1622" s="6">
        <f>IFERROR(VLOOKUP($B1622,Platts!$E$5:$M$4994,MATCH(D$3,Platts!$F$5:$M$5,0)+1,FALSE),D1621)</f>
        <v>37.19</v>
      </c>
      <c r="E1622" s="6">
        <f>IFERROR(VLOOKUP($B1622,Platts!$E$5:$M$4994,MATCH(E$3,Platts!$F$5:$M$5,0)+1,FALSE),E1621)</f>
        <v>36.89</v>
      </c>
      <c r="F1622" s="6">
        <f>IFERROR(VLOOKUP($B1622,Platts!$E$5:$M$4994,MATCH(F$3,Platts!$F$5:$M$5,0)+1,FALSE),F1621)</f>
        <v>40.54</v>
      </c>
      <c r="G1622" s="6">
        <f>IFERROR(VLOOKUP($B1622,Platts!$E$5:$M$4994,MATCH(G$3,Platts!$F$5:$M$5,0)+1,FALSE),G1621)</f>
        <v>42.19</v>
      </c>
      <c r="H1622" s="6">
        <f>IFERROR(VLOOKUP($B1622,Platts!$E$5:$M$4994,MATCH(H$3,Platts!$F$5:$M$5,0)+1,FALSE),H1621)</f>
        <v>39.549999999999997</v>
      </c>
      <c r="I1622" s="6">
        <f>IFERROR(VLOOKUP($B1622,Platts!$E$5:$M$4994,MATCH(I$3,Platts!$F$5:$M$5,0)+1,FALSE),I1621)</f>
        <v>40.9</v>
      </c>
      <c r="J1622" s="6">
        <f t="shared" si="50"/>
        <v>4.779999999999994</v>
      </c>
    </row>
    <row r="1623" spans="2:10" x14ac:dyDescent="0.25">
      <c r="B1623" s="5">
        <f t="shared" si="51"/>
        <v>43989</v>
      </c>
      <c r="C1623" s="6">
        <f>IFERROR(VLOOKUP($B1623,Platts!$E$5:$M$4994,MATCH(C$3,Platts!$F$5:$M$5,0)+1,FALSE),C1622)</f>
        <v>34.770000000000003</v>
      </c>
      <c r="D1623" s="6">
        <f>IFERROR(VLOOKUP($B1623,Platts!$E$5:$M$4994,MATCH(D$3,Platts!$F$5:$M$5,0)+1,FALSE),D1622)</f>
        <v>37.19</v>
      </c>
      <c r="E1623" s="6">
        <f>IFERROR(VLOOKUP($B1623,Platts!$E$5:$M$4994,MATCH(E$3,Platts!$F$5:$M$5,0)+1,FALSE),E1622)</f>
        <v>36.89</v>
      </c>
      <c r="F1623" s="6">
        <f>IFERROR(VLOOKUP($B1623,Platts!$E$5:$M$4994,MATCH(F$3,Platts!$F$5:$M$5,0)+1,FALSE),F1622)</f>
        <v>40.54</v>
      </c>
      <c r="G1623" s="6">
        <f>IFERROR(VLOOKUP($B1623,Platts!$E$5:$M$4994,MATCH(G$3,Platts!$F$5:$M$5,0)+1,FALSE),G1622)</f>
        <v>42.19</v>
      </c>
      <c r="H1623" s="6">
        <f>IFERROR(VLOOKUP($B1623,Platts!$E$5:$M$4994,MATCH(H$3,Platts!$F$5:$M$5,0)+1,FALSE),H1622)</f>
        <v>39.549999999999997</v>
      </c>
      <c r="I1623" s="6">
        <f>IFERROR(VLOOKUP($B1623,Platts!$E$5:$M$4994,MATCH(I$3,Platts!$F$5:$M$5,0)+1,FALSE),I1622)</f>
        <v>40.9</v>
      </c>
      <c r="J1623" s="6">
        <f t="shared" si="50"/>
        <v>4.779999999999994</v>
      </c>
    </row>
    <row r="1624" spans="2:10" x14ac:dyDescent="0.25">
      <c r="B1624" s="5">
        <f t="shared" si="51"/>
        <v>43990</v>
      </c>
      <c r="C1624" s="6">
        <f>IFERROR(VLOOKUP($B1624,Platts!$E$5:$M$4994,MATCH(C$3,Platts!$F$5:$M$5,0)+1,FALSE),C1623)</f>
        <v>33.880000000000003</v>
      </c>
      <c r="D1624" s="6">
        <f>IFERROR(VLOOKUP($B1624,Platts!$E$5:$M$4994,MATCH(D$3,Platts!$F$5:$M$5,0)+1,FALSE),D1623)</f>
        <v>35.979999999999997</v>
      </c>
      <c r="E1624" s="6">
        <f>IFERROR(VLOOKUP($B1624,Platts!$E$5:$M$4994,MATCH(E$3,Platts!$F$5:$M$5,0)+1,FALSE),E1623)</f>
        <v>35.68</v>
      </c>
      <c r="F1624" s="6">
        <f>IFERROR(VLOOKUP($B1624,Platts!$E$5:$M$4994,MATCH(F$3,Platts!$F$5:$M$5,0)+1,FALSE),F1623)</f>
        <v>39.33</v>
      </c>
      <c r="G1624" s="6">
        <f>IFERROR(VLOOKUP($B1624,Platts!$E$5:$M$4994,MATCH(G$3,Platts!$F$5:$M$5,0)+1,FALSE),G1623)</f>
        <v>41.32</v>
      </c>
      <c r="H1624" s="6">
        <f>IFERROR(VLOOKUP($B1624,Platts!$E$5:$M$4994,MATCH(H$3,Platts!$F$5:$M$5,0)+1,FALSE),H1623)</f>
        <v>38.19</v>
      </c>
      <c r="I1624" s="6">
        <f>IFERROR(VLOOKUP($B1624,Platts!$E$5:$M$4994,MATCH(I$3,Platts!$F$5:$M$5,0)+1,FALSE),I1623)</f>
        <v>39.54</v>
      </c>
      <c r="J1624" s="6">
        <f t="shared" si="50"/>
        <v>4.3099999999999952</v>
      </c>
    </row>
    <row r="1625" spans="2:10" x14ac:dyDescent="0.25">
      <c r="B1625" s="5">
        <f t="shared" si="51"/>
        <v>43991</v>
      </c>
      <c r="C1625" s="6">
        <f>IFERROR(VLOOKUP($B1625,Platts!$E$5:$M$4994,MATCH(C$3,Platts!$F$5:$M$5,0)+1,FALSE),C1624)</f>
        <v>33.97</v>
      </c>
      <c r="D1625" s="6">
        <f>IFERROR(VLOOKUP($B1625,Platts!$E$5:$M$4994,MATCH(D$3,Platts!$F$5:$M$5,0)+1,FALSE),D1624)</f>
        <v>36.39</v>
      </c>
      <c r="E1625" s="6">
        <f>IFERROR(VLOOKUP($B1625,Platts!$E$5:$M$4994,MATCH(E$3,Platts!$F$5:$M$5,0)+1,FALSE),E1624)</f>
        <v>36.090000000000003</v>
      </c>
      <c r="F1625" s="6">
        <f>IFERROR(VLOOKUP($B1625,Platts!$E$5:$M$4994,MATCH(F$3,Platts!$F$5:$M$5,0)+1,FALSE),F1624)</f>
        <v>39.74</v>
      </c>
      <c r="G1625" s="6">
        <f>IFERROR(VLOOKUP($B1625,Platts!$E$5:$M$4994,MATCH(G$3,Platts!$F$5:$M$5,0)+1,FALSE),G1624)</f>
        <v>40.770000000000003</v>
      </c>
      <c r="H1625" s="6">
        <f>IFERROR(VLOOKUP($B1625,Platts!$E$5:$M$4994,MATCH(H$3,Platts!$F$5:$M$5,0)+1,FALSE),H1624)</f>
        <v>38.94</v>
      </c>
      <c r="I1625" s="6">
        <f>IFERROR(VLOOKUP($B1625,Platts!$E$5:$M$4994,MATCH(I$3,Platts!$F$5:$M$5,0)+1,FALSE),I1624)</f>
        <v>39.94</v>
      </c>
      <c r="J1625" s="6">
        <f t="shared" si="50"/>
        <v>4.9699999999999989</v>
      </c>
    </row>
    <row r="1626" spans="2:10" x14ac:dyDescent="0.25">
      <c r="B1626" s="5">
        <f t="shared" si="51"/>
        <v>43992</v>
      </c>
      <c r="C1626" s="6">
        <f>IFERROR(VLOOKUP($B1626,Platts!$E$5:$M$4994,MATCH(C$3,Platts!$F$5:$M$5,0)+1,FALSE),C1625)</f>
        <v>34.43</v>
      </c>
      <c r="D1626" s="6">
        <f>IFERROR(VLOOKUP($B1626,Platts!$E$5:$M$4994,MATCH(D$3,Platts!$F$5:$M$5,0)+1,FALSE),D1625)</f>
        <v>36.75</v>
      </c>
      <c r="E1626" s="6">
        <f>IFERROR(VLOOKUP($B1626,Platts!$E$5:$M$4994,MATCH(E$3,Platts!$F$5:$M$5,0)+1,FALSE),E1625)</f>
        <v>36.450000000000003</v>
      </c>
      <c r="F1626" s="6">
        <f>IFERROR(VLOOKUP($B1626,Platts!$E$5:$M$4994,MATCH(F$3,Platts!$F$5:$M$5,0)+1,FALSE),F1625)</f>
        <v>40.1</v>
      </c>
      <c r="G1626" s="6">
        <f>IFERROR(VLOOKUP($B1626,Platts!$E$5:$M$4994,MATCH(G$3,Platts!$F$5:$M$5,0)+1,FALSE),G1625)</f>
        <v>40.950000000000003</v>
      </c>
      <c r="H1626" s="6">
        <f>IFERROR(VLOOKUP($B1626,Platts!$E$5:$M$4994,MATCH(H$3,Platts!$F$5:$M$5,0)+1,FALSE),H1625)</f>
        <v>39.6</v>
      </c>
      <c r="I1626" s="6">
        <f>IFERROR(VLOOKUP($B1626,Platts!$E$5:$M$4994,MATCH(I$3,Platts!$F$5:$M$5,0)+1,FALSE),I1625)</f>
        <v>40.6</v>
      </c>
      <c r="J1626" s="6">
        <f t="shared" si="50"/>
        <v>5.1700000000000017</v>
      </c>
    </row>
    <row r="1627" spans="2:10" x14ac:dyDescent="0.25">
      <c r="B1627" s="5">
        <f t="shared" si="51"/>
        <v>43993</v>
      </c>
      <c r="C1627" s="6">
        <f>IFERROR(VLOOKUP($B1627,Platts!$E$5:$M$4994,MATCH(C$3,Platts!$F$5:$M$5,0)+1,FALSE),C1626)</f>
        <v>31.59</v>
      </c>
      <c r="D1627" s="6">
        <f>IFERROR(VLOOKUP($B1627,Platts!$E$5:$M$4994,MATCH(D$3,Platts!$F$5:$M$5,0)+1,FALSE),D1626)</f>
        <v>33.700000000000003</v>
      </c>
      <c r="E1627" s="6">
        <f>IFERROR(VLOOKUP($B1627,Platts!$E$5:$M$4994,MATCH(E$3,Platts!$F$5:$M$5,0)+1,FALSE),E1626)</f>
        <v>33.4</v>
      </c>
      <c r="F1627" s="6">
        <f>IFERROR(VLOOKUP($B1627,Platts!$E$5:$M$4994,MATCH(F$3,Platts!$F$5:$M$5,0)+1,FALSE),F1626)</f>
        <v>37.049999999999997</v>
      </c>
      <c r="G1627" s="6">
        <f>IFERROR(VLOOKUP($B1627,Platts!$E$5:$M$4994,MATCH(G$3,Platts!$F$5:$M$5,0)+1,FALSE),G1626)</f>
        <v>39</v>
      </c>
      <c r="H1627" s="6">
        <f>IFERROR(VLOOKUP($B1627,Platts!$E$5:$M$4994,MATCH(H$3,Platts!$F$5:$M$5,0)+1,FALSE),H1626)</f>
        <v>36.340000000000003</v>
      </c>
      <c r="I1627" s="6">
        <f>IFERROR(VLOOKUP($B1627,Platts!$E$5:$M$4994,MATCH(I$3,Platts!$F$5:$M$5,0)+1,FALSE),I1626)</f>
        <v>37.49</v>
      </c>
      <c r="J1627" s="6">
        <f t="shared" si="50"/>
        <v>4.7500000000000036</v>
      </c>
    </row>
    <row r="1628" spans="2:10" x14ac:dyDescent="0.25">
      <c r="B1628" s="5">
        <f t="shared" si="51"/>
        <v>43994</v>
      </c>
      <c r="C1628" s="6">
        <f>IFERROR(VLOOKUP($B1628,Platts!$E$5:$M$4994,MATCH(C$3,Platts!$F$5:$M$5,0)+1,FALSE),C1627)</f>
        <v>31.42</v>
      </c>
      <c r="D1628" s="6">
        <f>IFERROR(VLOOKUP($B1628,Platts!$E$5:$M$4994,MATCH(D$3,Platts!$F$5:$M$5,0)+1,FALSE),D1627)</f>
        <v>33.82</v>
      </c>
      <c r="E1628" s="6">
        <f>IFERROR(VLOOKUP($B1628,Platts!$E$5:$M$4994,MATCH(E$3,Platts!$F$5:$M$5,0)+1,FALSE),E1627)</f>
        <v>33.520000000000003</v>
      </c>
      <c r="F1628" s="6">
        <f>IFERROR(VLOOKUP($B1628,Platts!$E$5:$M$4994,MATCH(F$3,Platts!$F$5:$M$5,0)+1,FALSE),F1627)</f>
        <v>37.17</v>
      </c>
      <c r="G1628" s="6">
        <f>IFERROR(VLOOKUP($B1628,Platts!$E$5:$M$4994,MATCH(G$3,Platts!$F$5:$M$5,0)+1,FALSE),G1627)</f>
        <v>38.840000000000003</v>
      </c>
      <c r="H1628" s="6">
        <f>IFERROR(VLOOKUP($B1628,Platts!$E$5:$M$4994,MATCH(H$3,Platts!$F$5:$M$5,0)+1,FALSE),H1627)</f>
        <v>36.26</v>
      </c>
      <c r="I1628" s="6">
        <f>IFERROR(VLOOKUP($B1628,Platts!$E$5:$M$4994,MATCH(I$3,Platts!$F$5:$M$5,0)+1,FALSE),I1627)</f>
        <v>37.409999999999997</v>
      </c>
      <c r="J1628" s="6">
        <f t="shared" si="50"/>
        <v>4.8399999999999963</v>
      </c>
    </row>
    <row r="1629" spans="2:10" x14ac:dyDescent="0.25">
      <c r="B1629" s="5">
        <f t="shared" si="51"/>
        <v>43995</v>
      </c>
      <c r="C1629" s="6">
        <f>IFERROR(VLOOKUP($B1629,Platts!$E$5:$M$4994,MATCH(C$3,Platts!$F$5:$M$5,0)+1,FALSE),C1628)</f>
        <v>31.42</v>
      </c>
      <c r="D1629" s="6">
        <f>IFERROR(VLOOKUP($B1629,Platts!$E$5:$M$4994,MATCH(D$3,Platts!$F$5:$M$5,0)+1,FALSE),D1628)</f>
        <v>33.82</v>
      </c>
      <c r="E1629" s="6">
        <f>IFERROR(VLOOKUP($B1629,Platts!$E$5:$M$4994,MATCH(E$3,Platts!$F$5:$M$5,0)+1,FALSE),E1628)</f>
        <v>33.520000000000003</v>
      </c>
      <c r="F1629" s="6">
        <f>IFERROR(VLOOKUP($B1629,Platts!$E$5:$M$4994,MATCH(F$3,Platts!$F$5:$M$5,0)+1,FALSE),F1628)</f>
        <v>37.17</v>
      </c>
      <c r="G1629" s="6">
        <f>IFERROR(VLOOKUP($B1629,Platts!$E$5:$M$4994,MATCH(G$3,Platts!$F$5:$M$5,0)+1,FALSE),G1628)</f>
        <v>38.840000000000003</v>
      </c>
      <c r="H1629" s="6">
        <f>IFERROR(VLOOKUP($B1629,Platts!$E$5:$M$4994,MATCH(H$3,Platts!$F$5:$M$5,0)+1,FALSE),H1628)</f>
        <v>36.26</v>
      </c>
      <c r="I1629" s="6">
        <f>IFERROR(VLOOKUP($B1629,Platts!$E$5:$M$4994,MATCH(I$3,Platts!$F$5:$M$5,0)+1,FALSE),I1628)</f>
        <v>37.409999999999997</v>
      </c>
      <c r="J1629" s="6">
        <f t="shared" si="50"/>
        <v>4.8399999999999963</v>
      </c>
    </row>
    <row r="1630" spans="2:10" x14ac:dyDescent="0.25">
      <c r="B1630" s="5">
        <f t="shared" si="51"/>
        <v>43996</v>
      </c>
      <c r="C1630" s="6">
        <f>IFERROR(VLOOKUP($B1630,Platts!$E$5:$M$4994,MATCH(C$3,Platts!$F$5:$M$5,0)+1,FALSE),C1629)</f>
        <v>31.42</v>
      </c>
      <c r="D1630" s="6">
        <f>IFERROR(VLOOKUP($B1630,Platts!$E$5:$M$4994,MATCH(D$3,Platts!$F$5:$M$5,0)+1,FALSE),D1629)</f>
        <v>33.82</v>
      </c>
      <c r="E1630" s="6">
        <f>IFERROR(VLOOKUP($B1630,Platts!$E$5:$M$4994,MATCH(E$3,Platts!$F$5:$M$5,0)+1,FALSE),E1629)</f>
        <v>33.520000000000003</v>
      </c>
      <c r="F1630" s="6">
        <f>IFERROR(VLOOKUP($B1630,Platts!$E$5:$M$4994,MATCH(F$3,Platts!$F$5:$M$5,0)+1,FALSE),F1629)</f>
        <v>37.17</v>
      </c>
      <c r="G1630" s="6">
        <f>IFERROR(VLOOKUP($B1630,Platts!$E$5:$M$4994,MATCH(G$3,Platts!$F$5:$M$5,0)+1,FALSE),G1629)</f>
        <v>38.840000000000003</v>
      </c>
      <c r="H1630" s="6">
        <f>IFERROR(VLOOKUP($B1630,Platts!$E$5:$M$4994,MATCH(H$3,Platts!$F$5:$M$5,0)+1,FALSE),H1629)</f>
        <v>36.26</v>
      </c>
      <c r="I1630" s="6">
        <f>IFERROR(VLOOKUP($B1630,Platts!$E$5:$M$4994,MATCH(I$3,Platts!$F$5:$M$5,0)+1,FALSE),I1629)</f>
        <v>37.409999999999997</v>
      </c>
      <c r="J1630" s="6">
        <f t="shared" si="50"/>
        <v>4.8399999999999963</v>
      </c>
    </row>
    <row r="1631" spans="2:10" x14ac:dyDescent="0.25">
      <c r="B1631" s="5">
        <f t="shared" si="51"/>
        <v>43997</v>
      </c>
      <c r="C1631" s="6">
        <f>IFERROR(VLOOKUP($B1631,Platts!$E$5:$M$4994,MATCH(C$3,Platts!$F$5:$M$5,0)+1,FALSE),C1630)</f>
        <v>32.33</v>
      </c>
      <c r="D1631" s="6">
        <f>IFERROR(VLOOKUP($B1631,Platts!$E$5:$M$4994,MATCH(D$3,Platts!$F$5:$M$5,0)+1,FALSE),D1630)</f>
        <v>34.9</v>
      </c>
      <c r="E1631" s="6">
        <f>IFERROR(VLOOKUP($B1631,Platts!$E$5:$M$4994,MATCH(E$3,Platts!$F$5:$M$5,0)+1,FALSE),E1630)</f>
        <v>34.6</v>
      </c>
      <c r="F1631" s="6">
        <f>IFERROR(VLOOKUP($B1631,Platts!$E$5:$M$4994,MATCH(F$3,Platts!$F$5:$M$5,0)+1,FALSE),F1630)</f>
        <v>38.25</v>
      </c>
      <c r="G1631" s="6">
        <f>IFERROR(VLOOKUP($B1631,Platts!$E$5:$M$4994,MATCH(G$3,Platts!$F$5:$M$5,0)+1,FALSE),G1630)</f>
        <v>39.090000000000003</v>
      </c>
      <c r="H1631" s="6">
        <f>IFERROR(VLOOKUP($B1631,Platts!$E$5:$M$4994,MATCH(H$3,Platts!$F$5:$M$5,0)+1,FALSE),H1630)</f>
        <v>37.119999999999997</v>
      </c>
      <c r="I1631" s="6">
        <f>IFERROR(VLOOKUP($B1631,Platts!$E$5:$M$4994,MATCH(I$3,Platts!$F$5:$M$5,0)+1,FALSE),I1630)</f>
        <v>38.270000000000003</v>
      </c>
      <c r="J1631" s="6">
        <f t="shared" si="50"/>
        <v>4.7899999999999991</v>
      </c>
    </row>
    <row r="1632" spans="2:10" x14ac:dyDescent="0.25">
      <c r="B1632" s="5">
        <f t="shared" si="51"/>
        <v>43998</v>
      </c>
      <c r="C1632" s="6">
        <f>IFERROR(VLOOKUP($B1632,Platts!$E$5:$M$4994,MATCH(C$3,Platts!$F$5:$M$5,0)+1,FALSE),C1631)</f>
        <v>33.630000000000003</v>
      </c>
      <c r="D1632" s="6">
        <f>IFERROR(VLOOKUP($B1632,Platts!$E$5:$M$4994,MATCH(D$3,Platts!$F$5:$M$5,0)+1,FALSE),D1631)</f>
        <v>36.049999999999997</v>
      </c>
      <c r="E1632" s="6">
        <f>IFERROR(VLOOKUP($B1632,Platts!$E$5:$M$4994,MATCH(E$3,Platts!$F$5:$M$5,0)+1,FALSE),E1631)</f>
        <v>35.75</v>
      </c>
      <c r="F1632" s="6">
        <f>IFERROR(VLOOKUP($B1632,Platts!$E$5:$M$4994,MATCH(F$3,Platts!$F$5:$M$5,0)+1,FALSE),F1631)</f>
        <v>39.4</v>
      </c>
      <c r="G1632" s="6">
        <f>IFERROR(VLOOKUP($B1632,Platts!$E$5:$M$4994,MATCH(G$3,Platts!$F$5:$M$5,0)+1,FALSE),G1631)</f>
        <v>40.450000000000003</v>
      </c>
      <c r="H1632" s="6">
        <f>IFERROR(VLOOKUP($B1632,Platts!$E$5:$M$4994,MATCH(H$3,Platts!$F$5:$M$5,0)+1,FALSE),H1631)</f>
        <v>38.380000000000003</v>
      </c>
      <c r="I1632" s="6">
        <f>IFERROR(VLOOKUP($B1632,Platts!$E$5:$M$4994,MATCH(I$3,Platts!$F$5:$M$5,0)+1,FALSE),I1631)</f>
        <v>39.729999999999997</v>
      </c>
      <c r="J1632" s="6">
        <f t="shared" si="50"/>
        <v>4.75</v>
      </c>
    </row>
    <row r="1633" spans="2:10" x14ac:dyDescent="0.25">
      <c r="B1633" s="5">
        <f t="shared" si="51"/>
        <v>43999</v>
      </c>
      <c r="C1633" s="6">
        <f>IFERROR(VLOOKUP($B1633,Platts!$E$5:$M$4994,MATCH(C$3,Platts!$F$5:$M$5,0)+1,FALSE),C1632)</f>
        <v>33.51</v>
      </c>
      <c r="D1633" s="6">
        <f>IFERROR(VLOOKUP($B1633,Platts!$E$5:$M$4994,MATCH(D$3,Platts!$F$5:$M$5,0)+1,FALSE),D1632)</f>
        <v>35.65</v>
      </c>
      <c r="E1633" s="6">
        <f>IFERROR(VLOOKUP($B1633,Platts!$E$5:$M$4994,MATCH(E$3,Platts!$F$5:$M$5,0)+1,FALSE),E1632)</f>
        <v>35.35</v>
      </c>
      <c r="F1633" s="6">
        <f>IFERROR(VLOOKUP($B1633,Platts!$E$5:$M$4994,MATCH(F$3,Platts!$F$5:$M$5,0)+1,FALSE),F1632)</f>
        <v>39</v>
      </c>
      <c r="G1633" s="6">
        <f>IFERROR(VLOOKUP($B1633,Platts!$E$5:$M$4994,MATCH(G$3,Platts!$F$5:$M$5,0)+1,FALSE),G1632)</f>
        <v>40.770000000000003</v>
      </c>
      <c r="H1633" s="6">
        <f>IFERROR(VLOOKUP($B1633,Platts!$E$5:$M$4994,MATCH(H$3,Platts!$F$5:$M$5,0)+1,FALSE),H1632)</f>
        <v>37.96</v>
      </c>
      <c r="I1633" s="6">
        <f>IFERROR(VLOOKUP($B1633,Platts!$E$5:$M$4994,MATCH(I$3,Platts!$F$5:$M$5,0)+1,FALSE),I1632)</f>
        <v>39.26</v>
      </c>
      <c r="J1633" s="6">
        <f t="shared" si="50"/>
        <v>4.4500000000000028</v>
      </c>
    </row>
    <row r="1634" spans="2:10" x14ac:dyDescent="0.25">
      <c r="B1634" s="5">
        <f t="shared" si="51"/>
        <v>44000</v>
      </c>
      <c r="C1634" s="6">
        <f>IFERROR(VLOOKUP($B1634,Platts!$E$5:$M$4994,MATCH(C$3,Platts!$F$5:$M$5,0)+1,FALSE),C1633)</f>
        <v>34.17</v>
      </c>
      <c r="D1634" s="6">
        <f>IFERROR(VLOOKUP($B1634,Platts!$E$5:$M$4994,MATCH(D$3,Platts!$F$5:$M$5,0)+1,FALSE),D1633)</f>
        <v>36.56</v>
      </c>
      <c r="E1634" s="6">
        <f>IFERROR(VLOOKUP($B1634,Platts!$E$5:$M$4994,MATCH(E$3,Platts!$F$5:$M$5,0)+1,FALSE),E1633)</f>
        <v>36.26</v>
      </c>
      <c r="F1634" s="6">
        <f>IFERROR(VLOOKUP($B1634,Platts!$E$5:$M$4994,MATCH(F$3,Platts!$F$5:$M$5,0)+1,FALSE),F1633)</f>
        <v>39.909999999999997</v>
      </c>
      <c r="G1634" s="6">
        <f>IFERROR(VLOOKUP($B1634,Platts!$E$5:$M$4994,MATCH(G$3,Platts!$F$5:$M$5,0)+1,FALSE),G1633)</f>
        <v>41.44</v>
      </c>
      <c r="H1634" s="6">
        <f>IFERROR(VLOOKUP($B1634,Platts!$E$5:$M$4994,MATCH(H$3,Platts!$F$5:$M$5,0)+1,FALSE),H1633)</f>
        <v>38.840000000000003</v>
      </c>
      <c r="I1634" s="6">
        <f>IFERROR(VLOOKUP($B1634,Platts!$E$5:$M$4994,MATCH(I$3,Platts!$F$5:$M$5,0)+1,FALSE),I1633)</f>
        <v>40.14</v>
      </c>
      <c r="J1634" s="6">
        <f t="shared" si="50"/>
        <v>4.6700000000000017</v>
      </c>
    </row>
    <row r="1635" spans="2:10" x14ac:dyDescent="0.25">
      <c r="B1635" s="5">
        <f t="shared" si="51"/>
        <v>44001</v>
      </c>
      <c r="C1635" s="6">
        <f>IFERROR(VLOOKUP($B1635,Platts!$E$5:$M$4994,MATCH(C$3,Platts!$F$5:$M$5,0)+1,FALSE),C1634)</f>
        <v>35.04</v>
      </c>
      <c r="D1635" s="6">
        <f>IFERROR(VLOOKUP($B1635,Platts!$E$5:$M$4994,MATCH(D$3,Platts!$F$5:$M$5,0)+1,FALSE),D1634)</f>
        <v>37.29</v>
      </c>
      <c r="E1635" s="6">
        <f>IFERROR(VLOOKUP($B1635,Platts!$E$5:$M$4994,MATCH(E$3,Platts!$F$5:$M$5,0)+1,FALSE),E1634)</f>
        <v>36.99</v>
      </c>
      <c r="F1635" s="6">
        <f>IFERROR(VLOOKUP($B1635,Platts!$E$5:$M$4994,MATCH(F$3,Platts!$F$5:$M$5,0)+1,FALSE),F1634)</f>
        <v>40.64</v>
      </c>
      <c r="G1635" s="6">
        <f>IFERROR(VLOOKUP($B1635,Platts!$E$5:$M$4994,MATCH(G$3,Platts!$F$5:$M$5,0)+1,FALSE),G1634)</f>
        <v>42.83</v>
      </c>
      <c r="H1635" s="6">
        <f>IFERROR(VLOOKUP($B1635,Platts!$E$5:$M$4994,MATCH(H$3,Platts!$F$5:$M$5,0)+1,FALSE),H1634)</f>
        <v>39.75</v>
      </c>
      <c r="I1635" s="6">
        <f>IFERROR(VLOOKUP($B1635,Platts!$E$5:$M$4994,MATCH(I$3,Platts!$F$5:$M$5,0)+1,FALSE),I1634)</f>
        <v>40.9</v>
      </c>
      <c r="J1635" s="6">
        <f t="shared" si="50"/>
        <v>4.7100000000000009</v>
      </c>
    </row>
    <row r="1636" spans="2:10" x14ac:dyDescent="0.25">
      <c r="B1636" s="5">
        <f t="shared" si="51"/>
        <v>44002</v>
      </c>
      <c r="C1636" s="6">
        <f>IFERROR(VLOOKUP($B1636,Platts!$E$5:$M$4994,MATCH(C$3,Platts!$F$5:$M$5,0)+1,FALSE),C1635)</f>
        <v>35.04</v>
      </c>
      <c r="D1636" s="6">
        <f>IFERROR(VLOOKUP($B1636,Platts!$E$5:$M$4994,MATCH(D$3,Platts!$F$5:$M$5,0)+1,FALSE),D1635)</f>
        <v>37.29</v>
      </c>
      <c r="E1636" s="6">
        <f>IFERROR(VLOOKUP($B1636,Platts!$E$5:$M$4994,MATCH(E$3,Platts!$F$5:$M$5,0)+1,FALSE),E1635)</f>
        <v>36.99</v>
      </c>
      <c r="F1636" s="6">
        <f>IFERROR(VLOOKUP($B1636,Platts!$E$5:$M$4994,MATCH(F$3,Platts!$F$5:$M$5,0)+1,FALSE),F1635)</f>
        <v>40.64</v>
      </c>
      <c r="G1636" s="6">
        <f>IFERROR(VLOOKUP($B1636,Platts!$E$5:$M$4994,MATCH(G$3,Platts!$F$5:$M$5,0)+1,FALSE),G1635)</f>
        <v>42.83</v>
      </c>
      <c r="H1636" s="6">
        <f>IFERROR(VLOOKUP($B1636,Platts!$E$5:$M$4994,MATCH(H$3,Platts!$F$5:$M$5,0)+1,FALSE),H1635)</f>
        <v>39.75</v>
      </c>
      <c r="I1636" s="6">
        <f>IFERROR(VLOOKUP($B1636,Platts!$E$5:$M$4994,MATCH(I$3,Platts!$F$5:$M$5,0)+1,FALSE),I1635)</f>
        <v>40.9</v>
      </c>
      <c r="J1636" s="6">
        <f t="shared" si="50"/>
        <v>4.7100000000000009</v>
      </c>
    </row>
    <row r="1637" spans="2:10" x14ac:dyDescent="0.25">
      <c r="B1637" s="5">
        <f t="shared" si="51"/>
        <v>44003</v>
      </c>
      <c r="C1637" s="6">
        <f>IFERROR(VLOOKUP($B1637,Platts!$E$5:$M$4994,MATCH(C$3,Platts!$F$5:$M$5,0)+1,FALSE),C1636)</f>
        <v>35.04</v>
      </c>
      <c r="D1637" s="6">
        <f>IFERROR(VLOOKUP($B1637,Platts!$E$5:$M$4994,MATCH(D$3,Platts!$F$5:$M$5,0)+1,FALSE),D1636)</f>
        <v>37.29</v>
      </c>
      <c r="E1637" s="6">
        <f>IFERROR(VLOOKUP($B1637,Platts!$E$5:$M$4994,MATCH(E$3,Platts!$F$5:$M$5,0)+1,FALSE),E1636)</f>
        <v>36.99</v>
      </c>
      <c r="F1637" s="6">
        <f>IFERROR(VLOOKUP($B1637,Platts!$E$5:$M$4994,MATCH(F$3,Platts!$F$5:$M$5,0)+1,FALSE),F1636)</f>
        <v>40.64</v>
      </c>
      <c r="G1637" s="6">
        <f>IFERROR(VLOOKUP($B1637,Platts!$E$5:$M$4994,MATCH(G$3,Platts!$F$5:$M$5,0)+1,FALSE),G1636)</f>
        <v>42.83</v>
      </c>
      <c r="H1637" s="6">
        <f>IFERROR(VLOOKUP($B1637,Platts!$E$5:$M$4994,MATCH(H$3,Platts!$F$5:$M$5,0)+1,FALSE),H1636)</f>
        <v>39.75</v>
      </c>
      <c r="I1637" s="6">
        <f>IFERROR(VLOOKUP($B1637,Platts!$E$5:$M$4994,MATCH(I$3,Platts!$F$5:$M$5,0)+1,FALSE),I1636)</f>
        <v>40.9</v>
      </c>
      <c r="J1637" s="6">
        <f t="shared" si="50"/>
        <v>4.7100000000000009</v>
      </c>
    </row>
    <row r="1638" spans="2:10" x14ac:dyDescent="0.25">
      <c r="B1638" s="5">
        <f t="shared" si="51"/>
        <v>44004</v>
      </c>
      <c r="C1638" s="6">
        <f>IFERROR(VLOOKUP($B1638,Platts!$E$5:$M$4994,MATCH(C$3,Platts!$F$5:$M$5,0)+1,FALSE),C1637)</f>
        <v>35.49</v>
      </c>
      <c r="D1638" s="6">
        <f>IFERROR(VLOOKUP($B1638,Platts!$E$5:$M$4994,MATCH(D$3,Platts!$F$5:$M$5,0)+1,FALSE),D1637)</f>
        <v>37.770000000000003</v>
      </c>
      <c r="E1638" s="6">
        <f>IFERROR(VLOOKUP($B1638,Platts!$E$5:$M$4994,MATCH(E$3,Platts!$F$5:$M$5,0)+1,FALSE),E1637)</f>
        <v>37.47</v>
      </c>
      <c r="F1638" s="6">
        <f>IFERROR(VLOOKUP($B1638,Platts!$E$5:$M$4994,MATCH(F$3,Platts!$F$5:$M$5,0)+1,FALSE),F1637)</f>
        <v>41.12</v>
      </c>
      <c r="G1638" s="6">
        <f>IFERROR(VLOOKUP($B1638,Platts!$E$5:$M$4994,MATCH(G$3,Platts!$F$5:$M$5,0)+1,FALSE),G1637)</f>
        <v>42.8</v>
      </c>
      <c r="H1638" s="6">
        <f>IFERROR(VLOOKUP($B1638,Platts!$E$5:$M$4994,MATCH(H$3,Platts!$F$5:$M$5,0)+1,FALSE),H1637)</f>
        <v>40.46</v>
      </c>
      <c r="I1638" s="6">
        <f>IFERROR(VLOOKUP($B1638,Platts!$E$5:$M$4994,MATCH(I$3,Platts!$F$5:$M$5,0)+1,FALSE),I1637)</f>
        <v>41.26</v>
      </c>
      <c r="J1638" s="6">
        <f t="shared" si="50"/>
        <v>4.9699999999999989</v>
      </c>
    </row>
    <row r="1639" spans="2:10" x14ac:dyDescent="0.25">
      <c r="B1639" s="5">
        <f t="shared" si="51"/>
        <v>44005</v>
      </c>
      <c r="C1639" s="6">
        <f>IFERROR(VLOOKUP($B1639,Platts!$E$5:$M$4994,MATCH(C$3,Platts!$F$5:$M$5,0)+1,FALSE),C1638)</f>
        <v>35.42</v>
      </c>
      <c r="D1639" s="6">
        <f>IFERROR(VLOOKUP($B1639,Platts!$E$5:$M$4994,MATCH(D$3,Platts!$F$5:$M$5,0)+1,FALSE),D1638)</f>
        <v>37.53</v>
      </c>
      <c r="E1639" s="6">
        <f>IFERROR(VLOOKUP($B1639,Platts!$E$5:$M$4994,MATCH(E$3,Platts!$F$5:$M$5,0)+1,FALSE),E1638)</f>
        <v>37.229999999999997</v>
      </c>
      <c r="F1639" s="6">
        <f>IFERROR(VLOOKUP($B1639,Platts!$E$5:$M$4994,MATCH(F$3,Platts!$F$5:$M$5,0)+1,FALSE),F1638)</f>
        <v>40.880000000000003</v>
      </c>
      <c r="G1639" s="6">
        <f>IFERROR(VLOOKUP($B1639,Platts!$E$5:$M$4994,MATCH(G$3,Platts!$F$5:$M$5,0)+1,FALSE),G1638)</f>
        <v>43.71</v>
      </c>
      <c r="H1639" s="6">
        <f>IFERROR(VLOOKUP($B1639,Platts!$E$5:$M$4994,MATCH(H$3,Platts!$F$5:$M$5,0)+1,FALSE),H1638)</f>
        <v>40.270000000000003</v>
      </c>
      <c r="I1639" s="6">
        <f>IFERROR(VLOOKUP($B1639,Platts!$E$5:$M$4994,MATCH(I$3,Platts!$F$5:$M$5,0)+1,FALSE),I1638)</f>
        <v>41.07</v>
      </c>
      <c r="J1639" s="6">
        <f t="shared" si="50"/>
        <v>4.8500000000000014</v>
      </c>
    </row>
    <row r="1640" spans="2:10" x14ac:dyDescent="0.25">
      <c r="B1640" s="5">
        <f t="shared" si="51"/>
        <v>44006</v>
      </c>
      <c r="C1640" s="6">
        <f>IFERROR(VLOOKUP($B1640,Platts!$E$5:$M$4994,MATCH(C$3,Platts!$F$5:$M$5,0)+1,FALSE),C1639)</f>
        <v>33.15</v>
      </c>
      <c r="D1640" s="6">
        <f>IFERROR(VLOOKUP($B1640,Platts!$E$5:$M$4994,MATCH(D$3,Platts!$F$5:$M$5,0)+1,FALSE),D1639)</f>
        <v>35.14</v>
      </c>
      <c r="E1640" s="6">
        <f>IFERROR(VLOOKUP($B1640,Platts!$E$5:$M$4994,MATCH(E$3,Platts!$F$5:$M$5,0)+1,FALSE),E1639)</f>
        <v>34.840000000000003</v>
      </c>
      <c r="F1640" s="6">
        <f>IFERROR(VLOOKUP($B1640,Platts!$E$5:$M$4994,MATCH(F$3,Platts!$F$5:$M$5,0)+1,FALSE),F1639)</f>
        <v>38.49</v>
      </c>
      <c r="G1640" s="6">
        <f>IFERROR(VLOOKUP($B1640,Platts!$E$5:$M$4994,MATCH(G$3,Platts!$F$5:$M$5,0)+1,FALSE),G1639)</f>
        <v>40.56</v>
      </c>
      <c r="H1640" s="6">
        <f>IFERROR(VLOOKUP($B1640,Platts!$E$5:$M$4994,MATCH(H$3,Platts!$F$5:$M$5,0)+1,FALSE),H1639)</f>
        <v>37.909999999999997</v>
      </c>
      <c r="I1640" s="6">
        <f>IFERROR(VLOOKUP($B1640,Platts!$E$5:$M$4994,MATCH(I$3,Platts!$F$5:$M$5,0)+1,FALSE),I1639)</f>
        <v>38.71</v>
      </c>
      <c r="J1640" s="6">
        <f t="shared" si="50"/>
        <v>4.759999999999998</v>
      </c>
    </row>
    <row r="1641" spans="2:10" x14ac:dyDescent="0.25">
      <c r="B1641" s="5">
        <f t="shared" si="51"/>
        <v>44007</v>
      </c>
      <c r="C1641" s="6">
        <f>IFERROR(VLOOKUP($B1641,Platts!$E$5:$M$4994,MATCH(C$3,Platts!$F$5:$M$5,0)+1,FALSE),C1640)</f>
        <v>33.67</v>
      </c>
      <c r="D1641" s="6">
        <f>IFERROR(VLOOKUP($B1641,Platts!$E$5:$M$4994,MATCH(D$3,Platts!$F$5:$M$5,0)+1,FALSE),D1640)</f>
        <v>36.229999999999997</v>
      </c>
      <c r="E1641" s="6">
        <f>IFERROR(VLOOKUP($B1641,Platts!$E$5:$M$4994,MATCH(E$3,Platts!$F$5:$M$5,0)+1,FALSE),E1640)</f>
        <v>35.93</v>
      </c>
      <c r="F1641" s="6">
        <f>IFERROR(VLOOKUP($B1641,Platts!$E$5:$M$4994,MATCH(F$3,Platts!$F$5:$M$5,0)+1,FALSE),F1640)</f>
        <v>39.58</v>
      </c>
      <c r="G1641" s="6">
        <f>IFERROR(VLOOKUP($B1641,Platts!$E$5:$M$4994,MATCH(G$3,Platts!$F$5:$M$5,0)+1,FALSE),G1640)</f>
        <v>40.950000000000003</v>
      </c>
      <c r="H1641" s="6">
        <f>IFERROR(VLOOKUP($B1641,Platts!$E$5:$M$4994,MATCH(H$3,Platts!$F$5:$M$5,0)+1,FALSE),H1640)</f>
        <v>38.67</v>
      </c>
      <c r="I1641" s="6">
        <f>IFERROR(VLOOKUP($B1641,Platts!$E$5:$M$4994,MATCH(I$3,Platts!$F$5:$M$5,0)+1,FALSE),I1640)</f>
        <v>39.57</v>
      </c>
      <c r="J1641" s="6">
        <f t="shared" si="50"/>
        <v>5</v>
      </c>
    </row>
    <row r="1642" spans="2:10" x14ac:dyDescent="0.25">
      <c r="B1642" s="5">
        <f t="shared" si="51"/>
        <v>44008</v>
      </c>
      <c r="C1642" s="6">
        <f>IFERROR(VLOOKUP($B1642,Platts!$E$5:$M$4994,MATCH(C$3,Platts!$F$5:$M$5,0)+1,FALSE),C1641)</f>
        <v>33.89</v>
      </c>
      <c r="D1642" s="6">
        <f>IFERROR(VLOOKUP($B1642,Platts!$E$5:$M$4994,MATCH(D$3,Platts!$F$5:$M$5,0)+1,FALSE),D1641)</f>
        <v>36.01</v>
      </c>
      <c r="E1642" s="6">
        <f>IFERROR(VLOOKUP($B1642,Platts!$E$5:$M$4994,MATCH(E$3,Platts!$F$5:$M$5,0)+1,FALSE),E1641)</f>
        <v>35.71</v>
      </c>
      <c r="F1642" s="6">
        <f>IFERROR(VLOOKUP($B1642,Platts!$E$5:$M$4994,MATCH(F$3,Platts!$F$5:$M$5,0)+1,FALSE),F1641)</f>
        <v>39.36</v>
      </c>
      <c r="G1642" s="6">
        <f>IFERROR(VLOOKUP($B1642,Platts!$E$5:$M$4994,MATCH(G$3,Platts!$F$5:$M$5,0)+1,FALSE),G1641)</f>
        <v>40.630000000000003</v>
      </c>
      <c r="H1642" s="6">
        <f>IFERROR(VLOOKUP($B1642,Platts!$E$5:$M$4994,MATCH(H$3,Platts!$F$5:$M$5,0)+1,FALSE),H1641)</f>
        <v>38.49</v>
      </c>
      <c r="I1642" s="6">
        <f>IFERROR(VLOOKUP($B1642,Platts!$E$5:$M$4994,MATCH(I$3,Platts!$F$5:$M$5,0)+1,FALSE),I1641)</f>
        <v>39.74</v>
      </c>
      <c r="J1642" s="6">
        <f t="shared" si="50"/>
        <v>4.6000000000000014</v>
      </c>
    </row>
    <row r="1643" spans="2:10" x14ac:dyDescent="0.25">
      <c r="B1643" s="5">
        <f t="shared" si="51"/>
        <v>44009</v>
      </c>
      <c r="C1643" s="6">
        <f>IFERROR(VLOOKUP($B1643,Platts!$E$5:$M$4994,MATCH(C$3,Platts!$F$5:$M$5,0)+1,FALSE),C1642)</f>
        <v>33.89</v>
      </c>
      <c r="D1643" s="6">
        <f>IFERROR(VLOOKUP($B1643,Platts!$E$5:$M$4994,MATCH(D$3,Platts!$F$5:$M$5,0)+1,FALSE),D1642)</f>
        <v>36.01</v>
      </c>
      <c r="E1643" s="6">
        <f>IFERROR(VLOOKUP($B1643,Platts!$E$5:$M$4994,MATCH(E$3,Platts!$F$5:$M$5,0)+1,FALSE),E1642)</f>
        <v>35.71</v>
      </c>
      <c r="F1643" s="6">
        <f>IFERROR(VLOOKUP($B1643,Platts!$E$5:$M$4994,MATCH(F$3,Platts!$F$5:$M$5,0)+1,FALSE),F1642)</f>
        <v>39.36</v>
      </c>
      <c r="G1643" s="6">
        <f>IFERROR(VLOOKUP($B1643,Platts!$E$5:$M$4994,MATCH(G$3,Platts!$F$5:$M$5,0)+1,FALSE),G1642)</f>
        <v>40.630000000000003</v>
      </c>
      <c r="H1643" s="6">
        <f>IFERROR(VLOOKUP($B1643,Platts!$E$5:$M$4994,MATCH(H$3,Platts!$F$5:$M$5,0)+1,FALSE),H1642)</f>
        <v>38.49</v>
      </c>
      <c r="I1643" s="6">
        <f>IFERROR(VLOOKUP($B1643,Platts!$E$5:$M$4994,MATCH(I$3,Platts!$F$5:$M$5,0)+1,FALSE),I1642)</f>
        <v>39.74</v>
      </c>
      <c r="J1643" s="6">
        <f t="shared" si="50"/>
        <v>4.6000000000000014</v>
      </c>
    </row>
    <row r="1644" spans="2:10" x14ac:dyDescent="0.25">
      <c r="B1644" s="5">
        <f t="shared" si="51"/>
        <v>44010</v>
      </c>
      <c r="C1644" s="6">
        <f>IFERROR(VLOOKUP($B1644,Platts!$E$5:$M$4994,MATCH(C$3,Platts!$F$5:$M$5,0)+1,FALSE),C1643)</f>
        <v>33.89</v>
      </c>
      <c r="D1644" s="6">
        <f>IFERROR(VLOOKUP($B1644,Platts!$E$5:$M$4994,MATCH(D$3,Platts!$F$5:$M$5,0)+1,FALSE),D1643)</f>
        <v>36.01</v>
      </c>
      <c r="E1644" s="6">
        <f>IFERROR(VLOOKUP($B1644,Platts!$E$5:$M$4994,MATCH(E$3,Platts!$F$5:$M$5,0)+1,FALSE),E1643)</f>
        <v>35.71</v>
      </c>
      <c r="F1644" s="6">
        <f>IFERROR(VLOOKUP($B1644,Platts!$E$5:$M$4994,MATCH(F$3,Platts!$F$5:$M$5,0)+1,FALSE),F1643)</f>
        <v>39.36</v>
      </c>
      <c r="G1644" s="6">
        <f>IFERROR(VLOOKUP($B1644,Platts!$E$5:$M$4994,MATCH(G$3,Platts!$F$5:$M$5,0)+1,FALSE),G1643)</f>
        <v>40.630000000000003</v>
      </c>
      <c r="H1644" s="6">
        <f>IFERROR(VLOOKUP($B1644,Platts!$E$5:$M$4994,MATCH(H$3,Platts!$F$5:$M$5,0)+1,FALSE),H1643)</f>
        <v>38.49</v>
      </c>
      <c r="I1644" s="6">
        <f>IFERROR(VLOOKUP($B1644,Platts!$E$5:$M$4994,MATCH(I$3,Platts!$F$5:$M$5,0)+1,FALSE),I1643)</f>
        <v>39.74</v>
      </c>
      <c r="J1644" s="6">
        <f t="shared" si="50"/>
        <v>4.6000000000000014</v>
      </c>
    </row>
    <row r="1645" spans="2:10" x14ac:dyDescent="0.25">
      <c r="B1645" s="5">
        <f t="shared" si="51"/>
        <v>44011</v>
      </c>
      <c r="C1645" s="6">
        <f>IFERROR(VLOOKUP($B1645,Platts!$E$5:$M$4994,MATCH(C$3,Platts!$F$5:$M$5,0)+1,FALSE),C1644)</f>
        <v>34.51</v>
      </c>
      <c r="D1645" s="6">
        <f>IFERROR(VLOOKUP($B1645,Platts!$E$5:$M$4994,MATCH(D$3,Platts!$F$5:$M$5,0)+1,FALSE),D1644)</f>
        <v>37.07</v>
      </c>
      <c r="E1645" s="6">
        <f>IFERROR(VLOOKUP($B1645,Platts!$E$5:$M$4994,MATCH(E$3,Platts!$F$5:$M$5,0)+1,FALSE),E1644)</f>
        <v>36.770000000000003</v>
      </c>
      <c r="F1645" s="6">
        <f>IFERROR(VLOOKUP($B1645,Platts!$E$5:$M$4994,MATCH(F$3,Platts!$F$5:$M$5,0)+1,FALSE),F1644)</f>
        <v>40.42</v>
      </c>
      <c r="G1645" s="6">
        <f>IFERROR(VLOOKUP($B1645,Platts!$E$5:$M$4994,MATCH(G$3,Platts!$F$5:$M$5,0)+1,FALSE),G1644)</f>
        <v>41.32</v>
      </c>
      <c r="H1645" s="6">
        <f>IFERROR(VLOOKUP($B1645,Platts!$E$5:$M$4994,MATCH(H$3,Platts!$F$5:$M$5,0)+1,FALSE),H1644)</f>
        <v>39.700000000000003</v>
      </c>
      <c r="I1645" s="6">
        <f>IFERROR(VLOOKUP($B1645,Platts!$E$5:$M$4994,MATCH(I$3,Platts!$F$5:$M$5,0)+1,FALSE),I1644)</f>
        <v>41.05</v>
      </c>
      <c r="J1645" s="6">
        <f t="shared" si="50"/>
        <v>5.1900000000000048</v>
      </c>
    </row>
    <row r="1646" spans="2:10" x14ac:dyDescent="0.25">
      <c r="B1646" s="5">
        <f t="shared" si="51"/>
        <v>44012</v>
      </c>
      <c r="C1646" s="6">
        <f>IFERROR(VLOOKUP($B1646,Platts!$E$5:$M$4994,MATCH(C$3,Platts!$F$5:$M$5,0)+1,FALSE),C1645)</f>
        <v>34.28</v>
      </c>
      <c r="D1646" s="6">
        <f>IFERROR(VLOOKUP($B1646,Platts!$E$5:$M$4994,MATCH(D$3,Platts!$F$5:$M$5,0)+1,FALSE),D1645)</f>
        <v>36.61</v>
      </c>
      <c r="E1646" s="6">
        <f>IFERROR(VLOOKUP($B1646,Platts!$E$5:$M$4994,MATCH(E$3,Platts!$F$5:$M$5,0)+1,FALSE),E1645)</f>
        <v>36.31</v>
      </c>
      <c r="F1646" s="6">
        <f>IFERROR(VLOOKUP($B1646,Platts!$E$5:$M$4994,MATCH(F$3,Platts!$F$5:$M$5,0)+1,FALSE),F1645)</f>
        <v>39.96</v>
      </c>
      <c r="G1646" s="6">
        <f>IFERROR(VLOOKUP($B1646,Platts!$E$5:$M$4994,MATCH(G$3,Platts!$F$5:$M$5,0)+1,FALSE),G1645)</f>
        <v>41.37</v>
      </c>
      <c r="H1646" s="6">
        <f>IFERROR(VLOOKUP($B1646,Platts!$E$5:$M$4994,MATCH(H$3,Platts!$F$5:$M$5,0)+1,FALSE),H1645)</f>
        <v>39.270000000000003</v>
      </c>
      <c r="I1646" s="6">
        <f>IFERROR(VLOOKUP($B1646,Platts!$E$5:$M$4994,MATCH(I$3,Platts!$F$5:$M$5,0)+1,FALSE),I1645)</f>
        <v>40.520000000000003</v>
      </c>
      <c r="J1646" s="6">
        <f t="shared" si="50"/>
        <v>4.990000000000002</v>
      </c>
    </row>
    <row r="1647" spans="2:10" x14ac:dyDescent="0.25">
      <c r="B1647" s="5">
        <f t="shared" si="51"/>
        <v>44013</v>
      </c>
      <c r="C1647" s="6">
        <f>IFERROR(VLOOKUP($B1647,Platts!$E$5:$M$4994,MATCH(C$3,Platts!$F$5:$M$5,0)+1,FALSE),C1646)</f>
        <v>36.43</v>
      </c>
      <c r="D1647" s="6">
        <f>IFERROR(VLOOKUP($B1647,Platts!$E$5:$M$4994,MATCH(D$3,Platts!$F$5:$M$5,0)+1,FALSE),D1646)</f>
        <v>37.700000000000003</v>
      </c>
      <c r="E1647" s="6">
        <f>IFERROR(VLOOKUP($B1647,Platts!$E$5:$M$4994,MATCH(E$3,Platts!$F$5:$M$5,0)+1,FALSE),E1646)</f>
        <v>37.65</v>
      </c>
      <c r="F1647" s="6">
        <f>IFERROR(VLOOKUP($B1647,Platts!$E$5:$M$4994,MATCH(F$3,Platts!$F$5:$M$5,0)+1,FALSE),F1646)</f>
        <v>39.1</v>
      </c>
      <c r="G1647" s="6">
        <f>IFERROR(VLOOKUP($B1647,Platts!$E$5:$M$4994,MATCH(G$3,Platts!$F$5:$M$5,0)+1,FALSE),G1646)</f>
        <v>42.22</v>
      </c>
      <c r="H1647" s="6">
        <f>IFERROR(VLOOKUP($B1647,Platts!$E$5:$M$4994,MATCH(H$3,Platts!$F$5:$M$5,0)+1,FALSE),H1646)</f>
        <v>39.82</v>
      </c>
      <c r="I1647" s="6">
        <f>IFERROR(VLOOKUP($B1647,Platts!$E$5:$M$4994,MATCH(I$3,Platts!$F$5:$M$5,0)+1,FALSE),I1646)</f>
        <v>41.12</v>
      </c>
      <c r="J1647" s="6">
        <f t="shared" si="50"/>
        <v>3.3900000000000006</v>
      </c>
    </row>
    <row r="1648" spans="2:10" x14ac:dyDescent="0.25">
      <c r="B1648" s="5">
        <f t="shared" si="51"/>
        <v>44014</v>
      </c>
      <c r="C1648" s="6">
        <f>IFERROR(VLOOKUP($B1648,Platts!$E$5:$M$4994,MATCH(C$3,Platts!$F$5:$M$5,0)+1,FALSE),C1647)</f>
        <v>37.35</v>
      </c>
      <c r="D1648" s="6">
        <f>IFERROR(VLOOKUP($B1648,Platts!$E$5:$M$4994,MATCH(D$3,Platts!$F$5:$M$5,0)+1,FALSE),D1647)</f>
        <v>38.69</v>
      </c>
      <c r="E1648" s="6">
        <f>IFERROR(VLOOKUP($B1648,Platts!$E$5:$M$4994,MATCH(E$3,Platts!$F$5:$M$5,0)+1,FALSE),E1647)</f>
        <v>38.64</v>
      </c>
      <c r="F1648" s="6">
        <f>IFERROR(VLOOKUP($B1648,Platts!$E$5:$M$4994,MATCH(F$3,Platts!$F$5:$M$5,0)+1,FALSE),F1647)</f>
        <v>40.090000000000003</v>
      </c>
      <c r="G1648" s="6">
        <f>IFERROR(VLOOKUP($B1648,Platts!$E$5:$M$4994,MATCH(G$3,Platts!$F$5:$M$5,0)+1,FALSE),G1647)</f>
        <v>42.78</v>
      </c>
      <c r="H1648" s="6">
        <f>IFERROR(VLOOKUP($B1648,Platts!$E$5:$M$4994,MATCH(H$3,Platts!$F$5:$M$5,0)+1,FALSE),H1647)</f>
        <v>40.65</v>
      </c>
      <c r="I1648" s="6">
        <f>IFERROR(VLOOKUP($B1648,Platts!$E$5:$M$4994,MATCH(I$3,Platts!$F$5:$M$5,0)+1,FALSE),I1647)</f>
        <v>41.95</v>
      </c>
      <c r="J1648" s="6">
        <f t="shared" si="50"/>
        <v>3.2999999999999972</v>
      </c>
    </row>
    <row r="1649" spans="2:10" x14ac:dyDescent="0.25">
      <c r="B1649" s="5">
        <f t="shared" si="51"/>
        <v>44015</v>
      </c>
      <c r="C1649" s="6">
        <f>IFERROR(VLOOKUP($B1649,Platts!$E$5:$M$4994,MATCH(C$3,Platts!$F$5:$M$5,0)+1,FALSE),C1648)</f>
        <v>37.35</v>
      </c>
      <c r="D1649" s="6">
        <f>IFERROR(VLOOKUP($B1649,Platts!$E$5:$M$4994,MATCH(D$3,Platts!$F$5:$M$5,0)+1,FALSE),D1648)</f>
        <v>38.69</v>
      </c>
      <c r="E1649" s="6">
        <f>IFERROR(VLOOKUP($B1649,Platts!$E$5:$M$4994,MATCH(E$3,Platts!$F$5:$M$5,0)+1,FALSE),E1648)</f>
        <v>38.64</v>
      </c>
      <c r="F1649" s="6">
        <f>IFERROR(VLOOKUP($B1649,Platts!$E$5:$M$4994,MATCH(F$3,Platts!$F$5:$M$5,0)+1,FALSE),F1648)</f>
        <v>40.090000000000003</v>
      </c>
      <c r="G1649" s="6">
        <f>IFERROR(VLOOKUP($B1649,Platts!$E$5:$M$4994,MATCH(G$3,Platts!$F$5:$M$5,0)+1,FALSE),G1648)</f>
        <v>42.99</v>
      </c>
      <c r="H1649" s="6">
        <f>IFERROR(VLOOKUP($B1649,Platts!$E$5:$M$4994,MATCH(H$3,Platts!$F$5:$M$5,0)+1,FALSE),H1648)</f>
        <v>40.65</v>
      </c>
      <c r="I1649" s="6">
        <f>IFERROR(VLOOKUP($B1649,Platts!$E$5:$M$4994,MATCH(I$3,Platts!$F$5:$M$5,0)+1,FALSE),I1648)</f>
        <v>41.95</v>
      </c>
      <c r="J1649" s="6">
        <f t="shared" si="50"/>
        <v>3.2999999999999972</v>
      </c>
    </row>
    <row r="1650" spans="2:10" x14ac:dyDescent="0.25">
      <c r="B1650" s="5">
        <f t="shared" si="51"/>
        <v>44016</v>
      </c>
      <c r="C1650" s="6">
        <f>IFERROR(VLOOKUP($B1650,Platts!$E$5:$M$4994,MATCH(C$3,Platts!$F$5:$M$5,0)+1,FALSE),C1649)</f>
        <v>37.35</v>
      </c>
      <c r="D1650" s="6">
        <f>IFERROR(VLOOKUP($B1650,Platts!$E$5:$M$4994,MATCH(D$3,Platts!$F$5:$M$5,0)+1,FALSE),D1649)</f>
        <v>38.69</v>
      </c>
      <c r="E1650" s="6">
        <f>IFERROR(VLOOKUP($B1650,Platts!$E$5:$M$4994,MATCH(E$3,Platts!$F$5:$M$5,0)+1,FALSE),E1649)</f>
        <v>38.64</v>
      </c>
      <c r="F1650" s="6">
        <f>IFERROR(VLOOKUP($B1650,Platts!$E$5:$M$4994,MATCH(F$3,Platts!$F$5:$M$5,0)+1,FALSE),F1649)</f>
        <v>40.090000000000003</v>
      </c>
      <c r="G1650" s="6">
        <f>IFERROR(VLOOKUP($B1650,Platts!$E$5:$M$4994,MATCH(G$3,Platts!$F$5:$M$5,0)+1,FALSE),G1649)</f>
        <v>42.99</v>
      </c>
      <c r="H1650" s="6">
        <f>IFERROR(VLOOKUP($B1650,Platts!$E$5:$M$4994,MATCH(H$3,Platts!$F$5:$M$5,0)+1,FALSE),H1649)</f>
        <v>40.65</v>
      </c>
      <c r="I1650" s="6">
        <f>IFERROR(VLOOKUP($B1650,Platts!$E$5:$M$4994,MATCH(I$3,Platts!$F$5:$M$5,0)+1,FALSE),I1649)</f>
        <v>41.95</v>
      </c>
      <c r="J1650" s="6">
        <f t="shared" si="50"/>
        <v>3.2999999999999972</v>
      </c>
    </row>
    <row r="1651" spans="2:10" x14ac:dyDescent="0.25">
      <c r="B1651" s="5">
        <f t="shared" si="51"/>
        <v>44017</v>
      </c>
      <c r="C1651" s="6">
        <f>IFERROR(VLOOKUP($B1651,Platts!$E$5:$M$4994,MATCH(C$3,Platts!$F$5:$M$5,0)+1,FALSE),C1650)</f>
        <v>37.35</v>
      </c>
      <c r="D1651" s="6">
        <f>IFERROR(VLOOKUP($B1651,Platts!$E$5:$M$4994,MATCH(D$3,Platts!$F$5:$M$5,0)+1,FALSE),D1650)</f>
        <v>38.69</v>
      </c>
      <c r="E1651" s="6">
        <f>IFERROR(VLOOKUP($B1651,Platts!$E$5:$M$4994,MATCH(E$3,Platts!$F$5:$M$5,0)+1,FALSE),E1650)</f>
        <v>38.64</v>
      </c>
      <c r="F1651" s="6">
        <f>IFERROR(VLOOKUP($B1651,Platts!$E$5:$M$4994,MATCH(F$3,Platts!$F$5:$M$5,0)+1,FALSE),F1650)</f>
        <v>40.090000000000003</v>
      </c>
      <c r="G1651" s="6">
        <f>IFERROR(VLOOKUP($B1651,Platts!$E$5:$M$4994,MATCH(G$3,Platts!$F$5:$M$5,0)+1,FALSE),G1650)</f>
        <v>42.99</v>
      </c>
      <c r="H1651" s="6">
        <f>IFERROR(VLOOKUP($B1651,Platts!$E$5:$M$4994,MATCH(H$3,Platts!$F$5:$M$5,0)+1,FALSE),H1650)</f>
        <v>40.65</v>
      </c>
      <c r="I1651" s="6">
        <f>IFERROR(VLOOKUP($B1651,Platts!$E$5:$M$4994,MATCH(I$3,Platts!$F$5:$M$5,0)+1,FALSE),I1650)</f>
        <v>41.95</v>
      </c>
      <c r="J1651" s="6">
        <f t="shared" si="50"/>
        <v>3.2999999999999972</v>
      </c>
    </row>
    <row r="1652" spans="2:10" x14ac:dyDescent="0.25">
      <c r="B1652" s="5">
        <f t="shared" si="51"/>
        <v>44018</v>
      </c>
      <c r="C1652" s="6">
        <f>IFERROR(VLOOKUP($B1652,Platts!$E$5:$M$4994,MATCH(C$3,Platts!$F$5:$M$5,0)+1,FALSE),C1651)</f>
        <v>37.54</v>
      </c>
      <c r="D1652" s="6">
        <f>IFERROR(VLOOKUP($B1652,Platts!$E$5:$M$4994,MATCH(D$3,Platts!$F$5:$M$5,0)+1,FALSE),D1651)</f>
        <v>38.86</v>
      </c>
      <c r="E1652" s="6">
        <f>IFERROR(VLOOKUP($B1652,Platts!$E$5:$M$4994,MATCH(E$3,Platts!$F$5:$M$5,0)+1,FALSE),E1651)</f>
        <v>38.81</v>
      </c>
      <c r="F1652" s="6">
        <f>IFERROR(VLOOKUP($B1652,Platts!$E$5:$M$4994,MATCH(F$3,Platts!$F$5:$M$5,0)+1,FALSE),F1651)</f>
        <v>40.26</v>
      </c>
      <c r="G1652" s="6">
        <f>IFERROR(VLOOKUP($B1652,Platts!$E$5:$M$4994,MATCH(G$3,Platts!$F$5:$M$5,0)+1,FALSE),G1651)</f>
        <v>43.6</v>
      </c>
      <c r="H1652" s="6">
        <f>IFERROR(VLOOKUP($B1652,Platts!$E$5:$M$4994,MATCH(H$3,Platts!$F$5:$M$5,0)+1,FALSE),H1651)</f>
        <v>40.630000000000003</v>
      </c>
      <c r="I1652" s="6">
        <f>IFERROR(VLOOKUP($B1652,Platts!$E$5:$M$4994,MATCH(I$3,Platts!$F$5:$M$5,0)+1,FALSE),I1651)</f>
        <v>42.13</v>
      </c>
      <c r="J1652" s="6">
        <f t="shared" si="50"/>
        <v>3.0900000000000034</v>
      </c>
    </row>
    <row r="1653" spans="2:10" x14ac:dyDescent="0.25">
      <c r="B1653" s="5">
        <f t="shared" si="51"/>
        <v>44019</v>
      </c>
      <c r="C1653" s="6">
        <f>IFERROR(VLOOKUP($B1653,Platts!$E$5:$M$4994,MATCH(C$3,Platts!$F$5:$M$5,0)+1,FALSE),C1652)</f>
        <v>37.450000000000003</v>
      </c>
      <c r="D1653" s="6">
        <f>IFERROR(VLOOKUP($B1653,Platts!$E$5:$M$4994,MATCH(D$3,Platts!$F$5:$M$5,0)+1,FALSE),D1652)</f>
        <v>38.799999999999997</v>
      </c>
      <c r="E1653" s="6">
        <f>IFERROR(VLOOKUP($B1653,Platts!$E$5:$M$4994,MATCH(E$3,Platts!$F$5:$M$5,0)+1,FALSE),E1652)</f>
        <v>38.75</v>
      </c>
      <c r="F1653" s="6">
        <f>IFERROR(VLOOKUP($B1653,Platts!$E$5:$M$4994,MATCH(F$3,Platts!$F$5:$M$5,0)+1,FALSE),F1652)</f>
        <v>40.200000000000003</v>
      </c>
      <c r="G1653" s="6">
        <f>IFERROR(VLOOKUP($B1653,Platts!$E$5:$M$4994,MATCH(G$3,Platts!$F$5:$M$5,0)+1,FALSE),G1652)</f>
        <v>43.57</v>
      </c>
      <c r="H1653" s="6">
        <f>IFERROR(VLOOKUP($B1653,Platts!$E$5:$M$4994,MATCH(H$3,Platts!$F$5:$M$5,0)+1,FALSE),H1652)</f>
        <v>40.619999999999997</v>
      </c>
      <c r="I1653" s="6">
        <f>IFERROR(VLOOKUP($B1653,Platts!$E$5:$M$4994,MATCH(I$3,Platts!$F$5:$M$5,0)+1,FALSE),I1652)</f>
        <v>42.62</v>
      </c>
      <c r="J1653" s="6">
        <f t="shared" si="50"/>
        <v>3.1699999999999946</v>
      </c>
    </row>
    <row r="1654" spans="2:10" x14ac:dyDescent="0.25">
      <c r="B1654" s="5">
        <f t="shared" si="51"/>
        <v>44020</v>
      </c>
      <c r="C1654" s="6">
        <f>IFERROR(VLOOKUP($B1654,Platts!$E$5:$M$4994,MATCH(C$3,Platts!$F$5:$M$5,0)+1,FALSE),C1653)</f>
        <v>37.69</v>
      </c>
      <c r="D1654" s="6">
        <f>IFERROR(VLOOKUP($B1654,Platts!$E$5:$M$4994,MATCH(D$3,Platts!$F$5:$M$5,0)+1,FALSE),D1653)</f>
        <v>39.020000000000003</v>
      </c>
      <c r="E1654" s="6">
        <f>IFERROR(VLOOKUP($B1654,Platts!$E$5:$M$4994,MATCH(E$3,Platts!$F$5:$M$5,0)+1,FALSE),E1653)</f>
        <v>38.97</v>
      </c>
      <c r="F1654" s="6">
        <f>IFERROR(VLOOKUP($B1654,Platts!$E$5:$M$4994,MATCH(F$3,Platts!$F$5:$M$5,0)+1,FALSE),F1653)</f>
        <v>40.42</v>
      </c>
      <c r="G1654" s="6">
        <f>IFERROR(VLOOKUP($B1654,Platts!$E$5:$M$4994,MATCH(G$3,Platts!$F$5:$M$5,0)+1,FALSE),G1653)</f>
        <v>43.18</v>
      </c>
      <c r="H1654" s="6">
        <f>IFERROR(VLOOKUP($B1654,Platts!$E$5:$M$4994,MATCH(H$3,Platts!$F$5:$M$5,0)+1,FALSE),H1653)</f>
        <v>40.9</v>
      </c>
      <c r="I1654" s="6">
        <f>IFERROR(VLOOKUP($B1654,Platts!$E$5:$M$4994,MATCH(I$3,Platts!$F$5:$M$5,0)+1,FALSE),I1653)</f>
        <v>42.75</v>
      </c>
      <c r="J1654" s="6">
        <f t="shared" si="50"/>
        <v>3.2100000000000009</v>
      </c>
    </row>
    <row r="1655" spans="2:10" x14ac:dyDescent="0.25">
      <c r="B1655" s="5">
        <f t="shared" si="51"/>
        <v>44021</v>
      </c>
      <c r="C1655" s="6">
        <f>IFERROR(VLOOKUP($B1655,Platts!$E$5:$M$4994,MATCH(C$3,Platts!$F$5:$M$5,0)+1,FALSE),C1654)</f>
        <v>36.78</v>
      </c>
      <c r="D1655" s="6">
        <f>IFERROR(VLOOKUP($B1655,Platts!$E$5:$M$4994,MATCH(D$3,Platts!$F$5:$M$5,0)+1,FALSE),D1654)</f>
        <v>37.86</v>
      </c>
      <c r="E1655" s="6">
        <f>IFERROR(VLOOKUP($B1655,Platts!$E$5:$M$4994,MATCH(E$3,Platts!$F$5:$M$5,0)+1,FALSE),E1654)</f>
        <v>37.81</v>
      </c>
      <c r="F1655" s="6">
        <f>IFERROR(VLOOKUP($B1655,Platts!$E$5:$M$4994,MATCH(F$3,Platts!$F$5:$M$5,0)+1,FALSE),F1654)</f>
        <v>39.26</v>
      </c>
      <c r="G1655" s="6">
        <f>IFERROR(VLOOKUP($B1655,Platts!$E$5:$M$4994,MATCH(G$3,Platts!$F$5:$M$5,0)+1,FALSE),G1654)</f>
        <v>42.66</v>
      </c>
      <c r="H1655" s="6">
        <f>IFERROR(VLOOKUP($B1655,Platts!$E$5:$M$4994,MATCH(H$3,Platts!$F$5:$M$5,0)+1,FALSE),H1654)</f>
        <v>39.619999999999997</v>
      </c>
      <c r="I1655" s="6">
        <f>IFERROR(VLOOKUP($B1655,Platts!$E$5:$M$4994,MATCH(I$3,Platts!$F$5:$M$5,0)+1,FALSE),I1654)</f>
        <v>41.42</v>
      </c>
      <c r="J1655" s="6">
        <f t="shared" si="50"/>
        <v>2.8399999999999963</v>
      </c>
    </row>
    <row r="1656" spans="2:10" x14ac:dyDescent="0.25">
      <c r="B1656" s="5">
        <f t="shared" si="51"/>
        <v>44022</v>
      </c>
      <c r="C1656" s="6">
        <f>IFERROR(VLOOKUP($B1656,Platts!$E$5:$M$4994,MATCH(C$3,Platts!$F$5:$M$5,0)+1,FALSE),C1655)</f>
        <v>36.78</v>
      </c>
      <c r="D1656" s="6">
        <f>IFERROR(VLOOKUP($B1656,Platts!$E$5:$M$4994,MATCH(D$3,Platts!$F$5:$M$5,0)+1,FALSE),D1655)</f>
        <v>38.81</v>
      </c>
      <c r="E1656" s="6">
        <f>IFERROR(VLOOKUP($B1656,Platts!$E$5:$M$4994,MATCH(E$3,Platts!$F$5:$M$5,0)+1,FALSE),E1655)</f>
        <v>38.76</v>
      </c>
      <c r="F1656" s="6">
        <f>IFERROR(VLOOKUP($B1656,Platts!$E$5:$M$4994,MATCH(F$3,Platts!$F$5:$M$5,0)+1,FALSE),F1655)</f>
        <v>40.21</v>
      </c>
      <c r="G1656" s="6">
        <f>IFERROR(VLOOKUP($B1656,Platts!$E$5:$M$4994,MATCH(G$3,Platts!$F$5:$M$5,0)+1,FALSE),G1655)</f>
        <v>43.14</v>
      </c>
      <c r="H1656" s="6">
        <f>IFERROR(VLOOKUP($B1656,Platts!$E$5:$M$4994,MATCH(H$3,Platts!$F$5:$M$5,0)+1,FALSE),H1655)</f>
        <v>40.549999999999997</v>
      </c>
      <c r="I1656" s="6">
        <f>IFERROR(VLOOKUP($B1656,Platts!$E$5:$M$4994,MATCH(I$3,Platts!$F$5:$M$5,0)+1,FALSE),I1655)</f>
        <v>42.65</v>
      </c>
      <c r="J1656" s="6">
        <f t="shared" si="50"/>
        <v>3.769999999999996</v>
      </c>
    </row>
    <row r="1657" spans="2:10" x14ac:dyDescent="0.25">
      <c r="B1657" s="5">
        <f t="shared" si="51"/>
        <v>44023</v>
      </c>
      <c r="C1657" s="6">
        <f>IFERROR(VLOOKUP($B1657,Platts!$E$5:$M$4994,MATCH(C$3,Platts!$F$5:$M$5,0)+1,FALSE),C1656)</f>
        <v>36.78</v>
      </c>
      <c r="D1657" s="6">
        <f>IFERROR(VLOOKUP($B1657,Platts!$E$5:$M$4994,MATCH(D$3,Platts!$F$5:$M$5,0)+1,FALSE),D1656)</f>
        <v>38.81</v>
      </c>
      <c r="E1657" s="6">
        <f>IFERROR(VLOOKUP($B1657,Platts!$E$5:$M$4994,MATCH(E$3,Platts!$F$5:$M$5,0)+1,FALSE),E1656)</f>
        <v>38.76</v>
      </c>
      <c r="F1657" s="6">
        <f>IFERROR(VLOOKUP($B1657,Platts!$E$5:$M$4994,MATCH(F$3,Platts!$F$5:$M$5,0)+1,FALSE),F1656)</f>
        <v>40.21</v>
      </c>
      <c r="G1657" s="6">
        <f>IFERROR(VLOOKUP($B1657,Platts!$E$5:$M$4994,MATCH(G$3,Platts!$F$5:$M$5,0)+1,FALSE),G1656)</f>
        <v>43.14</v>
      </c>
      <c r="H1657" s="6">
        <f>IFERROR(VLOOKUP($B1657,Platts!$E$5:$M$4994,MATCH(H$3,Platts!$F$5:$M$5,0)+1,FALSE),H1656)</f>
        <v>40.549999999999997</v>
      </c>
      <c r="I1657" s="6">
        <f>IFERROR(VLOOKUP($B1657,Platts!$E$5:$M$4994,MATCH(I$3,Platts!$F$5:$M$5,0)+1,FALSE),I1656)</f>
        <v>42.65</v>
      </c>
      <c r="J1657" s="6">
        <f t="shared" si="50"/>
        <v>3.769999999999996</v>
      </c>
    </row>
    <row r="1658" spans="2:10" x14ac:dyDescent="0.25">
      <c r="B1658" s="5">
        <f t="shared" si="51"/>
        <v>44024</v>
      </c>
      <c r="C1658" s="6">
        <f>IFERROR(VLOOKUP($B1658,Platts!$E$5:$M$4994,MATCH(C$3,Platts!$F$5:$M$5,0)+1,FALSE),C1657)</f>
        <v>36.78</v>
      </c>
      <c r="D1658" s="6">
        <f>IFERROR(VLOOKUP($B1658,Platts!$E$5:$M$4994,MATCH(D$3,Platts!$F$5:$M$5,0)+1,FALSE),D1657)</f>
        <v>38.81</v>
      </c>
      <c r="E1658" s="6">
        <f>IFERROR(VLOOKUP($B1658,Platts!$E$5:$M$4994,MATCH(E$3,Platts!$F$5:$M$5,0)+1,FALSE),E1657)</f>
        <v>38.76</v>
      </c>
      <c r="F1658" s="6">
        <f>IFERROR(VLOOKUP($B1658,Platts!$E$5:$M$4994,MATCH(F$3,Platts!$F$5:$M$5,0)+1,FALSE),F1657)</f>
        <v>40.21</v>
      </c>
      <c r="G1658" s="6">
        <f>IFERROR(VLOOKUP($B1658,Platts!$E$5:$M$4994,MATCH(G$3,Platts!$F$5:$M$5,0)+1,FALSE),G1657)</f>
        <v>43.14</v>
      </c>
      <c r="H1658" s="6">
        <f>IFERROR(VLOOKUP($B1658,Platts!$E$5:$M$4994,MATCH(H$3,Platts!$F$5:$M$5,0)+1,FALSE),H1657)</f>
        <v>40.549999999999997</v>
      </c>
      <c r="I1658" s="6">
        <f>IFERROR(VLOOKUP($B1658,Platts!$E$5:$M$4994,MATCH(I$3,Platts!$F$5:$M$5,0)+1,FALSE),I1657)</f>
        <v>42.65</v>
      </c>
      <c r="J1658" s="6">
        <f t="shared" si="50"/>
        <v>3.769999999999996</v>
      </c>
    </row>
    <row r="1659" spans="2:10" x14ac:dyDescent="0.25">
      <c r="B1659" s="5">
        <f t="shared" si="51"/>
        <v>44025</v>
      </c>
      <c r="C1659" s="6">
        <f>IFERROR(VLOOKUP($B1659,Platts!$E$5:$M$4994,MATCH(C$3,Platts!$F$5:$M$5,0)+1,FALSE),C1658)</f>
        <v>37.1</v>
      </c>
      <c r="D1659" s="6">
        <f>IFERROR(VLOOKUP($B1659,Platts!$E$5:$M$4994,MATCH(D$3,Platts!$F$5:$M$5,0)+1,FALSE),D1658)</f>
        <v>38.17</v>
      </c>
      <c r="E1659" s="6">
        <f>IFERROR(VLOOKUP($B1659,Platts!$E$5:$M$4994,MATCH(E$3,Platts!$F$5:$M$5,0)+1,FALSE),E1658)</f>
        <v>38.119999999999997</v>
      </c>
      <c r="F1659" s="6">
        <f>IFERROR(VLOOKUP($B1659,Platts!$E$5:$M$4994,MATCH(F$3,Platts!$F$5:$M$5,0)+1,FALSE),F1658)</f>
        <v>39.57</v>
      </c>
      <c r="G1659" s="6">
        <f>IFERROR(VLOOKUP($B1659,Platts!$E$5:$M$4994,MATCH(G$3,Platts!$F$5:$M$5,0)+1,FALSE),G1658)</f>
        <v>43.27</v>
      </c>
      <c r="H1659" s="6">
        <f>IFERROR(VLOOKUP($B1659,Platts!$E$5:$M$4994,MATCH(H$3,Platts!$F$5:$M$5,0)+1,FALSE),H1658)</f>
        <v>40.1</v>
      </c>
      <c r="I1659" s="6">
        <f>IFERROR(VLOOKUP($B1659,Platts!$E$5:$M$4994,MATCH(I$3,Platts!$F$5:$M$5,0)+1,FALSE),I1658)</f>
        <v>42.2</v>
      </c>
      <c r="J1659" s="6">
        <f t="shared" si="50"/>
        <v>3</v>
      </c>
    </row>
    <row r="1660" spans="2:10" x14ac:dyDescent="0.25">
      <c r="B1660" s="5">
        <f t="shared" si="51"/>
        <v>44026</v>
      </c>
      <c r="C1660" s="6">
        <f>IFERROR(VLOOKUP($B1660,Platts!$E$5:$M$4994,MATCH(C$3,Platts!$F$5:$M$5,0)+1,FALSE),C1659)</f>
        <v>37.15</v>
      </c>
      <c r="D1660" s="6">
        <f>IFERROR(VLOOKUP($B1660,Platts!$E$5:$M$4994,MATCH(D$3,Platts!$F$5:$M$5,0)+1,FALSE),D1659)</f>
        <v>38.43</v>
      </c>
      <c r="E1660" s="6">
        <f>IFERROR(VLOOKUP($B1660,Platts!$E$5:$M$4994,MATCH(E$3,Platts!$F$5:$M$5,0)+1,FALSE),E1659)</f>
        <v>38.380000000000003</v>
      </c>
      <c r="F1660" s="6">
        <f>IFERROR(VLOOKUP($B1660,Platts!$E$5:$M$4994,MATCH(F$3,Platts!$F$5:$M$5,0)+1,FALSE),F1659)</f>
        <v>39.83</v>
      </c>
      <c r="G1660" s="6">
        <f>IFERROR(VLOOKUP($B1660,Platts!$E$5:$M$4994,MATCH(G$3,Platts!$F$5:$M$5,0)+1,FALSE),G1659)</f>
        <v>43.24</v>
      </c>
      <c r="H1660" s="6">
        <f>IFERROR(VLOOKUP($B1660,Platts!$E$5:$M$4994,MATCH(H$3,Platts!$F$5:$M$5,0)+1,FALSE),H1659)</f>
        <v>40.29</v>
      </c>
      <c r="I1660" s="6">
        <f>IFERROR(VLOOKUP($B1660,Platts!$E$5:$M$4994,MATCH(I$3,Platts!$F$5:$M$5,0)+1,FALSE),I1659)</f>
        <v>41.94</v>
      </c>
      <c r="J1660" s="6">
        <f t="shared" si="50"/>
        <v>3.1400000000000006</v>
      </c>
    </row>
    <row r="1661" spans="2:10" x14ac:dyDescent="0.25">
      <c r="B1661" s="5">
        <f t="shared" si="51"/>
        <v>44027</v>
      </c>
      <c r="C1661" s="6">
        <f>IFERROR(VLOOKUP($B1661,Platts!$E$5:$M$4994,MATCH(C$3,Platts!$F$5:$M$5,0)+1,FALSE),C1660)</f>
        <v>38.090000000000003</v>
      </c>
      <c r="D1661" s="6">
        <f>IFERROR(VLOOKUP($B1661,Platts!$E$5:$M$4994,MATCH(D$3,Platts!$F$5:$M$5,0)+1,FALSE),D1660)</f>
        <v>39.299999999999997</v>
      </c>
      <c r="E1661" s="6">
        <f>IFERROR(VLOOKUP($B1661,Platts!$E$5:$M$4994,MATCH(E$3,Platts!$F$5:$M$5,0)+1,FALSE),E1660)</f>
        <v>39.25</v>
      </c>
      <c r="F1661" s="6">
        <f>IFERROR(VLOOKUP($B1661,Platts!$E$5:$M$4994,MATCH(F$3,Platts!$F$5:$M$5,0)+1,FALSE),F1660)</f>
        <v>40.700000000000003</v>
      </c>
      <c r="G1661" s="6">
        <f>IFERROR(VLOOKUP($B1661,Platts!$E$5:$M$4994,MATCH(G$3,Platts!$F$5:$M$5,0)+1,FALSE),G1660)</f>
        <v>43.67</v>
      </c>
      <c r="H1661" s="6">
        <f>IFERROR(VLOOKUP($B1661,Platts!$E$5:$M$4994,MATCH(H$3,Platts!$F$5:$M$5,0)+1,FALSE),H1660)</f>
        <v>41.2</v>
      </c>
      <c r="I1661" s="6">
        <f>IFERROR(VLOOKUP($B1661,Platts!$E$5:$M$4994,MATCH(I$3,Platts!$F$5:$M$5,0)+1,FALSE),I1660)</f>
        <v>42.7</v>
      </c>
      <c r="J1661" s="6">
        <f t="shared" si="50"/>
        <v>3.1099999999999994</v>
      </c>
    </row>
    <row r="1662" spans="2:10" x14ac:dyDescent="0.25">
      <c r="B1662" s="5">
        <f t="shared" si="51"/>
        <v>44028</v>
      </c>
      <c r="C1662" s="6">
        <f>IFERROR(VLOOKUP($B1662,Platts!$E$5:$M$4994,MATCH(C$3,Platts!$F$5:$M$5,0)+1,FALSE),C1661)</f>
        <v>37.58</v>
      </c>
      <c r="D1662" s="6">
        <f>IFERROR(VLOOKUP($B1662,Platts!$E$5:$M$4994,MATCH(D$3,Platts!$F$5:$M$5,0)+1,FALSE),D1661)</f>
        <v>38.79</v>
      </c>
      <c r="E1662" s="6">
        <f>IFERROR(VLOOKUP($B1662,Platts!$E$5:$M$4994,MATCH(E$3,Platts!$F$5:$M$5,0)+1,FALSE),E1661)</f>
        <v>38.74</v>
      </c>
      <c r="F1662" s="6">
        <f>IFERROR(VLOOKUP($B1662,Platts!$E$5:$M$4994,MATCH(F$3,Platts!$F$5:$M$5,0)+1,FALSE),F1661)</f>
        <v>40.19</v>
      </c>
      <c r="G1662" s="6">
        <f>IFERROR(VLOOKUP($B1662,Platts!$E$5:$M$4994,MATCH(G$3,Platts!$F$5:$M$5,0)+1,FALSE),G1661)</f>
        <v>43.81</v>
      </c>
      <c r="H1662" s="6">
        <f>IFERROR(VLOOKUP($B1662,Platts!$E$5:$M$4994,MATCH(H$3,Platts!$F$5:$M$5,0)+1,FALSE),H1661)</f>
        <v>40.75</v>
      </c>
      <c r="I1662" s="6">
        <f>IFERROR(VLOOKUP($B1662,Platts!$E$5:$M$4994,MATCH(I$3,Platts!$F$5:$M$5,0)+1,FALSE),I1661)</f>
        <v>42.25</v>
      </c>
      <c r="J1662" s="6">
        <f t="shared" si="50"/>
        <v>3.1700000000000017</v>
      </c>
    </row>
    <row r="1663" spans="2:10" x14ac:dyDescent="0.25">
      <c r="B1663" s="5">
        <f t="shared" si="51"/>
        <v>44029</v>
      </c>
      <c r="C1663" s="6">
        <f>IFERROR(VLOOKUP($B1663,Platts!$E$5:$M$4994,MATCH(C$3,Platts!$F$5:$M$5,0)+1,FALSE),C1662)</f>
        <v>37.270000000000003</v>
      </c>
      <c r="D1663" s="6">
        <f>IFERROR(VLOOKUP($B1663,Platts!$E$5:$M$4994,MATCH(D$3,Platts!$F$5:$M$5,0)+1,FALSE),D1662)</f>
        <v>38.5</v>
      </c>
      <c r="E1663" s="6">
        <f>IFERROR(VLOOKUP($B1663,Platts!$E$5:$M$4994,MATCH(E$3,Platts!$F$5:$M$5,0)+1,FALSE),E1662)</f>
        <v>38.450000000000003</v>
      </c>
      <c r="F1663" s="6">
        <f>IFERROR(VLOOKUP($B1663,Platts!$E$5:$M$4994,MATCH(F$3,Platts!$F$5:$M$5,0)+1,FALSE),F1662)</f>
        <v>39.9</v>
      </c>
      <c r="G1663" s="6">
        <f>IFERROR(VLOOKUP($B1663,Platts!$E$5:$M$4994,MATCH(G$3,Platts!$F$5:$M$5,0)+1,FALSE),G1662)</f>
        <v>43.34</v>
      </c>
      <c r="H1663" s="6">
        <f>IFERROR(VLOOKUP($B1663,Platts!$E$5:$M$4994,MATCH(H$3,Platts!$F$5:$M$5,0)+1,FALSE),H1662)</f>
        <v>40.590000000000003</v>
      </c>
      <c r="I1663" s="6">
        <f>IFERROR(VLOOKUP($B1663,Platts!$E$5:$M$4994,MATCH(I$3,Platts!$F$5:$M$5,0)+1,FALSE),I1662)</f>
        <v>42.09</v>
      </c>
      <c r="J1663" s="6">
        <f t="shared" si="50"/>
        <v>3.3200000000000003</v>
      </c>
    </row>
    <row r="1664" spans="2:10" x14ac:dyDescent="0.25">
      <c r="B1664" s="5">
        <f t="shared" si="51"/>
        <v>44030</v>
      </c>
      <c r="C1664" s="6">
        <f>IFERROR(VLOOKUP($B1664,Platts!$E$5:$M$4994,MATCH(C$3,Platts!$F$5:$M$5,0)+1,FALSE),C1663)</f>
        <v>37.270000000000003</v>
      </c>
      <c r="D1664" s="6">
        <f>IFERROR(VLOOKUP($B1664,Platts!$E$5:$M$4994,MATCH(D$3,Platts!$F$5:$M$5,0)+1,FALSE),D1663)</f>
        <v>38.5</v>
      </c>
      <c r="E1664" s="6">
        <f>IFERROR(VLOOKUP($B1664,Platts!$E$5:$M$4994,MATCH(E$3,Platts!$F$5:$M$5,0)+1,FALSE),E1663)</f>
        <v>38.450000000000003</v>
      </c>
      <c r="F1664" s="6">
        <f>IFERROR(VLOOKUP($B1664,Platts!$E$5:$M$4994,MATCH(F$3,Platts!$F$5:$M$5,0)+1,FALSE),F1663)</f>
        <v>39.9</v>
      </c>
      <c r="G1664" s="6">
        <f>IFERROR(VLOOKUP($B1664,Platts!$E$5:$M$4994,MATCH(G$3,Platts!$F$5:$M$5,0)+1,FALSE),G1663)</f>
        <v>43.34</v>
      </c>
      <c r="H1664" s="6">
        <f>IFERROR(VLOOKUP($B1664,Platts!$E$5:$M$4994,MATCH(H$3,Platts!$F$5:$M$5,0)+1,FALSE),H1663)</f>
        <v>40.590000000000003</v>
      </c>
      <c r="I1664" s="6">
        <f>IFERROR(VLOOKUP($B1664,Platts!$E$5:$M$4994,MATCH(I$3,Platts!$F$5:$M$5,0)+1,FALSE),I1663)</f>
        <v>42.09</v>
      </c>
      <c r="J1664" s="6">
        <f t="shared" si="50"/>
        <v>3.3200000000000003</v>
      </c>
    </row>
    <row r="1665" spans="2:10" x14ac:dyDescent="0.25">
      <c r="B1665" s="5">
        <f t="shared" si="51"/>
        <v>44031</v>
      </c>
      <c r="C1665" s="6">
        <f>IFERROR(VLOOKUP($B1665,Platts!$E$5:$M$4994,MATCH(C$3,Platts!$F$5:$M$5,0)+1,FALSE),C1664)</f>
        <v>37.270000000000003</v>
      </c>
      <c r="D1665" s="6">
        <f>IFERROR(VLOOKUP($B1665,Platts!$E$5:$M$4994,MATCH(D$3,Platts!$F$5:$M$5,0)+1,FALSE),D1664)</f>
        <v>38.5</v>
      </c>
      <c r="E1665" s="6">
        <f>IFERROR(VLOOKUP($B1665,Platts!$E$5:$M$4994,MATCH(E$3,Platts!$F$5:$M$5,0)+1,FALSE),E1664)</f>
        <v>38.450000000000003</v>
      </c>
      <c r="F1665" s="6">
        <f>IFERROR(VLOOKUP($B1665,Platts!$E$5:$M$4994,MATCH(F$3,Platts!$F$5:$M$5,0)+1,FALSE),F1664)</f>
        <v>39.9</v>
      </c>
      <c r="G1665" s="6">
        <f>IFERROR(VLOOKUP($B1665,Platts!$E$5:$M$4994,MATCH(G$3,Platts!$F$5:$M$5,0)+1,FALSE),G1664)</f>
        <v>43.34</v>
      </c>
      <c r="H1665" s="6">
        <f>IFERROR(VLOOKUP($B1665,Platts!$E$5:$M$4994,MATCH(H$3,Platts!$F$5:$M$5,0)+1,FALSE),H1664)</f>
        <v>40.590000000000003</v>
      </c>
      <c r="I1665" s="6">
        <f>IFERROR(VLOOKUP($B1665,Platts!$E$5:$M$4994,MATCH(I$3,Platts!$F$5:$M$5,0)+1,FALSE),I1664)</f>
        <v>42.09</v>
      </c>
      <c r="J1665" s="6">
        <f t="shared" si="50"/>
        <v>3.3200000000000003</v>
      </c>
    </row>
    <row r="1666" spans="2:10" x14ac:dyDescent="0.25">
      <c r="B1666" s="5">
        <f t="shared" si="51"/>
        <v>44032</v>
      </c>
      <c r="C1666" s="6">
        <f>IFERROR(VLOOKUP($B1666,Platts!$E$5:$M$4994,MATCH(C$3,Platts!$F$5:$M$5,0)+1,FALSE),C1665)</f>
        <v>37.340000000000003</v>
      </c>
      <c r="D1666" s="6">
        <f>IFERROR(VLOOKUP($B1666,Platts!$E$5:$M$4994,MATCH(D$3,Platts!$F$5:$M$5,0)+1,FALSE),D1665)</f>
        <v>38.58</v>
      </c>
      <c r="E1666" s="6">
        <f>IFERROR(VLOOKUP($B1666,Platts!$E$5:$M$4994,MATCH(E$3,Platts!$F$5:$M$5,0)+1,FALSE),E1665)</f>
        <v>38.53</v>
      </c>
      <c r="F1666" s="6">
        <f>IFERROR(VLOOKUP($B1666,Platts!$E$5:$M$4994,MATCH(F$3,Platts!$F$5:$M$5,0)+1,FALSE),F1665)</f>
        <v>39.979999999999997</v>
      </c>
      <c r="G1666" s="6">
        <f>IFERROR(VLOOKUP($B1666,Platts!$E$5:$M$4994,MATCH(G$3,Platts!$F$5:$M$5,0)+1,FALSE),G1665)</f>
        <v>43.05</v>
      </c>
      <c r="H1666" s="6">
        <f>IFERROR(VLOOKUP($B1666,Platts!$E$5:$M$4994,MATCH(H$3,Platts!$F$5:$M$5,0)+1,FALSE),H1665)</f>
        <v>40.81</v>
      </c>
      <c r="I1666" s="6">
        <f>IFERROR(VLOOKUP($B1666,Platts!$E$5:$M$4994,MATCH(I$3,Platts!$F$5:$M$5,0)+1,FALSE),I1665)</f>
        <v>42.26</v>
      </c>
      <c r="J1666" s="6">
        <f t="shared" si="50"/>
        <v>3.4699999999999989</v>
      </c>
    </row>
    <row r="1667" spans="2:10" x14ac:dyDescent="0.25">
      <c r="B1667" s="5">
        <f t="shared" si="51"/>
        <v>44033</v>
      </c>
      <c r="C1667" s="6">
        <f>IFERROR(VLOOKUP($B1667,Platts!$E$5:$M$4994,MATCH(C$3,Platts!$F$5:$M$5,0)+1,FALSE),C1666)</f>
        <v>38.39</v>
      </c>
      <c r="D1667" s="6">
        <f>IFERROR(VLOOKUP($B1667,Platts!$E$5:$M$4994,MATCH(D$3,Platts!$F$5:$M$5,0)+1,FALSE),D1666)</f>
        <v>39.630000000000003</v>
      </c>
      <c r="E1667" s="6">
        <f>IFERROR(VLOOKUP($B1667,Platts!$E$5:$M$4994,MATCH(E$3,Platts!$F$5:$M$5,0)+1,FALSE),E1666)</f>
        <v>39.58</v>
      </c>
      <c r="F1667" s="6">
        <f>IFERROR(VLOOKUP($B1667,Platts!$E$5:$M$4994,MATCH(F$3,Platts!$F$5:$M$5,0)+1,FALSE),F1666)</f>
        <v>41.03</v>
      </c>
      <c r="G1667" s="6">
        <f>IFERROR(VLOOKUP($B1667,Platts!$E$5:$M$4994,MATCH(G$3,Platts!$F$5:$M$5,0)+1,FALSE),G1666)</f>
        <v>44.68</v>
      </c>
      <c r="H1667" s="6">
        <f>IFERROR(VLOOKUP($B1667,Platts!$E$5:$M$4994,MATCH(H$3,Platts!$F$5:$M$5,0)+1,FALSE),H1666)</f>
        <v>41.99</v>
      </c>
      <c r="I1667" s="6">
        <f>IFERROR(VLOOKUP($B1667,Platts!$E$5:$M$4994,MATCH(I$3,Platts!$F$5:$M$5,0)+1,FALSE),I1666)</f>
        <v>43.39</v>
      </c>
      <c r="J1667" s="6">
        <f t="shared" si="50"/>
        <v>3.6000000000000014</v>
      </c>
    </row>
    <row r="1668" spans="2:10" x14ac:dyDescent="0.25">
      <c r="B1668" s="5">
        <f t="shared" si="51"/>
        <v>44034</v>
      </c>
      <c r="C1668" s="6">
        <f>IFERROR(VLOOKUP($B1668,Platts!$E$5:$M$4994,MATCH(C$3,Platts!$F$5:$M$5,0)+1,FALSE),C1667)</f>
        <v>38.43</v>
      </c>
      <c r="D1668" s="6">
        <f>IFERROR(VLOOKUP($B1668,Platts!$E$5:$M$4994,MATCH(D$3,Platts!$F$5:$M$5,0)+1,FALSE),D1667)</f>
        <v>39.72</v>
      </c>
      <c r="E1668" s="6">
        <f>IFERROR(VLOOKUP($B1668,Platts!$E$5:$M$4994,MATCH(E$3,Platts!$F$5:$M$5,0)+1,FALSE),E1667)</f>
        <v>39.67</v>
      </c>
      <c r="F1668" s="6">
        <f>IFERROR(VLOOKUP($B1668,Platts!$E$5:$M$4994,MATCH(F$3,Platts!$F$5:$M$5,0)+1,FALSE),F1667)</f>
        <v>41.12</v>
      </c>
      <c r="G1668" s="6">
        <f>IFERROR(VLOOKUP($B1668,Platts!$E$5:$M$4994,MATCH(G$3,Platts!$F$5:$M$5,0)+1,FALSE),G1667)</f>
        <v>43.78</v>
      </c>
      <c r="H1668" s="6">
        <f>IFERROR(VLOOKUP($B1668,Platts!$E$5:$M$4994,MATCH(H$3,Platts!$F$5:$M$5,0)+1,FALSE),H1667)</f>
        <v>41.84</v>
      </c>
      <c r="I1668" s="6">
        <f>IFERROR(VLOOKUP($B1668,Platts!$E$5:$M$4994,MATCH(I$3,Platts!$F$5:$M$5,0)+1,FALSE),I1667)</f>
        <v>43.24</v>
      </c>
      <c r="J1668" s="6">
        <f t="shared" ref="J1668:J1731" si="52">H1668-C1668</f>
        <v>3.4100000000000037</v>
      </c>
    </row>
    <row r="1669" spans="2:10" x14ac:dyDescent="0.25">
      <c r="B1669" s="5">
        <f t="shared" si="51"/>
        <v>44035</v>
      </c>
      <c r="C1669" s="6">
        <f>IFERROR(VLOOKUP($B1669,Platts!$E$5:$M$4994,MATCH(C$3,Platts!$F$5:$M$5,0)+1,FALSE),C1668)</f>
        <v>37.68</v>
      </c>
      <c r="D1669" s="6">
        <f>IFERROR(VLOOKUP($B1669,Platts!$E$5:$M$4994,MATCH(D$3,Platts!$F$5:$M$5,0)+1,FALSE),D1668)</f>
        <v>38.74</v>
      </c>
      <c r="E1669" s="6">
        <f>IFERROR(VLOOKUP($B1669,Platts!$E$5:$M$4994,MATCH(E$3,Platts!$F$5:$M$5,0)+1,FALSE),E1668)</f>
        <v>38.69</v>
      </c>
      <c r="F1669" s="6">
        <f>IFERROR(VLOOKUP($B1669,Platts!$E$5:$M$4994,MATCH(F$3,Platts!$F$5:$M$5,0)+1,FALSE),F1668)</f>
        <v>40.14</v>
      </c>
      <c r="G1669" s="6">
        <f>IFERROR(VLOOKUP($B1669,Platts!$E$5:$M$4994,MATCH(G$3,Platts!$F$5:$M$5,0)+1,FALSE),G1668)</f>
        <v>43.97</v>
      </c>
      <c r="H1669" s="6">
        <f>IFERROR(VLOOKUP($B1669,Platts!$E$5:$M$4994,MATCH(H$3,Platts!$F$5:$M$5,0)+1,FALSE),H1668)</f>
        <v>41.02</v>
      </c>
      <c r="I1669" s="6">
        <f>IFERROR(VLOOKUP($B1669,Platts!$E$5:$M$4994,MATCH(I$3,Platts!$F$5:$M$5,0)+1,FALSE),I1668)</f>
        <v>42.42</v>
      </c>
      <c r="J1669" s="6">
        <f t="shared" si="52"/>
        <v>3.3400000000000034</v>
      </c>
    </row>
    <row r="1670" spans="2:10" x14ac:dyDescent="0.25">
      <c r="B1670" s="5">
        <f t="shared" ref="B1670:B1733" si="53">B1669+1</f>
        <v>44036</v>
      </c>
      <c r="C1670" s="6">
        <f>IFERROR(VLOOKUP($B1670,Platts!$E$5:$M$4994,MATCH(C$3,Platts!$F$5:$M$5,0)+1,FALSE),C1669)</f>
        <v>37.54</v>
      </c>
      <c r="D1670" s="6">
        <f>IFERROR(VLOOKUP($B1670,Platts!$E$5:$M$4994,MATCH(D$3,Platts!$F$5:$M$5,0)+1,FALSE),D1669)</f>
        <v>38.880000000000003</v>
      </c>
      <c r="E1670" s="6">
        <f>IFERROR(VLOOKUP($B1670,Platts!$E$5:$M$4994,MATCH(E$3,Platts!$F$5:$M$5,0)+1,FALSE),E1669)</f>
        <v>38.83</v>
      </c>
      <c r="F1670" s="6">
        <f>IFERROR(VLOOKUP($B1670,Platts!$E$5:$M$4994,MATCH(F$3,Platts!$F$5:$M$5,0)+1,FALSE),F1669)</f>
        <v>40.28</v>
      </c>
      <c r="G1670" s="6">
        <f>IFERROR(VLOOKUP($B1670,Platts!$E$5:$M$4994,MATCH(G$3,Platts!$F$5:$M$5,0)+1,FALSE),G1669)</f>
        <v>43.13</v>
      </c>
      <c r="H1670" s="6">
        <f>IFERROR(VLOOKUP($B1670,Platts!$E$5:$M$4994,MATCH(H$3,Platts!$F$5:$M$5,0)+1,FALSE),H1669)</f>
        <v>41.14</v>
      </c>
      <c r="I1670" s="6">
        <f>IFERROR(VLOOKUP($B1670,Platts!$E$5:$M$4994,MATCH(I$3,Platts!$F$5:$M$5,0)+1,FALSE),I1669)</f>
        <v>43.14</v>
      </c>
      <c r="J1670" s="6">
        <f t="shared" si="52"/>
        <v>3.6000000000000014</v>
      </c>
    </row>
    <row r="1671" spans="2:10" x14ac:dyDescent="0.25">
      <c r="B1671" s="5">
        <f t="shared" si="53"/>
        <v>44037</v>
      </c>
      <c r="C1671" s="6">
        <f>IFERROR(VLOOKUP($B1671,Platts!$E$5:$M$4994,MATCH(C$3,Platts!$F$5:$M$5,0)+1,FALSE),C1670)</f>
        <v>37.54</v>
      </c>
      <c r="D1671" s="6">
        <f>IFERROR(VLOOKUP($B1671,Platts!$E$5:$M$4994,MATCH(D$3,Platts!$F$5:$M$5,0)+1,FALSE),D1670)</f>
        <v>38.880000000000003</v>
      </c>
      <c r="E1671" s="6">
        <f>IFERROR(VLOOKUP($B1671,Platts!$E$5:$M$4994,MATCH(E$3,Platts!$F$5:$M$5,0)+1,FALSE),E1670)</f>
        <v>38.83</v>
      </c>
      <c r="F1671" s="6">
        <f>IFERROR(VLOOKUP($B1671,Platts!$E$5:$M$4994,MATCH(F$3,Platts!$F$5:$M$5,0)+1,FALSE),F1670)</f>
        <v>40.28</v>
      </c>
      <c r="G1671" s="6">
        <f>IFERROR(VLOOKUP($B1671,Platts!$E$5:$M$4994,MATCH(G$3,Platts!$F$5:$M$5,0)+1,FALSE),G1670)</f>
        <v>43.13</v>
      </c>
      <c r="H1671" s="6">
        <f>IFERROR(VLOOKUP($B1671,Platts!$E$5:$M$4994,MATCH(H$3,Platts!$F$5:$M$5,0)+1,FALSE),H1670)</f>
        <v>41.14</v>
      </c>
      <c r="I1671" s="6">
        <f>IFERROR(VLOOKUP($B1671,Platts!$E$5:$M$4994,MATCH(I$3,Platts!$F$5:$M$5,0)+1,FALSE),I1670)</f>
        <v>43.14</v>
      </c>
      <c r="J1671" s="6">
        <f t="shared" si="52"/>
        <v>3.6000000000000014</v>
      </c>
    </row>
    <row r="1672" spans="2:10" x14ac:dyDescent="0.25">
      <c r="B1672" s="5">
        <f t="shared" si="53"/>
        <v>44038</v>
      </c>
      <c r="C1672" s="6">
        <f>IFERROR(VLOOKUP($B1672,Platts!$E$5:$M$4994,MATCH(C$3,Platts!$F$5:$M$5,0)+1,FALSE),C1671)</f>
        <v>37.54</v>
      </c>
      <c r="D1672" s="6">
        <f>IFERROR(VLOOKUP($B1672,Platts!$E$5:$M$4994,MATCH(D$3,Platts!$F$5:$M$5,0)+1,FALSE),D1671)</f>
        <v>38.880000000000003</v>
      </c>
      <c r="E1672" s="6">
        <f>IFERROR(VLOOKUP($B1672,Platts!$E$5:$M$4994,MATCH(E$3,Platts!$F$5:$M$5,0)+1,FALSE),E1671)</f>
        <v>38.83</v>
      </c>
      <c r="F1672" s="6">
        <f>IFERROR(VLOOKUP($B1672,Platts!$E$5:$M$4994,MATCH(F$3,Platts!$F$5:$M$5,0)+1,FALSE),F1671)</f>
        <v>40.28</v>
      </c>
      <c r="G1672" s="6">
        <f>IFERROR(VLOOKUP($B1672,Platts!$E$5:$M$4994,MATCH(G$3,Platts!$F$5:$M$5,0)+1,FALSE),G1671)</f>
        <v>43.13</v>
      </c>
      <c r="H1672" s="6">
        <f>IFERROR(VLOOKUP($B1672,Platts!$E$5:$M$4994,MATCH(H$3,Platts!$F$5:$M$5,0)+1,FALSE),H1671)</f>
        <v>41.14</v>
      </c>
      <c r="I1672" s="6">
        <f>IFERROR(VLOOKUP($B1672,Platts!$E$5:$M$4994,MATCH(I$3,Platts!$F$5:$M$5,0)+1,FALSE),I1671)</f>
        <v>43.14</v>
      </c>
      <c r="J1672" s="6">
        <f t="shared" si="52"/>
        <v>3.6000000000000014</v>
      </c>
    </row>
    <row r="1673" spans="2:10" x14ac:dyDescent="0.25">
      <c r="B1673" s="5">
        <f t="shared" si="53"/>
        <v>44039</v>
      </c>
      <c r="C1673" s="6">
        <f>IFERROR(VLOOKUP($B1673,Platts!$E$5:$M$4994,MATCH(C$3,Platts!$F$5:$M$5,0)+1,FALSE),C1672)</f>
        <v>37.770000000000003</v>
      </c>
      <c r="D1673" s="6">
        <f>IFERROR(VLOOKUP($B1673,Platts!$E$5:$M$4994,MATCH(D$3,Platts!$F$5:$M$5,0)+1,FALSE),D1672)</f>
        <v>39.229999999999997</v>
      </c>
      <c r="E1673" s="6">
        <f>IFERROR(VLOOKUP($B1673,Platts!$E$5:$M$4994,MATCH(E$3,Platts!$F$5:$M$5,0)+1,FALSE),E1672)</f>
        <v>39.18</v>
      </c>
      <c r="F1673" s="6">
        <f>IFERROR(VLOOKUP($B1673,Platts!$E$5:$M$4994,MATCH(F$3,Platts!$F$5:$M$5,0)+1,FALSE),F1672)</f>
        <v>40.630000000000003</v>
      </c>
      <c r="G1673" s="6">
        <f>IFERROR(VLOOKUP($B1673,Platts!$E$5:$M$4994,MATCH(G$3,Platts!$F$5:$M$5,0)+1,FALSE),G1672)</f>
        <v>42.49</v>
      </c>
      <c r="H1673" s="6">
        <f>IFERROR(VLOOKUP($B1673,Platts!$E$5:$M$4994,MATCH(H$3,Platts!$F$5:$M$5,0)+1,FALSE),H1672)</f>
        <v>41.6</v>
      </c>
      <c r="I1673" s="6">
        <f>IFERROR(VLOOKUP($B1673,Platts!$E$5:$M$4994,MATCH(I$3,Platts!$F$5:$M$5,0)+1,FALSE),I1672)</f>
        <v>43.25</v>
      </c>
      <c r="J1673" s="6">
        <f t="shared" si="52"/>
        <v>3.8299999999999983</v>
      </c>
    </row>
    <row r="1674" spans="2:10" x14ac:dyDescent="0.25">
      <c r="B1674" s="5">
        <f t="shared" si="53"/>
        <v>44040</v>
      </c>
      <c r="C1674" s="6">
        <f>IFERROR(VLOOKUP($B1674,Platts!$E$5:$M$4994,MATCH(C$3,Platts!$F$5:$M$5,0)+1,FALSE),C1673)</f>
        <v>37.42</v>
      </c>
      <c r="D1674" s="6">
        <f>IFERROR(VLOOKUP($B1674,Platts!$E$5:$M$4994,MATCH(D$3,Platts!$F$5:$M$5,0)+1,FALSE),D1673)</f>
        <v>38.700000000000003</v>
      </c>
      <c r="E1674" s="6">
        <f>IFERROR(VLOOKUP($B1674,Platts!$E$5:$M$4994,MATCH(E$3,Platts!$F$5:$M$5,0)+1,FALSE),E1673)</f>
        <v>38.65</v>
      </c>
      <c r="F1674" s="6">
        <f>IFERROR(VLOOKUP($B1674,Platts!$E$5:$M$4994,MATCH(F$3,Platts!$F$5:$M$5,0)+1,FALSE),F1673)</f>
        <v>40.1</v>
      </c>
      <c r="G1674" s="6">
        <f>IFERROR(VLOOKUP($B1674,Platts!$E$5:$M$4994,MATCH(G$3,Platts!$F$5:$M$5,0)+1,FALSE),G1673)</f>
        <v>43.23</v>
      </c>
      <c r="H1674" s="6">
        <f>IFERROR(VLOOKUP($B1674,Platts!$E$5:$M$4994,MATCH(H$3,Platts!$F$5:$M$5,0)+1,FALSE),H1673)</f>
        <v>41.04</v>
      </c>
      <c r="I1674" s="6">
        <f>IFERROR(VLOOKUP($B1674,Platts!$E$5:$M$4994,MATCH(I$3,Platts!$F$5:$M$5,0)+1,FALSE),I1673)</f>
        <v>42.19</v>
      </c>
      <c r="J1674" s="6">
        <f t="shared" si="52"/>
        <v>3.6199999999999974</v>
      </c>
    </row>
    <row r="1675" spans="2:10" x14ac:dyDescent="0.25">
      <c r="B1675" s="5">
        <f t="shared" si="53"/>
        <v>44041</v>
      </c>
      <c r="C1675" s="6">
        <f>IFERROR(VLOOKUP($B1675,Platts!$E$5:$M$4994,MATCH(C$3,Platts!$F$5:$M$5,0)+1,FALSE),C1674)</f>
        <v>37.82</v>
      </c>
      <c r="D1675" s="6">
        <f>IFERROR(VLOOKUP($B1675,Platts!$E$5:$M$4994,MATCH(D$3,Platts!$F$5:$M$5,0)+1,FALSE),D1674)</f>
        <v>39.130000000000003</v>
      </c>
      <c r="E1675" s="6">
        <f>IFERROR(VLOOKUP($B1675,Platts!$E$5:$M$4994,MATCH(E$3,Platts!$F$5:$M$5,0)+1,FALSE),E1674)</f>
        <v>39.08</v>
      </c>
      <c r="F1675" s="6">
        <f>IFERROR(VLOOKUP($B1675,Platts!$E$5:$M$4994,MATCH(F$3,Platts!$F$5:$M$5,0)+1,FALSE),F1674)</f>
        <v>40.53</v>
      </c>
      <c r="G1675" s="6">
        <f>IFERROR(VLOOKUP($B1675,Platts!$E$5:$M$4994,MATCH(G$3,Platts!$F$5:$M$5,0)+1,FALSE),G1674)</f>
        <v>43.9</v>
      </c>
      <c r="H1675" s="6">
        <f>IFERROR(VLOOKUP($B1675,Platts!$E$5:$M$4994,MATCH(H$3,Platts!$F$5:$M$5,0)+1,FALSE),H1674)</f>
        <v>41.27</v>
      </c>
      <c r="I1675" s="6">
        <f>IFERROR(VLOOKUP($B1675,Platts!$E$5:$M$4994,MATCH(I$3,Platts!$F$5:$M$5,0)+1,FALSE),I1674)</f>
        <v>42.52</v>
      </c>
      <c r="J1675" s="6">
        <f t="shared" si="52"/>
        <v>3.4500000000000028</v>
      </c>
    </row>
    <row r="1676" spans="2:10" x14ac:dyDescent="0.25">
      <c r="B1676" s="5">
        <f t="shared" si="53"/>
        <v>44042</v>
      </c>
      <c r="C1676" s="6">
        <f>IFERROR(VLOOKUP($B1676,Platts!$E$5:$M$4994,MATCH(C$3,Platts!$F$5:$M$5,0)+1,FALSE),C1675)</f>
        <v>36.94</v>
      </c>
      <c r="D1676" s="6">
        <f>IFERROR(VLOOKUP($B1676,Platts!$E$5:$M$4994,MATCH(D$3,Platts!$F$5:$M$5,0)+1,FALSE),D1675)</f>
        <v>38.18</v>
      </c>
      <c r="E1676" s="6">
        <f>IFERROR(VLOOKUP($B1676,Platts!$E$5:$M$4994,MATCH(E$3,Platts!$F$5:$M$5,0)+1,FALSE),E1675)</f>
        <v>38.130000000000003</v>
      </c>
      <c r="F1676" s="6">
        <f>IFERROR(VLOOKUP($B1676,Platts!$E$5:$M$4994,MATCH(F$3,Platts!$F$5:$M$5,0)+1,FALSE),F1675)</f>
        <v>39.58</v>
      </c>
      <c r="G1676" s="6">
        <f>IFERROR(VLOOKUP($B1676,Platts!$E$5:$M$4994,MATCH(G$3,Platts!$F$5:$M$5,0)+1,FALSE),G1675)</f>
        <v>42.63</v>
      </c>
      <c r="H1676" s="6">
        <f>IFERROR(VLOOKUP($B1676,Platts!$E$5:$M$4994,MATCH(H$3,Platts!$F$5:$M$5,0)+1,FALSE),H1675)</f>
        <v>39.92</v>
      </c>
      <c r="I1676" s="6">
        <f>IFERROR(VLOOKUP($B1676,Platts!$E$5:$M$4994,MATCH(I$3,Platts!$F$5:$M$5,0)+1,FALSE),I1675)</f>
        <v>41.52</v>
      </c>
      <c r="J1676" s="6">
        <f t="shared" si="52"/>
        <v>2.980000000000004</v>
      </c>
    </row>
    <row r="1677" spans="2:10" x14ac:dyDescent="0.25">
      <c r="B1677" s="5">
        <f t="shared" si="53"/>
        <v>44043</v>
      </c>
      <c r="C1677" s="6">
        <f>IFERROR(VLOOKUP($B1677,Platts!$E$5:$M$4994,MATCH(C$3,Platts!$F$5:$M$5,0)+1,FALSE),C1676)</f>
        <v>36.94</v>
      </c>
      <c r="D1677" s="6">
        <f>IFERROR(VLOOKUP($B1677,Platts!$E$5:$M$4994,MATCH(D$3,Platts!$F$5:$M$5,0)+1,FALSE),D1676)</f>
        <v>38.380000000000003</v>
      </c>
      <c r="E1677" s="6">
        <f>IFERROR(VLOOKUP($B1677,Platts!$E$5:$M$4994,MATCH(E$3,Platts!$F$5:$M$5,0)+1,FALSE),E1676)</f>
        <v>38.33</v>
      </c>
      <c r="F1677" s="6">
        <f>IFERROR(VLOOKUP($B1677,Platts!$E$5:$M$4994,MATCH(F$3,Platts!$F$5:$M$5,0)+1,FALSE),F1676)</f>
        <v>39.78</v>
      </c>
      <c r="G1677" s="6">
        <f>IFERROR(VLOOKUP($B1677,Platts!$E$5:$M$4994,MATCH(G$3,Platts!$F$5:$M$5,0)+1,FALSE),G1676)</f>
        <v>43.04</v>
      </c>
      <c r="H1677" s="6">
        <f>IFERROR(VLOOKUP($B1677,Platts!$E$5:$M$4994,MATCH(H$3,Platts!$F$5:$M$5,0)+1,FALSE),H1676)</f>
        <v>40.270000000000003</v>
      </c>
      <c r="I1677" s="6">
        <f>IFERROR(VLOOKUP($B1677,Platts!$E$5:$M$4994,MATCH(I$3,Platts!$F$5:$M$5,0)+1,FALSE),I1676)</f>
        <v>41.87</v>
      </c>
      <c r="J1677" s="6">
        <f t="shared" si="52"/>
        <v>3.3300000000000054</v>
      </c>
    </row>
    <row r="1678" spans="2:10" x14ac:dyDescent="0.25">
      <c r="B1678" s="5">
        <f t="shared" si="53"/>
        <v>44044</v>
      </c>
      <c r="C1678" s="6">
        <f>IFERROR(VLOOKUP($B1678,Platts!$E$5:$M$4994,MATCH(C$3,Platts!$F$5:$M$5,0)+1,FALSE),C1677)</f>
        <v>36.94</v>
      </c>
      <c r="D1678" s="6">
        <f>IFERROR(VLOOKUP($B1678,Platts!$E$5:$M$4994,MATCH(D$3,Platts!$F$5:$M$5,0)+1,FALSE),D1677)</f>
        <v>38.380000000000003</v>
      </c>
      <c r="E1678" s="6">
        <f>IFERROR(VLOOKUP($B1678,Platts!$E$5:$M$4994,MATCH(E$3,Platts!$F$5:$M$5,0)+1,FALSE),E1677)</f>
        <v>38.33</v>
      </c>
      <c r="F1678" s="6">
        <f>IFERROR(VLOOKUP($B1678,Platts!$E$5:$M$4994,MATCH(F$3,Platts!$F$5:$M$5,0)+1,FALSE),F1677)</f>
        <v>39.78</v>
      </c>
      <c r="G1678" s="6">
        <f>IFERROR(VLOOKUP($B1678,Platts!$E$5:$M$4994,MATCH(G$3,Platts!$F$5:$M$5,0)+1,FALSE),G1677)</f>
        <v>43.04</v>
      </c>
      <c r="H1678" s="6">
        <f>IFERROR(VLOOKUP($B1678,Platts!$E$5:$M$4994,MATCH(H$3,Platts!$F$5:$M$5,0)+1,FALSE),H1677)</f>
        <v>40.270000000000003</v>
      </c>
      <c r="I1678" s="6">
        <f>IFERROR(VLOOKUP($B1678,Platts!$E$5:$M$4994,MATCH(I$3,Platts!$F$5:$M$5,0)+1,FALSE),I1677)</f>
        <v>41.87</v>
      </c>
      <c r="J1678" s="6">
        <f t="shared" si="52"/>
        <v>3.3300000000000054</v>
      </c>
    </row>
    <row r="1679" spans="2:10" x14ac:dyDescent="0.25">
      <c r="B1679" s="5">
        <f t="shared" si="53"/>
        <v>44045</v>
      </c>
      <c r="C1679" s="6">
        <f>IFERROR(VLOOKUP($B1679,Platts!$E$5:$M$4994,MATCH(C$3,Platts!$F$5:$M$5,0)+1,FALSE),C1678)</f>
        <v>36.94</v>
      </c>
      <c r="D1679" s="6">
        <f>IFERROR(VLOOKUP($B1679,Platts!$E$5:$M$4994,MATCH(D$3,Platts!$F$5:$M$5,0)+1,FALSE),D1678)</f>
        <v>38.380000000000003</v>
      </c>
      <c r="E1679" s="6">
        <f>IFERROR(VLOOKUP($B1679,Platts!$E$5:$M$4994,MATCH(E$3,Platts!$F$5:$M$5,0)+1,FALSE),E1678)</f>
        <v>38.33</v>
      </c>
      <c r="F1679" s="6">
        <f>IFERROR(VLOOKUP($B1679,Platts!$E$5:$M$4994,MATCH(F$3,Platts!$F$5:$M$5,0)+1,FALSE),F1678)</f>
        <v>39.78</v>
      </c>
      <c r="G1679" s="6">
        <f>IFERROR(VLOOKUP($B1679,Platts!$E$5:$M$4994,MATCH(G$3,Platts!$F$5:$M$5,0)+1,FALSE),G1678)</f>
        <v>43.04</v>
      </c>
      <c r="H1679" s="6">
        <f>IFERROR(VLOOKUP($B1679,Platts!$E$5:$M$4994,MATCH(H$3,Platts!$F$5:$M$5,0)+1,FALSE),H1678)</f>
        <v>40.270000000000003</v>
      </c>
      <c r="I1679" s="6">
        <f>IFERROR(VLOOKUP($B1679,Platts!$E$5:$M$4994,MATCH(I$3,Platts!$F$5:$M$5,0)+1,FALSE),I1678)</f>
        <v>41.87</v>
      </c>
      <c r="J1679" s="6">
        <f t="shared" si="52"/>
        <v>3.3300000000000054</v>
      </c>
    </row>
    <row r="1680" spans="2:10" x14ac:dyDescent="0.25">
      <c r="B1680" s="5">
        <f t="shared" si="53"/>
        <v>44046</v>
      </c>
      <c r="C1680" s="6">
        <f>IFERROR(VLOOKUP($B1680,Platts!$E$5:$M$4994,MATCH(C$3,Platts!$F$5:$M$5,0)+1,FALSE),C1679)</f>
        <v>39.049999999999997</v>
      </c>
      <c r="D1680" s="6">
        <f>IFERROR(VLOOKUP($B1680,Platts!$E$5:$M$4994,MATCH(D$3,Platts!$F$5:$M$5,0)+1,FALSE),D1679)</f>
        <v>40.21</v>
      </c>
      <c r="E1680" s="6">
        <f>IFERROR(VLOOKUP($B1680,Platts!$E$5:$M$4994,MATCH(E$3,Platts!$F$5:$M$5,0)+1,FALSE),E1679)</f>
        <v>39.61</v>
      </c>
      <c r="F1680" s="6">
        <f>IFERROR(VLOOKUP($B1680,Platts!$E$5:$M$4994,MATCH(F$3,Platts!$F$5:$M$5,0)+1,FALSE),F1679)</f>
        <v>41.56</v>
      </c>
      <c r="G1680" s="6">
        <f>IFERROR(VLOOKUP($B1680,Platts!$E$5:$M$4994,MATCH(G$3,Platts!$F$5:$M$5,0)+1,FALSE),G1679)</f>
        <v>44.34</v>
      </c>
      <c r="H1680" s="6">
        <f>IFERROR(VLOOKUP($B1680,Platts!$E$5:$M$4994,MATCH(H$3,Platts!$F$5:$M$5,0)+1,FALSE),H1679)</f>
        <v>41.01</v>
      </c>
      <c r="I1680" s="6">
        <f>IFERROR(VLOOKUP($B1680,Platts!$E$5:$M$4994,MATCH(I$3,Platts!$F$5:$M$5,0)+1,FALSE),I1679)</f>
        <v>42.61</v>
      </c>
      <c r="J1680" s="6">
        <f t="shared" si="52"/>
        <v>1.9600000000000009</v>
      </c>
    </row>
    <row r="1681" spans="2:10" x14ac:dyDescent="0.25">
      <c r="B1681" s="5">
        <f t="shared" si="53"/>
        <v>44047</v>
      </c>
      <c r="C1681" s="6">
        <f>IFERROR(VLOOKUP($B1681,Platts!$E$5:$M$4994,MATCH(C$3,Platts!$F$5:$M$5,0)+1,FALSE),C1680)</f>
        <v>39.5</v>
      </c>
      <c r="D1681" s="6">
        <f>IFERROR(VLOOKUP($B1681,Platts!$E$5:$M$4994,MATCH(D$3,Platts!$F$5:$M$5,0)+1,FALSE),D1680)</f>
        <v>40.770000000000003</v>
      </c>
      <c r="E1681" s="6">
        <f>IFERROR(VLOOKUP($B1681,Platts!$E$5:$M$4994,MATCH(E$3,Platts!$F$5:$M$5,0)+1,FALSE),E1680)</f>
        <v>40.17</v>
      </c>
      <c r="F1681" s="6">
        <f>IFERROR(VLOOKUP($B1681,Platts!$E$5:$M$4994,MATCH(F$3,Platts!$F$5:$M$5,0)+1,FALSE),F1680)</f>
        <v>42.12</v>
      </c>
      <c r="G1681" s="6">
        <f>IFERROR(VLOOKUP($B1681,Platts!$E$5:$M$4994,MATCH(G$3,Platts!$F$5:$M$5,0)+1,FALSE),G1680)</f>
        <v>44.5</v>
      </c>
      <c r="H1681" s="6">
        <f>IFERROR(VLOOKUP($B1681,Platts!$E$5:$M$4994,MATCH(H$3,Platts!$F$5:$M$5,0)+1,FALSE),H1680)</f>
        <v>41.7</v>
      </c>
      <c r="I1681" s="6">
        <f>IFERROR(VLOOKUP($B1681,Platts!$E$5:$M$4994,MATCH(I$3,Platts!$F$5:$M$5,0)+1,FALSE),I1680)</f>
        <v>43.35</v>
      </c>
      <c r="J1681" s="6">
        <f t="shared" si="52"/>
        <v>2.2000000000000028</v>
      </c>
    </row>
    <row r="1682" spans="2:10" x14ac:dyDescent="0.25">
      <c r="B1682" s="5">
        <f t="shared" si="53"/>
        <v>44048</v>
      </c>
      <c r="C1682" s="6">
        <f>IFERROR(VLOOKUP($B1682,Platts!$E$5:$M$4994,MATCH(C$3,Platts!$F$5:$M$5,0)+1,FALSE),C1681)</f>
        <v>40.229999999999997</v>
      </c>
      <c r="D1682" s="6">
        <f>IFERROR(VLOOKUP($B1682,Platts!$E$5:$M$4994,MATCH(D$3,Platts!$F$5:$M$5,0)+1,FALSE),D1681)</f>
        <v>41.38</v>
      </c>
      <c r="E1682" s="6">
        <f>IFERROR(VLOOKUP($B1682,Platts!$E$5:$M$4994,MATCH(E$3,Platts!$F$5:$M$5,0)+1,FALSE),E1681)</f>
        <v>40.78</v>
      </c>
      <c r="F1682" s="6">
        <f>IFERROR(VLOOKUP($B1682,Platts!$E$5:$M$4994,MATCH(F$3,Platts!$F$5:$M$5,0)+1,FALSE),F1681)</f>
        <v>42.73</v>
      </c>
      <c r="G1682" s="6">
        <f>IFERROR(VLOOKUP($B1682,Platts!$E$5:$M$4994,MATCH(G$3,Platts!$F$5:$M$5,0)+1,FALSE),G1681)</f>
        <v>46.19</v>
      </c>
      <c r="H1682" s="6">
        <f>IFERROR(VLOOKUP($B1682,Platts!$E$5:$M$4994,MATCH(H$3,Platts!$F$5:$M$5,0)+1,FALSE),H1681)</f>
        <v>42.19</v>
      </c>
      <c r="I1682" s="6">
        <f>IFERROR(VLOOKUP($B1682,Platts!$E$5:$M$4994,MATCH(I$3,Platts!$F$5:$M$5,0)+1,FALSE),I1681)</f>
        <v>43.74</v>
      </c>
      <c r="J1682" s="6">
        <f t="shared" si="52"/>
        <v>1.9600000000000009</v>
      </c>
    </row>
    <row r="1683" spans="2:10" x14ac:dyDescent="0.25">
      <c r="B1683" s="5">
        <f t="shared" si="53"/>
        <v>44049</v>
      </c>
      <c r="C1683" s="6">
        <f>IFERROR(VLOOKUP($B1683,Platts!$E$5:$M$4994,MATCH(C$3,Platts!$F$5:$M$5,0)+1,FALSE),C1682)</f>
        <v>40.119999999999997</v>
      </c>
      <c r="D1683" s="6">
        <f>IFERROR(VLOOKUP($B1683,Platts!$E$5:$M$4994,MATCH(D$3,Platts!$F$5:$M$5,0)+1,FALSE),D1682)</f>
        <v>41.25</v>
      </c>
      <c r="E1683" s="6">
        <f>IFERROR(VLOOKUP($B1683,Platts!$E$5:$M$4994,MATCH(E$3,Platts!$F$5:$M$5,0)+1,FALSE),E1682)</f>
        <v>40.65</v>
      </c>
      <c r="F1683" s="6">
        <f>IFERROR(VLOOKUP($B1683,Platts!$E$5:$M$4994,MATCH(F$3,Platts!$F$5:$M$5,0)+1,FALSE),F1682)</f>
        <v>42.6</v>
      </c>
      <c r="G1683" s="6">
        <f>IFERROR(VLOOKUP($B1683,Platts!$E$5:$M$4994,MATCH(G$3,Platts!$F$5:$M$5,0)+1,FALSE),G1682)</f>
        <v>45.44</v>
      </c>
      <c r="H1683" s="6">
        <f>IFERROR(VLOOKUP($B1683,Platts!$E$5:$M$4994,MATCH(H$3,Platts!$F$5:$M$5,0)+1,FALSE),H1682)</f>
        <v>41.95</v>
      </c>
      <c r="I1683" s="6">
        <f>IFERROR(VLOOKUP($B1683,Platts!$E$5:$M$4994,MATCH(I$3,Platts!$F$5:$M$5,0)+1,FALSE),I1682)</f>
        <v>43.6</v>
      </c>
      <c r="J1683" s="6">
        <f t="shared" si="52"/>
        <v>1.8300000000000054</v>
      </c>
    </row>
    <row r="1684" spans="2:10" x14ac:dyDescent="0.25">
      <c r="B1684" s="5">
        <f t="shared" si="53"/>
        <v>44050</v>
      </c>
      <c r="C1684" s="6">
        <f>IFERROR(VLOOKUP($B1684,Platts!$E$5:$M$4994,MATCH(C$3,Platts!$F$5:$M$5,0)+1,FALSE),C1683)</f>
        <v>39.57</v>
      </c>
      <c r="D1684" s="6">
        <f>IFERROR(VLOOKUP($B1684,Platts!$E$5:$M$4994,MATCH(D$3,Platts!$F$5:$M$5,0)+1,FALSE),D1683)</f>
        <v>40.630000000000003</v>
      </c>
      <c r="E1684" s="6">
        <f>IFERROR(VLOOKUP($B1684,Platts!$E$5:$M$4994,MATCH(E$3,Platts!$F$5:$M$5,0)+1,FALSE),E1683)</f>
        <v>40.03</v>
      </c>
      <c r="F1684" s="6">
        <f>IFERROR(VLOOKUP($B1684,Platts!$E$5:$M$4994,MATCH(F$3,Platts!$F$5:$M$5,0)+1,FALSE),F1683)</f>
        <v>41.98</v>
      </c>
      <c r="G1684" s="6">
        <f>IFERROR(VLOOKUP($B1684,Platts!$E$5:$M$4994,MATCH(G$3,Platts!$F$5:$M$5,0)+1,FALSE),G1683)</f>
        <v>44.58</v>
      </c>
      <c r="H1684" s="6">
        <f>IFERROR(VLOOKUP($B1684,Platts!$E$5:$M$4994,MATCH(H$3,Platts!$F$5:$M$5,0)+1,FALSE),H1683)</f>
        <v>41.22</v>
      </c>
      <c r="I1684" s="6">
        <f>IFERROR(VLOOKUP($B1684,Platts!$E$5:$M$4994,MATCH(I$3,Platts!$F$5:$M$5,0)+1,FALSE),I1683)</f>
        <v>43.02</v>
      </c>
      <c r="J1684" s="6">
        <f t="shared" si="52"/>
        <v>1.6499999999999986</v>
      </c>
    </row>
    <row r="1685" spans="2:10" x14ac:dyDescent="0.25">
      <c r="B1685" s="5">
        <f t="shared" si="53"/>
        <v>44051</v>
      </c>
      <c r="C1685" s="6">
        <f>IFERROR(VLOOKUP($B1685,Platts!$E$5:$M$4994,MATCH(C$3,Platts!$F$5:$M$5,0)+1,FALSE),C1684)</f>
        <v>39.57</v>
      </c>
      <c r="D1685" s="6">
        <f>IFERROR(VLOOKUP($B1685,Platts!$E$5:$M$4994,MATCH(D$3,Platts!$F$5:$M$5,0)+1,FALSE),D1684)</f>
        <v>40.630000000000003</v>
      </c>
      <c r="E1685" s="6">
        <f>IFERROR(VLOOKUP($B1685,Platts!$E$5:$M$4994,MATCH(E$3,Platts!$F$5:$M$5,0)+1,FALSE),E1684)</f>
        <v>40.03</v>
      </c>
      <c r="F1685" s="6">
        <f>IFERROR(VLOOKUP($B1685,Platts!$E$5:$M$4994,MATCH(F$3,Platts!$F$5:$M$5,0)+1,FALSE),F1684)</f>
        <v>41.98</v>
      </c>
      <c r="G1685" s="6">
        <f>IFERROR(VLOOKUP($B1685,Platts!$E$5:$M$4994,MATCH(G$3,Platts!$F$5:$M$5,0)+1,FALSE),G1684)</f>
        <v>44.58</v>
      </c>
      <c r="H1685" s="6">
        <f>IFERROR(VLOOKUP($B1685,Platts!$E$5:$M$4994,MATCH(H$3,Platts!$F$5:$M$5,0)+1,FALSE),H1684)</f>
        <v>41.22</v>
      </c>
      <c r="I1685" s="6">
        <f>IFERROR(VLOOKUP($B1685,Platts!$E$5:$M$4994,MATCH(I$3,Platts!$F$5:$M$5,0)+1,FALSE),I1684)</f>
        <v>43.02</v>
      </c>
      <c r="J1685" s="6">
        <f t="shared" si="52"/>
        <v>1.6499999999999986</v>
      </c>
    </row>
    <row r="1686" spans="2:10" x14ac:dyDescent="0.25">
      <c r="B1686" s="5">
        <f t="shared" si="53"/>
        <v>44052</v>
      </c>
      <c r="C1686" s="6">
        <f>IFERROR(VLOOKUP($B1686,Platts!$E$5:$M$4994,MATCH(C$3,Platts!$F$5:$M$5,0)+1,FALSE),C1685)</f>
        <v>39.57</v>
      </c>
      <c r="D1686" s="6">
        <f>IFERROR(VLOOKUP($B1686,Platts!$E$5:$M$4994,MATCH(D$3,Platts!$F$5:$M$5,0)+1,FALSE),D1685)</f>
        <v>40.630000000000003</v>
      </c>
      <c r="E1686" s="6">
        <f>IFERROR(VLOOKUP($B1686,Platts!$E$5:$M$4994,MATCH(E$3,Platts!$F$5:$M$5,0)+1,FALSE),E1685)</f>
        <v>40.03</v>
      </c>
      <c r="F1686" s="6">
        <f>IFERROR(VLOOKUP($B1686,Platts!$E$5:$M$4994,MATCH(F$3,Platts!$F$5:$M$5,0)+1,FALSE),F1685)</f>
        <v>41.98</v>
      </c>
      <c r="G1686" s="6">
        <f>IFERROR(VLOOKUP($B1686,Platts!$E$5:$M$4994,MATCH(G$3,Platts!$F$5:$M$5,0)+1,FALSE),G1685)</f>
        <v>44.58</v>
      </c>
      <c r="H1686" s="6">
        <f>IFERROR(VLOOKUP($B1686,Platts!$E$5:$M$4994,MATCH(H$3,Platts!$F$5:$M$5,0)+1,FALSE),H1685)</f>
        <v>41.22</v>
      </c>
      <c r="I1686" s="6">
        <f>IFERROR(VLOOKUP($B1686,Platts!$E$5:$M$4994,MATCH(I$3,Platts!$F$5:$M$5,0)+1,FALSE),I1685)</f>
        <v>43.02</v>
      </c>
      <c r="J1686" s="6">
        <f t="shared" si="52"/>
        <v>1.6499999999999986</v>
      </c>
    </row>
    <row r="1687" spans="2:10" x14ac:dyDescent="0.25">
      <c r="B1687" s="5">
        <f t="shared" si="53"/>
        <v>44053</v>
      </c>
      <c r="C1687" s="6">
        <f>IFERROR(VLOOKUP($B1687,Platts!$E$5:$M$4994,MATCH(C$3,Platts!$F$5:$M$5,0)+1,FALSE),C1686)</f>
        <v>39.57</v>
      </c>
      <c r="D1687" s="6">
        <f>IFERROR(VLOOKUP($B1687,Platts!$E$5:$M$4994,MATCH(D$3,Platts!$F$5:$M$5,0)+1,FALSE),D1686)</f>
        <v>41.25</v>
      </c>
      <c r="E1687" s="6">
        <f>IFERROR(VLOOKUP($B1687,Platts!$E$5:$M$4994,MATCH(E$3,Platts!$F$5:$M$5,0)+1,FALSE),E1686)</f>
        <v>40.65</v>
      </c>
      <c r="F1687" s="6">
        <f>IFERROR(VLOOKUP($B1687,Platts!$E$5:$M$4994,MATCH(F$3,Platts!$F$5:$M$5,0)+1,FALSE),F1686)</f>
        <v>42.6</v>
      </c>
      <c r="G1687" s="6">
        <f>IFERROR(VLOOKUP($B1687,Platts!$E$5:$M$4994,MATCH(G$3,Platts!$F$5:$M$5,0)+1,FALSE),G1686)</f>
        <v>44.97</v>
      </c>
      <c r="H1687" s="6">
        <f>IFERROR(VLOOKUP($B1687,Platts!$E$5:$M$4994,MATCH(H$3,Platts!$F$5:$M$5,0)+1,FALSE),H1686)</f>
        <v>41.94</v>
      </c>
      <c r="I1687" s="6">
        <f>IFERROR(VLOOKUP($B1687,Platts!$E$5:$M$4994,MATCH(I$3,Platts!$F$5:$M$5,0)+1,FALSE),I1686)</f>
        <v>43.64</v>
      </c>
      <c r="J1687" s="6">
        <f t="shared" si="52"/>
        <v>2.3699999999999974</v>
      </c>
    </row>
    <row r="1688" spans="2:10" x14ac:dyDescent="0.25">
      <c r="B1688" s="5">
        <f t="shared" si="53"/>
        <v>44054</v>
      </c>
      <c r="C1688" s="6">
        <f>IFERROR(VLOOKUP($B1688,Platts!$E$5:$M$4994,MATCH(C$3,Platts!$F$5:$M$5,0)+1,FALSE),C1687)</f>
        <v>39.78</v>
      </c>
      <c r="D1688" s="6">
        <f>IFERROR(VLOOKUP($B1688,Platts!$E$5:$M$4994,MATCH(D$3,Platts!$F$5:$M$5,0)+1,FALSE),D1687)</f>
        <v>40.83</v>
      </c>
      <c r="E1688" s="6">
        <f>IFERROR(VLOOKUP($B1688,Platts!$E$5:$M$4994,MATCH(E$3,Platts!$F$5:$M$5,0)+1,FALSE),E1687)</f>
        <v>40.229999999999997</v>
      </c>
      <c r="F1688" s="6">
        <f>IFERROR(VLOOKUP($B1688,Platts!$E$5:$M$4994,MATCH(F$3,Platts!$F$5:$M$5,0)+1,FALSE),F1687)</f>
        <v>42.18</v>
      </c>
      <c r="G1688" s="6">
        <f>IFERROR(VLOOKUP($B1688,Platts!$E$5:$M$4994,MATCH(G$3,Platts!$F$5:$M$5,0)+1,FALSE),G1687)</f>
        <v>45.25</v>
      </c>
      <c r="H1688" s="6">
        <f>IFERROR(VLOOKUP($B1688,Platts!$E$5:$M$4994,MATCH(H$3,Platts!$F$5:$M$5,0)+1,FALSE),H1687)</f>
        <v>41.61</v>
      </c>
      <c r="I1688" s="6">
        <f>IFERROR(VLOOKUP($B1688,Platts!$E$5:$M$4994,MATCH(I$3,Platts!$F$5:$M$5,0)+1,FALSE),I1687)</f>
        <v>43.31</v>
      </c>
      <c r="J1688" s="6">
        <f t="shared" si="52"/>
        <v>1.8299999999999983</v>
      </c>
    </row>
    <row r="1689" spans="2:10" x14ac:dyDescent="0.25">
      <c r="B1689" s="5">
        <f t="shared" si="53"/>
        <v>44055</v>
      </c>
      <c r="C1689" s="6">
        <f>IFERROR(VLOOKUP($B1689,Platts!$E$5:$M$4994,MATCH(C$3,Platts!$F$5:$M$5,0)+1,FALSE),C1688)</f>
        <v>40.57</v>
      </c>
      <c r="D1689" s="6">
        <f>IFERROR(VLOOKUP($B1689,Platts!$E$5:$M$4994,MATCH(D$3,Platts!$F$5:$M$5,0)+1,FALSE),D1688)</f>
        <v>41.8</v>
      </c>
      <c r="E1689" s="6">
        <f>IFERROR(VLOOKUP($B1689,Platts!$E$5:$M$4994,MATCH(E$3,Platts!$F$5:$M$5,0)+1,FALSE),E1688)</f>
        <v>41.2</v>
      </c>
      <c r="F1689" s="6">
        <f>IFERROR(VLOOKUP($B1689,Platts!$E$5:$M$4994,MATCH(F$3,Platts!$F$5:$M$5,0)+1,FALSE),F1688)</f>
        <v>43.15</v>
      </c>
      <c r="G1689" s="6">
        <f>IFERROR(VLOOKUP($B1689,Platts!$E$5:$M$4994,MATCH(G$3,Platts!$F$5:$M$5,0)+1,FALSE),G1688)</f>
        <v>45.41</v>
      </c>
      <c r="H1689" s="6">
        <f>IFERROR(VLOOKUP($B1689,Platts!$E$5:$M$4994,MATCH(H$3,Platts!$F$5:$M$5,0)+1,FALSE),H1688)</f>
        <v>42.67</v>
      </c>
      <c r="I1689" s="6">
        <f>IFERROR(VLOOKUP($B1689,Platts!$E$5:$M$4994,MATCH(I$3,Platts!$F$5:$M$5,0)+1,FALSE),I1688)</f>
        <v>44.37</v>
      </c>
      <c r="J1689" s="6">
        <f t="shared" si="52"/>
        <v>2.1000000000000014</v>
      </c>
    </row>
    <row r="1690" spans="2:10" x14ac:dyDescent="0.25">
      <c r="B1690" s="5">
        <f t="shared" si="53"/>
        <v>44056</v>
      </c>
      <c r="C1690" s="6">
        <f>IFERROR(VLOOKUP($B1690,Platts!$E$5:$M$4994,MATCH(C$3,Platts!$F$5:$M$5,0)+1,FALSE),C1689)</f>
        <v>40.229999999999997</v>
      </c>
      <c r="D1690" s="6">
        <f>IFERROR(VLOOKUP($B1690,Platts!$E$5:$M$4994,MATCH(D$3,Platts!$F$5:$M$5,0)+1,FALSE),D1689)</f>
        <v>41.36</v>
      </c>
      <c r="E1690" s="6">
        <f>IFERROR(VLOOKUP($B1690,Platts!$E$5:$M$4994,MATCH(E$3,Platts!$F$5:$M$5,0)+1,FALSE),E1689)</f>
        <v>40.76</v>
      </c>
      <c r="F1690" s="6">
        <f>IFERROR(VLOOKUP($B1690,Platts!$E$5:$M$4994,MATCH(F$3,Platts!$F$5:$M$5,0)+1,FALSE),F1689)</f>
        <v>42.71</v>
      </c>
      <c r="G1690" s="6">
        <f>IFERROR(VLOOKUP($B1690,Platts!$E$5:$M$4994,MATCH(G$3,Platts!$F$5:$M$5,0)+1,FALSE),G1689)</f>
        <v>45.29</v>
      </c>
      <c r="H1690" s="6">
        <f>IFERROR(VLOOKUP($B1690,Platts!$E$5:$M$4994,MATCH(H$3,Platts!$F$5:$M$5,0)+1,FALSE),H1689)</f>
        <v>42.24</v>
      </c>
      <c r="I1690" s="6">
        <f>IFERROR(VLOOKUP($B1690,Platts!$E$5:$M$4994,MATCH(I$3,Platts!$F$5:$M$5,0)+1,FALSE),I1689)</f>
        <v>43.94</v>
      </c>
      <c r="J1690" s="6">
        <f t="shared" si="52"/>
        <v>2.0100000000000051</v>
      </c>
    </row>
    <row r="1691" spans="2:10" x14ac:dyDescent="0.25">
      <c r="B1691" s="5">
        <f t="shared" si="53"/>
        <v>44057</v>
      </c>
      <c r="C1691" s="6">
        <f>IFERROR(VLOOKUP($B1691,Platts!$E$5:$M$4994,MATCH(C$3,Platts!$F$5:$M$5,0)+1,FALSE),C1690)</f>
        <v>39.93</v>
      </c>
      <c r="D1691" s="6">
        <f>IFERROR(VLOOKUP($B1691,Platts!$E$5:$M$4994,MATCH(D$3,Platts!$F$5:$M$5,0)+1,FALSE),D1690)</f>
        <v>41.12</v>
      </c>
      <c r="E1691" s="6">
        <f>IFERROR(VLOOKUP($B1691,Platts!$E$5:$M$4994,MATCH(E$3,Platts!$F$5:$M$5,0)+1,FALSE),E1690)</f>
        <v>40.520000000000003</v>
      </c>
      <c r="F1691" s="6">
        <f>IFERROR(VLOOKUP($B1691,Platts!$E$5:$M$4994,MATCH(F$3,Platts!$F$5:$M$5,0)+1,FALSE),F1690)</f>
        <v>42.47</v>
      </c>
      <c r="G1691" s="6">
        <f>IFERROR(VLOOKUP($B1691,Platts!$E$5:$M$4994,MATCH(G$3,Platts!$F$5:$M$5,0)+1,FALSE),G1690)</f>
        <v>44.85</v>
      </c>
      <c r="H1691" s="6">
        <f>IFERROR(VLOOKUP($B1691,Platts!$E$5:$M$4994,MATCH(H$3,Platts!$F$5:$M$5,0)+1,FALSE),H1690)</f>
        <v>42.01</v>
      </c>
      <c r="I1691" s="6">
        <f>IFERROR(VLOOKUP($B1691,Platts!$E$5:$M$4994,MATCH(I$3,Platts!$F$5:$M$5,0)+1,FALSE),I1690)</f>
        <v>43.51</v>
      </c>
      <c r="J1691" s="6">
        <f t="shared" si="52"/>
        <v>2.0799999999999983</v>
      </c>
    </row>
    <row r="1692" spans="2:10" x14ac:dyDescent="0.25">
      <c r="B1692" s="5">
        <f t="shared" si="53"/>
        <v>44058</v>
      </c>
      <c r="C1692" s="6">
        <f>IFERROR(VLOOKUP($B1692,Platts!$E$5:$M$4994,MATCH(C$3,Platts!$F$5:$M$5,0)+1,FALSE),C1691)</f>
        <v>39.93</v>
      </c>
      <c r="D1692" s="6">
        <f>IFERROR(VLOOKUP($B1692,Platts!$E$5:$M$4994,MATCH(D$3,Platts!$F$5:$M$5,0)+1,FALSE),D1691)</f>
        <v>41.12</v>
      </c>
      <c r="E1692" s="6">
        <f>IFERROR(VLOOKUP($B1692,Platts!$E$5:$M$4994,MATCH(E$3,Platts!$F$5:$M$5,0)+1,FALSE),E1691)</f>
        <v>40.520000000000003</v>
      </c>
      <c r="F1692" s="6">
        <f>IFERROR(VLOOKUP($B1692,Platts!$E$5:$M$4994,MATCH(F$3,Platts!$F$5:$M$5,0)+1,FALSE),F1691)</f>
        <v>42.47</v>
      </c>
      <c r="G1692" s="6">
        <f>IFERROR(VLOOKUP($B1692,Platts!$E$5:$M$4994,MATCH(G$3,Platts!$F$5:$M$5,0)+1,FALSE),G1691)</f>
        <v>44.85</v>
      </c>
      <c r="H1692" s="6">
        <f>IFERROR(VLOOKUP($B1692,Platts!$E$5:$M$4994,MATCH(H$3,Platts!$F$5:$M$5,0)+1,FALSE),H1691)</f>
        <v>42.01</v>
      </c>
      <c r="I1692" s="6">
        <f>IFERROR(VLOOKUP($B1692,Platts!$E$5:$M$4994,MATCH(I$3,Platts!$F$5:$M$5,0)+1,FALSE),I1691)</f>
        <v>43.51</v>
      </c>
      <c r="J1692" s="6">
        <f t="shared" si="52"/>
        <v>2.0799999999999983</v>
      </c>
    </row>
    <row r="1693" spans="2:10" x14ac:dyDescent="0.25">
      <c r="B1693" s="5">
        <f t="shared" si="53"/>
        <v>44059</v>
      </c>
      <c r="C1693" s="6">
        <f>IFERROR(VLOOKUP($B1693,Platts!$E$5:$M$4994,MATCH(C$3,Platts!$F$5:$M$5,0)+1,FALSE),C1692)</f>
        <v>39.93</v>
      </c>
      <c r="D1693" s="6">
        <f>IFERROR(VLOOKUP($B1693,Platts!$E$5:$M$4994,MATCH(D$3,Platts!$F$5:$M$5,0)+1,FALSE),D1692)</f>
        <v>41.12</v>
      </c>
      <c r="E1693" s="6">
        <f>IFERROR(VLOOKUP($B1693,Platts!$E$5:$M$4994,MATCH(E$3,Platts!$F$5:$M$5,0)+1,FALSE),E1692)</f>
        <v>40.520000000000003</v>
      </c>
      <c r="F1693" s="6">
        <f>IFERROR(VLOOKUP($B1693,Platts!$E$5:$M$4994,MATCH(F$3,Platts!$F$5:$M$5,0)+1,FALSE),F1692)</f>
        <v>42.47</v>
      </c>
      <c r="G1693" s="6">
        <f>IFERROR(VLOOKUP($B1693,Platts!$E$5:$M$4994,MATCH(G$3,Platts!$F$5:$M$5,0)+1,FALSE),G1692)</f>
        <v>44.85</v>
      </c>
      <c r="H1693" s="6">
        <f>IFERROR(VLOOKUP($B1693,Platts!$E$5:$M$4994,MATCH(H$3,Platts!$F$5:$M$5,0)+1,FALSE),H1692)</f>
        <v>42.01</v>
      </c>
      <c r="I1693" s="6">
        <f>IFERROR(VLOOKUP($B1693,Platts!$E$5:$M$4994,MATCH(I$3,Platts!$F$5:$M$5,0)+1,FALSE),I1692)</f>
        <v>43.51</v>
      </c>
      <c r="J1693" s="6">
        <f t="shared" si="52"/>
        <v>2.0799999999999983</v>
      </c>
    </row>
    <row r="1694" spans="2:10" x14ac:dyDescent="0.25">
      <c r="B1694" s="5">
        <f t="shared" si="53"/>
        <v>44060</v>
      </c>
      <c r="C1694" s="6">
        <f>IFERROR(VLOOKUP($B1694,Platts!$E$5:$M$4994,MATCH(C$3,Platts!$F$5:$M$5,0)+1,FALSE),C1693)</f>
        <v>40.58</v>
      </c>
      <c r="D1694" s="6">
        <f>IFERROR(VLOOKUP($B1694,Platts!$E$5:$M$4994,MATCH(D$3,Platts!$F$5:$M$5,0)+1,FALSE),D1693)</f>
        <v>41.8</v>
      </c>
      <c r="E1694" s="6">
        <f>IFERROR(VLOOKUP($B1694,Platts!$E$5:$M$4994,MATCH(E$3,Platts!$F$5:$M$5,0)+1,FALSE),E1693)</f>
        <v>41.2</v>
      </c>
      <c r="F1694" s="6">
        <f>IFERROR(VLOOKUP($B1694,Platts!$E$5:$M$4994,MATCH(F$3,Platts!$F$5:$M$5,0)+1,FALSE),F1693)</f>
        <v>43.15</v>
      </c>
      <c r="G1694" s="6">
        <f>IFERROR(VLOOKUP($B1694,Platts!$E$5:$M$4994,MATCH(G$3,Platts!$F$5:$M$5,0)+1,FALSE),G1693)</f>
        <v>45.18</v>
      </c>
      <c r="H1694" s="6">
        <f>IFERROR(VLOOKUP($B1694,Platts!$E$5:$M$4994,MATCH(H$3,Platts!$F$5:$M$5,0)+1,FALSE),H1693)</f>
        <v>42.89</v>
      </c>
      <c r="I1694" s="6">
        <f>IFERROR(VLOOKUP($B1694,Platts!$E$5:$M$4994,MATCH(I$3,Platts!$F$5:$M$5,0)+1,FALSE),I1693)</f>
        <v>44.54</v>
      </c>
      <c r="J1694" s="6">
        <f t="shared" si="52"/>
        <v>2.3100000000000023</v>
      </c>
    </row>
    <row r="1695" spans="2:10" x14ac:dyDescent="0.25">
      <c r="B1695" s="5">
        <f t="shared" si="53"/>
        <v>44061</v>
      </c>
      <c r="C1695" s="6">
        <f>IFERROR(VLOOKUP($B1695,Platts!$E$5:$M$4994,MATCH(C$3,Platts!$F$5:$M$5,0)+1,FALSE),C1694)</f>
        <v>40.74</v>
      </c>
      <c r="D1695" s="6">
        <f>IFERROR(VLOOKUP($B1695,Platts!$E$5:$M$4994,MATCH(D$3,Platts!$F$5:$M$5,0)+1,FALSE),D1694)</f>
        <v>41.83</v>
      </c>
      <c r="E1695" s="6">
        <f>IFERROR(VLOOKUP($B1695,Platts!$E$5:$M$4994,MATCH(E$3,Platts!$F$5:$M$5,0)+1,FALSE),E1694)</f>
        <v>41.23</v>
      </c>
      <c r="F1695" s="6">
        <f>IFERROR(VLOOKUP($B1695,Platts!$E$5:$M$4994,MATCH(F$3,Platts!$F$5:$M$5,0)+1,FALSE),F1694)</f>
        <v>43.18</v>
      </c>
      <c r="G1695" s="6">
        <f>IFERROR(VLOOKUP($B1695,Platts!$E$5:$M$4994,MATCH(G$3,Platts!$F$5:$M$5,0)+1,FALSE),G1694)</f>
        <v>45.38</v>
      </c>
      <c r="H1695" s="6">
        <f>IFERROR(VLOOKUP($B1695,Platts!$E$5:$M$4994,MATCH(H$3,Platts!$F$5:$M$5,0)+1,FALSE),H1694)</f>
        <v>42.89</v>
      </c>
      <c r="I1695" s="6">
        <f>IFERROR(VLOOKUP($B1695,Platts!$E$5:$M$4994,MATCH(I$3,Platts!$F$5:$M$5,0)+1,FALSE),I1694)</f>
        <v>44.24</v>
      </c>
      <c r="J1695" s="6">
        <f t="shared" si="52"/>
        <v>2.1499999999999986</v>
      </c>
    </row>
    <row r="1696" spans="2:10" x14ac:dyDescent="0.25">
      <c r="B1696" s="5">
        <f t="shared" si="53"/>
        <v>44062</v>
      </c>
      <c r="C1696" s="6">
        <f>IFERROR(VLOOKUP($B1696,Platts!$E$5:$M$4994,MATCH(C$3,Platts!$F$5:$M$5,0)+1,FALSE),C1695)</f>
        <v>40.68</v>
      </c>
      <c r="D1696" s="6">
        <f>IFERROR(VLOOKUP($B1696,Platts!$E$5:$M$4994,MATCH(D$3,Platts!$F$5:$M$5,0)+1,FALSE),D1695)</f>
        <v>41.93</v>
      </c>
      <c r="E1696" s="6">
        <f>IFERROR(VLOOKUP($B1696,Platts!$E$5:$M$4994,MATCH(E$3,Platts!$F$5:$M$5,0)+1,FALSE),E1695)</f>
        <v>41.33</v>
      </c>
      <c r="F1696" s="6">
        <f>IFERROR(VLOOKUP($B1696,Platts!$E$5:$M$4994,MATCH(F$3,Platts!$F$5:$M$5,0)+1,FALSE),F1695)</f>
        <v>43.28</v>
      </c>
      <c r="G1696" s="6">
        <f>IFERROR(VLOOKUP($B1696,Platts!$E$5:$M$4994,MATCH(G$3,Platts!$F$5:$M$5,0)+1,FALSE),G1695)</f>
        <v>45.3</v>
      </c>
      <c r="H1696" s="6">
        <f>IFERROR(VLOOKUP($B1696,Platts!$E$5:$M$4994,MATCH(H$3,Platts!$F$5:$M$5,0)+1,FALSE),H1695)</f>
        <v>42.93</v>
      </c>
      <c r="I1696" s="6">
        <f>IFERROR(VLOOKUP($B1696,Platts!$E$5:$M$4994,MATCH(I$3,Platts!$F$5:$M$5,0)+1,FALSE),I1695)</f>
        <v>44.53</v>
      </c>
      <c r="J1696" s="6">
        <f t="shared" si="52"/>
        <v>2.25</v>
      </c>
    </row>
    <row r="1697" spans="2:10" x14ac:dyDescent="0.25">
      <c r="B1697" s="5">
        <f t="shared" si="53"/>
        <v>44063</v>
      </c>
      <c r="C1697" s="6">
        <f>IFERROR(VLOOKUP($B1697,Platts!$E$5:$M$4994,MATCH(C$3,Platts!$F$5:$M$5,0)+1,FALSE),C1696)</f>
        <v>40.33</v>
      </c>
      <c r="D1697" s="6">
        <f>IFERROR(VLOOKUP($B1697,Platts!$E$5:$M$4994,MATCH(D$3,Platts!$F$5:$M$5,0)+1,FALSE),D1696)</f>
        <v>41.57</v>
      </c>
      <c r="E1697" s="6">
        <f>IFERROR(VLOOKUP($B1697,Platts!$E$5:$M$4994,MATCH(E$3,Platts!$F$5:$M$5,0)+1,FALSE),E1696)</f>
        <v>40.97</v>
      </c>
      <c r="F1697" s="6">
        <f>IFERROR(VLOOKUP($B1697,Platts!$E$5:$M$4994,MATCH(F$3,Platts!$F$5:$M$5,0)+1,FALSE),F1696)</f>
        <v>42.92</v>
      </c>
      <c r="G1697" s="6">
        <f>IFERROR(VLOOKUP($B1697,Platts!$E$5:$M$4994,MATCH(G$3,Platts!$F$5:$M$5,0)+1,FALSE),G1696)</f>
        <v>44.74</v>
      </c>
      <c r="H1697" s="6">
        <f>IFERROR(VLOOKUP($B1697,Platts!$E$5:$M$4994,MATCH(H$3,Platts!$F$5:$M$5,0)+1,FALSE),H1696)</f>
        <v>42.58</v>
      </c>
      <c r="I1697" s="6">
        <f>IFERROR(VLOOKUP($B1697,Platts!$E$5:$M$4994,MATCH(I$3,Platts!$F$5:$M$5,0)+1,FALSE),I1696)</f>
        <v>44.03</v>
      </c>
      <c r="J1697" s="6">
        <f t="shared" si="52"/>
        <v>2.25</v>
      </c>
    </row>
    <row r="1698" spans="2:10" x14ac:dyDescent="0.25">
      <c r="B1698" s="5">
        <f t="shared" si="53"/>
        <v>44064</v>
      </c>
      <c r="C1698" s="6">
        <f>IFERROR(VLOOKUP($B1698,Platts!$E$5:$M$4994,MATCH(C$3,Platts!$F$5:$M$5,0)+1,FALSE),C1697)</f>
        <v>40</v>
      </c>
      <c r="D1698" s="6">
        <f>IFERROR(VLOOKUP($B1698,Platts!$E$5:$M$4994,MATCH(D$3,Platts!$F$5:$M$5,0)+1,FALSE),D1697)</f>
        <v>41.26</v>
      </c>
      <c r="E1698" s="6">
        <f>IFERROR(VLOOKUP($B1698,Platts!$E$5:$M$4994,MATCH(E$3,Platts!$F$5:$M$5,0)+1,FALSE),E1697)</f>
        <v>40.659999999999997</v>
      </c>
      <c r="F1698" s="6">
        <f>IFERROR(VLOOKUP($B1698,Platts!$E$5:$M$4994,MATCH(F$3,Platts!$F$5:$M$5,0)+1,FALSE),F1697)</f>
        <v>42.61</v>
      </c>
      <c r="G1698" s="6">
        <f>IFERROR(VLOOKUP($B1698,Platts!$E$5:$M$4994,MATCH(G$3,Platts!$F$5:$M$5,0)+1,FALSE),G1697)</f>
        <v>43.87</v>
      </c>
      <c r="H1698" s="6">
        <f>IFERROR(VLOOKUP($B1698,Platts!$E$5:$M$4994,MATCH(H$3,Platts!$F$5:$M$5,0)+1,FALSE),H1697)</f>
        <v>42.18</v>
      </c>
      <c r="I1698" s="6">
        <f>IFERROR(VLOOKUP($B1698,Platts!$E$5:$M$4994,MATCH(I$3,Platts!$F$5:$M$5,0)+1,FALSE),I1697)</f>
        <v>43.73</v>
      </c>
      <c r="J1698" s="6">
        <f t="shared" si="52"/>
        <v>2.1799999999999997</v>
      </c>
    </row>
    <row r="1699" spans="2:10" x14ac:dyDescent="0.25">
      <c r="B1699" s="5">
        <f t="shared" si="53"/>
        <v>44065</v>
      </c>
      <c r="C1699" s="6">
        <f>IFERROR(VLOOKUP($B1699,Platts!$E$5:$M$4994,MATCH(C$3,Platts!$F$5:$M$5,0)+1,FALSE),C1698)</f>
        <v>40</v>
      </c>
      <c r="D1699" s="6">
        <f>IFERROR(VLOOKUP($B1699,Platts!$E$5:$M$4994,MATCH(D$3,Platts!$F$5:$M$5,0)+1,FALSE),D1698)</f>
        <v>41.26</v>
      </c>
      <c r="E1699" s="6">
        <f>IFERROR(VLOOKUP($B1699,Platts!$E$5:$M$4994,MATCH(E$3,Platts!$F$5:$M$5,0)+1,FALSE),E1698)</f>
        <v>40.659999999999997</v>
      </c>
      <c r="F1699" s="6">
        <f>IFERROR(VLOOKUP($B1699,Platts!$E$5:$M$4994,MATCH(F$3,Platts!$F$5:$M$5,0)+1,FALSE),F1698)</f>
        <v>42.61</v>
      </c>
      <c r="G1699" s="6">
        <f>IFERROR(VLOOKUP($B1699,Platts!$E$5:$M$4994,MATCH(G$3,Platts!$F$5:$M$5,0)+1,FALSE),G1698)</f>
        <v>43.87</v>
      </c>
      <c r="H1699" s="6">
        <f>IFERROR(VLOOKUP($B1699,Platts!$E$5:$M$4994,MATCH(H$3,Platts!$F$5:$M$5,0)+1,FALSE),H1698)</f>
        <v>42.18</v>
      </c>
      <c r="I1699" s="6">
        <f>IFERROR(VLOOKUP($B1699,Platts!$E$5:$M$4994,MATCH(I$3,Platts!$F$5:$M$5,0)+1,FALSE),I1698)</f>
        <v>43.73</v>
      </c>
      <c r="J1699" s="6">
        <f t="shared" si="52"/>
        <v>2.1799999999999997</v>
      </c>
    </row>
    <row r="1700" spans="2:10" x14ac:dyDescent="0.25">
      <c r="B1700" s="5">
        <f t="shared" si="53"/>
        <v>44066</v>
      </c>
      <c r="C1700" s="6">
        <f>IFERROR(VLOOKUP($B1700,Platts!$E$5:$M$4994,MATCH(C$3,Platts!$F$5:$M$5,0)+1,FALSE),C1699)</f>
        <v>40</v>
      </c>
      <c r="D1700" s="6">
        <f>IFERROR(VLOOKUP($B1700,Platts!$E$5:$M$4994,MATCH(D$3,Platts!$F$5:$M$5,0)+1,FALSE),D1699)</f>
        <v>41.26</v>
      </c>
      <c r="E1700" s="6">
        <f>IFERROR(VLOOKUP($B1700,Platts!$E$5:$M$4994,MATCH(E$3,Platts!$F$5:$M$5,0)+1,FALSE),E1699)</f>
        <v>40.659999999999997</v>
      </c>
      <c r="F1700" s="6">
        <f>IFERROR(VLOOKUP($B1700,Platts!$E$5:$M$4994,MATCH(F$3,Platts!$F$5:$M$5,0)+1,FALSE),F1699)</f>
        <v>42.61</v>
      </c>
      <c r="G1700" s="6">
        <f>IFERROR(VLOOKUP($B1700,Platts!$E$5:$M$4994,MATCH(G$3,Platts!$F$5:$M$5,0)+1,FALSE),G1699)</f>
        <v>43.87</v>
      </c>
      <c r="H1700" s="6">
        <f>IFERROR(VLOOKUP($B1700,Platts!$E$5:$M$4994,MATCH(H$3,Platts!$F$5:$M$5,0)+1,FALSE),H1699)</f>
        <v>42.18</v>
      </c>
      <c r="I1700" s="6">
        <f>IFERROR(VLOOKUP($B1700,Platts!$E$5:$M$4994,MATCH(I$3,Platts!$F$5:$M$5,0)+1,FALSE),I1699)</f>
        <v>43.73</v>
      </c>
      <c r="J1700" s="6">
        <f t="shared" si="52"/>
        <v>2.1799999999999997</v>
      </c>
    </row>
    <row r="1701" spans="2:10" x14ac:dyDescent="0.25">
      <c r="B1701" s="5">
        <f t="shared" si="53"/>
        <v>44067</v>
      </c>
      <c r="C1701" s="6">
        <f>IFERROR(VLOOKUP($B1701,Platts!$E$5:$M$4994,MATCH(C$3,Platts!$F$5:$M$5,0)+1,FALSE),C1700)</f>
        <v>40.5</v>
      </c>
      <c r="D1701" s="6">
        <f>IFERROR(VLOOKUP($B1701,Platts!$E$5:$M$4994,MATCH(D$3,Platts!$F$5:$M$5,0)+1,FALSE),D1700)</f>
        <v>41.72</v>
      </c>
      <c r="E1701" s="6">
        <f>IFERROR(VLOOKUP($B1701,Platts!$E$5:$M$4994,MATCH(E$3,Platts!$F$5:$M$5,0)+1,FALSE),E1700)</f>
        <v>41.12</v>
      </c>
      <c r="F1701" s="6">
        <f>IFERROR(VLOOKUP($B1701,Platts!$E$5:$M$4994,MATCH(F$3,Platts!$F$5:$M$5,0)+1,FALSE),F1700)</f>
        <v>43.07</v>
      </c>
      <c r="G1701" s="6">
        <f>IFERROR(VLOOKUP($B1701,Platts!$E$5:$M$4994,MATCH(G$3,Platts!$F$5:$M$5,0)+1,FALSE),G1700)</f>
        <v>45.04</v>
      </c>
      <c r="H1701" s="6">
        <f>IFERROR(VLOOKUP($B1701,Platts!$E$5:$M$4994,MATCH(H$3,Platts!$F$5:$M$5,0)+1,FALSE),H1700)</f>
        <v>42.46</v>
      </c>
      <c r="I1701" s="6">
        <f>IFERROR(VLOOKUP($B1701,Platts!$E$5:$M$4994,MATCH(I$3,Platts!$F$5:$M$5,0)+1,FALSE),I1700)</f>
        <v>45.21</v>
      </c>
      <c r="J1701" s="6">
        <f t="shared" si="52"/>
        <v>1.9600000000000009</v>
      </c>
    </row>
    <row r="1702" spans="2:10" x14ac:dyDescent="0.25">
      <c r="B1702" s="5">
        <f t="shared" si="53"/>
        <v>44068</v>
      </c>
      <c r="C1702" s="6">
        <f>IFERROR(VLOOKUP($B1702,Platts!$E$5:$M$4994,MATCH(C$3,Platts!$F$5:$M$5,0)+1,FALSE),C1701)</f>
        <v>41.12</v>
      </c>
      <c r="D1702" s="6">
        <f>IFERROR(VLOOKUP($B1702,Platts!$E$5:$M$4994,MATCH(D$3,Platts!$F$5:$M$5,0)+1,FALSE),D1701)</f>
        <v>42.44</v>
      </c>
      <c r="E1702" s="6">
        <f>IFERROR(VLOOKUP($B1702,Platts!$E$5:$M$4994,MATCH(E$3,Platts!$F$5:$M$5,0)+1,FALSE),E1701)</f>
        <v>41.84</v>
      </c>
      <c r="F1702" s="6">
        <f>IFERROR(VLOOKUP($B1702,Platts!$E$5:$M$4994,MATCH(F$3,Platts!$F$5:$M$5,0)+1,FALSE),F1701)</f>
        <v>43.79</v>
      </c>
      <c r="G1702" s="6">
        <f>IFERROR(VLOOKUP($B1702,Platts!$E$5:$M$4994,MATCH(G$3,Platts!$F$5:$M$5,0)+1,FALSE),G1701)</f>
        <v>45.99</v>
      </c>
      <c r="H1702" s="6">
        <f>IFERROR(VLOOKUP($B1702,Platts!$E$5:$M$4994,MATCH(H$3,Platts!$F$5:$M$5,0)+1,FALSE),H1701)</f>
        <v>43.19</v>
      </c>
      <c r="I1702" s="6">
        <f>IFERROR(VLOOKUP($B1702,Platts!$E$5:$M$4994,MATCH(I$3,Platts!$F$5:$M$5,0)+1,FALSE),I1701)</f>
        <v>45.54</v>
      </c>
      <c r="J1702" s="6">
        <f t="shared" si="52"/>
        <v>2.0700000000000003</v>
      </c>
    </row>
    <row r="1703" spans="2:10" x14ac:dyDescent="0.25">
      <c r="B1703" s="5">
        <f t="shared" si="53"/>
        <v>44069</v>
      </c>
      <c r="C1703" s="6">
        <f>IFERROR(VLOOKUP($B1703,Platts!$E$5:$M$4994,MATCH(C$3,Platts!$F$5:$M$5,0)+1,FALSE),C1702)</f>
        <v>41.11</v>
      </c>
      <c r="D1703" s="6">
        <f>IFERROR(VLOOKUP($B1703,Platts!$E$5:$M$4994,MATCH(D$3,Platts!$F$5:$M$5,0)+1,FALSE),D1702)</f>
        <v>42.31</v>
      </c>
      <c r="E1703" s="6">
        <f>IFERROR(VLOOKUP($B1703,Platts!$E$5:$M$4994,MATCH(E$3,Platts!$F$5:$M$5,0)+1,FALSE),E1702)</f>
        <v>41.71</v>
      </c>
      <c r="F1703" s="6">
        <f>IFERROR(VLOOKUP($B1703,Platts!$E$5:$M$4994,MATCH(F$3,Platts!$F$5:$M$5,0)+1,FALSE),F1702)</f>
        <v>43.66</v>
      </c>
      <c r="G1703" s="6">
        <f>IFERROR(VLOOKUP($B1703,Platts!$E$5:$M$4994,MATCH(G$3,Platts!$F$5:$M$5,0)+1,FALSE),G1702)</f>
        <v>45.61</v>
      </c>
      <c r="H1703" s="6">
        <f>IFERROR(VLOOKUP($B1703,Platts!$E$5:$M$4994,MATCH(H$3,Platts!$F$5:$M$5,0)+1,FALSE),H1702)</f>
        <v>43.39</v>
      </c>
      <c r="I1703" s="6">
        <f>IFERROR(VLOOKUP($B1703,Platts!$E$5:$M$4994,MATCH(I$3,Platts!$F$5:$M$5,0)+1,FALSE),I1702)</f>
        <v>44.49</v>
      </c>
      <c r="J1703" s="6">
        <f t="shared" si="52"/>
        <v>2.2800000000000011</v>
      </c>
    </row>
    <row r="1704" spans="2:10" x14ac:dyDescent="0.25">
      <c r="B1704" s="5">
        <f t="shared" si="53"/>
        <v>44070</v>
      </c>
      <c r="C1704" s="6">
        <f>IFERROR(VLOOKUP($B1704,Platts!$E$5:$M$4994,MATCH(C$3,Platts!$F$5:$M$5,0)+1,FALSE),C1703)</f>
        <v>40.729999999999997</v>
      </c>
      <c r="D1704" s="6">
        <f>IFERROR(VLOOKUP($B1704,Platts!$E$5:$M$4994,MATCH(D$3,Platts!$F$5:$M$5,0)+1,FALSE),D1703)</f>
        <v>41.92</v>
      </c>
      <c r="E1704" s="6">
        <f>IFERROR(VLOOKUP($B1704,Platts!$E$5:$M$4994,MATCH(E$3,Platts!$F$5:$M$5,0)+1,FALSE),E1703)</f>
        <v>41.32</v>
      </c>
      <c r="F1704" s="6">
        <f>IFERROR(VLOOKUP($B1704,Platts!$E$5:$M$4994,MATCH(F$3,Platts!$F$5:$M$5,0)+1,FALSE),F1703)</f>
        <v>43.27</v>
      </c>
      <c r="G1704" s="6">
        <f>IFERROR(VLOOKUP($B1704,Platts!$E$5:$M$4994,MATCH(G$3,Platts!$F$5:$M$5,0)+1,FALSE),G1703)</f>
        <v>44.93</v>
      </c>
      <c r="H1704" s="6">
        <f>IFERROR(VLOOKUP($B1704,Platts!$E$5:$M$4994,MATCH(H$3,Platts!$F$5:$M$5,0)+1,FALSE),H1703)</f>
        <v>43.04</v>
      </c>
      <c r="I1704" s="6">
        <f>IFERROR(VLOOKUP($B1704,Platts!$E$5:$M$4994,MATCH(I$3,Platts!$F$5:$M$5,0)+1,FALSE),I1703)</f>
        <v>44.54</v>
      </c>
      <c r="J1704" s="6">
        <f t="shared" si="52"/>
        <v>2.3100000000000023</v>
      </c>
    </row>
    <row r="1705" spans="2:10" x14ac:dyDescent="0.25">
      <c r="B1705" s="5">
        <f t="shared" si="53"/>
        <v>44071</v>
      </c>
      <c r="C1705" s="6">
        <f>IFERROR(VLOOKUP($B1705,Platts!$E$5:$M$4994,MATCH(C$3,Platts!$F$5:$M$5,0)+1,FALSE),C1704)</f>
        <v>40.58</v>
      </c>
      <c r="D1705" s="6">
        <f>IFERROR(VLOOKUP($B1705,Platts!$E$5:$M$4994,MATCH(D$3,Platts!$F$5:$M$5,0)+1,FALSE),D1704)</f>
        <v>41.87</v>
      </c>
      <c r="E1705" s="6">
        <f>IFERROR(VLOOKUP($B1705,Platts!$E$5:$M$4994,MATCH(E$3,Platts!$F$5:$M$5,0)+1,FALSE),E1704)</f>
        <v>41.27</v>
      </c>
      <c r="F1705" s="6">
        <f>IFERROR(VLOOKUP($B1705,Platts!$E$5:$M$4994,MATCH(F$3,Platts!$F$5:$M$5,0)+1,FALSE),F1704)</f>
        <v>43.22</v>
      </c>
      <c r="G1705" s="6">
        <f>IFERROR(VLOOKUP($B1705,Platts!$E$5:$M$4994,MATCH(G$3,Platts!$F$5:$M$5,0)+1,FALSE),G1704)</f>
        <v>45.15</v>
      </c>
      <c r="H1705" s="6">
        <f>IFERROR(VLOOKUP($B1705,Platts!$E$5:$M$4994,MATCH(H$3,Platts!$F$5:$M$5,0)+1,FALSE),H1704)</f>
        <v>42.97</v>
      </c>
      <c r="I1705" s="6">
        <f>IFERROR(VLOOKUP($B1705,Platts!$E$5:$M$4994,MATCH(I$3,Platts!$F$5:$M$5,0)+1,FALSE),I1704)</f>
        <v>44.17</v>
      </c>
      <c r="J1705" s="6">
        <f t="shared" si="52"/>
        <v>2.3900000000000006</v>
      </c>
    </row>
    <row r="1706" spans="2:10" x14ac:dyDescent="0.25">
      <c r="B1706" s="5">
        <f t="shared" si="53"/>
        <v>44072</v>
      </c>
      <c r="C1706" s="6">
        <f>IFERROR(VLOOKUP($B1706,Platts!$E$5:$M$4994,MATCH(C$3,Platts!$F$5:$M$5,0)+1,FALSE),C1705)</f>
        <v>40.58</v>
      </c>
      <c r="D1706" s="6">
        <f>IFERROR(VLOOKUP($B1706,Platts!$E$5:$M$4994,MATCH(D$3,Platts!$F$5:$M$5,0)+1,FALSE),D1705)</f>
        <v>41.87</v>
      </c>
      <c r="E1706" s="6">
        <f>IFERROR(VLOOKUP($B1706,Platts!$E$5:$M$4994,MATCH(E$3,Platts!$F$5:$M$5,0)+1,FALSE),E1705)</f>
        <v>41.27</v>
      </c>
      <c r="F1706" s="6">
        <f>IFERROR(VLOOKUP($B1706,Platts!$E$5:$M$4994,MATCH(F$3,Platts!$F$5:$M$5,0)+1,FALSE),F1705)</f>
        <v>43.22</v>
      </c>
      <c r="G1706" s="6">
        <f>IFERROR(VLOOKUP($B1706,Platts!$E$5:$M$4994,MATCH(G$3,Platts!$F$5:$M$5,0)+1,FALSE),G1705)</f>
        <v>45.15</v>
      </c>
      <c r="H1706" s="6">
        <f>IFERROR(VLOOKUP($B1706,Platts!$E$5:$M$4994,MATCH(H$3,Platts!$F$5:$M$5,0)+1,FALSE),H1705)</f>
        <v>42.97</v>
      </c>
      <c r="I1706" s="6">
        <f>IFERROR(VLOOKUP($B1706,Platts!$E$5:$M$4994,MATCH(I$3,Platts!$F$5:$M$5,0)+1,FALSE),I1705)</f>
        <v>44.17</v>
      </c>
      <c r="J1706" s="6">
        <f t="shared" si="52"/>
        <v>2.3900000000000006</v>
      </c>
    </row>
    <row r="1707" spans="2:10" x14ac:dyDescent="0.25">
      <c r="B1707" s="5">
        <f t="shared" si="53"/>
        <v>44073</v>
      </c>
      <c r="C1707" s="6">
        <f>IFERROR(VLOOKUP($B1707,Platts!$E$5:$M$4994,MATCH(C$3,Platts!$F$5:$M$5,0)+1,FALSE),C1706)</f>
        <v>40.58</v>
      </c>
      <c r="D1707" s="6">
        <f>IFERROR(VLOOKUP($B1707,Platts!$E$5:$M$4994,MATCH(D$3,Platts!$F$5:$M$5,0)+1,FALSE),D1706)</f>
        <v>41.87</v>
      </c>
      <c r="E1707" s="6">
        <f>IFERROR(VLOOKUP($B1707,Platts!$E$5:$M$4994,MATCH(E$3,Platts!$F$5:$M$5,0)+1,FALSE),E1706)</f>
        <v>41.27</v>
      </c>
      <c r="F1707" s="6">
        <f>IFERROR(VLOOKUP($B1707,Platts!$E$5:$M$4994,MATCH(F$3,Platts!$F$5:$M$5,0)+1,FALSE),F1706)</f>
        <v>43.22</v>
      </c>
      <c r="G1707" s="6">
        <f>IFERROR(VLOOKUP($B1707,Platts!$E$5:$M$4994,MATCH(G$3,Platts!$F$5:$M$5,0)+1,FALSE),G1706)</f>
        <v>45.15</v>
      </c>
      <c r="H1707" s="6">
        <f>IFERROR(VLOOKUP($B1707,Platts!$E$5:$M$4994,MATCH(H$3,Platts!$F$5:$M$5,0)+1,FALSE),H1706)</f>
        <v>42.97</v>
      </c>
      <c r="I1707" s="6">
        <f>IFERROR(VLOOKUP($B1707,Platts!$E$5:$M$4994,MATCH(I$3,Platts!$F$5:$M$5,0)+1,FALSE),I1706)</f>
        <v>44.17</v>
      </c>
      <c r="J1707" s="6">
        <f t="shared" si="52"/>
        <v>2.3900000000000006</v>
      </c>
    </row>
    <row r="1708" spans="2:10" x14ac:dyDescent="0.25">
      <c r="B1708" s="5">
        <f t="shared" si="53"/>
        <v>44074</v>
      </c>
      <c r="C1708" s="6">
        <f>IFERROR(VLOOKUP($B1708,Platts!$E$5:$M$4994,MATCH(C$3,Platts!$F$5:$M$5,0)+1,FALSE),C1707)</f>
        <v>40.85</v>
      </c>
      <c r="D1708" s="6">
        <f>IFERROR(VLOOKUP($B1708,Platts!$E$5:$M$4994,MATCH(D$3,Platts!$F$5:$M$5,0)+1,FALSE),D1707)</f>
        <v>41.86</v>
      </c>
      <c r="E1708" s="6">
        <f>IFERROR(VLOOKUP($B1708,Platts!$E$5:$M$4994,MATCH(E$3,Platts!$F$5:$M$5,0)+1,FALSE),E1707)</f>
        <v>41.26</v>
      </c>
      <c r="F1708" s="6">
        <f>IFERROR(VLOOKUP($B1708,Platts!$E$5:$M$4994,MATCH(F$3,Platts!$F$5:$M$5,0)+1,FALSE),F1707)</f>
        <v>43.21</v>
      </c>
      <c r="G1708" s="6">
        <f>IFERROR(VLOOKUP($B1708,Platts!$E$5:$M$4994,MATCH(G$3,Platts!$F$5:$M$5,0)+1,FALSE),G1707)</f>
        <v>45.15</v>
      </c>
      <c r="H1708" s="6">
        <f>IFERROR(VLOOKUP($B1708,Platts!$E$5:$M$4994,MATCH(H$3,Platts!$F$5:$M$5,0)+1,FALSE),H1707)</f>
        <v>42.61</v>
      </c>
      <c r="I1708" s="6">
        <f>IFERROR(VLOOKUP($B1708,Platts!$E$5:$M$4994,MATCH(I$3,Platts!$F$5:$M$5,0)+1,FALSE),I1707)</f>
        <v>43.86</v>
      </c>
      <c r="J1708" s="6">
        <f t="shared" si="52"/>
        <v>1.759999999999998</v>
      </c>
    </row>
    <row r="1709" spans="2:10" x14ac:dyDescent="0.25">
      <c r="B1709" s="5">
        <f t="shared" si="53"/>
        <v>44075</v>
      </c>
      <c r="C1709" s="6">
        <f>IFERROR(VLOOKUP($B1709,Platts!$E$5:$M$4994,MATCH(C$3,Platts!$F$5:$M$5,0)+1,FALSE),C1708)</f>
        <v>41.12</v>
      </c>
      <c r="D1709" s="6">
        <f>IFERROR(VLOOKUP($B1709,Platts!$E$5:$M$4994,MATCH(D$3,Platts!$F$5:$M$5,0)+1,FALSE),D1708)</f>
        <v>42.01</v>
      </c>
      <c r="E1709" s="6">
        <f>IFERROR(VLOOKUP($B1709,Platts!$E$5:$M$4994,MATCH(E$3,Platts!$F$5:$M$5,0)+1,FALSE),E1708)</f>
        <v>41.41</v>
      </c>
      <c r="F1709" s="6">
        <f>IFERROR(VLOOKUP($B1709,Platts!$E$5:$M$4994,MATCH(F$3,Platts!$F$5:$M$5,0)+1,FALSE),F1708)</f>
        <v>43.56</v>
      </c>
      <c r="G1709" s="6">
        <f>IFERROR(VLOOKUP($B1709,Platts!$E$5:$M$4994,MATCH(G$3,Platts!$F$5:$M$5,0)+1,FALSE),G1708)</f>
        <v>45.75</v>
      </c>
      <c r="H1709" s="6">
        <f>IFERROR(VLOOKUP($B1709,Platts!$E$5:$M$4994,MATCH(H$3,Platts!$F$5:$M$5,0)+1,FALSE),H1708)</f>
        <v>42.76</v>
      </c>
      <c r="I1709" s="6">
        <f>IFERROR(VLOOKUP($B1709,Platts!$E$5:$M$4994,MATCH(I$3,Platts!$F$5:$M$5,0)+1,FALSE),I1708)</f>
        <v>44.06</v>
      </c>
      <c r="J1709" s="6">
        <f t="shared" si="52"/>
        <v>1.6400000000000006</v>
      </c>
    </row>
    <row r="1710" spans="2:10" x14ac:dyDescent="0.25">
      <c r="B1710" s="5">
        <f t="shared" si="53"/>
        <v>44076</v>
      </c>
      <c r="C1710" s="6">
        <f>IFERROR(VLOOKUP($B1710,Platts!$E$5:$M$4994,MATCH(C$3,Platts!$F$5:$M$5,0)+1,FALSE),C1709)</f>
        <v>40.17</v>
      </c>
      <c r="D1710" s="6">
        <f>IFERROR(VLOOKUP($B1710,Platts!$E$5:$M$4994,MATCH(D$3,Platts!$F$5:$M$5,0)+1,FALSE),D1709)</f>
        <v>40.729999999999997</v>
      </c>
      <c r="E1710" s="6">
        <f>IFERROR(VLOOKUP($B1710,Platts!$E$5:$M$4994,MATCH(E$3,Platts!$F$5:$M$5,0)+1,FALSE),E1709)</f>
        <v>40.130000000000003</v>
      </c>
      <c r="F1710" s="6">
        <f>IFERROR(VLOOKUP($B1710,Platts!$E$5:$M$4994,MATCH(F$3,Platts!$F$5:$M$5,0)+1,FALSE),F1709)</f>
        <v>42.28</v>
      </c>
      <c r="G1710" s="6">
        <f>IFERROR(VLOOKUP($B1710,Platts!$E$5:$M$4994,MATCH(G$3,Platts!$F$5:$M$5,0)+1,FALSE),G1709)</f>
        <v>44.77</v>
      </c>
      <c r="H1710" s="6">
        <f>IFERROR(VLOOKUP($B1710,Platts!$E$5:$M$4994,MATCH(H$3,Platts!$F$5:$M$5,0)+1,FALSE),H1709)</f>
        <v>41.51</v>
      </c>
      <c r="I1710" s="6">
        <f>IFERROR(VLOOKUP($B1710,Platts!$E$5:$M$4994,MATCH(I$3,Platts!$F$5:$M$5,0)+1,FALSE),I1709)</f>
        <v>42.81</v>
      </c>
      <c r="J1710" s="6">
        <f t="shared" si="52"/>
        <v>1.3399999999999963</v>
      </c>
    </row>
    <row r="1711" spans="2:10" x14ac:dyDescent="0.25">
      <c r="B1711" s="5">
        <f t="shared" si="53"/>
        <v>44077</v>
      </c>
      <c r="C1711" s="6">
        <f>IFERROR(VLOOKUP($B1711,Platts!$E$5:$M$4994,MATCH(C$3,Platts!$F$5:$M$5,0)+1,FALSE),C1710)</f>
        <v>39.619999999999997</v>
      </c>
      <c r="D1711" s="6">
        <f>IFERROR(VLOOKUP($B1711,Platts!$E$5:$M$4994,MATCH(D$3,Platts!$F$5:$M$5,0)+1,FALSE),D1710)</f>
        <v>40.520000000000003</v>
      </c>
      <c r="E1711" s="6">
        <f>IFERROR(VLOOKUP($B1711,Platts!$E$5:$M$4994,MATCH(E$3,Platts!$F$5:$M$5,0)+1,FALSE),E1710)</f>
        <v>39.92</v>
      </c>
      <c r="F1711" s="6">
        <f>IFERROR(VLOOKUP($B1711,Platts!$E$5:$M$4994,MATCH(F$3,Platts!$F$5:$M$5,0)+1,FALSE),F1710)</f>
        <v>42.07</v>
      </c>
      <c r="G1711" s="6">
        <f>IFERROR(VLOOKUP($B1711,Platts!$E$5:$M$4994,MATCH(G$3,Platts!$F$5:$M$5,0)+1,FALSE),G1710)</f>
        <v>43.27</v>
      </c>
      <c r="H1711" s="6">
        <f>IFERROR(VLOOKUP($B1711,Platts!$E$5:$M$4994,MATCH(H$3,Platts!$F$5:$M$5,0)+1,FALSE),H1710)</f>
        <v>41.37</v>
      </c>
      <c r="I1711" s="6">
        <f>IFERROR(VLOOKUP($B1711,Platts!$E$5:$M$4994,MATCH(I$3,Platts!$F$5:$M$5,0)+1,FALSE),I1710)</f>
        <v>42.82</v>
      </c>
      <c r="J1711" s="6">
        <f t="shared" si="52"/>
        <v>1.75</v>
      </c>
    </row>
    <row r="1712" spans="2:10" x14ac:dyDescent="0.25">
      <c r="B1712" s="5">
        <f t="shared" si="53"/>
        <v>44078</v>
      </c>
      <c r="C1712" s="6">
        <f>IFERROR(VLOOKUP($B1712,Platts!$E$5:$M$4994,MATCH(C$3,Platts!$F$5:$M$5,0)+1,FALSE),C1711)</f>
        <v>38.450000000000003</v>
      </c>
      <c r="D1712" s="6">
        <f>IFERROR(VLOOKUP($B1712,Platts!$E$5:$M$4994,MATCH(D$3,Platts!$F$5:$M$5,0)+1,FALSE),D1711)</f>
        <v>38.96</v>
      </c>
      <c r="E1712" s="6">
        <f>IFERROR(VLOOKUP($B1712,Platts!$E$5:$M$4994,MATCH(E$3,Platts!$F$5:$M$5,0)+1,FALSE),E1711)</f>
        <v>38.35</v>
      </c>
      <c r="F1712" s="6">
        <f>IFERROR(VLOOKUP($B1712,Platts!$E$5:$M$4994,MATCH(F$3,Platts!$F$5:$M$5,0)+1,FALSE),F1711)</f>
        <v>40.51</v>
      </c>
      <c r="G1712" s="6">
        <f>IFERROR(VLOOKUP($B1712,Platts!$E$5:$M$4994,MATCH(G$3,Platts!$F$5:$M$5,0)+1,FALSE),G1711)</f>
        <v>42.81</v>
      </c>
      <c r="H1712" s="6">
        <f>IFERROR(VLOOKUP($B1712,Platts!$E$5:$M$4994,MATCH(H$3,Platts!$F$5:$M$5,0)+1,FALSE),H1711)</f>
        <v>39.770000000000003</v>
      </c>
      <c r="I1712" s="6">
        <f>IFERROR(VLOOKUP($B1712,Platts!$E$5:$M$4994,MATCH(I$3,Platts!$F$5:$M$5,0)+1,FALSE),I1711)</f>
        <v>41.22</v>
      </c>
      <c r="J1712" s="6">
        <f t="shared" si="52"/>
        <v>1.3200000000000003</v>
      </c>
    </row>
    <row r="1713" spans="2:10" x14ac:dyDescent="0.25">
      <c r="B1713" s="5">
        <f t="shared" si="53"/>
        <v>44079</v>
      </c>
      <c r="C1713" s="6">
        <f>IFERROR(VLOOKUP($B1713,Platts!$E$5:$M$4994,MATCH(C$3,Platts!$F$5:$M$5,0)+1,FALSE),C1712)</f>
        <v>38.450000000000003</v>
      </c>
      <c r="D1713" s="6">
        <f>IFERROR(VLOOKUP($B1713,Platts!$E$5:$M$4994,MATCH(D$3,Platts!$F$5:$M$5,0)+1,FALSE),D1712)</f>
        <v>38.96</v>
      </c>
      <c r="E1713" s="6">
        <f>IFERROR(VLOOKUP($B1713,Platts!$E$5:$M$4994,MATCH(E$3,Platts!$F$5:$M$5,0)+1,FALSE),E1712)</f>
        <v>38.35</v>
      </c>
      <c r="F1713" s="6">
        <f>IFERROR(VLOOKUP($B1713,Platts!$E$5:$M$4994,MATCH(F$3,Platts!$F$5:$M$5,0)+1,FALSE),F1712)</f>
        <v>40.51</v>
      </c>
      <c r="G1713" s="6">
        <f>IFERROR(VLOOKUP($B1713,Platts!$E$5:$M$4994,MATCH(G$3,Platts!$F$5:$M$5,0)+1,FALSE),G1712)</f>
        <v>42.81</v>
      </c>
      <c r="H1713" s="6">
        <f>IFERROR(VLOOKUP($B1713,Platts!$E$5:$M$4994,MATCH(H$3,Platts!$F$5:$M$5,0)+1,FALSE),H1712)</f>
        <v>39.770000000000003</v>
      </c>
      <c r="I1713" s="6">
        <f>IFERROR(VLOOKUP($B1713,Platts!$E$5:$M$4994,MATCH(I$3,Platts!$F$5:$M$5,0)+1,FALSE),I1712)</f>
        <v>41.22</v>
      </c>
      <c r="J1713" s="6">
        <f t="shared" si="52"/>
        <v>1.3200000000000003</v>
      </c>
    </row>
    <row r="1714" spans="2:10" x14ac:dyDescent="0.25">
      <c r="B1714" s="5">
        <f t="shared" si="53"/>
        <v>44080</v>
      </c>
      <c r="C1714" s="6">
        <f>IFERROR(VLOOKUP($B1714,Platts!$E$5:$M$4994,MATCH(C$3,Platts!$F$5:$M$5,0)+1,FALSE),C1713)</f>
        <v>38.450000000000003</v>
      </c>
      <c r="D1714" s="6">
        <f>IFERROR(VLOOKUP($B1714,Platts!$E$5:$M$4994,MATCH(D$3,Platts!$F$5:$M$5,0)+1,FALSE),D1713)</f>
        <v>38.96</v>
      </c>
      <c r="E1714" s="6">
        <f>IFERROR(VLOOKUP($B1714,Platts!$E$5:$M$4994,MATCH(E$3,Platts!$F$5:$M$5,0)+1,FALSE),E1713)</f>
        <v>38.35</v>
      </c>
      <c r="F1714" s="6">
        <f>IFERROR(VLOOKUP($B1714,Platts!$E$5:$M$4994,MATCH(F$3,Platts!$F$5:$M$5,0)+1,FALSE),F1713)</f>
        <v>40.51</v>
      </c>
      <c r="G1714" s="6">
        <f>IFERROR(VLOOKUP($B1714,Platts!$E$5:$M$4994,MATCH(G$3,Platts!$F$5:$M$5,0)+1,FALSE),G1713)</f>
        <v>42.81</v>
      </c>
      <c r="H1714" s="6">
        <f>IFERROR(VLOOKUP($B1714,Platts!$E$5:$M$4994,MATCH(H$3,Platts!$F$5:$M$5,0)+1,FALSE),H1713)</f>
        <v>39.770000000000003</v>
      </c>
      <c r="I1714" s="6">
        <f>IFERROR(VLOOKUP($B1714,Platts!$E$5:$M$4994,MATCH(I$3,Platts!$F$5:$M$5,0)+1,FALSE),I1713)</f>
        <v>41.22</v>
      </c>
      <c r="J1714" s="6">
        <f t="shared" si="52"/>
        <v>1.3200000000000003</v>
      </c>
    </row>
    <row r="1715" spans="2:10" x14ac:dyDescent="0.25">
      <c r="B1715" s="5">
        <f t="shared" si="53"/>
        <v>44081</v>
      </c>
      <c r="C1715" s="6">
        <f>IFERROR(VLOOKUP($B1715,Platts!$E$5:$M$4994,MATCH(C$3,Platts!$F$5:$M$5,0)+1,FALSE),C1714)</f>
        <v>38.450000000000003</v>
      </c>
      <c r="D1715" s="6">
        <f>IFERROR(VLOOKUP($B1715,Platts!$E$5:$M$4994,MATCH(D$3,Platts!$F$5:$M$5,0)+1,FALSE),D1714)</f>
        <v>38.96</v>
      </c>
      <c r="E1715" s="6">
        <f>IFERROR(VLOOKUP($B1715,Platts!$E$5:$M$4994,MATCH(E$3,Platts!$F$5:$M$5,0)+1,FALSE),E1714)</f>
        <v>38.35</v>
      </c>
      <c r="F1715" s="6">
        <f>IFERROR(VLOOKUP($B1715,Platts!$E$5:$M$4994,MATCH(F$3,Platts!$F$5:$M$5,0)+1,FALSE),F1714)</f>
        <v>40.51</v>
      </c>
      <c r="G1715" s="6">
        <f>IFERROR(VLOOKUP($B1715,Platts!$E$5:$M$4994,MATCH(G$3,Platts!$F$5:$M$5,0)+1,FALSE),G1714)</f>
        <v>41.93</v>
      </c>
      <c r="H1715" s="6">
        <f>IFERROR(VLOOKUP($B1715,Platts!$E$5:$M$4994,MATCH(H$3,Platts!$F$5:$M$5,0)+1,FALSE),H1714)</f>
        <v>39.770000000000003</v>
      </c>
      <c r="I1715" s="6">
        <f>IFERROR(VLOOKUP($B1715,Platts!$E$5:$M$4994,MATCH(I$3,Platts!$F$5:$M$5,0)+1,FALSE),I1714)</f>
        <v>41.22</v>
      </c>
      <c r="J1715" s="6">
        <f t="shared" si="52"/>
        <v>1.3200000000000003</v>
      </c>
    </row>
    <row r="1716" spans="2:10" x14ac:dyDescent="0.25">
      <c r="B1716" s="5">
        <f t="shared" si="53"/>
        <v>44082</v>
      </c>
      <c r="C1716" s="6">
        <f>IFERROR(VLOOKUP($B1716,Platts!$E$5:$M$4994,MATCH(C$3,Platts!$F$5:$M$5,0)+1,FALSE),C1715)</f>
        <v>35.5</v>
      </c>
      <c r="D1716" s="6">
        <f>IFERROR(VLOOKUP($B1716,Platts!$E$5:$M$4994,MATCH(D$3,Platts!$F$5:$M$5,0)+1,FALSE),D1715)</f>
        <v>36.119999999999997</v>
      </c>
      <c r="E1716" s="6">
        <f>IFERROR(VLOOKUP($B1716,Platts!$E$5:$M$4994,MATCH(E$3,Platts!$F$5:$M$5,0)+1,FALSE),E1715)</f>
        <v>35.520000000000003</v>
      </c>
      <c r="F1716" s="6">
        <f>IFERROR(VLOOKUP($B1716,Platts!$E$5:$M$4994,MATCH(F$3,Platts!$F$5:$M$5,0)+1,FALSE),F1715)</f>
        <v>37.67</v>
      </c>
      <c r="G1716" s="6">
        <f>IFERROR(VLOOKUP($B1716,Platts!$E$5:$M$4994,MATCH(G$3,Platts!$F$5:$M$5,0)+1,FALSE),G1715)</f>
        <v>39.770000000000003</v>
      </c>
      <c r="H1716" s="6">
        <f>IFERROR(VLOOKUP($B1716,Platts!$E$5:$M$4994,MATCH(H$3,Platts!$F$5:$M$5,0)+1,FALSE),H1715)</f>
        <v>36.76</v>
      </c>
      <c r="I1716" s="6">
        <f>IFERROR(VLOOKUP($B1716,Platts!$E$5:$M$4994,MATCH(I$3,Platts!$F$5:$M$5,0)+1,FALSE),I1715)</f>
        <v>38.31</v>
      </c>
      <c r="J1716" s="6">
        <f t="shared" si="52"/>
        <v>1.259999999999998</v>
      </c>
    </row>
    <row r="1717" spans="2:10" x14ac:dyDescent="0.25">
      <c r="B1717" s="5">
        <f t="shared" si="53"/>
        <v>44083</v>
      </c>
      <c r="C1717" s="6">
        <f>IFERROR(VLOOKUP($B1717,Platts!$E$5:$M$4994,MATCH(C$3,Platts!$F$5:$M$5,0)+1,FALSE),C1716)</f>
        <v>36.200000000000003</v>
      </c>
      <c r="D1717" s="6">
        <f>IFERROR(VLOOKUP($B1717,Platts!$E$5:$M$4994,MATCH(D$3,Platts!$F$5:$M$5,0)+1,FALSE),D1716)</f>
        <v>37.22</v>
      </c>
      <c r="E1717" s="6">
        <f>IFERROR(VLOOKUP($B1717,Platts!$E$5:$M$4994,MATCH(E$3,Platts!$F$5:$M$5,0)+1,FALSE),E1716)</f>
        <v>36.619999999999997</v>
      </c>
      <c r="F1717" s="6">
        <f>IFERROR(VLOOKUP($B1717,Platts!$E$5:$M$4994,MATCH(F$3,Platts!$F$5:$M$5,0)+1,FALSE),F1716)</f>
        <v>38.770000000000003</v>
      </c>
      <c r="G1717" s="6">
        <f>IFERROR(VLOOKUP($B1717,Platts!$E$5:$M$4994,MATCH(G$3,Platts!$F$5:$M$5,0)+1,FALSE),G1716)</f>
        <v>40.74</v>
      </c>
      <c r="H1717" s="6">
        <f>IFERROR(VLOOKUP($B1717,Platts!$E$5:$M$4994,MATCH(H$3,Platts!$F$5:$M$5,0)+1,FALSE),H1716)</f>
        <v>38.049999999999997</v>
      </c>
      <c r="I1717" s="6">
        <f>IFERROR(VLOOKUP($B1717,Platts!$E$5:$M$4994,MATCH(I$3,Platts!$F$5:$M$5,0)+1,FALSE),I1716)</f>
        <v>39.65</v>
      </c>
      <c r="J1717" s="6">
        <f t="shared" si="52"/>
        <v>1.8499999999999943</v>
      </c>
    </row>
    <row r="1718" spans="2:10" x14ac:dyDescent="0.25">
      <c r="B1718" s="5">
        <f t="shared" si="53"/>
        <v>44084</v>
      </c>
      <c r="C1718" s="6">
        <f>IFERROR(VLOOKUP($B1718,Platts!$E$5:$M$4994,MATCH(C$3,Platts!$F$5:$M$5,0)+1,FALSE),C1717)</f>
        <v>35.659999999999997</v>
      </c>
      <c r="D1718" s="6">
        <f>IFERROR(VLOOKUP($B1718,Platts!$E$5:$M$4994,MATCH(D$3,Platts!$F$5:$M$5,0)+1,FALSE),D1717)</f>
        <v>36.44</v>
      </c>
      <c r="E1718" s="6">
        <f>IFERROR(VLOOKUP($B1718,Platts!$E$5:$M$4994,MATCH(E$3,Platts!$F$5:$M$5,0)+1,FALSE),E1717)</f>
        <v>35.840000000000003</v>
      </c>
      <c r="F1718" s="6">
        <f>IFERROR(VLOOKUP($B1718,Platts!$E$5:$M$4994,MATCH(F$3,Platts!$F$5:$M$5,0)+1,FALSE),F1717)</f>
        <v>37.99</v>
      </c>
      <c r="G1718" s="6">
        <f>IFERROR(VLOOKUP($B1718,Platts!$E$5:$M$4994,MATCH(G$3,Platts!$F$5:$M$5,0)+1,FALSE),G1717)</f>
        <v>40.380000000000003</v>
      </c>
      <c r="H1718" s="6">
        <f>IFERROR(VLOOKUP($B1718,Platts!$E$5:$M$4994,MATCH(H$3,Platts!$F$5:$M$5,0)+1,FALSE),H1717)</f>
        <v>37.299999999999997</v>
      </c>
      <c r="I1718" s="6">
        <f>IFERROR(VLOOKUP($B1718,Platts!$E$5:$M$4994,MATCH(I$3,Platts!$F$5:$M$5,0)+1,FALSE),I1717)</f>
        <v>38.9</v>
      </c>
      <c r="J1718" s="6">
        <f t="shared" si="52"/>
        <v>1.6400000000000006</v>
      </c>
    </row>
    <row r="1719" spans="2:10" x14ac:dyDescent="0.25">
      <c r="B1719" s="5">
        <f t="shared" si="53"/>
        <v>44085</v>
      </c>
      <c r="C1719" s="6">
        <f>IFERROR(VLOOKUP($B1719,Platts!$E$5:$M$4994,MATCH(C$3,Platts!$F$5:$M$5,0)+1,FALSE),C1718)</f>
        <v>35.46</v>
      </c>
      <c r="D1719" s="6">
        <f>IFERROR(VLOOKUP($B1719,Platts!$E$5:$M$4994,MATCH(D$3,Platts!$F$5:$M$5,0)+1,FALSE),D1718)</f>
        <v>36.39</v>
      </c>
      <c r="E1719" s="6">
        <f>IFERROR(VLOOKUP($B1719,Platts!$E$5:$M$4994,MATCH(E$3,Platts!$F$5:$M$5,0)+1,FALSE),E1718)</f>
        <v>35.79</v>
      </c>
      <c r="F1719" s="6">
        <f>IFERROR(VLOOKUP($B1719,Platts!$E$5:$M$4994,MATCH(F$3,Platts!$F$5:$M$5,0)+1,FALSE),F1718)</f>
        <v>37.94</v>
      </c>
      <c r="G1719" s="6">
        <f>IFERROR(VLOOKUP($B1719,Platts!$E$5:$M$4994,MATCH(G$3,Platts!$F$5:$M$5,0)+1,FALSE),G1718)</f>
        <v>39.99</v>
      </c>
      <c r="H1719" s="6">
        <f>IFERROR(VLOOKUP($B1719,Platts!$E$5:$M$4994,MATCH(H$3,Platts!$F$5:$M$5,0)+1,FALSE),H1718)</f>
        <v>37.33</v>
      </c>
      <c r="I1719" s="6">
        <f>IFERROR(VLOOKUP($B1719,Platts!$E$5:$M$4994,MATCH(I$3,Platts!$F$5:$M$5,0)+1,FALSE),I1718)</f>
        <v>38.83</v>
      </c>
      <c r="J1719" s="6">
        <f t="shared" si="52"/>
        <v>1.8699999999999974</v>
      </c>
    </row>
    <row r="1720" spans="2:10" x14ac:dyDescent="0.25">
      <c r="B1720" s="5">
        <f t="shared" si="53"/>
        <v>44086</v>
      </c>
      <c r="C1720" s="6">
        <f>IFERROR(VLOOKUP($B1720,Platts!$E$5:$M$4994,MATCH(C$3,Platts!$F$5:$M$5,0)+1,FALSE),C1719)</f>
        <v>35.46</v>
      </c>
      <c r="D1720" s="6">
        <f>IFERROR(VLOOKUP($B1720,Platts!$E$5:$M$4994,MATCH(D$3,Platts!$F$5:$M$5,0)+1,FALSE),D1719)</f>
        <v>36.39</v>
      </c>
      <c r="E1720" s="6">
        <f>IFERROR(VLOOKUP($B1720,Platts!$E$5:$M$4994,MATCH(E$3,Platts!$F$5:$M$5,0)+1,FALSE),E1719)</f>
        <v>35.79</v>
      </c>
      <c r="F1720" s="6">
        <f>IFERROR(VLOOKUP($B1720,Platts!$E$5:$M$4994,MATCH(F$3,Platts!$F$5:$M$5,0)+1,FALSE),F1719)</f>
        <v>37.94</v>
      </c>
      <c r="G1720" s="6">
        <f>IFERROR(VLOOKUP($B1720,Platts!$E$5:$M$4994,MATCH(G$3,Platts!$F$5:$M$5,0)+1,FALSE),G1719)</f>
        <v>39.99</v>
      </c>
      <c r="H1720" s="6">
        <f>IFERROR(VLOOKUP($B1720,Platts!$E$5:$M$4994,MATCH(H$3,Platts!$F$5:$M$5,0)+1,FALSE),H1719)</f>
        <v>37.33</v>
      </c>
      <c r="I1720" s="6">
        <f>IFERROR(VLOOKUP($B1720,Platts!$E$5:$M$4994,MATCH(I$3,Platts!$F$5:$M$5,0)+1,FALSE),I1719)</f>
        <v>38.83</v>
      </c>
      <c r="J1720" s="6">
        <f t="shared" si="52"/>
        <v>1.8699999999999974</v>
      </c>
    </row>
    <row r="1721" spans="2:10" x14ac:dyDescent="0.25">
      <c r="B1721" s="5">
        <f t="shared" si="53"/>
        <v>44087</v>
      </c>
      <c r="C1721" s="6">
        <f>IFERROR(VLOOKUP($B1721,Platts!$E$5:$M$4994,MATCH(C$3,Platts!$F$5:$M$5,0)+1,FALSE),C1720)</f>
        <v>35.46</v>
      </c>
      <c r="D1721" s="6">
        <f>IFERROR(VLOOKUP($B1721,Platts!$E$5:$M$4994,MATCH(D$3,Platts!$F$5:$M$5,0)+1,FALSE),D1720)</f>
        <v>36.39</v>
      </c>
      <c r="E1721" s="6">
        <f>IFERROR(VLOOKUP($B1721,Platts!$E$5:$M$4994,MATCH(E$3,Platts!$F$5:$M$5,0)+1,FALSE),E1720)</f>
        <v>35.79</v>
      </c>
      <c r="F1721" s="6">
        <f>IFERROR(VLOOKUP($B1721,Platts!$E$5:$M$4994,MATCH(F$3,Platts!$F$5:$M$5,0)+1,FALSE),F1720)</f>
        <v>37.94</v>
      </c>
      <c r="G1721" s="6">
        <f>IFERROR(VLOOKUP($B1721,Platts!$E$5:$M$4994,MATCH(G$3,Platts!$F$5:$M$5,0)+1,FALSE),G1720)</f>
        <v>39.99</v>
      </c>
      <c r="H1721" s="6">
        <f>IFERROR(VLOOKUP($B1721,Platts!$E$5:$M$4994,MATCH(H$3,Platts!$F$5:$M$5,0)+1,FALSE),H1720)</f>
        <v>37.33</v>
      </c>
      <c r="I1721" s="6">
        <f>IFERROR(VLOOKUP($B1721,Platts!$E$5:$M$4994,MATCH(I$3,Platts!$F$5:$M$5,0)+1,FALSE),I1720)</f>
        <v>38.83</v>
      </c>
      <c r="J1721" s="6">
        <f t="shared" si="52"/>
        <v>1.8699999999999974</v>
      </c>
    </row>
    <row r="1722" spans="2:10" x14ac:dyDescent="0.25">
      <c r="B1722" s="5">
        <f t="shared" si="53"/>
        <v>44088</v>
      </c>
      <c r="C1722" s="6">
        <f>IFERROR(VLOOKUP($B1722,Platts!$E$5:$M$4994,MATCH(C$3,Platts!$F$5:$M$5,0)+1,FALSE),C1721)</f>
        <v>35.25</v>
      </c>
      <c r="D1722" s="6">
        <f>IFERROR(VLOOKUP($B1722,Platts!$E$5:$M$4994,MATCH(D$3,Platts!$F$5:$M$5,0)+1,FALSE),D1721)</f>
        <v>36.299999999999997</v>
      </c>
      <c r="E1722" s="6">
        <f>IFERROR(VLOOKUP($B1722,Platts!$E$5:$M$4994,MATCH(E$3,Platts!$F$5:$M$5,0)+1,FALSE),E1721)</f>
        <v>35.700000000000003</v>
      </c>
      <c r="F1722" s="6">
        <f>IFERROR(VLOOKUP($B1722,Platts!$E$5:$M$4994,MATCH(F$3,Platts!$F$5:$M$5,0)+1,FALSE),F1721)</f>
        <v>37.85</v>
      </c>
      <c r="G1722" s="6">
        <f>IFERROR(VLOOKUP($B1722,Platts!$E$5:$M$4994,MATCH(G$3,Platts!$F$5:$M$5,0)+1,FALSE),G1721)</f>
        <v>39.549999999999997</v>
      </c>
      <c r="H1722" s="6">
        <f>IFERROR(VLOOKUP($B1722,Platts!$E$5:$M$4994,MATCH(H$3,Platts!$F$5:$M$5,0)+1,FALSE),H1721)</f>
        <v>37.26</v>
      </c>
      <c r="I1722" s="6">
        <f>IFERROR(VLOOKUP($B1722,Platts!$E$5:$M$4994,MATCH(I$3,Platts!$F$5:$M$5,0)+1,FALSE),I1721)</f>
        <v>38.81</v>
      </c>
      <c r="J1722" s="6">
        <f t="shared" si="52"/>
        <v>2.009999999999998</v>
      </c>
    </row>
    <row r="1723" spans="2:10" x14ac:dyDescent="0.25">
      <c r="B1723" s="5">
        <f t="shared" si="53"/>
        <v>44089</v>
      </c>
      <c r="C1723" s="6">
        <f>IFERROR(VLOOKUP($B1723,Platts!$E$5:$M$4994,MATCH(C$3,Platts!$F$5:$M$5,0)+1,FALSE),C1722)</f>
        <v>36.08</v>
      </c>
      <c r="D1723" s="6">
        <f>IFERROR(VLOOKUP($B1723,Platts!$E$5:$M$4994,MATCH(D$3,Platts!$F$5:$M$5,0)+1,FALSE),D1722)</f>
        <v>37.32</v>
      </c>
      <c r="E1723" s="6">
        <f>IFERROR(VLOOKUP($B1723,Platts!$E$5:$M$4994,MATCH(E$3,Platts!$F$5:$M$5,0)+1,FALSE),E1722)</f>
        <v>36.72</v>
      </c>
      <c r="F1723" s="6">
        <f>IFERROR(VLOOKUP($B1723,Platts!$E$5:$M$4994,MATCH(F$3,Platts!$F$5:$M$5,0)+1,FALSE),F1722)</f>
        <v>38.869999999999997</v>
      </c>
      <c r="G1723" s="6">
        <f>IFERROR(VLOOKUP($B1723,Platts!$E$5:$M$4994,MATCH(G$3,Platts!$F$5:$M$5,0)+1,FALSE),G1722)</f>
        <v>40.1</v>
      </c>
      <c r="H1723" s="6">
        <f>IFERROR(VLOOKUP($B1723,Platts!$E$5:$M$4994,MATCH(H$3,Platts!$F$5:$M$5,0)+1,FALSE),H1722)</f>
        <v>38.28</v>
      </c>
      <c r="I1723" s="6">
        <f>IFERROR(VLOOKUP($B1723,Platts!$E$5:$M$4994,MATCH(I$3,Platts!$F$5:$M$5,0)+1,FALSE),I1722)</f>
        <v>39.83</v>
      </c>
      <c r="J1723" s="6">
        <f t="shared" si="52"/>
        <v>2.2000000000000028</v>
      </c>
    </row>
    <row r="1724" spans="2:10" x14ac:dyDescent="0.25">
      <c r="B1724" s="5">
        <f t="shared" si="53"/>
        <v>44090</v>
      </c>
      <c r="C1724" s="6">
        <f>IFERROR(VLOOKUP($B1724,Platts!$E$5:$M$4994,MATCH(C$3,Platts!$F$5:$M$5,0)+1,FALSE),C1723)</f>
        <v>36.08</v>
      </c>
      <c r="D1724" s="6">
        <f>IFERROR(VLOOKUP($B1724,Platts!$E$5:$M$4994,MATCH(D$3,Platts!$F$5:$M$5,0)+1,FALSE),D1723)</f>
        <v>39.049999999999997</v>
      </c>
      <c r="E1724" s="6">
        <f>IFERROR(VLOOKUP($B1724,Platts!$E$5:$M$4994,MATCH(E$3,Platts!$F$5:$M$5,0)+1,FALSE),E1723)</f>
        <v>38.450000000000003</v>
      </c>
      <c r="F1724" s="6">
        <f>IFERROR(VLOOKUP($B1724,Platts!$E$5:$M$4994,MATCH(F$3,Platts!$F$5:$M$5,0)+1,FALSE),F1723)</f>
        <v>40.6</v>
      </c>
      <c r="G1724" s="6">
        <f>IFERROR(VLOOKUP($B1724,Platts!$E$5:$M$4994,MATCH(G$3,Platts!$F$5:$M$5,0)+1,FALSE),G1723)</f>
        <v>41.9</v>
      </c>
      <c r="H1724" s="6">
        <f>IFERROR(VLOOKUP($B1724,Platts!$E$5:$M$4994,MATCH(H$3,Platts!$F$5:$M$5,0)+1,FALSE),H1723)</f>
        <v>40.159999999999997</v>
      </c>
      <c r="I1724" s="6">
        <f>IFERROR(VLOOKUP($B1724,Platts!$E$5:$M$4994,MATCH(I$3,Platts!$F$5:$M$5,0)+1,FALSE),I1723)</f>
        <v>41.71</v>
      </c>
      <c r="J1724" s="6">
        <f t="shared" si="52"/>
        <v>4.0799999999999983</v>
      </c>
    </row>
    <row r="1725" spans="2:10" x14ac:dyDescent="0.25">
      <c r="B1725" s="5">
        <f t="shared" si="53"/>
        <v>44091</v>
      </c>
      <c r="C1725" s="6">
        <f>IFERROR(VLOOKUP($B1725,Platts!$E$5:$M$4994,MATCH(C$3,Platts!$F$5:$M$5,0)+1,FALSE),C1724)</f>
        <v>38.76</v>
      </c>
      <c r="D1725" s="6">
        <f>IFERROR(VLOOKUP($B1725,Platts!$E$5:$M$4994,MATCH(D$3,Platts!$F$5:$M$5,0)+1,FALSE),D1724)</f>
        <v>39.97</v>
      </c>
      <c r="E1725" s="6">
        <f>IFERROR(VLOOKUP($B1725,Platts!$E$5:$M$4994,MATCH(E$3,Platts!$F$5:$M$5,0)+1,FALSE),E1724)</f>
        <v>39.369999999999997</v>
      </c>
      <c r="F1725" s="6">
        <f>IFERROR(VLOOKUP($B1725,Platts!$E$5:$M$4994,MATCH(F$3,Platts!$F$5:$M$5,0)+1,FALSE),F1724)</f>
        <v>41.52</v>
      </c>
      <c r="G1725" s="6">
        <f>IFERROR(VLOOKUP($B1725,Platts!$E$5:$M$4994,MATCH(G$3,Platts!$F$5:$M$5,0)+1,FALSE),G1724)</f>
        <v>43.33</v>
      </c>
      <c r="H1725" s="6">
        <f>IFERROR(VLOOKUP($B1725,Platts!$E$5:$M$4994,MATCH(H$3,Platts!$F$5:$M$5,0)+1,FALSE),H1724)</f>
        <v>40.97</v>
      </c>
      <c r="I1725" s="6">
        <f>IFERROR(VLOOKUP($B1725,Platts!$E$5:$M$4994,MATCH(I$3,Platts!$F$5:$M$5,0)+1,FALSE),I1724)</f>
        <v>42.52</v>
      </c>
      <c r="J1725" s="6">
        <f t="shared" si="52"/>
        <v>2.2100000000000009</v>
      </c>
    </row>
    <row r="1726" spans="2:10" x14ac:dyDescent="0.25">
      <c r="B1726" s="5">
        <f t="shared" si="53"/>
        <v>44092</v>
      </c>
      <c r="C1726" s="6">
        <f>IFERROR(VLOOKUP($B1726,Platts!$E$5:$M$4994,MATCH(C$3,Platts!$F$5:$M$5,0)+1,FALSE),C1725)</f>
        <v>38.97</v>
      </c>
      <c r="D1726" s="6">
        <f>IFERROR(VLOOKUP($B1726,Platts!$E$5:$M$4994,MATCH(D$3,Platts!$F$5:$M$5,0)+1,FALSE),D1725)</f>
        <v>39.94</v>
      </c>
      <c r="E1726" s="6">
        <f>IFERROR(VLOOKUP($B1726,Platts!$E$5:$M$4994,MATCH(E$3,Platts!$F$5:$M$5,0)+1,FALSE),E1725)</f>
        <v>39.340000000000003</v>
      </c>
      <c r="F1726" s="6">
        <f>IFERROR(VLOOKUP($B1726,Platts!$E$5:$M$4994,MATCH(F$3,Platts!$F$5:$M$5,0)+1,FALSE),F1725)</f>
        <v>41.49</v>
      </c>
      <c r="G1726" s="6">
        <f>IFERROR(VLOOKUP($B1726,Platts!$E$5:$M$4994,MATCH(G$3,Platts!$F$5:$M$5,0)+1,FALSE),G1725)</f>
        <v>43.35</v>
      </c>
      <c r="H1726" s="6">
        <f>IFERROR(VLOOKUP($B1726,Platts!$E$5:$M$4994,MATCH(H$3,Platts!$F$5:$M$5,0)+1,FALSE),H1725)</f>
        <v>41.11</v>
      </c>
      <c r="I1726" s="6">
        <f>IFERROR(VLOOKUP($B1726,Platts!$E$5:$M$4994,MATCH(I$3,Platts!$F$5:$M$5,0)+1,FALSE),I1725)</f>
        <v>42.46</v>
      </c>
      <c r="J1726" s="6">
        <f t="shared" si="52"/>
        <v>2.1400000000000006</v>
      </c>
    </row>
    <row r="1727" spans="2:10" x14ac:dyDescent="0.25">
      <c r="B1727" s="5">
        <f t="shared" si="53"/>
        <v>44093</v>
      </c>
      <c r="C1727" s="6">
        <f>IFERROR(VLOOKUP($B1727,Platts!$E$5:$M$4994,MATCH(C$3,Platts!$F$5:$M$5,0)+1,FALSE),C1726)</f>
        <v>38.97</v>
      </c>
      <c r="D1727" s="6">
        <f>IFERROR(VLOOKUP($B1727,Platts!$E$5:$M$4994,MATCH(D$3,Platts!$F$5:$M$5,0)+1,FALSE),D1726)</f>
        <v>39.94</v>
      </c>
      <c r="E1727" s="6">
        <f>IFERROR(VLOOKUP($B1727,Platts!$E$5:$M$4994,MATCH(E$3,Platts!$F$5:$M$5,0)+1,FALSE),E1726)</f>
        <v>39.340000000000003</v>
      </c>
      <c r="F1727" s="6">
        <f>IFERROR(VLOOKUP($B1727,Platts!$E$5:$M$4994,MATCH(F$3,Platts!$F$5:$M$5,0)+1,FALSE),F1726)</f>
        <v>41.49</v>
      </c>
      <c r="G1727" s="6">
        <f>IFERROR(VLOOKUP($B1727,Platts!$E$5:$M$4994,MATCH(G$3,Platts!$F$5:$M$5,0)+1,FALSE),G1726)</f>
        <v>43.35</v>
      </c>
      <c r="H1727" s="6">
        <f>IFERROR(VLOOKUP($B1727,Platts!$E$5:$M$4994,MATCH(H$3,Platts!$F$5:$M$5,0)+1,FALSE),H1726)</f>
        <v>41.11</v>
      </c>
      <c r="I1727" s="6">
        <f>IFERROR(VLOOKUP($B1727,Platts!$E$5:$M$4994,MATCH(I$3,Platts!$F$5:$M$5,0)+1,FALSE),I1726)</f>
        <v>42.46</v>
      </c>
      <c r="J1727" s="6">
        <f t="shared" si="52"/>
        <v>2.1400000000000006</v>
      </c>
    </row>
    <row r="1728" spans="2:10" x14ac:dyDescent="0.25">
      <c r="B1728" s="5">
        <f t="shared" si="53"/>
        <v>44094</v>
      </c>
      <c r="C1728" s="6">
        <f>IFERROR(VLOOKUP($B1728,Platts!$E$5:$M$4994,MATCH(C$3,Platts!$F$5:$M$5,0)+1,FALSE),C1727)</f>
        <v>38.97</v>
      </c>
      <c r="D1728" s="6">
        <f>IFERROR(VLOOKUP($B1728,Platts!$E$5:$M$4994,MATCH(D$3,Platts!$F$5:$M$5,0)+1,FALSE),D1727)</f>
        <v>39.94</v>
      </c>
      <c r="E1728" s="6">
        <f>IFERROR(VLOOKUP($B1728,Platts!$E$5:$M$4994,MATCH(E$3,Platts!$F$5:$M$5,0)+1,FALSE),E1727)</f>
        <v>39.340000000000003</v>
      </c>
      <c r="F1728" s="6">
        <f>IFERROR(VLOOKUP($B1728,Platts!$E$5:$M$4994,MATCH(F$3,Platts!$F$5:$M$5,0)+1,FALSE),F1727)</f>
        <v>41.49</v>
      </c>
      <c r="G1728" s="6">
        <f>IFERROR(VLOOKUP($B1728,Platts!$E$5:$M$4994,MATCH(G$3,Platts!$F$5:$M$5,0)+1,FALSE),G1727)</f>
        <v>43.35</v>
      </c>
      <c r="H1728" s="6">
        <f>IFERROR(VLOOKUP($B1728,Platts!$E$5:$M$4994,MATCH(H$3,Platts!$F$5:$M$5,0)+1,FALSE),H1727)</f>
        <v>41.11</v>
      </c>
      <c r="I1728" s="6">
        <f>IFERROR(VLOOKUP($B1728,Platts!$E$5:$M$4994,MATCH(I$3,Platts!$F$5:$M$5,0)+1,FALSE),I1727)</f>
        <v>42.46</v>
      </c>
      <c r="J1728" s="6">
        <f t="shared" si="52"/>
        <v>2.1400000000000006</v>
      </c>
    </row>
    <row r="1729" spans="2:10" x14ac:dyDescent="0.25">
      <c r="B1729" s="5">
        <f t="shared" si="53"/>
        <v>44095</v>
      </c>
      <c r="C1729" s="6">
        <f>IFERROR(VLOOKUP($B1729,Platts!$E$5:$M$4994,MATCH(C$3,Platts!$F$5:$M$5,0)+1,FALSE),C1728)</f>
        <v>37.26</v>
      </c>
      <c r="D1729" s="6">
        <f>IFERROR(VLOOKUP($B1729,Platts!$E$5:$M$4994,MATCH(D$3,Platts!$F$5:$M$5,0)+1,FALSE),D1728)</f>
        <v>38.21</v>
      </c>
      <c r="E1729" s="6">
        <f>IFERROR(VLOOKUP($B1729,Platts!$E$5:$M$4994,MATCH(E$3,Platts!$F$5:$M$5,0)+1,FALSE),E1728)</f>
        <v>37.61</v>
      </c>
      <c r="F1729" s="6">
        <f>IFERROR(VLOOKUP($B1729,Platts!$E$5:$M$4994,MATCH(F$3,Platts!$F$5:$M$5,0)+1,FALSE),F1728)</f>
        <v>39.76</v>
      </c>
      <c r="G1729" s="6">
        <f>IFERROR(VLOOKUP($B1729,Platts!$E$5:$M$4994,MATCH(G$3,Platts!$F$5:$M$5,0)+1,FALSE),G1728)</f>
        <v>41.25</v>
      </c>
      <c r="H1729" s="6">
        <f>IFERROR(VLOOKUP($B1729,Platts!$E$5:$M$4994,MATCH(H$3,Platts!$F$5:$M$5,0)+1,FALSE),H1728)</f>
        <v>39.31</v>
      </c>
      <c r="I1729" s="6">
        <f>IFERROR(VLOOKUP($B1729,Platts!$E$5:$M$4994,MATCH(I$3,Platts!$F$5:$M$5,0)+1,FALSE),I1728)</f>
        <v>40.51</v>
      </c>
      <c r="J1729" s="6">
        <f t="shared" si="52"/>
        <v>2.0500000000000043</v>
      </c>
    </row>
    <row r="1730" spans="2:10" x14ac:dyDescent="0.25">
      <c r="B1730" s="5">
        <f t="shared" si="53"/>
        <v>44096</v>
      </c>
      <c r="C1730" s="6">
        <f>IFERROR(VLOOKUP($B1730,Platts!$E$5:$M$4994,MATCH(C$3,Platts!$F$5:$M$5,0)+1,FALSE),C1729)</f>
        <v>37.44</v>
      </c>
      <c r="D1730" s="6">
        <f>IFERROR(VLOOKUP($B1730,Platts!$E$5:$M$4994,MATCH(D$3,Platts!$F$5:$M$5,0)+1,FALSE),D1729)</f>
        <v>38.520000000000003</v>
      </c>
      <c r="E1730" s="6">
        <f>IFERROR(VLOOKUP($B1730,Platts!$E$5:$M$4994,MATCH(E$3,Platts!$F$5:$M$5,0)+1,FALSE),E1729)</f>
        <v>37.92</v>
      </c>
      <c r="F1730" s="6">
        <f>IFERROR(VLOOKUP($B1730,Platts!$E$5:$M$4994,MATCH(F$3,Platts!$F$5:$M$5,0)+1,FALSE),F1729)</f>
        <v>40.07</v>
      </c>
      <c r="G1730" s="6">
        <f>IFERROR(VLOOKUP($B1730,Platts!$E$5:$M$4994,MATCH(G$3,Platts!$F$5:$M$5,0)+1,FALSE),G1729)</f>
        <v>41.9</v>
      </c>
      <c r="H1730" s="6">
        <f>IFERROR(VLOOKUP($B1730,Platts!$E$5:$M$4994,MATCH(H$3,Platts!$F$5:$M$5,0)+1,FALSE),H1729)</f>
        <v>39.6</v>
      </c>
      <c r="I1730" s="6">
        <f>IFERROR(VLOOKUP($B1730,Platts!$E$5:$M$4994,MATCH(I$3,Platts!$F$5:$M$5,0)+1,FALSE),I1729)</f>
        <v>40.85</v>
      </c>
      <c r="J1730" s="6">
        <f t="shared" si="52"/>
        <v>2.1600000000000037</v>
      </c>
    </row>
    <row r="1731" spans="2:10" x14ac:dyDescent="0.25">
      <c r="B1731" s="5">
        <f t="shared" si="53"/>
        <v>44097</v>
      </c>
      <c r="C1731" s="6">
        <f>IFERROR(VLOOKUP($B1731,Platts!$E$5:$M$4994,MATCH(C$3,Platts!$F$5:$M$5,0)+1,FALSE),C1730)</f>
        <v>37.58</v>
      </c>
      <c r="D1731" s="6">
        <f>IFERROR(VLOOKUP($B1731,Platts!$E$5:$M$4994,MATCH(D$3,Platts!$F$5:$M$5,0)+1,FALSE),D1730)</f>
        <v>38.56</v>
      </c>
      <c r="E1731" s="6">
        <f>IFERROR(VLOOKUP($B1731,Platts!$E$5:$M$4994,MATCH(E$3,Platts!$F$5:$M$5,0)+1,FALSE),E1730)</f>
        <v>37.96</v>
      </c>
      <c r="F1731" s="6">
        <f>IFERROR(VLOOKUP($B1731,Platts!$E$5:$M$4994,MATCH(F$3,Platts!$F$5:$M$5,0)+1,FALSE),F1730)</f>
        <v>40.11</v>
      </c>
      <c r="G1731" s="6">
        <f>IFERROR(VLOOKUP($B1731,Platts!$E$5:$M$4994,MATCH(G$3,Platts!$F$5:$M$5,0)+1,FALSE),G1730)</f>
        <v>42.19</v>
      </c>
      <c r="H1731" s="6">
        <f>IFERROR(VLOOKUP($B1731,Platts!$E$5:$M$4994,MATCH(H$3,Platts!$F$5:$M$5,0)+1,FALSE),H1730)</f>
        <v>39.75</v>
      </c>
      <c r="I1731" s="6">
        <f>IFERROR(VLOOKUP($B1731,Platts!$E$5:$M$4994,MATCH(I$3,Platts!$F$5:$M$5,0)+1,FALSE),I1730)</f>
        <v>41.3</v>
      </c>
      <c r="J1731" s="6">
        <f t="shared" si="52"/>
        <v>2.1700000000000017</v>
      </c>
    </row>
    <row r="1732" spans="2:10" x14ac:dyDescent="0.25">
      <c r="B1732" s="5">
        <f t="shared" si="53"/>
        <v>44098</v>
      </c>
      <c r="C1732" s="6">
        <f>IFERROR(VLOOKUP($B1732,Platts!$E$5:$M$4994,MATCH(C$3,Platts!$F$5:$M$5,0)+1,FALSE),C1731)</f>
        <v>37.74</v>
      </c>
      <c r="D1732" s="6">
        <f>IFERROR(VLOOKUP($B1732,Platts!$E$5:$M$4994,MATCH(D$3,Platts!$F$5:$M$5,0)+1,FALSE),D1731)</f>
        <v>38.909999999999997</v>
      </c>
      <c r="E1732" s="6">
        <f>IFERROR(VLOOKUP($B1732,Platts!$E$5:$M$4994,MATCH(E$3,Platts!$F$5:$M$5,0)+1,FALSE),E1731)</f>
        <v>38.31</v>
      </c>
      <c r="F1732" s="6">
        <f>IFERROR(VLOOKUP($B1732,Platts!$E$5:$M$4994,MATCH(F$3,Platts!$F$5:$M$5,0)+1,FALSE),F1731)</f>
        <v>40.46</v>
      </c>
      <c r="G1732" s="6">
        <f>IFERROR(VLOOKUP($B1732,Platts!$E$5:$M$4994,MATCH(G$3,Platts!$F$5:$M$5,0)+1,FALSE),G1731)</f>
        <v>41.62</v>
      </c>
      <c r="H1732" s="6">
        <f>IFERROR(VLOOKUP($B1732,Platts!$E$5:$M$4994,MATCH(H$3,Platts!$F$5:$M$5,0)+1,FALSE),H1731)</f>
        <v>40.130000000000003</v>
      </c>
      <c r="I1732" s="6">
        <f>IFERROR(VLOOKUP($B1732,Platts!$E$5:$M$4994,MATCH(I$3,Platts!$F$5:$M$5,0)+1,FALSE),I1731)</f>
        <v>41.63</v>
      </c>
      <c r="J1732" s="6">
        <f t="shared" ref="J1732:J1795" si="54">H1732-C1732</f>
        <v>2.3900000000000006</v>
      </c>
    </row>
    <row r="1733" spans="2:10" x14ac:dyDescent="0.25">
      <c r="B1733" s="5">
        <f t="shared" si="53"/>
        <v>44099</v>
      </c>
      <c r="C1733" s="6">
        <f>IFERROR(VLOOKUP($B1733,Platts!$E$5:$M$4994,MATCH(C$3,Platts!$F$5:$M$5,0)+1,FALSE),C1732)</f>
        <v>37.86</v>
      </c>
      <c r="D1733" s="6">
        <f>IFERROR(VLOOKUP($B1733,Platts!$E$5:$M$4994,MATCH(D$3,Platts!$F$5:$M$5,0)+1,FALSE),D1732)</f>
        <v>38.92</v>
      </c>
      <c r="E1733" s="6">
        <f>IFERROR(VLOOKUP($B1733,Platts!$E$5:$M$4994,MATCH(E$3,Platts!$F$5:$M$5,0)+1,FALSE),E1732)</f>
        <v>38.32</v>
      </c>
      <c r="F1733" s="6">
        <f>IFERROR(VLOOKUP($B1733,Platts!$E$5:$M$4994,MATCH(F$3,Platts!$F$5:$M$5,0)+1,FALSE),F1732)</f>
        <v>40.47</v>
      </c>
      <c r="G1733" s="6">
        <f>IFERROR(VLOOKUP($B1733,Platts!$E$5:$M$4994,MATCH(G$3,Platts!$F$5:$M$5,0)+1,FALSE),G1732)</f>
        <v>41.91</v>
      </c>
      <c r="H1733" s="6">
        <f>IFERROR(VLOOKUP($B1733,Platts!$E$5:$M$4994,MATCH(H$3,Platts!$F$5:$M$5,0)+1,FALSE),H1732)</f>
        <v>40.11</v>
      </c>
      <c r="I1733" s="6">
        <f>IFERROR(VLOOKUP($B1733,Platts!$E$5:$M$4994,MATCH(I$3,Platts!$F$5:$M$5,0)+1,FALSE),I1732)</f>
        <v>41.46</v>
      </c>
      <c r="J1733" s="6">
        <f t="shared" si="54"/>
        <v>2.25</v>
      </c>
    </row>
    <row r="1734" spans="2:10" x14ac:dyDescent="0.25">
      <c r="B1734" s="5">
        <f t="shared" ref="B1734:B1797" si="55">B1733+1</f>
        <v>44100</v>
      </c>
      <c r="C1734" s="6">
        <f>IFERROR(VLOOKUP($B1734,Platts!$E$5:$M$4994,MATCH(C$3,Platts!$F$5:$M$5,0)+1,FALSE),C1733)</f>
        <v>37.86</v>
      </c>
      <c r="D1734" s="6">
        <f>IFERROR(VLOOKUP($B1734,Platts!$E$5:$M$4994,MATCH(D$3,Platts!$F$5:$M$5,0)+1,FALSE),D1733)</f>
        <v>38.92</v>
      </c>
      <c r="E1734" s="6">
        <f>IFERROR(VLOOKUP($B1734,Platts!$E$5:$M$4994,MATCH(E$3,Platts!$F$5:$M$5,0)+1,FALSE),E1733)</f>
        <v>38.32</v>
      </c>
      <c r="F1734" s="6">
        <f>IFERROR(VLOOKUP($B1734,Platts!$E$5:$M$4994,MATCH(F$3,Platts!$F$5:$M$5,0)+1,FALSE),F1733)</f>
        <v>40.47</v>
      </c>
      <c r="G1734" s="6">
        <f>IFERROR(VLOOKUP($B1734,Platts!$E$5:$M$4994,MATCH(G$3,Platts!$F$5:$M$5,0)+1,FALSE),G1733)</f>
        <v>41.91</v>
      </c>
      <c r="H1734" s="6">
        <f>IFERROR(VLOOKUP($B1734,Platts!$E$5:$M$4994,MATCH(H$3,Platts!$F$5:$M$5,0)+1,FALSE),H1733)</f>
        <v>40.11</v>
      </c>
      <c r="I1734" s="6">
        <f>IFERROR(VLOOKUP($B1734,Platts!$E$5:$M$4994,MATCH(I$3,Platts!$F$5:$M$5,0)+1,FALSE),I1733)</f>
        <v>41.46</v>
      </c>
      <c r="J1734" s="6">
        <f t="shared" si="54"/>
        <v>2.25</v>
      </c>
    </row>
    <row r="1735" spans="2:10" x14ac:dyDescent="0.25">
      <c r="B1735" s="5">
        <f t="shared" si="55"/>
        <v>44101</v>
      </c>
      <c r="C1735" s="6">
        <f>IFERROR(VLOOKUP($B1735,Platts!$E$5:$M$4994,MATCH(C$3,Platts!$F$5:$M$5,0)+1,FALSE),C1734)</f>
        <v>37.86</v>
      </c>
      <c r="D1735" s="6">
        <f>IFERROR(VLOOKUP($B1735,Platts!$E$5:$M$4994,MATCH(D$3,Platts!$F$5:$M$5,0)+1,FALSE),D1734)</f>
        <v>38.92</v>
      </c>
      <c r="E1735" s="6">
        <f>IFERROR(VLOOKUP($B1735,Platts!$E$5:$M$4994,MATCH(E$3,Platts!$F$5:$M$5,0)+1,FALSE),E1734)</f>
        <v>38.32</v>
      </c>
      <c r="F1735" s="6">
        <f>IFERROR(VLOOKUP($B1735,Platts!$E$5:$M$4994,MATCH(F$3,Platts!$F$5:$M$5,0)+1,FALSE),F1734)</f>
        <v>40.47</v>
      </c>
      <c r="G1735" s="6">
        <f>IFERROR(VLOOKUP($B1735,Platts!$E$5:$M$4994,MATCH(G$3,Platts!$F$5:$M$5,0)+1,FALSE),G1734)</f>
        <v>41.91</v>
      </c>
      <c r="H1735" s="6">
        <f>IFERROR(VLOOKUP($B1735,Platts!$E$5:$M$4994,MATCH(H$3,Platts!$F$5:$M$5,0)+1,FALSE),H1734)</f>
        <v>40.11</v>
      </c>
      <c r="I1735" s="6">
        <f>IFERROR(VLOOKUP($B1735,Platts!$E$5:$M$4994,MATCH(I$3,Platts!$F$5:$M$5,0)+1,FALSE),I1734)</f>
        <v>41.46</v>
      </c>
      <c r="J1735" s="6">
        <f t="shared" si="54"/>
        <v>2.25</v>
      </c>
    </row>
    <row r="1736" spans="2:10" x14ac:dyDescent="0.25">
      <c r="B1736" s="5">
        <f t="shared" si="55"/>
        <v>44102</v>
      </c>
      <c r="C1736" s="6">
        <f>IFERROR(VLOOKUP($B1736,Platts!$E$5:$M$4994,MATCH(C$3,Platts!$F$5:$M$5,0)+1,FALSE),C1735)</f>
        <v>38.15</v>
      </c>
      <c r="D1736" s="6">
        <f>IFERROR(VLOOKUP($B1736,Platts!$E$5:$M$4994,MATCH(D$3,Platts!$F$5:$M$5,0)+1,FALSE),D1735)</f>
        <v>39.36</v>
      </c>
      <c r="E1736" s="6">
        <f>IFERROR(VLOOKUP($B1736,Platts!$E$5:$M$4994,MATCH(E$3,Platts!$F$5:$M$5,0)+1,FALSE),E1735)</f>
        <v>38.76</v>
      </c>
      <c r="F1736" s="6">
        <f>IFERROR(VLOOKUP($B1736,Platts!$E$5:$M$4994,MATCH(F$3,Platts!$F$5:$M$5,0)+1,FALSE),F1735)</f>
        <v>40.909999999999997</v>
      </c>
      <c r="G1736" s="6">
        <f>IFERROR(VLOOKUP($B1736,Platts!$E$5:$M$4994,MATCH(G$3,Platts!$F$5:$M$5,0)+1,FALSE),G1735)</f>
        <v>42.24</v>
      </c>
      <c r="H1736" s="6">
        <f>IFERROR(VLOOKUP($B1736,Platts!$E$5:$M$4994,MATCH(H$3,Platts!$F$5:$M$5,0)+1,FALSE),H1735)</f>
        <v>40.6</v>
      </c>
      <c r="I1736" s="6">
        <f>IFERROR(VLOOKUP($B1736,Platts!$E$5:$M$4994,MATCH(I$3,Platts!$F$5:$M$5,0)+1,FALSE),I1735)</f>
        <v>41.85</v>
      </c>
      <c r="J1736" s="6">
        <f t="shared" si="54"/>
        <v>2.4500000000000028</v>
      </c>
    </row>
    <row r="1737" spans="2:10" x14ac:dyDescent="0.25">
      <c r="B1737" s="5">
        <f t="shared" si="55"/>
        <v>44103</v>
      </c>
      <c r="C1737" s="6">
        <f>IFERROR(VLOOKUP($B1737,Platts!$E$5:$M$4994,MATCH(C$3,Platts!$F$5:$M$5,0)+1,FALSE),C1736)</f>
        <v>37.11</v>
      </c>
      <c r="D1737" s="6">
        <f>IFERROR(VLOOKUP($B1737,Platts!$E$5:$M$4994,MATCH(D$3,Platts!$F$5:$M$5,0)+1,FALSE),D1736)</f>
        <v>37.93</v>
      </c>
      <c r="E1737" s="6">
        <f>IFERROR(VLOOKUP($B1737,Platts!$E$5:$M$4994,MATCH(E$3,Platts!$F$5:$M$5,0)+1,FALSE),E1736)</f>
        <v>37.33</v>
      </c>
      <c r="F1737" s="6">
        <f>IFERROR(VLOOKUP($B1737,Platts!$E$5:$M$4994,MATCH(F$3,Platts!$F$5:$M$5,0)+1,FALSE),F1736)</f>
        <v>39.479999999999997</v>
      </c>
      <c r="G1737" s="6">
        <f>IFERROR(VLOOKUP($B1737,Platts!$E$5:$M$4994,MATCH(G$3,Platts!$F$5:$M$5,0)+1,FALSE),G1736)</f>
        <v>40.950000000000003</v>
      </c>
      <c r="H1737" s="6">
        <f>IFERROR(VLOOKUP($B1737,Platts!$E$5:$M$4994,MATCH(H$3,Platts!$F$5:$M$5,0)+1,FALSE),H1736)</f>
        <v>39.29</v>
      </c>
      <c r="I1737" s="6">
        <f>IFERROR(VLOOKUP($B1737,Platts!$E$5:$M$4994,MATCH(I$3,Platts!$F$5:$M$5,0)+1,FALSE),I1736)</f>
        <v>40.74</v>
      </c>
      <c r="J1737" s="6">
        <f t="shared" si="54"/>
        <v>2.1799999999999997</v>
      </c>
    </row>
    <row r="1738" spans="2:10" x14ac:dyDescent="0.25">
      <c r="B1738" s="5">
        <f t="shared" si="55"/>
        <v>44104</v>
      </c>
      <c r="C1738" s="6">
        <f>IFERROR(VLOOKUP($B1738,Platts!$E$5:$M$4994,MATCH(C$3,Platts!$F$5:$M$5,0)+1,FALSE),C1737)</f>
        <v>37.119999999999997</v>
      </c>
      <c r="D1738" s="6">
        <f>IFERROR(VLOOKUP($B1738,Platts!$E$5:$M$4994,MATCH(D$3,Platts!$F$5:$M$5,0)+1,FALSE),D1737)</f>
        <v>38.549999999999997</v>
      </c>
      <c r="E1738" s="6">
        <f>IFERROR(VLOOKUP($B1738,Platts!$E$5:$M$4994,MATCH(E$3,Platts!$F$5:$M$5,0)+1,FALSE),E1737)</f>
        <v>37.950000000000003</v>
      </c>
      <c r="F1738" s="6">
        <f>IFERROR(VLOOKUP($B1738,Platts!$E$5:$M$4994,MATCH(F$3,Platts!$F$5:$M$5,0)+1,FALSE),F1737)</f>
        <v>40.1</v>
      </c>
      <c r="G1738" s="6">
        <f>IFERROR(VLOOKUP($B1738,Platts!$E$5:$M$4994,MATCH(G$3,Platts!$F$5:$M$5,0)+1,FALSE),G1737)</f>
        <v>41.2</v>
      </c>
      <c r="H1738" s="6">
        <f>IFERROR(VLOOKUP($B1738,Platts!$E$5:$M$4994,MATCH(H$3,Platts!$F$5:$M$5,0)+1,FALSE),H1737)</f>
        <v>40.22</v>
      </c>
      <c r="I1738" s="6">
        <f>IFERROR(VLOOKUP($B1738,Platts!$E$5:$M$4994,MATCH(I$3,Platts!$F$5:$M$5,0)+1,FALSE),I1737)</f>
        <v>41.62</v>
      </c>
      <c r="J1738" s="6">
        <f t="shared" si="54"/>
        <v>3.1000000000000014</v>
      </c>
    </row>
    <row r="1739" spans="2:10" x14ac:dyDescent="0.25">
      <c r="B1739" s="5">
        <f t="shared" si="55"/>
        <v>44105</v>
      </c>
      <c r="C1739" s="6">
        <f>IFERROR(VLOOKUP($B1739,Platts!$E$5:$M$4994,MATCH(C$3,Platts!$F$5:$M$5,0)+1,FALSE),C1738)</f>
        <v>35.94</v>
      </c>
      <c r="D1739" s="6">
        <f>IFERROR(VLOOKUP($B1739,Platts!$E$5:$M$4994,MATCH(D$3,Platts!$F$5:$M$5,0)+1,FALSE),D1738)</f>
        <v>37.81</v>
      </c>
      <c r="E1739" s="6">
        <f>IFERROR(VLOOKUP($B1739,Platts!$E$5:$M$4994,MATCH(E$3,Platts!$F$5:$M$5,0)+1,FALSE),E1738)</f>
        <v>36.31</v>
      </c>
      <c r="F1739" s="6">
        <f>IFERROR(VLOOKUP($B1739,Platts!$E$5:$M$4994,MATCH(F$3,Platts!$F$5:$M$5,0)+1,FALSE),F1738)</f>
        <v>40.01</v>
      </c>
      <c r="G1739" s="6">
        <f>IFERROR(VLOOKUP($B1739,Platts!$E$5:$M$4994,MATCH(G$3,Platts!$F$5:$M$5,0)+1,FALSE),G1738)</f>
        <v>40.28</v>
      </c>
      <c r="H1739" s="6">
        <f>IFERROR(VLOOKUP($B1739,Platts!$E$5:$M$4994,MATCH(H$3,Platts!$F$5:$M$5,0)+1,FALSE),H1738)</f>
        <v>38.72</v>
      </c>
      <c r="I1739" s="6">
        <f>IFERROR(VLOOKUP($B1739,Platts!$E$5:$M$4994,MATCH(I$3,Platts!$F$5:$M$5,0)+1,FALSE),I1738)</f>
        <v>40.07</v>
      </c>
      <c r="J1739" s="6">
        <f t="shared" si="54"/>
        <v>2.7800000000000011</v>
      </c>
    </row>
    <row r="1740" spans="2:10" x14ac:dyDescent="0.25">
      <c r="B1740" s="5">
        <f t="shared" si="55"/>
        <v>44106</v>
      </c>
      <c r="C1740" s="6">
        <f>IFERROR(VLOOKUP($B1740,Platts!$E$5:$M$4994,MATCH(C$3,Platts!$F$5:$M$5,0)+1,FALSE),C1739)</f>
        <v>34.159999999999997</v>
      </c>
      <c r="D1740" s="6">
        <f>IFERROR(VLOOKUP($B1740,Platts!$E$5:$M$4994,MATCH(D$3,Platts!$F$5:$M$5,0)+1,FALSE),D1739)</f>
        <v>36.119999999999997</v>
      </c>
      <c r="E1740" s="6">
        <f>IFERROR(VLOOKUP($B1740,Platts!$E$5:$M$4994,MATCH(E$3,Platts!$F$5:$M$5,0)+1,FALSE),E1739)</f>
        <v>34.619999999999997</v>
      </c>
      <c r="F1740" s="6">
        <f>IFERROR(VLOOKUP($B1740,Platts!$E$5:$M$4994,MATCH(F$3,Platts!$F$5:$M$5,0)+1,FALSE),F1739)</f>
        <v>38.32</v>
      </c>
      <c r="G1740" s="6">
        <f>IFERROR(VLOOKUP($B1740,Platts!$E$5:$M$4994,MATCH(G$3,Platts!$F$5:$M$5,0)+1,FALSE),G1739)</f>
        <v>39.78</v>
      </c>
      <c r="H1740" s="6">
        <f>IFERROR(VLOOKUP($B1740,Platts!$E$5:$M$4994,MATCH(H$3,Platts!$F$5:$M$5,0)+1,FALSE),H1739)</f>
        <v>37.07</v>
      </c>
      <c r="I1740" s="6">
        <f>IFERROR(VLOOKUP($B1740,Platts!$E$5:$M$4994,MATCH(I$3,Platts!$F$5:$M$5,0)+1,FALSE),I1739)</f>
        <v>37.770000000000003</v>
      </c>
      <c r="J1740" s="6">
        <f t="shared" si="54"/>
        <v>2.9100000000000037</v>
      </c>
    </row>
    <row r="1741" spans="2:10" x14ac:dyDescent="0.25">
      <c r="B1741" s="5">
        <f t="shared" si="55"/>
        <v>44107</v>
      </c>
      <c r="C1741" s="6">
        <f>IFERROR(VLOOKUP($B1741,Platts!$E$5:$M$4994,MATCH(C$3,Platts!$F$5:$M$5,0)+1,FALSE),C1740)</f>
        <v>34.159999999999997</v>
      </c>
      <c r="D1741" s="6">
        <f>IFERROR(VLOOKUP($B1741,Platts!$E$5:$M$4994,MATCH(D$3,Platts!$F$5:$M$5,0)+1,FALSE),D1740)</f>
        <v>36.119999999999997</v>
      </c>
      <c r="E1741" s="6">
        <f>IFERROR(VLOOKUP($B1741,Platts!$E$5:$M$4994,MATCH(E$3,Platts!$F$5:$M$5,0)+1,FALSE),E1740)</f>
        <v>34.619999999999997</v>
      </c>
      <c r="F1741" s="6">
        <f>IFERROR(VLOOKUP($B1741,Platts!$E$5:$M$4994,MATCH(F$3,Platts!$F$5:$M$5,0)+1,FALSE),F1740)</f>
        <v>38.32</v>
      </c>
      <c r="G1741" s="6">
        <f>IFERROR(VLOOKUP($B1741,Platts!$E$5:$M$4994,MATCH(G$3,Platts!$F$5:$M$5,0)+1,FALSE),G1740)</f>
        <v>39.78</v>
      </c>
      <c r="H1741" s="6">
        <f>IFERROR(VLOOKUP($B1741,Platts!$E$5:$M$4994,MATCH(H$3,Platts!$F$5:$M$5,0)+1,FALSE),H1740)</f>
        <v>37.07</v>
      </c>
      <c r="I1741" s="6">
        <f>IFERROR(VLOOKUP($B1741,Platts!$E$5:$M$4994,MATCH(I$3,Platts!$F$5:$M$5,0)+1,FALSE),I1740)</f>
        <v>37.770000000000003</v>
      </c>
      <c r="J1741" s="6">
        <f t="shared" si="54"/>
        <v>2.9100000000000037</v>
      </c>
    </row>
    <row r="1742" spans="2:10" x14ac:dyDescent="0.25">
      <c r="B1742" s="5">
        <f t="shared" si="55"/>
        <v>44108</v>
      </c>
      <c r="C1742" s="6">
        <f>IFERROR(VLOOKUP($B1742,Platts!$E$5:$M$4994,MATCH(C$3,Platts!$F$5:$M$5,0)+1,FALSE),C1741)</f>
        <v>34.159999999999997</v>
      </c>
      <c r="D1742" s="6">
        <f>IFERROR(VLOOKUP($B1742,Platts!$E$5:$M$4994,MATCH(D$3,Platts!$F$5:$M$5,0)+1,FALSE),D1741)</f>
        <v>36.119999999999997</v>
      </c>
      <c r="E1742" s="6">
        <f>IFERROR(VLOOKUP($B1742,Platts!$E$5:$M$4994,MATCH(E$3,Platts!$F$5:$M$5,0)+1,FALSE),E1741)</f>
        <v>34.619999999999997</v>
      </c>
      <c r="F1742" s="6">
        <f>IFERROR(VLOOKUP($B1742,Platts!$E$5:$M$4994,MATCH(F$3,Platts!$F$5:$M$5,0)+1,FALSE),F1741)</f>
        <v>38.32</v>
      </c>
      <c r="G1742" s="6">
        <f>IFERROR(VLOOKUP($B1742,Platts!$E$5:$M$4994,MATCH(G$3,Platts!$F$5:$M$5,0)+1,FALSE),G1741)</f>
        <v>39.78</v>
      </c>
      <c r="H1742" s="6">
        <f>IFERROR(VLOOKUP($B1742,Platts!$E$5:$M$4994,MATCH(H$3,Platts!$F$5:$M$5,0)+1,FALSE),H1741)</f>
        <v>37.07</v>
      </c>
      <c r="I1742" s="6">
        <f>IFERROR(VLOOKUP($B1742,Platts!$E$5:$M$4994,MATCH(I$3,Platts!$F$5:$M$5,0)+1,FALSE),I1741)</f>
        <v>37.770000000000003</v>
      </c>
      <c r="J1742" s="6">
        <f t="shared" si="54"/>
        <v>2.9100000000000037</v>
      </c>
    </row>
    <row r="1743" spans="2:10" x14ac:dyDescent="0.25">
      <c r="B1743" s="5">
        <f t="shared" si="55"/>
        <v>44109</v>
      </c>
      <c r="C1743" s="6">
        <f>IFERROR(VLOOKUP($B1743,Platts!$E$5:$M$4994,MATCH(C$3,Platts!$F$5:$M$5,0)+1,FALSE),C1742)</f>
        <v>36.020000000000003</v>
      </c>
      <c r="D1743" s="6">
        <f>IFERROR(VLOOKUP($B1743,Platts!$E$5:$M$4994,MATCH(D$3,Platts!$F$5:$M$5,0)+1,FALSE),D1742)</f>
        <v>38.39</v>
      </c>
      <c r="E1743" s="6">
        <f>IFERROR(VLOOKUP($B1743,Platts!$E$5:$M$4994,MATCH(E$3,Platts!$F$5:$M$5,0)+1,FALSE),E1742)</f>
        <v>36.89</v>
      </c>
      <c r="F1743" s="6">
        <f>IFERROR(VLOOKUP($B1743,Platts!$E$5:$M$4994,MATCH(F$3,Platts!$F$5:$M$5,0)+1,FALSE),F1742)</f>
        <v>40.590000000000003</v>
      </c>
      <c r="G1743" s="6">
        <f>IFERROR(VLOOKUP($B1743,Platts!$E$5:$M$4994,MATCH(G$3,Platts!$F$5:$M$5,0)+1,FALSE),G1742)</f>
        <v>41.5</v>
      </c>
      <c r="H1743" s="6">
        <f>IFERROR(VLOOKUP($B1743,Platts!$E$5:$M$4994,MATCH(H$3,Platts!$F$5:$M$5,0)+1,FALSE),H1742)</f>
        <v>39.22</v>
      </c>
      <c r="I1743" s="6">
        <f>IFERROR(VLOOKUP($B1743,Platts!$E$5:$M$4994,MATCH(I$3,Platts!$F$5:$M$5,0)+1,FALSE),I1742)</f>
        <v>40.07</v>
      </c>
      <c r="J1743" s="6">
        <f t="shared" si="54"/>
        <v>3.1999999999999957</v>
      </c>
    </row>
    <row r="1744" spans="2:10" x14ac:dyDescent="0.25">
      <c r="B1744" s="5">
        <f t="shared" si="55"/>
        <v>44110</v>
      </c>
      <c r="C1744" s="6">
        <f>IFERROR(VLOOKUP($B1744,Platts!$E$5:$M$4994,MATCH(C$3,Platts!$F$5:$M$5,0)+1,FALSE),C1743)</f>
        <v>37.380000000000003</v>
      </c>
      <c r="D1744" s="6">
        <f>IFERROR(VLOOKUP($B1744,Platts!$E$5:$M$4994,MATCH(D$3,Platts!$F$5:$M$5,0)+1,FALSE),D1743)</f>
        <v>39.54</v>
      </c>
      <c r="E1744" s="6">
        <f>IFERROR(VLOOKUP($B1744,Platts!$E$5:$M$4994,MATCH(E$3,Platts!$F$5:$M$5,0)+1,FALSE),E1743)</f>
        <v>38.04</v>
      </c>
      <c r="F1744" s="6">
        <f>IFERROR(VLOOKUP($B1744,Platts!$E$5:$M$4994,MATCH(F$3,Platts!$F$5:$M$5,0)+1,FALSE),F1743)</f>
        <v>41.74</v>
      </c>
      <c r="G1744" s="6">
        <f>IFERROR(VLOOKUP($B1744,Platts!$E$5:$M$4994,MATCH(G$3,Platts!$F$5:$M$5,0)+1,FALSE),G1743)</f>
        <v>42.44</v>
      </c>
      <c r="H1744" s="6">
        <f>IFERROR(VLOOKUP($B1744,Platts!$E$5:$M$4994,MATCH(H$3,Platts!$F$5:$M$5,0)+1,FALSE),H1743)</f>
        <v>40.69</v>
      </c>
      <c r="I1744" s="6">
        <f>IFERROR(VLOOKUP($B1744,Platts!$E$5:$M$4994,MATCH(I$3,Platts!$F$5:$M$5,0)+1,FALSE),I1743)</f>
        <v>41.54</v>
      </c>
      <c r="J1744" s="6">
        <f t="shared" si="54"/>
        <v>3.3099999999999952</v>
      </c>
    </row>
    <row r="1745" spans="2:10" x14ac:dyDescent="0.25">
      <c r="B1745" s="5">
        <f t="shared" si="55"/>
        <v>44111</v>
      </c>
      <c r="C1745" s="6">
        <f>IFERROR(VLOOKUP($B1745,Platts!$E$5:$M$4994,MATCH(C$3,Platts!$F$5:$M$5,0)+1,FALSE),C1744)</f>
        <v>36.909999999999997</v>
      </c>
      <c r="D1745" s="6">
        <f>IFERROR(VLOOKUP($B1745,Platts!$E$5:$M$4994,MATCH(D$3,Platts!$F$5:$M$5,0)+1,FALSE),D1744)</f>
        <v>39.04</v>
      </c>
      <c r="E1745" s="6">
        <f>IFERROR(VLOOKUP($B1745,Platts!$E$5:$M$4994,MATCH(E$3,Platts!$F$5:$M$5,0)+1,FALSE),E1744)</f>
        <v>37.54</v>
      </c>
      <c r="F1745" s="6">
        <f>IFERROR(VLOOKUP($B1745,Platts!$E$5:$M$4994,MATCH(F$3,Platts!$F$5:$M$5,0)+1,FALSE),F1744)</f>
        <v>41.24</v>
      </c>
      <c r="G1745" s="6">
        <f>IFERROR(VLOOKUP($B1745,Platts!$E$5:$M$4994,MATCH(G$3,Platts!$F$5:$M$5,0)+1,FALSE),G1744)</f>
        <v>41.53</v>
      </c>
      <c r="H1745" s="6">
        <f>IFERROR(VLOOKUP($B1745,Platts!$E$5:$M$4994,MATCH(H$3,Platts!$F$5:$M$5,0)+1,FALSE),H1744)</f>
        <v>39.950000000000003</v>
      </c>
      <c r="I1745" s="6">
        <f>IFERROR(VLOOKUP($B1745,Platts!$E$5:$M$4994,MATCH(I$3,Platts!$F$5:$M$5,0)+1,FALSE),I1744)</f>
        <v>41.2</v>
      </c>
      <c r="J1745" s="6">
        <f t="shared" si="54"/>
        <v>3.0400000000000063</v>
      </c>
    </row>
    <row r="1746" spans="2:10" x14ac:dyDescent="0.25">
      <c r="B1746" s="5">
        <f t="shared" si="55"/>
        <v>44112</v>
      </c>
      <c r="C1746" s="6">
        <f>IFERROR(VLOOKUP($B1746,Platts!$E$5:$M$4994,MATCH(C$3,Platts!$F$5:$M$5,0)+1,FALSE),C1745)</f>
        <v>38.04</v>
      </c>
      <c r="D1746" s="6">
        <f>IFERROR(VLOOKUP($B1746,Platts!$E$5:$M$4994,MATCH(D$3,Platts!$F$5:$M$5,0)+1,FALSE),D1745)</f>
        <v>40.32</v>
      </c>
      <c r="E1746" s="6">
        <f>IFERROR(VLOOKUP($B1746,Platts!$E$5:$M$4994,MATCH(E$3,Platts!$F$5:$M$5,0)+1,FALSE),E1745)</f>
        <v>38.82</v>
      </c>
      <c r="F1746" s="6">
        <f>IFERROR(VLOOKUP($B1746,Platts!$E$5:$M$4994,MATCH(F$3,Platts!$F$5:$M$5,0)+1,FALSE),F1745)</f>
        <v>42.52</v>
      </c>
      <c r="G1746" s="6">
        <f>IFERROR(VLOOKUP($B1746,Platts!$E$5:$M$4994,MATCH(G$3,Platts!$F$5:$M$5,0)+1,FALSE),G1745)</f>
        <v>42.83</v>
      </c>
      <c r="H1746" s="6">
        <f>IFERROR(VLOOKUP($B1746,Platts!$E$5:$M$4994,MATCH(H$3,Platts!$F$5:$M$5,0)+1,FALSE),H1745)</f>
        <v>41.19</v>
      </c>
      <c r="I1746" s="6">
        <f>IFERROR(VLOOKUP($B1746,Platts!$E$5:$M$4994,MATCH(I$3,Platts!$F$5:$M$5,0)+1,FALSE),I1745)</f>
        <v>42.44</v>
      </c>
      <c r="J1746" s="6">
        <f t="shared" si="54"/>
        <v>3.1499999999999986</v>
      </c>
    </row>
    <row r="1747" spans="2:10" x14ac:dyDescent="0.25">
      <c r="B1747" s="5">
        <f t="shared" si="55"/>
        <v>44113</v>
      </c>
      <c r="C1747" s="6">
        <f>IFERROR(VLOOKUP($B1747,Platts!$E$5:$M$4994,MATCH(C$3,Platts!$F$5:$M$5,0)+1,FALSE),C1746)</f>
        <v>37.71</v>
      </c>
      <c r="D1747" s="6">
        <f>IFERROR(VLOOKUP($B1747,Platts!$E$5:$M$4994,MATCH(D$3,Platts!$F$5:$M$5,0)+1,FALSE),D1746)</f>
        <v>39.729999999999997</v>
      </c>
      <c r="E1747" s="6">
        <f>IFERROR(VLOOKUP($B1747,Platts!$E$5:$M$4994,MATCH(E$3,Platts!$F$5:$M$5,0)+1,FALSE),E1746)</f>
        <v>38.229999999999997</v>
      </c>
      <c r="F1747" s="6">
        <f>IFERROR(VLOOKUP($B1747,Platts!$E$5:$M$4994,MATCH(F$3,Platts!$F$5:$M$5,0)+1,FALSE),F1746)</f>
        <v>41.93</v>
      </c>
      <c r="G1747" s="6">
        <f>IFERROR(VLOOKUP($B1747,Platts!$E$5:$M$4994,MATCH(G$3,Platts!$F$5:$M$5,0)+1,FALSE),G1746)</f>
        <v>43.16</v>
      </c>
      <c r="H1747" s="6">
        <f>IFERROR(VLOOKUP($B1747,Platts!$E$5:$M$4994,MATCH(H$3,Platts!$F$5:$M$5,0)+1,FALSE),H1746)</f>
        <v>40.6</v>
      </c>
      <c r="I1747" s="6">
        <f>IFERROR(VLOOKUP($B1747,Platts!$E$5:$M$4994,MATCH(I$3,Platts!$F$5:$M$5,0)+1,FALSE),I1746)</f>
        <v>41.85</v>
      </c>
      <c r="J1747" s="6">
        <f t="shared" si="54"/>
        <v>2.8900000000000006</v>
      </c>
    </row>
    <row r="1748" spans="2:10" x14ac:dyDescent="0.25">
      <c r="B1748" s="5">
        <f t="shared" si="55"/>
        <v>44114</v>
      </c>
      <c r="C1748" s="6">
        <f>IFERROR(VLOOKUP($B1748,Platts!$E$5:$M$4994,MATCH(C$3,Platts!$F$5:$M$5,0)+1,FALSE),C1747)</f>
        <v>37.71</v>
      </c>
      <c r="D1748" s="6">
        <f>IFERROR(VLOOKUP($B1748,Platts!$E$5:$M$4994,MATCH(D$3,Platts!$F$5:$M$5,0)+1,FALSE),D1747)</f>
        <v>39.729999999999997</v>
      </c>
      <c r="E1748" s="6">
        <f>IFERROR(VLOOKUP($B1748,Platts!$E$5:$M$4994,MATCH(E$3,Platts!$F$5:$M$5,0)+1,FALSE),E1747)</f>
        <v>38.229999999999997</v>
      </c>
      <c r="F1748" s="6">
        <f>IFERROR(VLOOKUP($B1748,Platts!$E$5:$M$4994,MATCH(F$3,Platts!$F$5:$M$5,0)+1,FALSE),F1747)</f>
        <v>41.93</v>
      </c>
      <c r="G1748" s="6">
        <f>IFERROR(VLOOKUP($B1748,Platts!$E$5:$M$4994,MATCH(G$3,Platts!$F$5:$M$5,0)+1,FALSE),G1747)</f>
        <v>43.16</v>
      </c>
      <c r="H1748" s="6">
        <f>IFERROR(VLOOKUP($B1748,Platts!$E$5:$M$4994,MATCH(H$3,Platts!$F$5:$M$5,0)+1,FALSE),H1747)</f>
        <v>40.6</v>
      </c>
      <c r="I1748" s="6">
        <f>IFERROR(VLOOKUP($B1748,Platts!$E$5:$M$4994,MATCH(I$3,Platts!$F$5:$M$5,0)+1,FALSE),I1747)</f>
        <v>41.85</v>
      </c>
      <c r="J1748" s="6">
        <f t="shared" si="54"/>
        <v>2.8900000000000006</v>
      </c>
    </row>
    <row r="1749" spans="2:10" x14ac:dyDescent="0.25">
      <c r="B1749" s="5">
        <f t="shared" si="55"/>
        <v>44115</v>
      </c>
      <c r="C1749" s="6">
        <f>IFERROR(VLOOKUP($B1749,Platts!$E$5:$M$4994,MATCH(C$3,Platts!$F$5:$M$5,0)+1,FALSE),C1748)</f>
        <v>37.71</v>
      </c>
      <c r="D1749" s="6">
        <f>IFERROR(VLOOKUP($B1749,Platts!$E$5:$M$4994,MATCH(D$3,Platts!$F$5:$M$5,0)+1,FALSE),D1748)</f>
        <v>39.729999999999997</v>
      </c>
      <c r="E1749" s="6">
        <f>IFERROR(VLOOKUP($B1749,Platts!$E$5:$M$4994,MATCH(E$3,Platts!$F$5:$M$5,0)+1,FALSE),E1748)</f>
        <v>38.229999999999997</v>
      </c>
      <c r="F1749" s="6">
        <f>IFERROR(VLOOKUP($B1749,Platts!$E$5:$M$4994,MATCH(F$3,Platts!$F$5:$M$5,0)+1,FALSE),F1748)</f>
        <v>41.93</v>
      </c>
      <c r="G1749" s="6">
        <f>IFERROR(VLOOKUP($B1749,Platts!$E$5:$M$4994,MATCH(G$3,Platts!$F$5:$M$5,0)+1,FALSE),G1748)</f>
        <v>43.16</v>
      </c>
      <c r="H1749" s="6">
        <f>IFERROR(VLOOKUP($B1749,Platts!$E$5:$M$4994,MATCH(H$3,Platts!$F$5:$M$5,0)+1,FALSE),H1748)</f>
        <v>40.6</v>
      </c>
      <c r="I1749" s="6">
        <f>IFERROR(VLOOKUP($B1749,Platts!$E$5:$M$4994,MATCH(I$3,Platts!$F$5:$M$5,0)+1,FALSE),I1748)</f>
        <v>41.85</v>
      </c>
      <c r="J1749" s="6">
        <f t="shared" si="54"/>
        <v>2.8900000000000006</v>
      </c>
    </row>
    <row r="1750" spans="2:10" x14ac:dyDescent="0.25">
      <c r="B1750" s="5">
        <f t="shared" si="55"/>
        <v>44116</v>
      </c>
      <c r="C1750" s="6">
        <f>IFERROR(VLOOKUP($B1750,Platts!$E$5:$M$4994,MATCH(C$3,Platts!$F$5:$M$5,0)+1,FALSE),C1749)</f>
        <v>37.71</v>
      </c>
      <c r="D1750" s="6">
        <f>IFERROR(VLOOKUP($B1750,Platts!$E$5:$M$4994,MATCH(D$3,Platts!$F$5:$M$5,0)+1,FALSE),D1749)</f>
        <v>38.6</v>
      </c>
      <c r="E1750" s="6">
        <f>IFERROR(VLOOKUP($B1750,Platts!$E$5:$M$4994,MATCH(E$3,Platts!$F$5:$M$5,0)+1,FALSE),E1749)</f>
        <v>37.1</v>
      </c>
      <c r="F1750" s="6">
        <f>IFERROR(VLOOKUP($B1750,Platts!$E$5:$M$4994,MATCH(F$3,Platts!$F$5:$M$5,0)+1,FALSE),F1749)</f>
        <v>40.799999999999997</v>
      </c>
      <c r="G1750" s="6">
        <f>IFERROR(VLOOKUP($B1750,Platts!$E$5:$M$4994,MATCH(G$3,Platts!$F$5:$M$5,0)+1,FALSE),G1749)</f>
        <v>41.72</v>
      </c>
      <c r="H1750" s="6">
        <f>IFERROR(VLOOKUP($B1750,Platts!$E$5:$M$4994,MATCH(H$3,Platts!$F$5:$M$5,0)+1,FALSE),H1749)</f>
        <v>39.43</v>
      </c>
      <c r="I1750" s="6">
        <f>IFERROR(VLOOKUP($B1750,Platts!$E$5:$M$4994,MATCH(I$3,Platts!$F$5:$M$5,0)+1,FALSE),I1749)</f>
        <v>40.68</v>
      </c>
      <c r="J1750" s="6">
        <f t="shared" si="54"/>
        <v>1.7199999999999989</v>
      </c>
    </row>
    <row r="1751" spans="2:10" x14ac:dyDescent="0.25">
      <c r="B1751" s="5">
        <f t="shared" si="55"/>
        <v>44117</v>
      </c>
      <c r="C1751" s="6">
        <f>IFERROR(VLOOKUP($B1751,Platts!$E$5:$M$4994,MATCH(C$3,Platts!$F$5:$M$5,0)+1,FALSE),C1750)</f>
        <v>37.25</v>
      </c>
      <c r="D1751" s="6">
        <f>IFERROR(VLOOKUP($B1751,Platts!$E$5:$M$4994,MATCH(D$3,Platts!$F$5:$M$5,0)+1,FALSE),D1750)</f>
        <v>39.33</v>
      </c>
      <c r="E1751" s="6">
        <f>IFERROR(VLOOKUP($B1751,Platts!$E$5:$M$4994,MATCH(E$3,Platts!$F$5:$M$5,0)+1,FALSE),E1750)</f>
        <v>37.83</v>
      </c>
      <c r="F1751" s="6">
        <f>IFERROR(VLOOKUP($B1751,Platts!$E$5:$M$4994,MATCH(F$3,Platts!$F$5:$M$5,0)+1,FALSE),F1750)</f>
        <v>41.53</v>
      </c>
      <c r="G1751" s="6">
        <f>IFERROR(VLOOKUP($B1751,Platts!$E$5:$M$4994,MATCH(G$3,Platts!$F$5:$M$5,0)+1,FALSE),G1750)</f>
        <v>42.48</v>
      </c>
      <c r="H1751" s="6">
        <f>IFERROR(VLOOKUP($B1751,Platts!$E$5:$M$4994,MATCH(H$3,Platts!$F$5:$M$5,0)+1,FALSE),H1750)</f>
        <v>40.200000000000003</v>
      </c>
      <c r="I1751" s="6">
        <f>IFERROR(VLOOKUP($B1751,Platts!$E$5:$M$4994,MATCH(I$3,Platts!$F$5:$M$5,0)+1,FALSE),I1750)</f>
        <v>41.5</v>
      </c>
      <c r="J1751" s="6">
        <f t="shared" si="54"/>
        <v>2.9500000000000028</v>
      </c>
    </row>
    <row r="1752" spans="2:10" x14ac:dyDescent="0.25">
      <c r="B1752" s="5">
        <f t="shared" si="55"/>
        <v>44118</v>
      </c>
      <c r="C1752" s="6">
        <f>IFERROR(VLOOKUP($B1752,Platts!$E$5:$M$4994,MATCH(C$3,Platts!$F$5:$M$5,0)+1,FALSE),C1751)</f>
        <v>38.049999999999997</v>
      </c>
      <c r="D1752" s="6">
        <f>IFERROR(VLOOKUP($B1752,Platts!$E$5:$M$4994,MATCH(D$3,Platts!$F$5:$M$5,0)+1,FALSE),D1751)</f>
        <v>40.29</v>
      </c>
      <c r="E1752" s="6">
        <f>IFERROR(VLOOKUP($B1752,Platts!$E$5:$M$4994,MATCH(E$3,Platts!$F$5:$M$5,0)+1,FALSE),E1751)</f>
        <v>38.79</v>
      </c>
      <c r="F1752" s="6">
        <f>IFERROR(VLOOKUP($B1752,Platts!$E$5:$M$4994,MATCH(F$3,Platts!$F$5:$M$5,0)+1,FALSE),F1751)</f>
        <v>42.49</v>
      </c>
      <c r="G1752" s="6">
        <f>IFERROR(VLOOKUP($B1752,Platts!$E$5:$M$4994,MATCH(G$3,Platts!$F$5:$M$5,0)+1,FALSE),G1751)</f>
        <v>43.12</v>
      </c>
      <c r="H1752" s="6">
        <f>IFERROR(VLOOKUP($B1752,Platts!$E$5:$M$4994,MATCH(H$3,Platts!$F$5:$M$5,0)+1,FALSE),H1751)</f>
        <v>41.04</v>
      </c>
      <c r="I1752" s="6">
        <f>IFERROR(VLOOKUP($B1752,Platts!$E$5:$M$4994,MATCH(I$3,Platts!$F$5:$M$5,0)+1,FALSE),I1751)</f>
        <v>42.34</v>
      </c>
      <c r="J1752" s="6">
        <f t="shared" si="54"/>
        <v>2.990000000000002</v>
      </c>
    </row>
    <row r="1753" spans="2:10" x14ac:dyDescent="0.25">
      <c r="B1753" s="5">
        <f t="shared" si="55"/>
        <v>44119</v>
      </c>
      <c r="C1753" s="6">
        <f>IFERROR(VLOOKUP($B1753,Platts!$E$5:$M$4994,MATCH(C$3,Platts!$F$5:$M$5,0)+1,FALSE),C1752)</f>
        <v>38.01</v>
      </c>
      <c r="D1753" s="6">
        <f>IFERROR(VLOOKUP($B1753,Platts!$E$5:$M$4994,MATCH(D$3,Platts!$F$5:$M$5,0)+1,FALSE),D1752)</f>
        <v>40.18</v>
      </c>
      <c r="E1753" s="6">
        <f>IFERROR(VLOOKUP($B1753,Platts!$E$5:$M$4994,MATCH(E$3,Platts!$F$5:$M$5,0)+1,FALSE),E1752)</f>
        <v>38.68</v>
      </c>
      <c r="F1753" s="6">
        <f>IFERROR(VLOOKUP($B1753,Platts!$E$5:$M$4994,MATCH(F$3,Platts!$F$5:$M$5,0)+1,FALSE),F1752)</f>
        <v>42.38</v>
      </c>
      <c r="G1753" s="6">
        <f>IFERROR(VLOOKUP($B1753,Platts!$E$5:$M$4994,MATCH(G$3,Platts!$F$5:$M$5,0)+1,FALSE),G1752)</f>
        <v>42.54</v>
      </c>
      <c r="H1753" s="6">
        <f>IFERROR(VLOOKUP($B1753,Platts!$E$5:$M$4994,MATCH(H$3,Platts!$F$5:$M$5,0)+1,FALSE),H1752)</f>
        <v>40.96</v>
      </c>
      <c r="I1753" s="6">
        <f>IFERROR(VLOOKUP($B1753,Platts!$E$5:$M$4994,MATCH(I$3,Platts!$F$5:$M$5,0)+1,FALSE),I1752)</f>
        <v>42.36</v>
      </c>
      <c r="J1753" s="6">
        <f t="shared" si="54"/>
        <v>2.9500000000000028</v>
      </c>
    </row>
    <row r="1754" spans="2:10" x14ac:dyDescent="0.25">
      <c r="B1754" s="5">
        <f t="shared" si="55"/>
        <v>44120</v>
      </c>
      <c r="C1754" s="6">
        <f>IFERROR(VLOOKUP($B1754,Platts!$E$5:$M$4994,MATCH(C$3,Platts!$F$5:$M$5,0)+1,FALSE),C1753)</f>
        <v>37.869999999999997</v>
      </c>
      <c r="D1754" s="6">
        <f>IFERROR(VLOOKUP($B1754,Platts!$E$5:$M$4994,MATCH(D$3,Platts!$F$5:$M$5,0)+1,FALSE),D1753)</f>
        <v>40</v>
      </c>
      <c r="E1754" s="6">
        <f>IFERROR(VLOOKUP($B1754,Platts!$E$5:$M$4994,MATCH(E$3,Platts!$F$5:$M$5,0)+1,FALSE),E1753)</f>
        <v>38.5</v>
      </c>
      <c r="F1754" s="6">
        <f>IFERROR(VLOOKUP($B1754,Platts!$E$5:$M$4994,MATCH(F$3,Platts!$F$5:$M$5,0)+1,FALSE),F1753)</f>
        <v>42.2</v>
      </c>
      <c r="G1754" s="6">
        <f>IFERROR(VLOOKUP($B1754,Platts!$E$5:$M$4994,MATCH(G$3,Platts!$F$5:$M$5,0)+1,FALSE),G1753)</f>
        <v>43.08</v>
      </c>
      <c r="H1754" s="6">
        <f>IFERROR(VLOOKUP($B1754,Platts!$E$5:$M$4994,MATCH(H$3,Platts!$F$5:$M$5,0)+1,FALSE),H1753)</f>
        <v>40.880000000000003</v>
      </c>
      <c r="I1754" s="6">
        <f>IFERROR(VLOOKUP($B1754,Platts!$E$5:$M$4994,MATCH(I$3,Platts!$F$5:$M$5,0)+1,FALSE),I1753)</f>
        <v>42.28</v>
      </c>
      <c r="J1754" s="6">
        <f t="shared" si="54"/>
        <v>3.0100000000000051</v>
      </c>
    </row>
    <row r="1755" spans="2:10" x14ac:dyDescent="0.25">
      <c r="B1755" s="5">
        <f t="shared" si="55"/>
        <v>44121</v>
      </c>
      <c r="C1755" s="6">
        <f>IFERROR(VLOOKUP($B1755,Platts!$E$5:$M$4994,MATCH(C$3,Platts!$F$5:$M$5,0)+1,FALSE),C1754)</f>
        <v>37.869999999999997</v>
      </c>
      <c r="D1755" s="6">
        <f>IFERROR(VLOOKUP($B1755,Platts!$E$5:$M$4994,MATCH(D$3,Platts!$F$5:$M$5,0)+1,FALSE),D1754)</f>
        <v>40</v>
      </c>
      <c r="E1755" s="6">
        <f>IFERROR(VLOOKUP($B1755,Platts!$E$5:$M$4994,MATCH(E$3,Platts!$F$5:$M$5,0)+1,FALSE),E1754)</f>
        <v>38.5</v>
      </c>
      <c r="F1755" s="6">
        <f>IFERROR(VLOOKUP($B1755,Platts!$E$5:$M$4994,MATCH(F$3,Platts!$F$5:$M$5,0)+1,FALSE),F1754)</f>
        <v>42.2</v>
      </c>
      <c r="G1755" s="6">
        <f>IFERROR(VLOOKUP($B1755,Platts!$E$5:$M$4994,MATCH(G$3,Platts!$F$5:$M$5,0)+1,FALSE),G1754)</f>
        <v>43.08</v>
      </c>
      <c r="H1755" s="6">
        <f>IFERROR(VLOOKUP($B1755,Platts!$E$5:$M$4994,MATCH(H$3,Platts!$F$5:$M$5,0)+1,FALSE),H1754)</f>
        <v>40.880000000000003</v>
      </c>
      <c r="I1755" s="6">
        <f>IFERROR(VLOOKUP($B1755,Platts!$E$5:$M$4994,MATCH(I$3,Platts!$F$5:$M$5,0)+1,FALSE),I1754)</f>
        <v>42.28</v>
      </c>
      <c r="J1755" s="6">
        <f t="shared" si="54"/>
        <v>3.0100000000000051</v>
      </c>
    </row>
    <row r="1756" spans="2:10" x14ac:dyDescent="0.25">
      <c r="B1756" s="5">
        <f t="shared" si="55"/>
        <v>44122</v>
      </c>
      <c r="C1756" s="6">
        <f>IFERROR(VLOOKUP($B1756,Platts!$E$5:$M$4994,MATCH(C$3,Platts!$F$5:$M$5,0)+1,FALSE),C1755)</f>
        <v>37.869999999999997</v>
      </c>
      <c r="D1756" s="6">
        <f>IFERROR(VLOOKUP($B1756,Platts!$E$5:$M$4994,MATCH(D$3,Platts!$F$5:$M$5,0)+1,FALSE),D1755)</f>
        <v>40</v>
      </c>
      <c r="E1756" s="6">
        <f>IFERROR(VLOOKUP($B1756,Platts!$E$5:$M$4994,MATCH(E$3,Platts!$F$5:$M$5,0)+1,FALSE),E1755)</f>
        <v>38.5</v>
      </c>
      <c r="F1756" s="6">
        <f>IFERROR(VLOOKUP($B1756,Platts!$E$5:$M$4994,MATCH(F$3,Platts!$F$5:$M$5,0)+1,FALSE),F1755)</f>
        <v>42.2</v>
      </c>
      <c r="G1756" s="6">
        <f>IFERROR(VLOOKUP($B1756,Platts!$E$5:$M$4994,MATCH(G$3,Platts!$F$5:$M$5,0)+1,FALSE),G1755)</f>
        <v>43.08</v>
      </c>
      <c r="H1756" s="6">
        <f>IFERROR(VLOOKUP($B1756,Platts!$E$5:$M$4994,MATCH(H$3,Platts!$F$5:$M$5,0)+1,FALSE),H1755)</f>
        <v>40.880000000000003</v>
      </c>
      <c r="I1756" s="6">
        <f>IFERROR(VLOOKUP($B1756,Platts!$E$5:$M$4994,MATCH(I$3,Platts!$F$5:$M$5,0)+1,FALSE),I1755)</f>
        <v>42.28</v>
      </c>
      <c r="J1756" s="6">
        <f t="shared" si="54"/>
        <v>3.0100000000000051</v>
      </c>
    </row>
    <row r="1757" spans="2:10" x14ac:dyDescent="0.25">
      <c r="B1757" s="5">
        <f t="shared" si="55"/>
        <v>44123</v>
      </c>
      <c r="C1757" s="6">
        <f>IFERROR(VLOOKUP($B1757,Platts!$E$5:$M$4994,MATCH(C$3,Platts!$F$5:$M$5,0)+1,FALSE),C1756)</f>
        <v>37.64</v>
      </c>
      <c r="D1757" s="6">
        <f>IFERROR(VLOOKUP($B1757,Platts!$E$5:$M$4994,MATCH(D$3,Platts!$F$5:$M$5,0)+1,FALSE),D1756)</f>
        <v>39.770000000000003</v>
      </c>
      <c r="E1757" s="6">
        <f>IFERROR(VLOOKUP($B1757,Platts!$E$5:$M$4994,MATCH(E$3,Platts!$F$5:$M$5,0)+1,FALSE),E1756)</f>
        <v>38.270000000000003</v>
      </c>
      <c r="F1757" s="6">
        <f>IFERROR(VLOOKUP($B1757,Platts!$E$5:$M$4994,MATCH(F$3,Platts!$F$5:$M$5,0)+1,FALSE),F1756)</f>
        <v>41.97</v>
      </c>
      <c r="G1757" s="6">
        <f>IFERROR(VLOOKUP($B1757,Platts!$E$5:$M$4994,MATCH(G$3,Platts!$F$5:$M$5,0)+1,FALSE),G1756)</f>
        <v>43.06</v>
      </c>
      <c r="H1757" s="6">
        <f>IFERROR(VLOOKUP($B1757,Platts!$E$5:$M$4994,MATCH(H$3,Platts!$F$5:$M$5,0)+1,FALSE),H1756)</f>
        <v>40.83</v>
      </c>
      <c r="I1757" s="6">
        <f>IFERROR(VLOOKUP($B1757,Platts!$E$5:$M$4994,MATCH(I$3,Platts!$F$5:$M$5,0)+1,FALSE),I1756)</f>
        <v>42.23</v>
      </c>
      <c r="J1757" s="6">
        <f t="shared" si="54"/>
        <v>3.1899999999999977</v>
      </c>
    </row>
    <row r="1758" spans="2:10" x14ac:dyDescent="0.25">
      <c r="B1758" s="5">
        <f t="shared" si="55"/>
        <v>44124</v>
      </c>
      <c r="C1758" s="6">
        <f>IFERROR(VLOOKUP($B1758,Platts!$E$5:$M$4994,MATCH(C$3,Platts!$F$5:$M$5,0)+1,FALSE),C1757)</f>
        <v>38.08</v>
      </c>
      <c r="D1758" s="6">
        <f>IFERROR(VLOOKUP($B1758,Platts!$E$5:$M$4994,MATCH(D$3,Platts!$F$5:$M$5,0)+1,FALSE),D1757)</f>
        <v>40.270000000000003</v>
      </c>
      <c r="E1758" s="6">
        <f>IFERROR(VLOOKUP($B1758,Platts!$E$5:$M$4994,MATCH(E$3,Platts!$F$5:$M$5,0)+1,FALSE),E1757)</f>
        <v>38.770000000000003</v>
      </c>
      <c r="F1758" s="6">
        <f>IFERROR(VLOOKUP($B1758,Platts!$E$5:$M$4994,MATCH(F$3,Platts!$F$5:$M$5,0)+1,FALSE),F1757)</f>
        <v>42.47</v>
      </c>
      <c r="G1758" s="6">
        <f>IFERROR(VLOOKUP($B1758,Platts!$E$5:$M$4994,MATCH(G$3,Platts!$F$5:$M$5,0)+1,FALSE),G1757)</f>
        <v>42.46</v>
      </c>
      <c r="H1758" s="6">
        <f>IFERROR(VLOOKUP($B1758,Platts!$E$5:$M$4994,MATCH(H$3,Platts!$F$5:$M$5,0)+1,FALSE),H1757)</f>
        <v>41.46</v>
      </c>
      <c r="I1758" s="6">
        <f>IFERROR(VLOOKUP($B1758,Platts!$E$5:$M$4994,MATCH(I$3,Platts!$F$5:$M$5,0)+1,FALSE),I1757)</f>
        <v>42.86</v>
      </c>
      <c r="J1758" s="6">
        <f t="shared" si="54"/>
        <v>3.3800000000000026</v>
      </c>
    </row>
    <row r="1759" spans="2:10" x14ac:dyDescent="0.25">
      <c r="B1759" s="5">
        <f t="shared" si="55"/>
        <v>44125</v>
      </c>
      <c r="C1759" s="6">
        <f>IFERROR(VLOOKUP($B1759,Platts!$E$5:$M$4994,MATCH(C$3,Platts!$F$5:$M$5,0)+1,FALSE),C1758)</f>
        <v>36.81</v>
      </c>
      <c r="D1759" s="6">
        <f>IFERROR(VLOOKUP($B1759,Platts!$E$5:$M$4994,MATCH(D$3,Platts!$F$5:$M$5,0)+1,FALSE),D1758)</f>
        <v>38.85</v>
      </c>
      <c r="E1759" s="6">
        <f>IFERROR(VLOOKUP($B1759,Platts!$E$5:$M$4994,MATCH(E$3,Platts!$F$5:$M$5,0)+1,FALSE),E1758)</f>
        <v>37.35</v>
      </c>
      <c r="F1759" s="6">
        <f>IFERROR(VLOOKUP($B1759,Platts!$E$5:$M$4994,MATCH(F$3,Platts!$F$5:$M$5,0)+1,FALSE),F1758)</f>
        <v>41.05</v>
      </c>
      <c r="G1759" s="6">
        <f>IFERROR(VLOOKUP($B1759,Platts!$E$5:$M$4994,MATCH(G$3,Platts!$F$5:$M$5,0)+1,FALSE),G1758)</f>
        <v>41.99</v>
      </c>
      <c r="H1759" s="6">
        <f>IFERROR(VLOOKUP($B1759,Platts!$E$5:$M$4994,MATCH(H$3,Platts!$F$5:$M$5,0)+1,FALSE),H1758)</f>
        <v>39.83</v>
      </c>
      <c r="I1759" s="6">
        <f>IFERROR(VLOOKUP($B1759,Platts!$E$5:$M$4994,MATCH(I$3,Platts!$F$5:$M$5,0)+1,FALSE),I1758)</f>
        <v>41.33</v>
      </c>
      <c r="J1759" s="6">
        <f t="shared" si="54"/>
        <v>3.019999999999996</v>
      </c>
    </row>
    <row r="1760" spans="2:10" x14ac:dyDescent="0.25">
      <c r="B1760" s="5">
        <f t="shared" si="55"/>
        <v>44126</v>
      </c>
      <c r="C1760" s="6">
        <f>IFERROR(VLOOKUP($B1760,Platts!$E$5:$M$4994,MATCH(C$3,Platts!$F$5:$M$5,0)+1,FALSE),C1759)</f>
        <v>37.35</v>
      </c>
      <c r="D1760" s="6">
        <f>IFERROR(VLOOKUP($B1760,Platts!$E$5:$M$4994,MATCH(D$3,Platts!$F$5:$M$5,0)+1,FALSE),D1759)</f>
        <v>39.51</v>
      </c>
      <c r="E1760" s="6">
        <f>IFERROR(VLOOKUP($B1760,Platts!$E$5:$M$4994,MATCH(E$3,Platts!$F$5:$M$5,0)+1,FALSE),E1759)</f>
        <v>38.01</v>
      </c>
      <c r="F1760" s="6">
        <f>IFERROR(VLOOKUP($B1760,Platts!$E$5:$M$4994,MATCH(F$3,Platts!$F$5:$M$5,0)+1,FALSE),F1759)</f>
        <v>41.71</v>
      </c>
      <c r="G1760" s="6">
        <f>IFERROR(VLOOKUP($B1760,Platts!$E$5:$M$4994,MATCH(G$3,Platts!$F$5:$M$5,0)+1,FALSE),G1759)</f>
        <v>42.78</v>
      </c>
      <c r="H1760" s="6">
        <f>IFERROR(VLOOKUP($B1760,Platts!$E$5:$M$4994,MATCH(H$3,Platts!$F$5:$M$5,0)+1,FALSE),H1759)</f>
        <v>40.44</v>
      </c>
      <c r="I1760" s="6">
        <f>IFERROR(VLOOKUP($B1760,Platts!$E$5:$M$4994,MATCH(I$3,Platts!$F$5:$M$5,0)+1,FALSE),I1759)</f>
        <v>41.94</v>
      </c>
      <c r="J1760" s="6">
        <f t="shared" si="54"/>
        <v>3.0899999999999963</v>
      </c>
    </row>
    <row r="1761" spans="2:10" x14ac:dyDescent="0.25">
      <c r="B1761" s="5">
        <f t="shared" si="55"/>
        <v>44127</v>
      </c>
      <c r="C1761" s="6">
        <f>IFERROR(VLOOKUP($B1761,Platts!$E$5:$M$4994,MATCH(C$3,Platts!$F$5:$M$5,0)+1,FALSE),C1760)</f>
        <v>36.799999999999997</v>
      </c>
      <c r="D1761" s="6">
        <f>IFERROR(VLOOKUP($B1761,Platts!$E$5:$M$4994,MATCH(D$3,Platts!$F$5:$M$5,0)+1,FALSE),D1760)</f>
        <v>38.840000000000003</v>
      </c>
      <c r="E1761" s="6">
        <f>IFERROR(VLOOKUP($B1761,Platts!$E$5:$M$4994,MATCH(E$3,Platts!$F$5:$M$5,0)+1,FALSE),E1760)</f>
        <v>37.340000000000003</v>
      </c>
      <c r="F1761" s="6">
        <f>IFERROR(VLOOKUP($B1761,Platts!$E$5:$M$4994,MATCH(F$3,Platts!$F$5:$M$5,0)+1,FALSE),F1760)</f>
        <v>41.04</v>
      </c>
      <c r="G1761" s="6">
        <f>IFERROR(VLOOKUP($B1761,Platts!$E$5:$M$4994,MATCH(G$3,Platts!$F$5:$M$5,0)+1,FALSE),G1760)</f>
        <v>42.45</v>
      </c>
      <c r="H1761" s="6">
        <f>IFERROR(VLOOKUP($B1761,Platts!$E$5:$M$4994,MATCH(H$3,Platts!$F$5:$M$5,0)+1,FALSE),H1760)</f>
        <v>39.65</v>
      </c>
      <c r="I1761" s="6">
        <f>IFERROR(VLOOKUP($B1761,Platts!$E$5:$M$4994,MATCH(I$3,Platts!$F$5:$M$5,0)+1,FALSE),I1760)</f>
        <v>41.15</v>
      </c>
      <c r="J1761" s="6">
        <f t="shared" si="54"/>
        <v>2.8500000000000014</v>
      </c>
    </row>
    <row r="1762" spans="2:10" x14ac:dyDescent="0.25">
      <c r="B1762" s="5">
        <f t="shared" si="55"/>
        <v>44128</v>
      </c>
      <c r="C1762" s="6">
        <f>IFERROR(VLOOKUP($B1762,Platts!$E$5:$M$4994,MATCH(C$3,Platts!$F$5:$M$5,0)+1,FALSE),C1761)</f>
        <v>36.799999999999997</v>
      </c>
      <c r="D1762" s="6">
        <f>IFERROR(VLOOKUP($B1762,Platts!$E$5:$M$4994,MATCH(D$3,Platts!$F$5:$M$5,0)+1,FALSE),D1761)</f>
        <v>38.840000000000003</v>
      </c>
      <c r="E1762" s="6">
        <f>IFERROR(VLOOKUP($B1762,Platts!$E$5:$M$4994,MATCH(E$3,Platts!$F$5:$M$5,0)+1,FALSE),E1761)</f>
        <v>37.340000000000003</v>
      </c>
      <c r="F1762" s="6">
        <f>IFERROR(VLOOKUP($B1762,Platts!$E$5:$M$4994,MATCH(F$3,Platts!$F$5:$M$5,0)+1,FALSE),F1761)</f>
        <v>41.04</v>
      </c>
      <c r="G1762" s="6">
        <f>IFERROR(VLOOKUP($B1762,Platts!$E$5:$M$4994,MATCH(G$3,Platts!$F$5:$M$5,0)+1,FALSE),G1761)</f>
        <v>42.45</v>
      </c>
      <c r="H1762" s="6">
        <f>IFERROR(VLOOKUP($B1762,Platts!$E$5:$M$4994,MATCH(H$3,Platts!$F$5:$M$5,0)+1,FALSE),H1761)</f>
        <v>39.65</v>
      </c>
      <c r="I1762" s="6">
        <f>IFERROR(VLOOKUP($B1762,Platts!$E$5:$M$4994,MATCH(I$3,Platts!$F$5:$M$5,0)+1,FALSE),I1761)</f>
        <v>41.15</v>
      </c>
      <c r="J1762" s="6">
        <f t="shared" si="54"/>
        <v>2.8500000000000014</v>
      </c>
    </row>
    <row r="1763" spans="2:10" x14ac:dyDescent="0.25">
      <c r="B1763" s="5">
        <f t="shared" si="55"/>
        <v>44129</v>
      </c>
      <c r="C1763" s="6">
        <f>IFERROR(VLOOKUP($B1763,Platts!$E$5:$M$4994,MATCH(C$3,Platts!$F$5:$M$5,0)+1,FALSE),C1762)</f>
        <v>36.799999999999997</v>
      </c>
      <c r="D1763" s="6">
        <f>IFERROR(VLOOKUP($B1763,Platts!$E$5:$M$4994,MATCH(D$3,Platts!$F$5:$M$5,0)+1,FALSE),D1762)</f>
        <v>38.840000000000003</v>
      </c>
      <c r="E1763" s="6">
        <f>IFERROR(VLOOKUP($B1763,Platts!$E$5:$M$4994,MATCH(E$3,Platts!$F$5:$M$5,0)+1,FALSE),E1762)</f>
        <v>37.340000000000003</v>
      </c>
      <c r="F1763" s="6">
        <f>IFERROR(VLOOKUP($B1763,Platts!$E$5:$M$4994,MATCH(F$3,Platts!$F$5:$M$5,0)+1,FALSE),F1762)</f>
        <v>41.04</v>
      </c>
      <c r="G1763" s="6">
        <f>IFERROR(VLOOKUP($B1763,Platts!$E$5:$M$4994,MATCH(G$3,Platts!$F$5:$M$5,0)+1,FALSE),G1762)</f>
        <v>42.45</v>
      </c>
      <c r="H1763" s="6">
        <f>IFERROR(VLOOKUP($B1763,Platts!$E$5:$M$4994,MATCH(H$3,Platts!$F$5:$M$5,0)+1,FALSE),H1762)</f>
        <v>39.65</v>
      </c>
      <c r="I1763" s="6">
        <f>IFERROR(VLOOKUP($B1763,Platts!$E$5:$M$4994,MATCH(I$3,Platts!$F$5:$M$5,0)+1,FALSE),I1762)</f>
        <v>41.15</v>
      </c>
      <c r="J1763" s="6">
        <f t="shared" si="54"/>
        <v>2.8500000000000014</v>
      </c>
    </row>
    <row r="1764" spans="2:10" x14ac:dyDescent="0.25">
      <c r="B1764" s="5">
        <f t="shared" si="55"/>
        <v>44130</v>
      </c>
      <c r="C1764" s="6">
        <f>IFERROR(VLOOKUP($B1764,Platts!$E$5:$M$4994,MATCH(C$3,Platts!$F$5:$M$5,0)+1,FALSE),C1763)</f>
        <v>35.46</v>
      </c>
      <c r="D1764" s="6">
        <f>IFERROR(VLOOKUP($B1764,Platts!$E$5:$M$4994,MATCH(D$3,Platts!$F$5:$M$5,0)+1,FALSE),D1763)</f>
        <v>37.54</v>
      </c>
      <c r="E1764" s="6">
        <f>IFERROR(VLOOKUP($B1764,Platts!$E$5:$M$4994,MATCH(E$3,Platts!$F$5:$M$5,0)+1,FALSE),E1763)</f>
        <v>36.04</v>
      </c>
      <c r="F1764" s="6">
        <f>IFERROR(VLOOKUP($B1764,Platts!$E$5:$M$4994,MATCH(F$3,Platts!$F$5:$M$5,0)+1,FALSE),F1763)</f>
        <v>39.74</v>
      </c>
      <c r="G1764" s="6">
        <f>IFERROR(VLOOKUP($B1764,Platts!$E$5:$M$4994,MATCH(G$3,Platts!$F$5:$M$5,0)+1,FALSE),G1763)</f>
        <v>40.450000000000003</v>
      </c>
      <c r="H1764" s="6">
        <f>IFERROR(VLOOKUP($B1764,Platts!$E$5:$M$4994,MATCH(H$3,Platts!$F$5:$M$5,0)+1,FALSE),H1763)</f>
        <v>38.56</v>
      </c>
      <c r="I1764" s="6">
        <f>IFERROR(VLOOKUP($B1764,Platts!$E$5:$M$4994,MATCH(I$3,Platts!$F$5:$M$5,0)+1,FALSE),I1763)</f>
        <v>39.909999999999997</v>
      </c>
      <c r="J1764" s="6">
        <f t="shared" si="54"/>
        <v>3.1000000000000014</v>
      </c>
    </row>
    <row r="1765" spans="2:10" x14ac:dyDescent="0.25">
      <c r="B1765" s="5">
        <f t="shared" si="55"/>
        <v>44131</v>
      </c>
      <c r="C1765" s="6">
        <f>IFERROR(VLOOKUP($B1765,Platts!$E$5:$M$4994,MATCH(C$3,Platts!$F$5:$M$5,0)+1,FALSE),C1764)</f>
        <v>36.200000000000003</v>
      </c>
      <c r="D1765" s="6">
        <f>IFERROR(VLOOKUP($B1765,Platts!$E$5:$M$4994,MATCH(D$3,Platts!$F$5:$M$5,0)+1,FALSE),D1764)</f>
        <v>38.51</v>
      </c>
      <c r="E1765" s="6">
        <f>IFERROR(VLOOKUP($B1765,Platts!$E$5:$M$4994,MATCH(E$3,Platts!$F$5:$M$5,0)+1,FALSE),E1764)</f>
        <v>37.01</v>
      </c>
      <c r="F1765" s="6">
        <f>IFERROR(VLOOKUP($B1765,Platts!$E$5:$M$4994,MATCH(F$3,Platts!$F$5:$M$5,0)+1,FALSE),F1764)</f>
        <v>40.71</v>
      </c>
      <c r="G1765" s="6">
        <f>IFERROR(VLOOKUP($B1765,Platts!$E$5:$M$4994,MATCH(G$3,Platts!$F$5:$M$5,0)+1,FALSE),G1764)</f>
        <v>41.37</v>
      </c>
      <c r="H1765" s="6">
        <f>IFERROR(VLOOKUP($B1765,Platts!$E$5:$M$4994,MATCH(H$3,Platts!$F$5:$M$5,0)+1,FALSE),H1764)</f>
        <v>39.57</v>
      </c>
      <c r="I1765" s="6">
        <f>IFERROR(VLOOKUP($B1765,Platts!$E$5:$M$4994,MATCH(I$3,Platts!$F$5:$M$5,0)+1,FALSE),I1764)</f>
        <v>40.770000000000003</v>
      </c>
      <c r="J1765" s="6">
        <f t="shared" si="54"/>
        <v>3.3699999999999974</v>
      </c>
    </row>
    <row r="1766" spans="2:10" x14ac:dyDescent="0.25">
      <c r="B1766" s="5">
        <f t="shared" si="55"/>
        <v>44132</v>
      </c>
      <c r="C1766" s="6">
        <f>IFERROR(VLOOKUP($B1766,Platts!$E$5:$M$4994,MATCH(C$3,Platts!$F$5:$M$5,0)+1,FALSE),C1765)</f>
        <v>34.31</v>
      </c>
      <c r="D1766" s="6">
        <f>IFERROR(VLOOKUP($B1766,Platts!$E$5:$M$4994,MATCH(D$3,Platts!$F$5:$M$5,0)+1,FALSE),D1765)</f>
        <v>36.4</v>
      </c>
      <c r="E1766" s="6">
        <f>IFERROR(VLOOKUP($B1766,Platts!$E$5:$M$4994,MATCH(E$3,Platts!$F$5:$M$5,0)+1,FALSE),E1765)</f>
        <v>34.9</v>
      </c>
      <c r="F1766" s="6">
        <f>IFERROR(VLOOKUP($B1766,Platts!$E$5:$M$4994,MATCH(F$3,Platts!$F$5:$M$5,0)+1,FALSE),F1765)</f>
        <v>38.6</v>
      </c>
      <c r="G1766" s="6">
        <f>IFERROR(VLOOKUP($B1766,Platts!$E$5:$M$4994,MATCH(G$3,Platts!$F$5:$M$5,0)+1,FALSE),G1765)</f>
        <v>39.17</v>
      </c>
      <c r="H1766" s="6">
        <f>IFERROR(VLOOKUP($B1766,Platts!$E$5:$M$4994,MATCH(H$3,Platts!$F$5:$M$5,0)+1,FALSE),H1765)</f>
        <v>37.39</v>
      </c>
      <c r="I1766" s="6">
        <f>IFERROR(VLOOKUP($B1766,Platts!$E$5:$M$4994,MATCH(I$3,Platts!$F$5:$M$5,0)+1,FALSE),I1765)</f>
        <v>38.590000000000003</v>
      </c>
      <c r="J1766" s="6">
        <f t="shared" si="54"/>
        <v>3.0799999999999983</v>
      </c>
    </row>
    <row r="1767" spans="2:10" x14ac:dyDescent="0.25">
      <c r="B1767" s="5">
        <f t="shared" si="55"/>
        <v>44133</v>
      </c>
      <c r="C1767" s="6">
        <f>IFERROR(VLOOKUP($B1767,Platts!$E$5:$M$4994,MATCH(C$3,Platts!$F$5:$M$5,0)+1,FALSE),C1766)</f>
        <v>32.979999999999997</v>
      </c>
      <c r="D1767" s="6">
        <f>IFERROR(VLOOKUP($B1767,Platts!$E$5:$M$4994,MATCH(D$3,Platts!$F$5:$M$5,0)+1,FALSE),D1766)</f>
        <v>35.119999999999997</v>
      </c>
      <c r="E1767" s="6">
        <f>IFERROR(VLOOKUP($B1767,Platts!$E$5:$M$4994,MATCH(E$3,Platts!$F$5:$M$5,0)+1,FALSE),E1766)</f>
        <v>33.619999999999997</v>
      </c>
      <c r="F1767" s="6">
        <f>IFERROR(VLOOKUP($B1767,Platts!$E$5:$M$4994,MATCH(F$3,Platts!$F$5:$M$5,0)+1,FALSE),F1766)</f>
        <v>37.32</v>
      </c>
      <c r="G1767" s="6">
        <f>IFERROR(VLOOKUP($B1767,Platts!$E$5:$M$4994,MATCH(G$3,Platts!$F$5:$M$5,0)+1,FALSE),G1766)</f>
        <v>37.39</v>
      </c>
      <c r="H1767" s="6">
        <f>IFERROR(VLOOKUP($B1767,Platts!$E$5:$M$4994,MATCH(H$3,Platts!$F$5:$M$5,0)+1,FALSE),H1766)</f>
        <v>36.17</v>
      </c>
      <c r="I1767" s="6">
        <f>IFERROR(VLOOKUP($B1767,Platts!$E$5:$M$4994,MATCH(I$3,Platts!$F$5:$M$5,0)+1,FALSE),I1766)</f>
        <v>37.369999999999997</v>
      </c>
      <c r="J1767" s="6">
        <f t="shared" si="54"/>
        <v>3.1900000000000048</v>
      </c>
    </row>
    <row r="1768" spans="2:10" x14ac:dyDescent="0.25">
      <c r="B1768" s="5">
        <f t="shared" si="55"/>
        <v>44134</v>
      </c>
      <c r="C1768" s="6">
        <f>IFERROR(VLOOKUP($B1768,Platts!$E$5:$M$4994,MATCH(C$3,Platts!$F$5:$M$5,0)+1,FALSE),C1767)</f>
        <v>32.58</v>
      </c>
      <c r="D1768" s="6">
        <f>IFERROR(VLOOKUP($B1768,Platts!$E$5:$M$4994,MATCH(D$3,Platts!$F$5:$M$5,0)+1,FALSE),D1767)</f>
        <v>34.75</v>
      </c>
      <c r="E1768" s="6">
        <f>IFERROR(VLOOKUP($B1768,Platts!$E$5:$M$4994,MATCH(E$3,Platts!$F$5:$M$5,0)+1,FALSE),E1767)</f>
        <v>33.25</v>
      </c>
      <c r="F1768" s="6">
        <f>IFERROR(VLOOKUP($B1768,Platts!$E$5:$M$4994,MATCH(F$3,Platts!$F$5:$M$5,0)+1,FALSE),F1767)</f>
        <v>36.950000000000003</v>
      </c>
      <c r="G1768" s="6">
        <f>IFERROR(VLOOKUP($B1768,Platts!$E$5:$M$4994,MATCH(G$3,Platts!$F$5:$M$5,0)+1,FALSE),G1767)</f>
        <v>37.19</v>
      </c>
      <c r="H1768" s="6">
        <f>IFERROR(VLOOKUP($B1768,Platts!$E$5:$M$4994,MATCH(H$3,Platts!$F$5:$M$5,0)+1,FALSE),H1767)</f>
        <v>35.79</v>
      </c>
      <c r="I1768" s="6">
        <f>IFERROR(VLOOKUP($B1768,Platts!$E$5:$M$4994,MATCH(I$3,Platts!$F$5:$M$5,0)+1,FALSE),I1767)</f>
        <v>37.04</v>
      </c>
      <c r="J1768" s="6">
        <f t="shared" si="54"/>
        <v>3.2100000000000009</v>
      </c>
    </row>
    <row r="1769" spans="2:10" x14ac:dyDescent="0.25">
      <c r="B1769" s="5">
        <f t="shared" si="55"/>
        <v>44135</v>
      </c>
      <c r="C1769" s="6">
        <f>IFERROR(VLOOKUP($B1769,Platts!$E$5:$M$4994,MATCH(C$3,Platts!$F$5:$M$5,0)+1,FALSE),C1768)</f>
        <v>32.58</v>
      </c>
      <c r="D1769" s="6">
        <f>IFERROR(VLOOKUP($B1769,Platts!$E$5:$M$4994,MATCH(D$3,Platts!$F$5:$M$5,0)+1,FALSE),D1768)</f>
        <v>34.75</v>
      </c>
      <c r="E1769" s="6">
        <f>IFERROR(VLOOKUP($B1769,Platts!$E$5:$M$4994,MATCH(E$3,Platts!$F$5:$M$5,0)+1,FALSE),E1768)</f>
        <v>33.25</v>
      </c>
      <c r="F1769" s="6">
        <f>IFERROR(VLOOKUP($B1769,Platts!$E$5:$M$4994,MATCH(F$3,Platts!$F$5:$M$5,0)+1,FALSE),F1768)</f>
        <v>36.950000000000003</v>
      </c>
      <c r="G1769" s="6">
        <f>IFERROR(VLOOKUP($B1769,Platts!$E$5:$M$4994,MATCH(G$3,Platts!$F$5:$M$5,0)+1,FALSE),G1768)</f>
        <v>37.19</v>
      </c>
      <c r="H1769" s="6">
        <f>IFERROR(VLOOKUP($B1769,Platts!$E$5:$M$4994,MATCH(H$3,Platts!$F$5:$M$5,0)+1,FALSE),H1768)</f>
        <v>35.79</v>
      </c>
      <c r="I1769" s="6">
        <f>IFERROR(VLOOKUP($B1769,Platts!$E$5:$M$4994,MATCH(I$3,Platts!$F$5:$M$5,0)+1,FALSE),I1768)</f>
        <v>37.04</v>
      </c>
      <c r="J1769" s="6">
        <f t="shared" si="54"/>
        <v>3.2100000000000009</v>
      </c>
    </row>
    <row r="1770" spans="2:10" x14ac:dyDescent="0.25">
      <c r="B1770" s="5">
        <f t="shared" si="55"/>
        <v>44136</v>
      </c>
      <c r="C1770" s="6">
        <f>IFERROR(VLOOKUP($B1770,Platts!$E$5:$M$4994,MATCH(C$3,Platts!$F$5:$M$5,0)+1,FALSE),C1769)</f>
        <v>32.58</v>
      </c>
      <c r="D1770" s="6">
        <f>IFERROR(VLOOKUP($B1770,Platts!$E$5:$M$4994,MATCH(D$3,Platts!$F$5:$M$5,0)+1,FALSE),D1769)</f>
        <v>34.75</v>
      </c>
      <c r="E1770" s="6">
        <f>IFERROR(VLOOKUP($B1770,Platts!$E$5:$M$4994,MATCH(E$3,Platts!$F$5:$M$5,0)+1,FALSE),E1769)</f>
        <v>33.25</v>
      </c>
      <c r="F1770" s="6">
        <f>IFERROR(VLOOKUP($B1770,Platts!$E$5:$M$4994,MATCH(F$3,Platts!$F$5:$M$5,0)+1,FALSE),F1769)</f>
        <v>36.950000000000003</v>
      </c>
      <c r="G1770" s="6">
        <f>IFERROR(VLOOKUP($B1770,Platts!$E$5:$M$4994,MATCH(G$3,Platts!$F$5:$M$5,0)+1,FALSE),G1769)</f>
        <v>37.19</v>
      </c>
      <c r="H1770" s="6">
        <f>IFERROR(VLOOKUP($B1770,Platts!$E$5:$M$4994,MATCH(H$3,Platts!$F$5:$M$5,0)+1,FALSE),H1769)</f>
        <v>35.79</v>
      </c>
      <c r="I1770" s="6">
        <f>IFERROR(VLOOKUP($B1770,Platts!$E$5:$M$4994,MATCH(I$3,Platts!$F$5:$M$5,0)+1,FALSE),I1769)</f>
        <v>37.04</v>
      </c>
      <c r="J1770" s="6">
        <f t="shared" si="54"/>
        <v>3.2100000000000009</v>
      </c>
    </row>
    <row r="1771" spans="2:10" x14ac:dyDescent="0.25">
      <c r="B1771" s="5">
        <f t="shared" si="55"/>
        <v>44137</v>
      </c>
      <c r="C1771" s="6">
        <f>IFERROR(VLOOKUP($B1771,Platts!$E$5:$M$4994,MATCH(C$3,Platts!$F$5:$M$5,0)+1,FALSE),C1770)</f>
        <v>32.58</v>
      </c>
      <c r="D1771" s="6">
        <f>IFERROR(VLOOKUP($B1771,Platts!$E$5:$M$4994,MATCH(D$3,Platts!$F$5:$M$5,0)+1,FALSE),D1770)</f>
        <v>35.92</v>
      </c>
      <c r="E1771" s="6">
        <f>IFERROR(VLOOKUP($B1771,Platts!$E$5:$M$4994,MATCH(E$3,Platts!$F$5:$M$5,0)+1,FALSE),E1770)</f>
        <v>34.520000000000003</v>
      </c>
      <c r="F1771" s="6">
        <f>IFERROR(VLOOKUP($B1771,Platts!$E$5:$M$4994,MATCH(F$3,Platts!$F$5:$M$5,0)+1,FALSE),F1770)</f>
        <v>37.770000000000003</v>
      </c>
      <c r="G1771" s="6">
        <f>IFERROR(VLOOKUP($B1771,Platts!$E$5:$M$4994,MATCH(G$3,Platts!$F$5:$M$5,0)+1,FALSE),G1770)</f>
        <v>38.159999999999997</v>
      </c>
      <c r="H1771" s="6">
        <f>IFERROR(VLOOKUP($B1771,Platts!$E$5:$M$4994,MATCH(H$3,Platts!$F$5:$M$5,0)+1,FALSE),H1770)</f>
        <v>36.81</v>
      </c>
      <c r="I1771" s="6">
        <f>IFERROR(VLOOKUP($B1771,Platts!$E$5:$M$4994,MATCH(I$3,Platts!$F$5:$M$5,0)+1,FALSE),I1770)</f>
        <v>38.06</v>
      </c>
      <c r="J1771" s="6">
        <f t="shared" si="54"/>
        <v>4.230000000000004</v>
      </c>
    </row>
    <row r="1772" spans="2:10" x14ac:dyDescent="0.25">
      <c r="B1772" s="5">
        <f t="shared" si="55"/>
        <v>44138</v>
      </c>
      <c r="C1772" s="6">
        <f>IFERROR(VLOOKUP($B1772,Platts!$E$5:$M$4994,MATCH(C$3,Platts!$F$5:$M$5,0)+1,FALSE),C1771)</f>
        <v>35</v>
      </c>
      <c r="D1772" s="6">
        <f>IFERROR(VLOOKUP($B1772,Platts!$E$5:$M$4994,MATCH(D$3,Platts!$F$5:$M$5,0)+1,FALSE),D1771)</f>
        <v>36.76</v>
      </c>
      <c r="E1772" s="6">
        <f>IFERROR(VLOOKUP($B1772,Platts!$E$5:$M$4994,MATCH(E$3,Platts!$F$5:$M$5,0)+1,FALSE),E1771)</f>
        <v>35.36</v>
      </c>
      <c r="F1772" s="6">
        <f>IFERROR(VLOOKUP($B1772,Platts!$E$5:$M$4994,MATCH(F$3,Platts!$F$5:$M$5,0)+1,FALSE),F1771)</f>
        <v>38.61</v>
      </c>
      <c r="G1772" s="6">
        <f>IFERROR(VLOOKUP($B1772,Platts!$E$5:$M$4994,MATCH(G$3,Platts!$F$5:$M$5,0)+1,FALSE),G1771)</f>
        <v>39.479999999999997</v>
      </c>
      <c r="H1772" s="6">
        <f>IFERROR(VLOOKUP($B1772,Platts!$E$5:$M$4994,MATCH(H$3,Platts!$F$5:$M$5,0)+1,FALSE),H1771)</f>
        <v>37.659999999999997</v>
      </c>
      <c r="I1772" s="6">
        <f>IFERROR(VLOOKUP($B1772,Platts!$E$5:$M$4994,MATCH(I$3,Platts!$F$5:$M$5,0)+1,FALSE),I1771)</f>
        <v>38.909999999999997</v>
      </c>
      <c r="J1772" s="6">
        <f t="shared" si="54"/>
        <v>2.6599999999999966</v>
      </c>
    </row>
    <row r="1773" spans="2:10" x14ac:dyDescent="0.25">
      <c r="B1773" s="5">
        <f t="shared" si="55"/>
        <v>44139</v>
      </c>
      <c r="C1773" s="6">
        <f>IFERROR(VLOOKUP($B1773,Platts!$E$5:$M$4994,MATCH(C$3,Platts!$F$5:$M$5,0)+1,FALSE),C1772)</f>
        <v>36.36</v>
      </c>
      <c r="D1773" s="6">
        <f>IFERROR(VLOOKUP($B1773,Platts!$E$5:$M$4994,MATCH(D$3,Platts!$F$5:$M$5,0)+1,FALSE),D1772)</f>
        <v>38.11</v>
      </c>
      <c r="E1773" s="6">
        <f>IFERROR(VLOOKUP($B1773,Platts!$E$5:$M$4994,MATCH(E$3,Platts!$F$5:$M$5,0)+1,FALSE),E1772)</f>
        <v>36.71</v>
      </c>
      <c r="F1773" s="6">
        <f>IFERROR(VLOOKUP($B1773,Platts!$E$5:$M$4994,MATCH(F$3,Platts!$F$5:$M$5,0)+1,FALSE),F1772)</f>
        <v>39.96</v>
      </c>
      <c r="G1773" s="6">
        <f>IFERROR(VLOOKUP($B1773,Platts!$E$5:$M$4994,MATCH(G$3,Platts!$F$5:$M$5,0)+1,FALSE),G1772)</f>
        <v>40.799999999999997</v>
      </c>
      <c r="H1773" s="6">
        <f>IFERROR(VLOOKUP($B1773,Platts!$E$5:$M$4994,MATCH(H$3,Platts!$F$5:$M$5,0)+1,FALSE),H1772)</f>
        <v>39.15</v>
      </c>
      <c r="I1773" s="6">
        <f>IFERROR(VLOOKUP($B1773,Platts!$E$5:$M$4994,MATCH(I$3,Platts!$F$5:$M$5,0)+1,FALSE),I1772)</f>
        <v>40.4</v>
      </c>
      <c r="J1773" s="6">
        <f t="shared" si="54"/>
        <v>2.7899999999999991</v>
      </c>
    </row>
    <row r="1774" spans="2:10" x14ac:dyDescent="0.25">
      <c r="B1774" s="5">
        <f t="shared" si="55"/>
        <v>44140</v>
      </c>
      <c r="C1774" s="6">
        <f>IFERROR(VLOOKUP($B1774,Platts!$E$5:$M$4994,MATCH(C$3,Platts!$F$5:$M$5,0)+1,FALSE),C1773)</f>
        <v>36.21</v>
      </c>
      <c r="D1774" s="6">
        <f>IFERROR(VLOOKUP($B1774,Platts!$E$5:$M$4994,MATCH(D$3,Platts!$F$5:$M$5,0)+1,FALSE),D1773)</f>
        <v>37.71</v>
      </c>
      <c r="E1774" s="6">
        <f>IFERROR(VLOOKUP($B1774,Platts!$E$5:$M$4994,MATCH(E$3,Platts!$F$5:$M$5,0)+1,FALSE),E1773)</f>
        <v>36.31</v>
      </c>
      <c r="F1774" s="6">
        <f>IFERROR(VLOOKUP($B1774,Platts!$E$5:$M$4994,MATCH(F$3,Platts!$F$5:$M$5,0)+1,FALSE),F1773)</f>
        <v>39.56</v>
      </c>
      <c r="G1774" s="6">
        <f>IFERROR(VLOOKUP($B1774,Platts!$E$5:$M$4994,MATCH(G$3,Platts!$F$5:$M$5,0)+1,FALSE),G1773)</f>
        <v>40.97</v>
      </c>
      <c r="H1774" s="6">
        <f>IFERROR(VLOOKUP($B1774,Platts!$E$5:$M$4994,MATCH(H$3,Platts!$F$5:$M$5,0)+1,FALSE),H1773)</f>
        <v>38.79</v>
      </c>
      <c r="I1774" s="6">
        <f>IFERROR(VLOOKUP($B1774,Platts!$E$5:$M$4994,MATCH(I$3,Platts!$F$5:$M$5,0)+1,FALSE),I1773)</f>
        <v>40.090000000000003</v>
      </c>
      <c r="J1774" s="6">
        <f t="shared" si="54"/>
        <v>2.5799999999999983</v>
      </c>
    </row>
    <row r="1775" spans="2:10" x14ac:dyDescent="0.25">
      <c r="B1775" s="5">
        <f t="shared" si="55"/>
        <v>44141</v>
      </c>
      <c r="C1775" s="6">
        <f>IFERROR(VLOOKUP($B1775,Platts!$E$5:$M$4994,MATCH(C$3,Platts!$F$5:$M$5,0)+1,FALSE),C1774)</f>
        <v>34.83</v>
      </c>
      <c r="D1775" s="6">
        <f>IFERROR(VLOOKUP($B1775,Platts!$E$5:$M$4994,MATCH(D$3,Platts!$F$5:$M$5,0)+1,FALSE),D1774)</f>
        <v>36.32</v>
      </c>
      <c r="E1775" s="6">
        <f>IFERROR(VLOOKUP($B1775,Platts!$E$5:$M$4994,MATCH(E$3,Platts!$F$5:$M$5,0)+1,FALSE),E1774)</f>
        <v>34.92</v>
      </c>
      <c r="F1775" s="6">
        <f>IFERROR(VLOOKUP($B1775,Platts!$E$5:$M$4994,MATCH(F$3,Platts!$F$5:$M$5,0)+1,FALSE),F1774)</f>
        <v>38.17</v>
      </c>
      <c r="G1775" s="6">
        <f>IFERROR(VLOOKUP($B1775,Platts!$E$5:$M$4994,MATCH(G$3,Platts!$F$5:$M$5,0)+1,FALSE),G1774)</f>
        <v>39.75</v>
      </c>
      <c r="H1775" s="6">
        <f>IFERROR(VLOOKUP($B1775,Platts!$E$5:$M$4994,MATCH(H$3,Platts!$F$5:$M$5,0)+1,FALSE),H1774)</f>
        <v>37.14</v>
      </c>
      <c r="I1775" s="6">
        <f>IFERROR(VLOOKUP($B1775,Platts!$E$5:$M$4994,MATCH(I$3,Platts!$F$5:$M$5,0)+1,FALSE),I1774)</f>
        <v>38.49</v>
      </c>
      <c r="J1775" s="6">
        <f t="shared" si="54"/>
        <v>2.3100000000000023</v>
      </c>
    </row>
    <row r="1776" spans="2:10" x14ac:dyDescent="0.25">
      <c r="B1776" s="5">
        <f t="shared" si="55"/>
        <v>44142</v>
      </c>
      <c r="C1776" s="6">
        <f>IFERROR(VLOOKUP($B1776,Platts!$E$5:$M$4994,MATCH(C$3,Platts!$F$5:$M$5,0)+1,FALSE),C1775)</f>
        <v>34.83</v>
      </c>
      <c r="D1776" s="6">
        <f>IFERROR(VLOOKUP($B1776,Platts!$E$5:$M$4994,MATCH(D$3,Platts!$F$5:$M$5,0)+1,FALSE),D1775)</f>
        <v>36.32</v>
      </c>
      <c r="E1776" s="6">
        <f>IFERROR(VLOOKUP($B1776,Platts!$E$5:$M$4994,MATCH(E$3,Platts!$F$5:$M$5,0)+1,FALSE),E1775)</f>
        <v>34.92</v>
      </c>
      <c r="F1776" s="6">
        <f>IFERROR(VLOOKUP($B1776,Platts!$E$5:$M$4994,MATCH(F$3,Platts!$F$5:$M$5,0)+1,FALSE),F1775)</f>
        <v>38.17</v>
      </c>
      <c r="G1776" s="6">
        <f>IFERROR(VLOOKUP($B1776,Platts!$E$5:$M$4994,MATCH(G$3,Platts!$F$5:$M$5,0)+1,FALSE),G1775)</f>
        <v>39.75</v>
      </c>
      <c r="H1776" s="6">
        <f>IFERROR(VLOOKUP($B1776,Platts!$E$5:$M$4994,MATCH(H$3,Platts!$F$5:$M$5,0)+1,FALSE),H1775)</f>
        <v>37.14</v>
      </c>
      <c r="I1776" s="6">
        <f>IFERROR(VLOOKUP($B1776,Platts!$E$5:$M$4994,MATCH(I$3,Platts!$F$5:$M$5,0)+1,FALSE),I1775)</f>
        <v>38.49</v>
      </c>
      <c r="J1776" s="6">
        <f t="shared" si="54"/>
        <v>2.3100000000000023</v>
      </c>
    </row>
    <row r="1777" spans="2:10" x14ac:dyDescent="0.25">
      <c r="B1777" s="5">
        <f t="shared" si="55"/>
        <v>44143</v>
      </c>
      <c r="C1777" s="6">
        <f>IFERROR(VLOOKUP($B1777,Platts!$E$5:$M$4994,MATCH(C$3,Platts!$F$5:$M$5,0)+1,FALSE),C1776)</f>
        <v>34.83</v>
      </c>
      <c r="D1777" s="6">
        <f>IFERROR(VLOOKUP($B1777,Platts!$E$5:$M$4994,MATCH(D$3,Platts!$F$5:$M$5,0)+1,FALSE),D1776)</f>
        <v>36.32</v>
      </c>
      <c r="E1777" s="6">
        <f>IFERROR(VLOOKUP($B1777,Platts!$E$5:$M$4994,MATCH(E$3,Platts!$F$5:$M$5,0)+1,FALSE),E1776)</f>
        <v>34.92</v>
      </c>
      <c r="F1777" s="6">
        <f>IFERROR(VLOOKUP($B1777,Platts!$E$5:$M$4994,MATCH(F$3,Platts!$F$5:$M$5,0)+1,FALSE),F1776)</f>
        <v>38.17</v>
      </c>
      <c r="G1777" s="6">
        <f>IFERROR(VLOOKUP($B1777,Platts!$E$5:$M$4994,MATCH(G$3,Platts!$F$5:$M$5,0)+1,FALSE),G1776)</f>
        <v>39.75</v>
      </c>
      <c r="H1777" s="6">
        <f>IFERROR(VLOOKUP($B1777,Platts!$E$5:$M$4994,MATCH(H$3,Platts!$F$5:$M$5,0)+1,FALSE),H1776)</f>
        <v>37.14</v>
      </c>
      <c r="I1777" s="6">
        <f>IFERROR(VLOOKUP($B1777,Platts!$E$5:$M$4994,MATCH(I$3,Platts!$F$5:$M$5,0)+1,FALSE),I1776)</f>
        <v>38.49</v>
      </c>
      <c r="J1777" s="6">
        <f t="shared" si="54"/>
        <v>2.3100000000000023</v>
      </c>
    </row>
    <row r="1778" spans="2:10" x14ac:dyDescent="0.25">
      <c r="B1778" s="5">
        <f t="shared" si="55"/>
        <v>44144</v>
      </c>
      <c r="C1778" s="6">
        <f>IFERROR(VLOOKUP($B1778,Platts!$E$5:$M$4994,MATCH(C$3,Platts!$F$5:$M$5,0)+1,FALSE),C1777)</f>
        <v>37.46</v>
      </c>
      <c r="D1778" s="6">
        <f>IFERROR(VLOOKUP($B1778,Platts!$E$5:$M$4994,MATCH(D$3,Platts!$F$5:$M$5,0)+1,FALSE),D1777)</f>
        <v>39.19</v>
      </c>
      <c r="E1778" s="6">
        <f>IFERROR(VLOOKUP($B1778,Platts!$E$5:$M$4994,MATCH(E$3,Platts!$F$5:$M$5,0)+1,FALSE),E1777)</f>
        <v>37.79</v>
      </c>
      <c r="F1778" s="6">
        <f>IFERROR(VLOOKUP($B1778,Platts!$E$5:$M$4994,MATCH(F$3,Platts!$F$5:$M$5,0)+1,FALSE),F1777)</f>
        <v>41.04</v>
      </c>
      <c r="G1778" s="6">
        <f>IFERROR(VLOOKUP($B1778,Platts!$E$5:$M$4994,MATCH(G$3,Platts!$F$5:$M$5,0)+1,FALSE),G1777)</f>
        <v>42.69</v>
      </c>
      <c r="H1778" s="6">
        <f>IFERROR(VLOOKUP($B1778,Platts!$E$5:$M$4994,MATCH(H$3,Platts!$F$5:$M$5,0)+1,FALSE),H1777)</f>
        <v>40.29</v>
      </c>
      <c r="I1778" s="6">
        <f>IFERROR(VLOOKUP($B1778,Platts!$E$5:$M$4994,MATCH(I$3,Platts!$F$5:$M$5,0)+1,FALSE),I1777)</f>
        <v>41.64</v>
      </c>
      <c r="J1778" s="6">
        <f t="shared" si="54"/>
        <v>2.8299999999999983</v>
      </c>
    </row>
    <row r="1779" spans="2:10" x14ac:dyDescent="0.25">
      <c r="B1779" s="5">
        <f t="shared" si="55"/>
        <v>44145</v>
      </c>
      <c r="C1779" s="6">
        <f>IFERROR(VLOOKUP($B1779,Platts!$E$5:$M$4994,MATCH(C$3,Platts!$F$5:$M$5,0)+1,FALSE),C1778)</f>
        <v>38.74</v>
      </c>
      <c r="D1779" s="6">
        <f>IFERROR(VLOOKUP($B1779,Platts!$E$5:$M$4994,MATCH(D$3,Platts!$F$5:$M$5,0)+1,FALSE),D1778)</f>
        <v>40.47</v>
      </c>
      <c r="E1779" s="6">
        <f>IFERROR(VLOOKUP($B1779,Platts!$E$5:$M$4994,MATCH(E$3,Platts!$F$5:$M$5,0)+1,FALSE),E1778)</f>
        <v>39.07</v>
      </c>
      <c r="F1779" s="6">
        <f>IFERROR(VLOOKUP($B1779,Platts!$E$5:$M$4994,MATCH(F$3,Platts!$F$5:$M$5,0)+1,FALSE),F1778)</f>
        <v>42.32</v>
      </c>
      <c r="G1779" s="6">
        <f>IFERROR(VLOOKUP($B1779,Platts!$E$5:$M$4994,MATCH(G$3,Platts!$F$5:$M$5,0)+1,FALSE),G1778)</f>
        <v>43.08</v>
      </c>
      <c r="H1779" s="6">
        <f>IFERROR(VLOOKUP($B1779,Platts!$E$5:$M$4994,MATCH(H$3,Platts!$F$5:$M$5,0)+1,FALSE),H1778)</f>
        <v>41.36</v>
      </c>
      <c r="I1779" s="6">
        <f>IFERROR(VLOOKUP($B1779,Platts!$E$5:$M$4994,MATCH(I$3,Platts!$F$5:$M$5,0)+1,FALSE),I1778)</f>
        <v>42.71</v>
      </c>
      <c r="J1779" s="6">
        <f t="shared" si="54"/>
        <v>2.6199999999999974</v>
      </c>
    </row>
    <row r="1780" spans="2:10" x14ac:dyDescent="0.25">
      <c r="B1780" s="5">
        <f t="shared" si="55"/>
        <v>44146</v>
      </c>
      <c r="C1780" s="6">
        <f>IFERROR(VLOOKUP($B1780,Platts!$E$5:$M$4994,MATCH(C$3,Platts!$F$5:$M$5,0)+1,FALSE),C1779)</f>
        <v>39.15</v>
      </c>
      <c r="D1780" s="6">
        <f>IFERROR(VLOOKUP($B1780,Platts!$E$5:$M$4994,MATCH(D$3,Platts!$F$5:$M$5,0)+1,FALSE),D1779)</f>
        <v>40.64</v>
      </c>
      <c r="E1780" s="6">
        <f>IFERROR(VLOOKUP($B1780,Platts!$E$5:$M$4994,MATCH(E$3,Platts!$F$5:$M$5,0)+1,FALSE),E1779)</f>
        <v>39.24</v>
      </c>
      <c r="F1780" s="6">
        <f>IFERROR(VLOOKUP($B1780,Platts!$E$5:$M$4994,MATCH(F$3,Platts!$F$5:$M$5,0)+1,FALSE),F1779)</f>
        <v>42.49</v>
      </c>
      <c r="G1780" s="6">
        <f>IFERROR(VLOOKUP($B1780,Platts!$E$5:$M$4994,MATCH(G$3,Platts!$F$5:$M$5,0)+1,FALSE),G1779)</f>
        <v>44.39</v>
      </c>
      <c r="H1780" s="6">
        <f>IFERROR(VLOOKUP($B1780,Platts!$E$5:$M$4994,MATCH(H$3,Platts!$F$5:$M$5,0)+1,FALSE),H1779)</f>
        <v>41.45</v>
      </c>
      <c r="I1780" s="6">
        <f>IFERROR(VLOOKUP($B1780,Platts!$E$5:$M$4994,MATCH(I$3,Platts!$F$5:$M$5,0)+1,FALSE),I1779)</f>
        <v>42.7</v>
      </c>
      <c r="J1780" s="6">
        <f t="shared" si="54"/>
        <v>2.3000000000000043</v>
      </c>
    </row>
    <row r="1781" spans="2:10" x14ac:dyDescent="0.25">
      <c r="B1781" s="5">
        <f t="shared" si="55"/>
        <v>44147</v>
      </c>
      <c r="C1781" s="6">
        <f>IFERROR(VLOOKUP($B1781,Platts!$E$5:$M$4994,MATCH(C$3,Platts!$F$5:$M$5,0)+1,FALSE),C1780)</f>
        <v>38.83</v>
      </c>
      <c r="D1781" s="6">
        <f>IFERROR(VLOOKUP($B1781,Platts!$E$5:$M$4994,MATCH(D$3,Platts!$F$5:$M$5,0)+1,FALSE),D1780)</f>
        <v>40.270000000000003</v>
      </c>
      <c r="E1781" s="6">
        <f>IFERROR(VLOOKUP($B1781,Platts!$E$5:$M$4994,MATCH(E$3,Platts!$F$5:$M$5,0)+1,FALSE),E1780)</f>
        <v>38.869999999999997</v>
      </c>
      <c r="F1781" s="6">
        <f>IFERROR(VLOOKUP($B1781,Platts!$E$5:$M$4994,MATCH(F$3,Platts!$F$5:$M$5,0)+1,FALSE),F1780)</f>
        <v>42.12</v>
      </c>
      <c r="G1781" s="6">
        <f>IFERROR(VLOOKUP($B1781,Platts!$E$5:$M$4994,MATCH(G$3,Platts!$F$5:$M$5,0)+1,FALSE),G1780)</f>
        <v>44.04</v>
      </c>
      <c r="H1781" s="6">
        <f>IFERROR(VLOOKUP($B1781,Platts!$E$5:$M$4994,MATCH(H$3,Platts!$F$5:$M$5,0)+1,FALSE),H1780)</f>
        <v>41.12</v>
      </c>
      <c r="I1781" s="6">
        <f>IFERROR(VLOOKUP($B1781,Platts!$E$5:$M$4994,MATCH(I$3,Platts!$F$5:$M$5,0)+1,FALSE),I1780)</f>
        <v>42.37</v>
      </c>
      <c r="J1781" s="6">
        <f t="shared" si="54"/>
        <v>2.2899999999999991</v>
      </c>
    </row>
    <row r="1782" spans="2:10" x14ac:dyDescent="0.25">
      <c r="B1782" s="5">
        <f t="shared" si="55"/>
        <v>44148</v>
      </c>
      <c r="C1782" s="6">
        <f>IFERROR(VLOOKUP($B1782,Platts!$E$5:$M$4994,MATCH(C$3,Platts!$F$5:$M$5,0)+1,FALSE),C1781)</f>
        <v>38</v>
      </c>
      <c r="D1782" s="6">
        <f>IFERROR(VLOOKUP($B1782,Platts!$E$5:$M$4994,MATCH(D$3,Platts!$F$5:$M$5,0)+1,FALSE),D1781)</f>
        <v>40.049999999999997</v>
      </c>
      <c r="E1782" s="6">
        <f>IFERROR(VLOOKUP($B1782,Platts!$E$5:$M$4994,MATCH(E$3,Platts!$F$5:$M$5,0)+1,FALSE),E1781)</f>
        <v>38.65</v>
      </c>
      <c r="F1782" s="6">
        <f>IFERROR(VLOOKUP($B1782,Platts!$E$5:$M$4994,MATCH(F$3,Platts!$F$5:$M$5,0)+1,FALSE),F1781)</f>
        <v>41.9</v>
      </c>
      <c r="G1782" s="6">
        <f>IFERROR(VLOOKUP($B1782,Platts!$E$5:$M$4994,MATCH(G$3,Platts!$F$5:$M$5,0)+1,FALSE),G1781)</f>
        <v>43.01</v>
      </c>
      <c r="H1782" s="6">
        <f>IFERROR(VLOOKUP($B1782,Platts!$E$5:$M$4994,MATCH(H$3,Platts!$F$5:$M$5,0)+1,FALSE),H1781)</f>
        <v>40.130000000000003</v>
      </c>
      <c r="I1782" s="6">
        <f>IFERROR(VLOOKUP($B1782,Platts!$E$5:$M$4994,MATCH(I$3,Platts!$F$5:$M$5,0)+1,FALSE),I1781)</f>
        <v>41.33</v>
      </c>
      <c r="J1782" s="6">
        <f t="shared" si="54"/>
        <v>2.1300000000000026</v>
      </c>
    </row>
    <row r="1783" spans="2:10" x14ac:dyDescent="0.25">
      <c r="B1783" s="5">
        <f t="shared" si="55"/>
        <v>44149</v>
      </c>
      <c r="C1783" s="6">
        <f>IFERROR(VLOOKUP($B1783,Platts!$E$5:$M$4994,MATCH(C$3,Platts!$F$5:$M$5,0)+1,FALSE),C1782)</f>
        <v>38</v>
      </c>
      <c r="D1783" s="6">
        <f>IFERROR(VLOOKUP($B1783,Platts!$E$5:$M$4994,MATCH(D$3,Platts!$F$5:$M$5,0)+1,FALSE),D1782)</f>
        <v>40.049999999999997</v>
      </c>
      <c r="E1783" s="6">
        <f>IFERROR(VLOOKUP($B1783,Platts!$E$5:$M$4994,MATCH(E$3,Platts!$F$5:$M$5,0)+1,FALSE),E1782)</f>
        <v>38.65</v>
      </c>
      <c r="F1783" s="6">
        <f>IFERROR(VLOOKUP($B1783,Platts!$E$5:$M$4994,MATCH(F$3,Platts!$F$5:$M$5,0)+1,FALSE),F1782)</f>
        <v>41.9</v>
      </c>
      <c r="G1783" s="6">
        <f>IFERROR(VLOOKUP($B1783,Platts!$E$5:$M$4994,MATCH(G$3,Platts!$F$5:$M$5,0)+1,FALSE),G1782)</f>
        <v>43.01</v>
      </c>
      <c r="H1783" s="6">
        <f>IFERROR(VLOOKUP($B1783,Platts!$E$5:$M$4994,MATCH(H$3,Platts!$F$5:$M$5,0)+1,FALSE),H1782)</f>
        <v>40.130000000000003</v>
      </c>
      <c r="I1783" s="6">
        <f>IFERROR(VLOOKUP($B1783,Platts!$E$5:$M$4994,MATCH(I$3,Platts!$F$5:$M$5,0)+1,FALSE),I1782)</f>
        <v>41.33</v>
      </c>
      <c r="J1783" s="6">
        <f t="shared" si="54"/>
        <v>2.1300000000000026</v>
      </c>
    </row>
    <row r="1784" spans="2:10" x14ac:dyDescent="0.25">
      <c r="B1784" s="5">
        <f t="shared" si="55"/>
        <v>44150</v>
      </c>
      <c r="C1784" s="6">
        <f>IFERROR(VLOOKUP($B1784,Platts!$E$5:$M$4994,MATCH(C$3,Platts!$F$5:$M$5,0)+1,FALSE),C1783)</f>
        <v>38</v>
      </c>
      <c r="D1784" s="6">
        <f>IFERROR(VLOOKUP($B1784,Platts!$E$5:$M$4994,MATCH(D$3,Platts!$F$5:$M$5,0)+1,FALSE),D1783)</f>
        <v>40.049999999999997</v>
      </c>
      <c r="E1784" s="6">
        <f>IFERROR(VLOOKUP($B1784,Platts!$E$5:$M$4994,MATCH(E$3,Platts!$F$5:$M$5,0)+1,FALSE),E1783)</f>
        <v>38.65</v>
      </c>
      <c r="F1784" s="6">
        <f>IFERROR(VLOOKUP($B1784,Platts!$E$5:$M$4994,MATCH(F$3,Platts!$F$5:$M$5,0)+1,FALSE),F1783)</f>
        <v>41.9</v>
      </c>
      <c r="G1784" s="6">
        <f>IFERROR(VLOOKUP($B1784,Platts!$E$5:$M$4994,MATCH(G$3,Platts!$F$5:$M$5,0)+1,FALSE),G1783)</f>
        <v>43.01</v>
      </c>
      <c r="H1784" s="6">
        <f>IFERROR(VLOOKUP($B1784,Platts!$E$5:$M$4994,MATCH(H$3,Platts!$F$5:$M$5,0)+1,FALSE),H1783)</f>
        <v>40.130000000000003</v>
      </c>
      <c r="I1784" s="6">
        <f>IFERROR(VLOOKUP($B1784,Platts!$E$5:$M$4994,MATCH(I$3,Platts!$F$5:$M$5,0)+1,FALSE),I1783)</f>
        <v>41.33</v>
      </c>
      <c r="J1784" s="6">
        <f t="shared" si="54"/>
        <v>2.1300000000000026</v>
      </c>
    </row>
    <row r="1785" spans="2:10" x14ac:dyDescent="0.25">
      <c r="B1785" s="5">
        <f t="shared" si="55"/>
        <v>44151</v>
      </c>
      <c r="C1785" s="6">
        <f>IFERROR(VLOOKUP($B1785,Platts!$E$5:$M$4994,MATCH(C$3,Platts!$F$5:$M$5,0)+1,FALSE),C1784)</f>
        <v>38</v>
      </c>
      <c r="D1785" s="6">
        <f>IFERROR(VLOOKUP($B1785,Platts!$E$5:$M$4994,MATCH(D$3,Platts!$F$5:$M$5,0)+1,FALSE),D1784)</f>
        <v>40.6</v>
      </c>
      <c r="E1785" s="6">
        <f>IFERROR(VLOOKUP($B1785,Platts!$E$5:$M$4994,MATCH(E$3,Platts!$F$5:$M$5,0)+1,FALSE),E1784)</f>
        <v>39.200000000000003</v>
      </c>
      <c r="F1785" s="6">
        <f>IFERROR(VLOOKUP($B1785,Platts!$E$5:$M$4994,MATCH(F$3,Platts!$F$5:$M$5,0)+1,FALSE),F1784)</f>
        <v>42.45</v>
      </c>
      <c r="G1785" s="6">
        <f>IFERROR(VLOOKUP($B1785,Platts!$E$5:$M$4994,MATCH(G$3,Platts!$F$5:$M$5,0)+1,FALSE),G1784)</f>
        <v>44.12</v>
      </c>
      <c r="H1785" s="6">
        <f>IFERROR(VLOOKUP($B1785,Platts!$E$5:$M$4994,MATCH(H$3,Platts!$F$5:$M$5,0)+1,FALSE),H1784)</f>
        <v>41.34</v>
      </c>
      <c r="I1785" s="6">
        <f>IFERROR(VLOOKUP($B1785,Platts!$E$5:$M$4994,MATCH(I$3,Platts!$F$5:$M$5,0)+1,FALSE),I1784)</f>
        <v>42.54</v>
      </c>
      <c r="J1785" s="6">
        <f t="shared" si="54"/>
        <v>3.3400000000000034</v>
      </c>
    </row>
    <row r="1786" spans="2:10" x14ac:dyDescent="0.25">
      <c r="B1786" s="5">
        <f t="shared" si="55"/>
        <v>44152</v>
      </c>
      <c r="C1786" s="6">
        <f>IFERROR(VLOOKUP($B1786,Platts!$E$5:$M$4994,MATCH(C$3,Platts!$F$5:$M$5,0)+1,FALSE),C1785)</f>
        <v>39.06</v>
      </c>
      <c r="D1786" s="6">
        <f>IFERROR(VLOOKUP($B1786,Platts!$E$5:$M$4994,MATCH(D$3,Platts!$F$5:$M$5,0)+1,FALSE),D1785)</f>
        <v>40.68</v>
      </c>
      <c r="E1786" s="6">
        <f>IFERROR(VLOOKUP($B1786,Platts!$E$5:$M$4994,MATCH(E$3,Platts!$F$5:$M$5,0)+1,FALSE),E1785)</f>
        <v>39.28</v>
      </c>
      <c r="F1786" s="6">
        <f>IFERROR(VLOOKUP($B1786,Platts!$E$5:$M$4994,MATCH(F$3,Platts!$F$5:$M$5,0)+1,FALSE),F1785)</f>
        <v>42.53</v>
      </c>
      <c r="G1786" s="6">
        <f>IFERROR(VLOOKUP($B1786,Platts!$E$5:$M$4994,MATCH(G$3,Platts!$F$5:$M$5,0)+1,FALSE),G1785)</f>
        <v>43.3</v>
      </c>
      <c r="H1786" s="6">
        <f>IFERROR(VLOOKUP($B1786,Platts!$E$5:$M$4994,MATCH(H$3,Platts!$F$5:$M$5,0)+1,FALSE),H1785)</f>
        <v>41.43</v>
      </c>
      <c r="I1786" s="6">
        <f>IFERROR(VLOOKUP($B1786,Platts!$E$5:$M$4994,MATCH(I$3,Platts!$F$5:$M$5,0)+1,FALSE),I1785)</f>
        <v>42.58</v>
      </c>
      <c r="J1786" s="6">
        <f t="shared" si="54"/>
        <v>2.3699999999999974</v>
      </c>
    </row>
    <row r="1787" spans="2:10" x14ac:dyDescent="0.25">
      <c r="B1787" s="5">
        <f t="shared" si="55"/>
        <v>44153</v>
      </c>
      <c r="C1787" s="6">
        <f>IFERROR(VLOOKUP($B1787,Platts!$E$5:$M$4994,MATCH(C$3,Platts!$F$5:$M$5,0)+1,FALSE),C1786)</f>
        <v>39.51</v>
      </c>
      <c r="D1787" s="6">
        <f>IFERROR(VLOOKUP($B1787,Platts!$E$5:$M$4994,MATCH(D$3,Platts!$F$5:$M$5,0)+1,FALSE),D1786)</f>
        <v>41.15</v>
      </c>
      <c r="E1787" s="6">
        <f>IFERROR(VLOOKUP($B1787,Platts!$E$5:$M$4994,MATCH(E$3,Platts!$F$5:$M$5,0)+1,FALSE),E1786)</f>
        <v>39.75</v>
      </c>
      <c r="F1787" s="6">
        <f>IFERROR(VLOOKUP($B1787,Platts!$E$5:$M$4994,MATCH(F$3,Platts!$F$5:$M$5,0)+1,FALSE),F1786)</f>
        <v>43</v>
      </c>
      <c r="G1787" s="6">
        <f>IFERROR(VLOOKUP($B1787,Platts!$E$5:$M$4994,MATCH(G$3,Platts!$F$5:$M$5,0)+1,FALSE),G1786)</f>
        <v>44.58</v>
      </c>
      <c r="H1787" s="6">
        <f>IFERROR(VLOOKUP($B1787,Platts!$E$5:$M$4994,MATCH(H$3,Platts!$F$5:$M$5,0)+1,FALSE),H1786)</f>
        <v>41.82</v>
      </c>
      <c r="I1787" s="6">
        <f>IFERROR(VLOOKUP($B1787,Platts!$E$5:$M$4994,MATCH(I$3,Platts!$F$5:$M$5,0)+1,FALSE),I1786)</f>
        <v>43.12</v>
      </c>
      <c r="J1787" s="6">
        <f t="shared" si="54"/>
        <v>2.3100000000000023</v>
      </c>
    </row>
    <row r="1788" spans="2:10" x14ac:dyDescent="0.25">
      <c r="B1788" s="5">
        <f t="shared" si="55"/>
        <v>44154</v>
      </c>
      <c r="C1788" s="6">
        <f>IFERROR(VLOOKUP($B1788,Platts!$E$5:$M$4994,MATCH(C$3,Platts!$F$5:$M$5,0)+1,FALSE),C1787)</f>
        <v>39.43</v>
      </c>
      <c r="D1788" s="6">
        <f>IFERROR(VLOOKUP($B1788,Platts!$E$5:$M$4994,MATCH(D$3,Platts!$F$5:$M$5,0)+1,FALSE),D1787)</f>
        <v>41.06</v>
      </c>
      <c r="E1788" s="6">
        <f>IFERROR(VLOOKUP($B1788,Platts!$E$5:$M$4994,MATCH(E$3,Platts!$F$5:$M$5,0)+1,FALSE),E1787)</f>
        <v>39.659999999999997</v>
      </c>
      <c r="F1788" s="6">
        <f>IFERROR(VLOOKUP($B1788,Platts!$E$5:$M$4994,MATCH(F$3,Platts!$F$5:$M$5,0)+1,FALSE),F1787)</f>
        <v>42.91</v>
      </c>
      <c r="G1788" s="6">
        <f>IFERROR(VLOOKUP($B1788,Platts!$E$5:$M$4994,MATCH(G$3,Platts!$F$5:$M$5,0)+1,FALSE),G1787)</f>
        <v>43.97</v>
      </c>
      <c r="H1788" s="6">
        <f>IFERROR(VLOOKUP($B1788,Platts!$E$5:$M$4994,MATCH(H$3,Platts!$F$5:$M$5,0)+1,FALSE),H1787)</f>
        <v>41.74</v>
      </c>
      <c r="I1788" s="6">
        <f>IFERROR(VLOOKUP($B1788,Platts!$E$5:$M$4994,MATCH(I$3,Platts!$F$5:$M$5,0)+1,FALSE),I1787)</f>
        <v>43.04</v>
      </c>
      <c r="J1788" s="6">
        <f t="shared" si="54"/>
        <v>2.3100000000000023</v>
      </c>
    </row>
    <row r="1789" spans="2:10" x14ac:dyDescent="0.25">
      <c r="B1789" s="5">
        <f t="shared" si="55"/>
        <v>44155</v>
      </c>
      <c r="C1789" s="6">
        <f>IFERROR(VLOOKUP($B1789,Platts!$E$5:$M$4994,MATCH(C$3,Platts!$F$5:$M$5,0)+1,FALSE),C1788)</f>
        <v>40.01</v>
      </c>
      <c r="D1789" s="6">
        <f>IFERROR(VLOOKUP($B1789,Platts!$E$5:$M$4994,MATCH(D$3,Platts!$F$5:$M$5,0)+1,FALSE),D1788)</f>
        <v>41.57</v>
      </c>
      <c r="E1789" s="6">
        <f>IFERROR(VLOOKUP($B1789,Platts!$E$5:$M$4994,MATCH(E$3,Platts!$F$5:$M$5,0)+1,FALSE),E1788)</f>
        <v>40.17</v>
      </c>
      <c r="F1789" s="6">
        <f>IFERROR(VLOOKUP($B1789,Platts!$E$5:$M$4994,MATCH(F$3,Platts!$F$5:$M$5,0)+1,FALSE),F1788)</f>
        <v>43.42</v>
      </c>
      <c r="G1789" s="6">
        <f>IFERROR(VLOOKUP($B1789,Platts!$E$5:$M$4994,MATCH(G$3,Platts!$F$5:$M$5,0)+1,FALSE),G1788)</f>
        <v>44.42</v>
      </c>
      <c r="H1789" s="6">
        <f>IFERROR(VLOOKUP($B1789,Platts!$E$5:$M$4994,MATCH(H$3,Platts!$F$5:$M$5,0)+1,FALSE),H1788)</f>
        <v>42.15</v>
      </c>
      <c r="I1789" s="6">
        <f>IFERROR(VLOOKUP($B1789,Platts!$E$5:$M$4994,MATCH(I$3,Platts!$F$5:$M$5,0)+1,FALSE),I1788)</f>
        <v>43.45</v>
      </c>
      <c r="J1789" s="6">
        <f t="shared" si="54"/>
        <v>2.1400000000000006</v>
      </c>
    </row>
    <row r="1790" spans="2:10" x14ac:dyDescent="0.25">
      <c r="B1790" s="5">
        <f t="shared" si="55"/>
        <v>44156</v>
      </c>
      <c r="C1790" s="6">
        <f>IFERROR(VLOOKUP($B1790,Platts!$E$5:$M$4994,MATCH(C$3,Platts!$F$5:$M$5,0)+1,FALSE),C1789)</f>
        <v>40.01</v>
      </c>
      <c r="D1790" s="6">
        <f>IFERROR(VLOOKUP($B1790,Platts!$E$5:$M$4994,MATCH(D$3,Platts!$F$5:$M$5,0)+1,FALSE),D1789)</f>
        <v>41.57</v>
      </c>
      <c r="E1790" s="6">
        <f>IFERROR(VLOOKUP($B1790,Platts!$E$5:$M$4994,MATCH(E$3,Platts!$F$5:$M$5,0)+1,FALSE),E1789)</f>
        <v>40.17</v>
      </c>
      <c r="F1790" s="6">
        <f>IFERROR(VLOOKUP($B1790,Platts!$E$5:$M$4994,MATCH(F$3,Platts!$F$5:$M$5,0)+1,FALSE),F1789)</f>
        <v>43.42</v>
      </c>
      <c r="G1790" s="6">
        <f>IFERROR(VLOOKUP($B1790,Platts!$E$5:$M$4994,MATCH(G$3,Platts!$F$5:$M$5,0)+1,FALSE),G1789)</f>
        <v>44.42</v>
      </c>
      <c r="H1790" s="6">
        <f>IFERROR(VLOOKUP($B1790,Platts!$E$5:$M$4994,MATCH(H$3,Platts!$F$5:$M$5,0)+1,FALSE),H1789)</f>
        <v>42.15</v>
      </c>
      <c r="I1790" s="6">
        <f>IFERROR(VLOOKUP($B1790,Platts!$E$5:$M$4994,MATCH(I$3,Platts!$F$5:$M$5,0)+1,FALSE),I1789)</f>
        <v>43.45</v>
      </c>
      <c r="J1790" s="6">
        <f t="shared" si="54"/>
        <v>2.1400000000000006</v>
      </c>
    </row>
    <row r="1791" spans="2:10" x14ac:dyDescent="0.25">
      <c r="B1791" s="5">
        <f t="shared" si="55"/>
        <v>44157</v>
      </c>
      <c r="C1791" s="6">
        <f>IFERROR(VLOOKUP($B1791,Platts!$E$5:$M$4994,MATCH(C$3,Platts!$F$5:$M$5,0)+1,FALSE),C1790)</f>
        <v>40.01</v>
      </c>
      <c r="D1791" s="6">
        <f>IFERROR(VLOOKUP($B1791,Platts!$E$5:$M$4994,MATCH(D$3,Platts!$F$5:$M$5,0)+1,FALSE),D1790)</f>
        <v>41.57</v>
      </c>
      <c r="E1791" s="6">
        <f>IFERROR(VLOOKUP($B1791,Platts!$E$5:$M$4994,MATCH(E$3,Platts!$F$5:$M$5,0)+1,FALSE),E1790)</f>
        <v>40.17</v>
      </c>
      <c r="F1791" s="6">
        <f>IFERROR(VLOOKUP($B1791,Platts!$E$5:$M$4994,MATCH(F$3,Platts!$F$5:$M$5,0)+1,FALSE),F1790)</f>
        <v>43.42</v>
      </c>
      <c r="G1791" s="6">
        <f>IFERROR(VLOOKUP($B1791,Platts!$E$5:$M$4994,MATCH(G$3,Platts!$F$5:$M$5,0)+1,FALSE),G1790)</f>
        <v>44.42</v>
      </c>
      <c r="H1791" s="6">
        <f>IFERROR(VLOOKUP($B1791,Platts!$E$5:$M$4994,MATCH(H$3,Platts!$F$5:$M$5,0)+1,FALSE),H1790)</f>
        <v>42.15</v>
      </c>
      <c r="I1791" s="6">
        <f>IFERROR(VLOOKUP($B1791,Platts!$E$5:$M$4994,MATCH(I$3,Platts!$F$5:$M$5,0)+1,FALSE),I1790)</f>
        <v>43.45</v>
      </c>
      <c r="J1791" s="6">
        <f t="shared" si="54"/>
        <v>2.1400000000000006</v>
      </c>
    </row>
    <row r="1792" spans="2:10" x14ac:dyDescent="0.25">
      <c r="B1792" s="5">
        <f t="shared" si="55"/>
        <v>44158</v>
      </c>
      <c r="C1792" s="6">
        <f>IFERROR(VLOOKUP($B1792,Platts!$E$5:$M$4994,MATCH(C$3,Platts!$F$5:$M$5,0)+1,FALSE),C1791)</f>
        <v>41.07</v>
      </c>
      <c r="D1792" s="6">
        <f>IFERROR(VLOOKUP($B1792,Platts!$E$5:$M$4994,MATCH(D$3,Platts!$F$5:$M$5,0)+1,FALSE),D1791)</f>
        <v>42.45</v>
      </c>
      <c r="E1792" s="6">
        <f>IFERROR(VLOOKUP($B1792,Platts!$E$5:$M$4994,MATCH(E$3,Platts!$F$5:$M$5,0)+1,FALSE),E1791)</f>
        <v>41.05</v>
      </c>
      <c r="F1792" s="6">
        <f>IFERROR(VLOOKUP($B1792,Platts!$E$5:$M$4994,MATCH(F$3,Platts!$F$5:$M$5,0)+1,FALSE),F1791)</f>
        <v>44.3</v>
      </c>
      <c r="G1792" s="6">
        <f>IFERROR(VLOOKUP($B1792,Platts!$E$5:$M$4994,MATCH(G$3,Platts!$F$5:$M$5,0)+1,FALSE),G1791)</f>
        <v>45.9</v>
      </c>
      <c r="H1792" s="6">
        <f>IFERROR(VLOOKUP($B1792,Platts!$E$5:$M$4994,MATCH(H$3,Platts!$F$5:$M$5,0)+1,FALSE),H1791)</f>
        <v>42.88</v>
      </c>
      <c r="I1792" s="6">
        <f>IFERROR(VLOOKUP($B1792,Platts!$E$5:$M$4994,MATCH(I$3,Platts!$F$5:$M$5,0)+1,FALSE),I1791)</f>
        <v>44.23</v>
      </c>
      <c r="J1792" s="6">
        <f t="shared" si="54"/>
        <v>1.8100000000000023</v>
      </c>
    </row>
    <row r="1793" spans="2:10" x14ac:dyDescent="0.25">
      <c r="B1793" s="5">
        <f t="shared" si="55"/>
        <v>44159</v>
      </c>
      <c r="C1793" s="6">
        <f>IFERROR(VLOOKUP($B1793,Platts!$E$5:$M$4994,MATCH(C$3,Platts!$F$5:$M$5,0)+1,FALSE),C1792)</f>
        <v>42.65</v>
      </c>
      <c r="D1793" s="6">
        <f>IFERROR(VLOOKUP($B1793,Platts!$E$5:$M$4994,MATCH(D$3,Platts!$F$5:$M$5,0)+1,FALSE),D1792)</f>
        <v>44.32</v>
      </c>
      <c r="E1793" s="6">
        <f>IFERROR(VLOOKUP($B1793,Platts!$E$5:$M$4994,MATCH(E$3,Platts!$F$5:$M$5,0)+1,FALSE),E1792)</f>
        <v>42.92</v>
      </c>
      <c r="F1793" s="6">
        <f>IFERROR(VLOOKUP($B1793,Platts!$E$5:$M$4994,MATCH(F$3,Platts!$F$5:$M$5,0)+1,FALSE),F1792)</f>
        <v>46.17</v>
      </c>
      <c r="G1793" s="6">
        <f>IFERROR(VLOOKUP($B1793,Platts!$E$5:$M$4994,MATCH(G$3,Platts!$F$5:$M$5,0)+1,FALSE),G1792)</f>
        <v>47.72</v>
      </c>
      <c r="H1793" s="6">
        <f>IFERROR(VLOOKUP($B1793,Platts!$E$5:$M$4994,MATCH(H$3,Platts!$F$5:$M$5,0)+1,FALSE),H1792)</f>
        <v>44.73</v>
      </c>
      <c r="I1793" s="6">
        <f>IFERROR(VLOOKUP($B1793,Platts!$E$5:$M$4994,MATCH(I$3,Platts!$F$5:$M$5,0)+1,FALSE),I1792)</f>
        <v>46.28</v>
      </c>
      <c r="J1793" s="6">
        <f t="shared" si="54"/>
        <v>2.0799999999999983</v>
      </c>
    </row>
    <row r="1794" spans="2:10" x14ac:dyDescent="0.25">
      <c r="B1794" s="5">
        <f t="shared" si="55"/>
        <v>44160</v>
      </c>
      <c r="C1794" s="6">
        <f>IFERROR(VLOOKUP($B1794,Platts!$E$5:$M$4994,MATCH(C$3,Platts!$F$5:$M$5,0)+1,FALSE),C1793)</f>
        <v>43.64</v>
      </c>
      <c r="D1794" s="6">
        <f>IFERROR(VLOOKUP($B1794,Platts!$E$5:$M$4994,MATCH(D$3,Platts!$F$5:$M$5,0)+1,FALSE),D1793)</f>
        <v>45.16</v>
      </c>
      <c r="E1794" s="6">
        <f>IFERROR(VLOOKUP($B1794,Platts!$E$5:$M$4994,MATCH(E$3,Platts!$F$5:$M$5,0)+1,FALSE),E1793)</f>
        <v>43.76</v>
      </c>
      <c r="F1794" s="6">
        <f>IFERROR(VLOOKUP($B1794,Platts!$E$5:$M$4994,MATCH(F$3,Platts!$F$5:$M$5,0)+1,FALSE),F1793)</f>
        <v>47.01</v>
      </c>
      <c r="G1794" s="6">
        <f>IFERROR(VLOOKUP($B1794,Platts!$E$5:$M$4994,MATCH(G$3,Platts!$F$5:$M$5,0)+1,FALSE),G1793)</f>
        <v>48.24</v>
      </c>
      <c r="H1794" s="6">
        <f>IFERROR(VLOOKUP($B1794,Platts!$E$5:$M$4994,MATCH(H$3,Platts!$F$5:$M$5,0)+1,FALSE),H1793)</f>
        <v>45.51</v>
      </c>
      <c r="I1794" s="6">
        <f>IFERROR(VLOOKUP($B1794,Platts!$E$5:$M$4994,MATCH(I$3,Platts!$F$5:$M$5,0)+1,FALSE),I1793)</f>
        <v>47.06</v>
      </c>
      <c r="J1794" s="6">
        <f t="shared" si="54"/>
        <v>1.8699999999999974</v>
      </c>
    </row>
    <row r="1795" spans="2:10" x14ac:dyDescent="0.25">
      <c r="B1795" s="5">
        <f t="shared" si="55"/>
        <v>44161</v>
      </c>
      <c r="C1795" s="6">
        <f>IFERROR(VLOOKUP($B1795,Platts!$E$5:$M$4994,MATCH(C$3,Platts!$F$5:$M$5,0)+1,FALSE),C1794)</f>
        <v>43.64</v>
      </c>
      <c r="D1795" s="6">
        <f>IFERROR(VLOOKUP($B1795,Platts!$E$5:$M$4994,MATCH(D$3,Platts!$F$5:$M$5,0)+1,FALSE),D1794)</f>
        <v>45.16</v>
      </c>
      <c r="E1795" s="6">
        <f>IFERROR(VLOOKUP($B1795,Platts!$E$5:$M$4994,MATCH(E$3,Platts!$F$5:$M$5,0)+1,FALSE),E1794)</f>
        <v>43.76</v>
      </c>
      <c r="F1795" s="6">
        <f>IFERROR(VLOOKUP($B1795,Platts!$E$5:$M$4994,MATCH(F$3,Platts!$F$5:$M$5,0)+1,FALSE),F1794)</f>
        <v>47.01</v>
      </c>
      <c r="G1795" s="6">
        <f>IFERROR(VLOOKUP($B1795,Platts!$E$5:$M$4994,MATCH(G$3,Platts!$F$5:$M$5,0)+1,FALSE),G1794)</f>
        <v>47.82</v>
      </c>
      <c r="H1795" s="6">
        <f>IFERROR(VLOOKUP($B1795,Platts!$E$5:$M$4994,MATCH(H$3,Platts!$F$5:$M$5,0)+1,FALSE),H1794)</f>
        <v>45.51</v>
      </c>
      <c r="I1795" s="6">
        <f>IFERROR(VLOOKUP($B1795,Platts!$E$5:$M$4994,MATCH(I$3,Platts!$F$5:$M$5,0)+1,FALSE),I1794)</f>
        <v>47.06</v>
      </c>
      <c r="J1795" s="6">
        <f t="shared" si="54"/>
        <v>1.8699999999999974</v>
      </c>
    </row>
    <row r="1796" spans="2:10" x14ac:dyDescent="0.25">
      <c r="B1796" s="5">
        <f t="shared" si="55"/>
        <v>44162</v>
      </c>
      <c r="C1796" s="6">
        <f>IFERROR(VLOOKUP($B1796,Platts!$E$5:$M$4994,MATCH(C$3,Platts!$F$5:$M$5,0)+1,FALSE),C1795)</f>
        <v>43.64</v>
      </c>
      <c r="D1796" s="6">
        <f>IFERROR(VLOOKUP($B1796,Platts!$E$5:$M$4994,MATCH(D$3,Platts!$F$5:$M$5,0)+1,FALSE),D1795)</f>
        <v>45.16</v>
      </c>
      <c r="E1796" s="6">
        <f>IFERROR(VLOOKUP($B1796,Platts!$E$5:$M$4994,MATCH(E$3,Platts!$F$5:$M$5,0)+1,FALSE),E1795)</f>
        <v>43.76</v>
      </c>
      <c r="F1796" s="6">
        <f>IFERROR(VLOOKUP($B1796,Platts!$E$5:$M$4994,MATCH(F$3,Platts!$F$5:$M$5,0)+1,FALSE),F1795)</f>
        <v>47.01</v>
      </c>
      <c r="G1796" s="6">
        <f>IFERROR(VLOOKUP($B1796,Platts!$E$5:$M$4994,MATCH(G$3,Platts!$F$5:$M$5,0)+1,FALSE),G1795)</f>
        <v>48.07</v>
      </c>
      <c r="H1796" s="6">
        <f>IFERROR(VLOOKUP($B1796,Platts!$E$5:$M$4994,MATCH(H$3,Platts!$F$5:$M$5,0)+1,FALSE),H1795)</f>
        <v>45.51</v>
      </c>
      <c r="I1796" s="6">
        <f>IFERROR(VLOOKUP($B1796,Platts!$E$5:$M$4994,MATCH(I$3,Platts!$F$5:$M$5,0)+1,FALSE),I1795)</f>
        <v>47.06</v>
      </c>
      <c r="J1796" s="6">
        <f t="shared" ref="J1796:J1859" si="56">H1796-C1796</f>
        <v>1.8699999999999974</v>
      </c>
    </row>
    <row r="1797" spans="2:10" x14ac:dyDescent="0.25">
      <c r="B1797" s="5">
        <f t="shared" si="55"/>
        <v>44163</v>
      </c>
      <c r="C1797" s="6">
        <f>IFERROR(VLOOKUP($B1797,Platts!$E$5:$M$4994,MATCH(C$3,Platts!$F$5:$M$5,0)+1,FALSE),C1796)</f>
        <v>43.64</v>
      </c>
      <c r="D1797" s="6">
        <f>IFERROR(VLOOKUP($B1797,Platts!$E$5:$M$4994,MATCH(D$3,Platts!$F$5:$M$5,0)+1,FALSE),D1796)</f>
        <v>45.16</v>
      </c>
      <c r="E1797" s="6">
        <f>IFERROR(VLOOKUP($B1797,Platts!$E$5:$M$4994,MATCH(E$3,Platts!$F$5:$M$5,0)+1,FALSE),E1796)</f>
        <v>43.76</v>
      </c>
      <c r="F1797" s="6">
        <f>IFERROR(VLOOKUP($B1797,Platts!$E$5:$M$4994,MATCH(F$3,Platts!$F$5:$M$5,0)+1,FALSE),F1796)</f>
        <v>47.01</v>
      </c>
      <c r="G1797" s="6">
        <f>IFERROR(VLOOKUP($B1797,Platts!$E$5:$M$4994,MATCH(G$3,Platts!$F$5:$M$5,0)+1,FALSE),G1796)</f>
        <v>48.07</v>
      </c>
      <c r="H1797" s="6">
        <f>IFERROR(VLOOKUP($B1797,Platts!$E$5:$M$4994,MATCH(H$3,Platts!$F$5:$M$5,0)+1,FALSE),H1796)</f>
        <v>45.51</v>
      </c>
      <c r="I1797" s="6">
        <f>IFERROR(VLOOKUP($B1797,Platts!$E$5:$M$4994,MATCH(I$3,Platts!$F$5:$M$5,0)+1,FALSE),I1796)</f>
        <v>47.06</v>
      </c>
      <c r="J1797" s="6">
        <f t="shared" si="56"/>
        <v>1.8699999999999974</v>
      </c>
    </row>
    <row r="1798" spans="2:10" x14ac:dyDescent="0.25">
      <c r="B1798" s="5">
        <f t="shared" ref="B1798:B1861" si="57">B1797+1</f>
        <v>44164</v>
      </c>
      <c r="C1798" s="6">
        <f>IFERROR(VLOOKUP($B1798,Platts!$E$5:$M$4994,MATCH(C$3,Platts!$F$5:$M$5,0)+1,FALSE),C1797)</f>
        <v>43.64</v>
      </c>
      <c r="D1798" s="6">
        <f>IFERROR(VLOOKUP($B1798,Platts!$E$5:$M$4994,MATCH(D$3,Platts!$F$5:$M$5,0)+1,FALSE),D1797)</f>
        <v>45.16</v>
      </c>
      <c r="E1798" s="6">
        <f>IFERROR(VLOOKUP($B1798,Platts!$E$5:$M$4994,MATCH(E$3,Platts!$F$5:$M$5,0)+1,FALSE),E1797)</f>
        <v>43.76</v>
      </c>
      <c r="F1798" s="6">
        <f>IFERROR(VLOOKUP($B1798,Platts!$E$5:$M$4994,MATCH(F$3,Platts!$F$5:$M$5,0)+1,FALSE),F1797)</f>
        <v>47.01</v>
      </c>
      <c r="G1798" s="6">
        <f>IFERROR(VLOOKUP($B1798,Platts!$E$5:$M$4994,MATCH(G$3,Platts!$F$5:$M$5,0)+1,FALSE),G1797)</f>
        <v>48.07</v>
      </c>
      <c r="H1798" s="6">
        <f>IFERROR(VLOOKUP($B1798,Platts!$E$5:$M$4994,MATCH(H$3,Platts!$F$5:$M$5,0)+1,FALSE),H1797)</f>
        <v>45.51</v>
      </c>
      <c r="I1798" s="6">
        <f>IFERROR(VLOOKUP($B1798,Platts!$E$5:$M$4994,MATCH(I$3,Platts!$F$5:$M$5,0)+1,FALSE),I1797)</f>
        <v>47.06</v>
      </c>
      <c r="J1798" s="6">
        <f t="shared" si="56"/>
        <v>1.8699999999999974</v>
      </c>
    </row>
    <row r="1799" spans="2:10" x14ac:dyDescent="0.25">
      <c r="B1799" s="5">
        <f t="shared" si="57"/>
        <v>44165</v>
      </c>
      <c r="C1799" s="6">
        <f>IFERROR(VLOOKUP($B1799,Platts!$E$5:$M$4994,MATCH(C$3,Platts!$F$5:$M$5,0)+1,FALSE),C1798)</f>
        <v>42.95</v>
      </c>
      <c r="D1799" s="6">
        <f>IFERROR(VLOOKUP($B1799,Platts!$E$5:$M$4994,MATCH(D$3,Platts!$F$5:$M$5,0)+1,FALSE),D1798)</f>
        <v>44.69</v>
      </c>
      <c r="E1799" s="6">
        <f>IFERROR(VLOOKUP($B1799,Platts!$E$5:$M$4994,MATCH(E$3,Platts!$F$5:$M$5,0)+1,FALSE),E1798)</f>
        <v>43.29</v>
      </c>
      <c r="F1799" s="6">
        <f>IFERROR(VLOOKUP($B1799,Platts!$E$5:$M$4994,MATCH(F$3,Platts!$F$5:$M$5,0)+1,FALSE),F1798)</f>
        <v>46.54</v>
      </c>
      <c r="G1799" s="6">
        <f>IFERROR(VLOOKUP($B1799,Platts!$E$5:$M$4994,MATCH(G$3,Platts!$F$5:$M$5,0)+1,FALSE),G1798)</f>
        <v>47.2</v>
      </c>
      <c r="H1799" s="6">
        <f>IFERROR(VLOOKUP($B1799,Platts!$E$5:$M$4994,MATCH(H$3,Platts!$F$5:$M$5,0)+1,FALSE),H1798)</f>
        <v>45.34</v>
      </c>
      <c r="I1799" s="6">
        <f>IFERROR(VLOOKUP($B1799,Platts!$E$5:$M$4994,MATCH(I$3,Platts!$F$5:$M$5,0)+1,FALSE),I1798)</f>
        <v>46.89</v>
      </c>
      <c r="J1799" s="6">
        <f t="shared" si="56"/>
        <v>2.3900000000000006</v>
      </c>
    </row>
    <row r="1800" spans="2:10" x14ac:dyDescent="0.25">
      <c r="B1800" s="5">
        <f t="shared" si="57"/>
        <v>44166</v>
      </c>
      <c r="C1800" s="6">
        <f>IFERROR(VLOOKUP($B1800,Platts!$E$5:$M$4994,MATCH(C$3,Platts!$F$5:$M$5,0)+1,FALSE),C1799)</f>
        <v>42.92</v>
      </c>
      <c r="D1800" s="6">
        <f>IFERROR(VLOOKUP($B1800,Platts!$E$5:$M$4994,MATCH(D$3,Platts!$F$5:$M$5,0)+1,FALSE),D1799)</f>
        <v>44.21</v>
      </c>
      <c r="E1800" s="6">
        <f>IFERROR(VLOOKUP($B1800,Platts!$E$5:$M$4994,MATCH(E$3,Platts!$F$5:$M$5,0)+1,FALSE),E1799)</f>
        <v>42.81</v>
      </c>
      <c r="F1800" s="6">
        <f>IFERROR(VLOOKUP($B1800,Platts!$E$5:$M$4994,MATCH(F$3,Platts!$F$5:$M$5,0)+1,FALSE),F1799)</f>
        <v>46.16</v>
      </c>
      <c r="G1800" s="6">
        <f>IFERROR(VLOOKUP($B1800,Platts!$E$5:$M$4994,MATCH(G$3,Platts!$F$5:$M$5,0)+1,FALSE),G1799)</f>
        <v>47.53</v>
      </c>
      <c r="H1800" s="6">
        <f>IFERROR(VLOOKUP($B1800,Platts!$E$5:$M$4994,MATCH(H$3,Platts!$F$5:$M$5,0)+1,FALSE),H1799)</f>
        <v>44.55</v>
      </c>
      <c r="I1800" s="6">
        <f>IFERROR(VLOOKUP($B1800,Platts!$E$5:$M$4994,MATCH(I$3,Platts!$F$5:$M$5,0)+1,FALSE),I1799)</f>
        <v>46.2</v>
      </c>
      <c r="J1800" s="6">
        <f t="shared" si="56"/>
        <v>1.6299999999999955</v>
      </c>
    </row>
    <row r="1801" spans="2:10" x14ac:dyDescent="0.25">
      <c r="B1801" s="5">
        <f t="shared" si="57"/>
        <v>44167</v>
      </c>
      <c r="C1801" s="6">
        <f>IFERROR(VLOOKUP($B1801,Platts!$E$5:$M$4994,MATCH(C$3,Platts!$F$5:$M$5,0)+1,FALSE),C1800)</f>
        <v>43.49</v>
      </c>
      <c r="D1801" s="6">
        <f>IFERROR(VLOOKUP($B1801,Platts!$E$5:$M$4994,MATCH(D$3,Platts!$F$5:$M$5,0)+1,FALSE),D1800)</f>
        <v>44.98</v>
      </c>
      <c r="E1801" s="6">
        <f>IFERROR(VLOOKUP($B1801,Platts!$E$5:$M$4994,MATCH(E$3,Platts!$F$5:$M$5,0)+1,FALSE),E1800)</f>
        <v>43.58</v>
      </c>
      <c r="F1801" s="6">
        <f>IFERROR(VLOOKUP($B1801,Platts!$E$5:$M$4994,MATCH(F$3,Platts!$F$5:$M$5,0)+1,FALSE),F1800)</f>
        <v>46.93</v>
      </c>
      <c r="G1801" s="6">
        <f>IFERROR(VLOOKUP($B1801,Platts!$E$5:$M$4994,MATCH(G$3,Platts!$F$5:$M$5,0)+1,FALSE),G1800)</f>
        <v>48.34</v>
      </c>
      <c r="H1801" s="6">
        <f>IFERROR(VLOOKUP($B1801,Platts!$E$5:$M$4994,MATCH(H$3,Platts!$F$5:$M$5,0)+1,FALSE),H1800)</f>
        <v>45.28</v>
      </c>
      <c r="I1801" s="6">
        <f>IFERROR(VLOOKUP($B1801,Platts!$E$5:$M$4994,MATCH(I$3,Platts!$F$5:$M$5,0)+1,FALSE),I1800)</f>
        <v>47.03</v>
      </c>
      <c r="J1801" s="6">
        <f t="shared" si="56"/>
        <v>1.7899999999999991</v>
      </c>
    </row>
    <row r="1802" spans="2:10" x14ac:dyDescent="0.25">
      <c r="B1802" s="5">
        <f t="shared" si="57"/>
        <v>44168</v>
      </c>
      <c r="C1802" s="6">
        <f>IFERROR(VLOOKUP($B1802,Platts!$E$5:$M$4994,MATCH(C$3,Platts!$F$5:$M$5,0)+1,FALSE),C1801)</f>
        <v>44.04</v>
      </c>
      <c r="D1802" s="6">
        <f>IFERROR(VLOOKUP($B1802,Platts!$E$5:$M$4994,MATCH(D$3,Platts!$F$5:$M$5,0)+1,FALSE),D1801)</f>
        <v>45.44</v>
      </c>
      <c r="E1802" s="6">
        <f>IFERROR(VLOOKUP($B1802,Platts!$E$5:$M$4994,MATCH(E$3,Platts!$F$5:$M$5,0)+1,FALSE),E1801)</f>
        <v>44.04</v>
      </c>
      <c r="F1802" s="6">
        <f>IFERROR(VLOOKUP($B1802,Platts!$E$5:$M$4994,MATCH(F$3,Platts!$F$5:$M$5,0)+1,FALSE),F1801)</f>
        <v>47.39</v>
      </c>
      <c r="G1802" s="6">
        <f>IFERROR(VLOOKUP($B1802,Platts!$E$5:$M$4994,MATCH(G$3,Platts!$F$5:$M$5,0)+1,FALSE),G1801)</f>
        <v>48.69</v>
      </c>
      <c r="H1802" s="6">
        <f>IFERROR(VLOOKUP($B1802,Platts!$E$5:$M$4994,MATCH(H$3,Platts!$F$5:$M$5,0)+1,FALSE),H1801)</f>
        <v>45.64</v>
      </c>
      <c r="I1802" s="6">
        <f>IFERROR(VLOOKUP($B1802,Platts!$E$5:$M$4994,MATCH(I$3,Platts!$F$5:$M$5,0)+1,FALSE),I1801)</f>
        <v>47.44</v>
      </c>
      <c r="J1802" s="6">
        <f t="shared" si="56"/>
        <v>1.6000000000000014</v>
      </c>
    </row>
    <row r="1803" spans="2:10" x14ac:dyDescent="0.25">
      <c r="B1803" s="5">
        <f t="shared" si="57"/>
        <v>44169</v>
      </c>
      <c r="C1803" s="6">
        <f>IFERROR(VLOOKUP($B1803,Platts!$E$5:$M$4994,MATCH(C$3,Platts!$F$5:$M$5,0)+1,FALSE),C1802)</f>
        <v>44.7</v>
      </c>
      <c r="D1803" s="6">
        <f>IFERROR(VLOOKUP($B1803,Platts!$E$5:$M$4994,MATCH(D$3,Platts!$F$5:$M$5,0)+1,FALSE),D1802)</f>
        <v>45.97</v>
      </c>
      <c r="E1803" s="6">
        <f>IFERROR(VLOOKUP($B1803,Platts!$E$5:$M$4994,MATCH(E$3,Platts!$F$5:$M$5,0)+1,FALSE),E1802)</f>
        <v>44.57</v>
      </c>
      <c r="F1803" s="6">
        <f>IFERROR(VLOOKUP($B1803,Platts!$E$5:$M$4994,MATCH(F$3,Platts!$F$5:$M$5,0)+1,FALSE),F1802)</f>
        <v>47.92</v>
      </c>
      <c r="G1803" s="6">
        <f>IFERROR(VLOOKUP($B1803,Platts!$E$5:$M$4994,MATCH(G$3,Platts!$F$5:$M$5,0)+1,FALSE),G1802)</f>
        <v>49.28</v>
      </c>
      <c r="H1803" s="6">
        <f>IFERROR(VLOOKUP($B1803,Platts!$E$5:$M$4994,MATCH(H$3,Platts!$F$5:$M$5,0)+1,FALSE),H1802)</f>
        <v>46.26</v>
      </c>
      <c r="I1803" s="6">
        <f>IFERROR(VLOOKUP($B1803,Platts!$E$5:$M$4994,MATCH(I$3,Platts!$F$5:$M$5,0)+1,FALSE),I1802)</f>
        <v>48.21</v>
      </c>
      <c r="J1803" s="6">
        <f t="shared" si="56"/>
        <v>1.5599999999999952</v>
      </c>
    </row>
    <row r="1804" spans="2:10" x14ac:dyDescent="0.25">
      <c r="B1804" s="5">
        <f t="shared" si="57"/>
        <v>44170</v>
      </c>
      <c r="C1804" s="6">
        <f>IFERROR(VLOOKUP($B1804,Platts!$E$5:$M$4994,MATCH(C$3,Platts!$F$5:$M$5,0)+1,FALSE),C1803)</f>
        <v>44.7</v>
      </c>
      <c r="D1804" s="6">
        <f>IFERROR(VLOOKUP($B1804,Platts!$E$5:$M$4994,MATCH(D$3,Platts!$F$5:$M$5,0)+1,FALSE),D1803)</f>
        <v>45.97</v>
      </c>
      <c r="E1804" s="6">
        <f>IFERROR(VLOOKUP($B1804,Platts!$E$5:$M$4994,MATCH(E$3,Platts!$F$5:$M$5,0)+1,FALSE),E1803)</f>
        <v>44.57</v>
      </c>
      <c r="F1804" s="6">
        <f>IFERROR(VLOOKUP($B1804,Platts!$E$5:$M$4994,MATCH(F$3,Platts!$F$5:$M$5,0)+1,FALSE),F1803)</f>
        <v>47.92</v>
      </c>
      <c r="G1804" s="6">
        <f>IFERROR(VLOOKUP($B1804,Platts!$E$5:$M$4994,MATCH(G$3,Platts!$F$5:$M$5,0)+1,FALSE),G1803)</f>
        <v>49.28</v>
      </c>
      <c r="H1804" s="6">
        <f>IFERROR(VLOOKUP($B1804,Platts!$E$5:$M$4994,MATCH(H$3,Platts!$F$5:$M$5,0)+1,FALSE),H1803)</f>
        <v>46.26</v>
      </c>
      <c r="I1804" s="6">
        <f>IFERROR(VLOOKUP($B1804,Platts!$E$5:$M$4994,MATCH(I$3,Platts!$F$5:$M$5,0)+1,FALSE),I1803)</f>
        <v>48.21</v>
      </c>
      <c r="J1804" s="6">
        <f t="shared" si="56"/>
        <v>1.5599999999999952</v>
      </c>
    </row>
    <row r="1805" spans="2:10" x14ac:dyDescent="0.25">
      <c r="B1805" s="5">
        <f t="shared" si="57"/>
        <v>44171</v>
      </c>
      <c r="C1805" s="6">
        <f>IFERROR(VLOOKUP($B1805,Platts!$E$5:$M$4994,MATCH(C$3,Platts!$F$5:$M$5,0)+1,FALSE),C1804)</f>
        <v>44.7</v>
      </c>
      <c r="D1805" s="6">
        <f>IFERROR(VLOOKUP($B1805,Platts!$E$5:$M$4994,MATCH(D$3,Platts!$F$5:$M$5,0)+1,FALSE),D1804)</f>
        <v>45.97</v>
      </c>
      <c r="E1805" s="6">
        <f>IFERROR(VLOOKUP($B1805,Platts!$E$5:$M$4994,MATCH(E$3,Platts!$F$5:$M$5,0)+1,FALSE),E1804)</f>
        <v>44.57</v>
      </c>
      <c r="F1805" s="6">
        <f>IFERROR(VLOOKUP($B1805,Platts!$E$5:$M$4994,MATCH(F$3,Platts!$F$5:$M$5,0)+1,FALSE),F1804)</f>
        <v>47.92</v>
      </c>
      <c r="G1805" s="6">
        <f>IFERROR(VLOOKUP($B1805,Platts!$E$5:$M$4994,MATCH(G$3,Platts!$F$5:$M$5,0)+1,FALSE),G1804)</f>
        <v>49.28</v>
      </c>
      <c r="H1805" s="6">
        <f>IFERROR(VLOOKUP($B1805,Platts!$E$5:$M$4994,MATCH(H$3,Platts!$F$5:$M$5,0)+1,FALSE),H1804)</f>
        <v>46.26</v>
      </c>
      <c r="I1805" s="6">
        <f>IFERROR(VLOOKUP($B1805,Platts!$E$5:$M$4994,MATCH(I$3,Platts!$F$5:$M$5,0)+1,FALSE),I1804)</f>
        <v>48.21</v>
      </c>
      <c r="J1805" s="6">
        <f t="shared" si="56"/>
        <v>1.5599999999999952</v>
      </c>
    </row>
    <row r="1806" spans="2:10" x14ac:dyDescent="0.25">
      <c r="B1806" s="5">
        <f t="shared" si="57"/>
        <v>44172</v>
      </c>
      <c r="C1806" s="6">
        <f>IFERROR(VLOOKUP($B1806,Platts!$E$5:$M$4994,MATCH(C$3,Platts!$F$5:$M$5,0)+1,FALSE),C1805)</f>
        <v>44.16</v>
      </c>
      <c r="D1806" s="6">
        <f>IFERROR(VLOOKUP($B1806,Platts!$E$5:$M$4994,MATCH(D$3,Platts!$F$5:$M$5,0)+1,FALSE),D1805)</f>
        <v>45.53</v>
      </c>
      <c r="E1806" s="6">
        <f>IFERROR(VLOOKUP($B1806,Platts!$E$5:$M$4994,MATCH(E$3,Platts!$F$5:$M$5,0)+1,FALSE),E1805)</f>
        <v>44.13</v>
      </c>
      <c r="F1806" s="6">
        <f>IFERROR(VLOOKUP($B1806,Platts!$E$5:$M$4994,MATCH(F$3,Platts!$F$5:$M$5,0)+1,FALSE),F1805)</f>
        <v>47.48</v>
      </c>
      <c r="G1806" s="6">
        <f>IFERROR(VLOOKUP($B1806,Platts!$E$5:$M$4994,MATCH(G$3,Platts!$F$5:$M$5,0)+1,FALSE),G1805)</f>
        <v>49.2</v>
      </c>
      <c r="H1806" s="6">
        <f>IFERROR(VLOOKUP($B1806,Platts!$E$5:$M$4994,MATCH(H$3,Platts!$F$5:$M$5,0)+1,FALSE),H1805)</f>
        <v>45.76</v>
      </c>
      <c r="I1806" s="6">
        <f>IFERROR(VLOOKUP($B1806,Platts!$E$5:$M$4994,MATCH(I$3,Platts!$F$5:$M$5,0)+1,FALSE),I1805)</f>
        <v>47.51</v>
      </c>
      <c r="J1806" s="6">
        <f t="shared" si="56"/>
        <v>1.6000000000000014</v>
      </c>
    </row>
    <row r="1807" spans="2:10" x14ac:dyDescent="0.25">
      <c r="B1807" s="5">
        <f t="shared" si="57"/>
        <v>44173</v>
      </c>
      <c r="C1807" s="6">
        <f>IFERROR(VLOOKUP($B1807,Platts!$E$5:$M$4994,MATCH(C$3,Platts!$F$5:$M$5,0)+1,FALSE),C1806)</f>
        <v>44.17</v>
      </c>
      <c r="D1807" s="6">
        <f>IFERROR(VLOOKUP($B1807,Platts!$E$5:$M$4994,MATCH(D$3,Platts!$F$5:$M$5,0)+1,FALSE),D1806)</f>
        <v>45.55</v>
      </c>
      <c r="E1807" s="6">
        <f>IFERROR(VLOOKUP($B1807,Platts!$E$5:$M$4994,MATCH(E$3,Platts!$F$5:$M$5,0)+1,FALSE),E1806)</f>
        <v>44.15</v>
      </c>
      <c r="F1807" s="6">
        <f>IFERROR(VLOOKUP($B1807,Platts!$E$5:$M$4994,MATCH(F$3,Platts!$F$5:$M$5,0)+1,FALSE),F1806)</f>
        <v>47.5</v>
      </c>
      <c r="G1807" s="6">
        <f>IFERROR(VLOOKUP($B1807,Platts!$E$5:$M$4994,MATCH(G$3,Platts!$F$5:$M$5,0)+1,FALSE),G1806)</f>
        <v>49.01</v>
      </c>
      <c r="H1807" s="6">
        <f>IFERROR(VLOOKUP($B1807,Platts!$E$5:$M$4994,MATCH(H$3,Platts!$F$5:$M$5,0)+1,FALSE),H1806)</f>
        <v>45.6</v>
      </c>
      <c r="I1807" s="6">
        <f>IFERROR(VLOOKUP($B1807,Platts!$E$5:$M$4994,MATCH(I$3,Platts!$F$5:$M$5,0)+1,FALSE),I1806)</f>
        <v>47.45</v>
      </c>
      <c r="J1807" s="6">
        <f t="shared" si="56"/>
        <v>1.4299999999999997</v>
      </c>
    </row>
    <row r="1808" spans="2:10" x14ac:dyDescent="0.25">
      <c r="B1808" s="5">
        <f t="shared" si="57"/>
        <v>44174</v>
      </c>
      <c r="C1808" s="6">
        <f>IFERROR(VLOOKUP($B1808,Platts!$E$5:$M$4994,MATCH(C$3,Platts!$F$5:$M$5,0)+1,FALSE),C1807)</f>
        <v>44.3</v>
      </c>
      <c r="D1808" s="6">
        <f>IFERROR(VLOOKUP($B1808,Platts!$E$5:$M$4994,MATCH(D$3,Platts!$F$5:$M$5,0)+1,FALSE),D1807)</f>
        <v>45.54</v>
      </c>
      <c r="E1808" s="6">
        <f>IFERROR(VLOOKUP($B1808,Platts!$E$5:$M$4994,MATCH(E$3,Platts!$F$5:$M$5,0)+1,FALSE),E1807)</f>
        <v>44.14</v>
      </c>
      <c r="F1808" s="6">
        <f>IFERROR(VLOOKUP($B1808,Platts!$E$5:$M$4994,MATCH(F$3,Platts!$F$5:$M$5,0)+1,FALSE),F1807)</f>
        <v>47.49</v>
      </c>
      <c r="G1808" s="6">
        <f>IFERROR(VLOOKUP($B1808,Platts!$E$5:$M$4994,MATCH(G$3,Platts!$F$5:$M$5,0)+1,FALSE),G1807)</f>
        <v>48.77</v>
      </c>
      <c r="H1808" s="6">
        <f>IFERROR(VLOOKUP($B1808,Platts!$E$5:$M$4994,MATCH(H$3,Platts!$F$5:$M$5,0)+1,FALSE),H1807)</f>
        <v>45.52</v>
      </c>
      <c r="I1808" s="6">
        <f>IFERROR(VLOOKUP($B1808,Platts!$E$5:$M$4994,MATCH(I$3,Platts!$F$5:$M$5,0)+1,FALSE),I1807)</f>
        <v>47.42</v>
      </c>
      <c r="J1808" s="6">
        <f t="shared" si="56"/>
        <v>1.220000000000006</v>
      </c>
    </row>
    <row r="1809" spans="2:10" x14ac:dyDescent="0.25">
      <c r="B1809" s="5">
        <f t="shared" si="57"/>
        <v>44175</v>
      </c>
      <c r="C1809" s="6">
        <f>IFERROR(VLOOKUP($B1809,Platts!$E$5:$M$4994,MATCH(C$3,Platts!$F$5:$M$5,0)+1,FALSE),C1808)</f>
        <v>45.42</v>
      </c>
      <c r="D1809" s="6">
        <f>IFERROR(VLOOKUP($B1809,Platts!$E$5:$M$4994,MATCH(D$3,Platts!$F$5:$M$5,0)+1,FALSE),D1808)</f>
        <v>46.92</v>
      </c>
      <c r="E1809" s="6">
        <f>IFERROR(VLOOKUP($B1809,Platts!$E$5:$M$4994,MATCH(E$3,Platts!$F$5:$M$5,0)+1,FALSE),E1808)</f>
        <v>45.52</v>
      </c>
      <c r="F1809" s="6">
        <f>IFERROR(VLOOKUP($B1809,Platts!$E$5:$M$4994,MATCH(F$3,Platts!$F$5:$M$5,0)+1,FALSE),F1808)</f>
        <v>48.87</v>
      </c>
      <c r="G1809" s="6">
        <f>IFERROR(VLOOKUP($B1809,Platts!$E$5:$M$4994,MATCH(G$3,Platts!$F$5:$M$5,0)+1,FALSE),G1808)</f>
        <v>51.03</v>
      </c>
      <c r="H1809" s="6">
        <f>IFERROR(VLOOKUP($B1809,Platts!$E$5:$M$4994,MATCH(H$3,Platts!$F$5:$M$5,0)+1,FALSE),H1808)</f>
        <v>46.78</v>
      </c>
      <c r="I1809" s="6">
        <f>IFERROR(VLOOKUP($B1809,Platts!$E$5:$M$4994,MATCH(I$3,Platts!$F$5:$M$5,0)+1,FALSE),I1808)</f>
        <v>48.73</v>
      </c>
      <c r="J1809" s="6">
        <f t="shared" si="56"/>
        <v>1.3599999999999994</v>
      </c>
    </row>
    <row r="1810" spans="2:10" x14ac:dyDescent="0.25">
      <c r="B1810" s="5">
        <f t="shared" si="57"/>
        <v>44176</v>
      </c>
      <c r="C1810" s="6">
        <f>IFERROR(VLOOKUP($B1810,Platts!$E$5:$M$4994,MATCH(C$3,Platts!$F$5:$M$5,0)+1,FALSE),C1809)</f>
        <v>45.5</v>
      </c>
      <c r="D1810" s="6">
        <f>IFERROR(VLOOKUP($B1810,Platts!$E$5:$M$4994,MATCH(D$3,Platts!$F$5:$M$5,0)+1,FALSE),D1809)</f>
        <v>46.73</v>
      </c>
      <c r="E1810" s="6">
        <f>IFERROR(VLOOKUP($B1810,Platts!$E$5:$M$4994,MATCH(E$3,Platts!$F$5:$M$5,0)+1,FALSE),E1809)</f>
        <v>45.33</v>
      </c>
      <c r="F1810" s="6">
        <f>IFERROR(VLOOKUP($B1810,Platts!$E$5:$M$4994,MATCH(F$3,Platts!$F$5:$M$5,0)+1,FALSE),F1809)</f>
        <v>48.68</v>
      </c>
      <c r="G1810" s="6">
        <f>IFERROR(VLOOKUP($B1810,Platts!$E$5:$M$4994,MATCH(G$3,Platts!$F$5:$M$5,0)+1,FALSE),G1809)</f>
        <v>50.21</v>
      </c>
      <c r="H1810" s="6">
        <f>IFERROR(VLOOKUP($B1810,Platts!$E$5:$M$4994,MATCH(H$3,Platts!$F$5:$M$5,0)+1,FALSE),H1809)</f>
        <v>46.57</v>
      </c>
      <c r="I1810" s="6">
        <f>IFERROR(VLOOKUP($B1810,Platts!$E$5:$M$4994,MATCH(I$3,Platts!$F$5:$M$5,0)+1,FALSE),I1809)</f>
        <v>48.72</v>
      </c>
      <c r="J1810" s="6">
        <f t="shared" si="56"/>
        <v>1.0700000000000003</v>
      </c>
    </row>
    <row r="1811" spans="2:10" x14ac:dyDescent="0.25">
      <c r="B1811" s="5">
        <f t="shared" si="57"/>
        <v>44177</v>
      </c>
      <c r="C1811" s="6">
        <f>IFERROR(VLOOKUP($B1811,Platts!$E$5:$M$4994,MATCH(C$3,Platts!$F$5:$M$5,0)+1,FALSE),C1810)</f>
        <v>45.5</v>
      </c>
      <c r="D1811" s="6">
        <f>IFERROR(VLOOKUP($B1811,Platts!$E$5:$M$4994,MATCH(D$3,Platts!$F$5:$M$5,0)+1,FALSE),D1810)</f>
        <v>46.73</v>
      </c>
      <c r="E1811" s="6">
        <f>IFERROR(VLOOKUP($B1811,Platts!$E$5:$M$4994,MATCH(E$3,Platts!$F$5:$M$5,0)+1,FALSE),E1810)</f>
        <v>45.33</v>
      </c>
      <c r="F1811" s="6">
        <f>IFERROR(VLOOKUP($B1811,Platts!$E$5:$M$4994,MATCH(F$3,Platts!$F$5:$M$5,0)+1,FALSE),F1810)</f>
        <v>48.68</v>
      </c>
      <c r="G1811" s="6">
        <f>IFERROR(VLOOKUP($B1811,Platts!$E$5:$M$4994,MATCH(G$3,Platts!$F$5:$M$5,0)+1,FALSE),G1810)</f>
        <v>50.21</v>
      </c>
      <c r="H1811" s="6">
        <f>IFERROR(VLOOKUP($B1811,Platts!$E$5:$M$4994,MATCH(H$3,Platts!$F$5:$M$5,0)+1,FALSE),H1810)</f>
        <v>46.57</v>
      </c>
      <c r="I1811" s="6">
        <f>IFERROR(VLOOKUP($B1811,Platts!$E$5:$M$4994,MATCH(I$3,Platts!$F$5:$M$5,0)+1,FALSE),I1810)</f>
        <v>48.72</v>
      </c>
      <c r="J1811" s="6">
        <f t="shared" si="56"/>
        <v>1.0700000000000003</v>
      </c>
    </row>
    <row r="1812" spans="2:10" x14ac:dyDescent="0.25">
      <c r="B1812" s="5">
        <f t="shared" si="57"/>
        <v>44178</v>
      </c>
      <c r="C1812" s="6">
        <f>IFERROR(VLOOKUP($B1812,Platts!$E$5:$M$4994,MATCH(C$3,Platts!$F$5:$M$5,0)+1,FALSE),C1811)</f>
        <v>45.5</v>
      </c>
      <c r="D1812" s="6">
        <f>IFERROR(VLOOKUP($B1812,Platts!$E$5:$M$4994,MATCH(D$3,Platts!$F$5:$M$5,0)+1,FALSE),D1811)</f>
        <v>46.73</v>
      </c>
      <c r="E1812" s="6">
        <f>IFERROR(VLOOKUP($B1812,Platts!$E$5:$M$4994,MATCH(E$3,Platts!$F$5:$M$5,0)+1,FALSE),E1811)</f>
        <v>45.33</v>
      </c>
      <c r="F1812" s="6">
        <f>IFERROR(VLOOKUP($B1812,Platts!$E$5:$M$4994,MATCH(F$3,Platts!$F$5:$M$5,0)+1,FALSE),F1811)</f>
        <v>48.68</v>
      </c>
      <c r="G1812" s="6">
        <f>IFERROR(VLOOKUP($B1812,Platts!$E$5:$M$4994,MATCH(G$3,Platts!$F$5:$M$5,0)+1,FALSE),G1811)</f>
        <v>50.21</v>
      </c>
      <c r="H1812" s="6">
        <f>IFERROR(VLOOKUP($B1812,Platts!$E$5:$M$4994,MATCH(H$3,Platts!$F$5:$M$5,0)+1,FALSE),H1811)</f>
        <v>46.57</v>
      </c>
      <c r="I1812" s="6">
        <f>IFERROR(VLOOKUP($B1812,Platts!$E$5:$M$4994,MATCH(I$3,Platts!$F$5:$M$5,0)+1,FALSE),I1811)</f>
        <v>48.72</v>
      </c>
      <c r="J1812" s="6">
        <f t="shared" si="56"/>
        <v>1.0700000000000003</v>
      </c>
    </row>
    <row r="1813" spans="2:10" x14ac:dyDescent="0.25">
      <c r="B1813" s="5">
        <f t="shared" si="57"/>
        <v>44179</v>
      </c>
      <c r="C1813" s="6">
        <f>IFERROR(VLOOKUP($B1813,Platts!$E$5:$M$4994,MATCH(C$3,Platts!$F$5:$M$5,0)+1,FALSE),C1812)</f>
        <v>45.84</v>
      </c>
      <c r="D1813" s="6">
        <f>IFERROR(VLOOKUP($B1813,Platts!$E$5:$M$4994,MATCH(D$3,Platts!$F$5:$M$5,0)+1,FALSE),D1812)</f>
        <v>47.16</v>
      </c>
      <c r="E1813" s="6">
        <f>IFERROR(VLOOKUP($B1813,Platts!$E$5:$M$4994,MATCH(E$3,Platts!$F$5:$M$5,0)+1,FALSE),E1812)</f>
        <v>45.76</v>
      </c>
      <c r="F1813" s="6">
        <f>IFERROR(VLOOKUP($B1813,Platts!$E$5:$M$4994,MATCH(F$3,Platts!$F$5:$M$5,0)+1,FALSE),F1812)</f>
        <v>49.11</v>
      </c>
      <c r="G1813" s="6">
        <f>IFERROR(VLOOKUP($B1813,Platts!$E$5:$M$4994,MATCH(G$3,Platts!$F$5:$M$5,0)+1,FALSE),G1812)</f>
        <v>49.75</v>
      </c>
      <c r="H1813" s="6">
        <f>IFERROR(VLOOKUP($B1813,Platts!$E$5:$M$4994,MATCH(H$3,Platts!$F$5:$M$5,0)+1,FALSE),H1812)</f>
        <v>46.99</v>
      </c>
      <c r="I1813" s="6">
        <f>IFERROR(VLOOKUP($B1813,Platts!$E$5:$M$4994,MATCH(I$3,Platts!$F$5:$M$5,0)+1,FALSE),I1812)</f>
        <v>49.04</v>
      </c>
      <c r="J1813" s="6">
        <f t="shared" si="56"/>
        <v>1.1499999999999986</v>
      </c>
    </row>
    <row r="1814" spans="2:10" x14ac:dyDescent="0.25">
      <c r="B1814" s="5">
        <f t="shared" si="57"/>
        <v>44180</v>
      </c>
      <c r="C1814" s="6">
        <f>IFERROR(VLOOKUP($B1814,Platts!$E$5:$M$4994,MATCH(C$3,Platts!$F$5:$M$5,0)+1,FALSE),C1813)</f>
        <v>46.14</v>
      </c>
      <c r="D1814" s="6">
        <f>IFERROR(VLOOKUP($B1814,Platts!$E$5:$M$4994,MATCH(D$3,Platts!$F$5:$M$5,0)+1,FALSE),D1813)</f>
        <v>47.53</v>
      </c>
      <c r="E1814" s="6">
        <f>IFERROR(VLOOKUP($B1814,Platts!$E$5:$M$4994,MATCH(E$3,Platts!$F$5:$M$5,0)+1,FALSE),E1813)</f>
        <v>46.13</v>
      </c>
      <c r="F1814" s="6">
        <f>IFERROR(VLOOKUP($B1814,Platts!$E$5:$M$4994,MATCH(F$3,Platts!$F$5:$M$5,0)+1,FALSE),F1813)</f>
        <v>49.48</v>
      </c>
      <c r="G1814" s="6">
        <f>IFERROR(VLOOKUP($B1814,Platts!$E$5:$M$4994,MATCH(G$3,Platts!$F$5:$M$5,0)+1,FALSE),G1813)</f>
        <v>50.85</v>
      </c>
      <c r="H1814" s="6">
        <f>IFERROR(VLOOKUP($B1814,Platts!$E$5:$M$4994,MATCH(H$3,Platts!$F$5:$M$5,0)+1,FALSE),H1813)</f>
        <v>47.62</v>
      </c>
      <c r="I1814" s="6">
        <f>IFERROR(VLOOKUP($B1814,Platts!$E$5:$M$4994,MATCH(I$3,Platts!$F$5:$M$5,0)+1,FALSE),I1813)</f>
        <v>49.47</v>
      </c>
      <c r="J1814" s="6">
        <f t="shared" si="56"/>
        <v>1.4799999999999969</v>
      </c>
    </row>
    <row r="1815" spans="2:10" x14ac:dyDescent="0.25">
      <c r="B1815" s="5">
        <f t="shared" si="57"/>
        <v>44181</v>
      </c>
      <c r="C1815" s="6">
        <f>IFERROR(VLOOKUP($B1815,Platts!$E$5:$M$4994,MATCH(C$3,Platts!$F$5:$M$5,0)+1,FALSE),C1814)</f>
        <v>46.47</v>
      </c>
      <c r="D1815" s="6">
        <f>IFERROR(VLOOKUP($B1815,Platts!$E$5:$M$4994,MATCH(D$3,Platts!$F$5:$M$5,0)+1,FALSE),D1814)</f>
        <v>47.82</v>
      </c>
      <c r="E1815" s="6">
        <f>IFERROR(VLOOKUP($B1815,Platts!$E$5:$M$4994,MATCH(E$3,Platts!$F$5:$M$5,0)+1,FALSE),E1814)</f>
        <v>46.42</v>
      </c>
      <c r="F1815" s="6">
        <f>IFERROR(VLOOKUP($B1815,Platts!$E$5:$M$4994,MATCH(F$3,Platts!$F$5:$M$5,0)+1,FALSE),F1814)</f>
        <v>49.77</v>
      </c>
      <c r="G1815" s="6">
        <f>IFERROR(VLOOKUP($B1815,Platts!$E$5:$M$4994,MATCH(G$3,Platts!$F$5:$M$5,0)+1,FALSE),G1814)</f>
        <v>50.88</v>
      </c>
      <c r="H1815" s="6">
        <f>IFERROR(VLOOKUP($B1815,Platts!$E$5:$M$4994,MATCH(H$3,Platts!$F$5:$M$5,0)+1,FALSE),H1814)</f>
        <v>47.82</v>
      </c>
      <c r="I1815" s="6">
        <f>IFERROR(VLOOKUP($B1815,Platts!$E$5:$M$4994,MATCH(I$3,Platts!$F$5:$M$5,0)+1,FALSE),I1814)</f>
        <v>49.67</v>
      </c>
      <c r="J1815" s="6">
        <f t="shared" si="56"/>
        <v>1.3500000000000014</v>
      </c>
    </row>
    <row r="1816" spans="2:10" x14ac:dyDescent="0.25">
      <c r="B1816" s="5">
        <f t="shared" si="57"/>
        <v>44182</v>
      </c>
      <c r="C1816" s="6">
        <f>IFERROR(VLOOKUP($B1816,Platts!$E$5:$M$4994,MATCH(C$3,Platts!$F$5:$M$5,0)+1,FALSE),C1815)</f>
        <v>46.96</v>
      </c>
      <c r="D1816" s="6">
        <f>IFERROR(VLOOKUP($B1816,Platts!$E$5:$M$4994,MATCH(D$3,Platts!$F$5:$M$5,0)+1,FALSE),D1815)</f>
        <v>48.31</v>
      </c>
      <c r="E1816" s="6">
        <f>IFERROR(VLOOKUP($B1816,Platts!$E$5:$M$4994,MATCH(E$3,Platts!$F$5:$M$5,0)+1,FALSE),E1815)</f>
        <v>46.91</v>
      </c>
      <c r="F1816" s="6">
        <f>IFERROR(VLOOKUP($B1816,Platts!$E$5:$M$4994,MATCH(F$3,Platts!$F$5:$M$5,0)+1,FALSE),F1815)</f>
        <v>50.26</v>
      </c>
      <c r="G1816" s="6">
        <f>IFERROR(VLOOKUP($B1816,Platts!$E$5:$M$4994,MATCH(G$3,Platts!$F$5:$M$5,0)+1,FALSE),G1815)</f>
        <v>51.6</v>
      </c>
      <c r="H1816" s="6">
        <f>IFERROR(VLOOKUP($B1816,Platts!$E$5:$M$4994,MATCH(H$3,Platts!$F$5:$M$5,0)+1,FALSE),H1815)</f>
        <v>48.36</v>
      </c>
      <c r="I1816" s="6">
        <f>IFERROR(VLOOKUP($B1816,Platts!$E$5:$M$4994,MATCH(I$3,Platts!$F$5:$M$5,0)+1,FALSE),I1815)</f>
        <v>50.16</v>
      </c>
      <c r="J1816" s="6">
        <f t="shared" si="56"/>
        <v>1.3999999999999986</v>
      </c>
    </row>
    <row r="1817" spans="2:10" x14ac:dyDescent="0.25">
      <c r="B1817" s="5">
        <f t="shared" si="57"/>
        <v>44183</v>
      </c>
      <c r="C1817" s="6">
        <f>IFERROR(VLOOKUP($B1817,Platts!$E$5:$M$4994,MATCH(C$3,Platts!$F$5:$M$5,0)+1,FALSE),C1816)</f>
        <v>47.5</v>
      </c>
      <c r="D1817" s="6">
        <f>IFERROR(VLOOKUP($B1817,Platts!$E$5:$M$4994,MATCH(D$3,Platts!$F$5:$M$5,0)+1,FALSE),D1816)</f>
        <v>48.98</v>
      </c>
      <c r="E1817" s="6">
        <f>IFERROR(VLOOKUP($B1817,Platts!$E$5:$M$4994,MATCH(E$3,Platts!$F$5:$M$5,0)+1,FALSE),E1816)</f>
        <v>47.58</v>
      </c>
      <c r="F1817" s="6">
        <f>IFERROR(VLOOKUP($B1817,Platts!$E$5:$M$4994,MATCH(F$3,Platts!$F$5:$M$5,0)+1,FALSE),F1816)</f>
        <v>50.93</v>
      </c>
      <c r="G1817" s="6">
        <f>IFERROR(VLOOKUP($B1817,Platts!$E$5:$M$4994,MATCH(G$3,Platts!$F$5:$M$5,0)+1,FALSE),G1816)</f>
        <v>52.09</v>
      </c>
      <c r="H1817" s="6">
        <f>IFERROR(VLOOKUP($B1817,Platts!$E$5:$M$4994,MATCH(H$3,Platts!$F$5:$M$5,0)+1,FALSE),H1816)</f>
        <v>49.1</v>
      </c>
      <c r="I1817" s="6">
        <f>IFERROR(VLOOKUP($B1817,Platts!$E$5:$M$4994,MATCH(I$3,Platts!$F$5:$M$5,0)+1,FALSE),I1816)</f>
        <v>50.9</v>
      </c>
      <c r="J1817" s="6">
        <f t="shared" si="56"/>
        <v>1.6000000000000014</v>
      </c>
    </row>
    <row r="1818" spans="2:10" x14ac:dyDescent="0.25">
      <c r="B1818" s="5">
        <f t="shared" si="57"/>
        <v>44184</v>
      </c>
      <c r="C1818" s="6">
        <f>IFERROR(VLOOKUP($B1818,Platts!$E$5:$M$4994,MATCH(C$3,Platts!$F$5:$M$5,0)+1,FALSE),C1817)</f>
        <v>47.5</v>
      </c>
      <c r="D1818" s="6">
        <f>IFERROR(VLOOKUP($B1818,Platts!$E$5:$M$4994,MATCH(D$3,Platts!$F$5:$M$5,0)+1,FALSE),D1817)</f>
        <v>48.98</v>
      </c>
      <c r="E1818" s="6">
        <f>IFERROR(VLOOKUP($B1818,Platts!$E$5:$M$4994,MATCH(E$3,Platts!$F$5:$M$5,0)+1,FALSE),E1817)</f>
        <v>47.58</v>
      </c>
      <c r="F1818" s="6">
        <f>IFERROR(VLOOKUP($B1818,Platts!$E$5:$M$4994,MATCH(F$3,Platts!$F$5:$M$5,0)+1,FALSE),F1817)</f>
        <v>50.93</v>
      </c>
      <c r="G1818" s="6">
        <f>IFERROR(VLOOKUP($B1818,Platts!$E$5:$M$4994,MATCH(G$3,Platts!$F$5:$M$5,0)+1,FALSE),G1817)</f>
        <v>52.09</v>
      </c>
      <c r="H1818" s="6">
        <f>IFERROR(VLOOKUP($B1818,Platts!$E$5:$M$4994,MATCH(H$3,Platts!$F$5:$M$5,0)+1,FALSE),H1817)</f>
        <v>49.1</v>
      </c>
      <c r="I1818" s="6">
        <f>IFERROR(VLOOKUP($B1818,Platts!$E$5:$M$4994,MATCH(I$3,Platts!$F$5:$M$5,0)+1,FALSE),I1817)</f>
        <v>50.9</v>
      </c>
      <c r="J1818" s="6">
        <f t="shared" si="56"/>
        <v>1.6000000000000014</v>
      </c>
    </row>
    <row r="1819" spans="2:10" x14ac:dyDescent="0.25">
      <c r="B1819" s="5">
        <f t="shared" si="57"/>
        <v>44185</v>
      </c>
      <c r="C1819" s="6">
        <f>IFERROR(VLOOKUP($B1819,Platts!$E$5:$M$4994,MATCH(C$3,Platts!$F$5:$M$5,0)+1,FALSE),C1818)</f>
        <v>47.5</v>
      </c>
      <c r="D1819" s="6">
        <f>IFERROR(VLOOKUP($B1819,Platts!$E$5:$M$4994,MATCH(D$3,Platts!$F$5:$M$5,0)+1,FALSE),D1818)</f>
        <v>48.98</v>
      </c>
      <c r="E1819" s="6">
        <f>IFERROR(VLOOKUP($B1819,Platts!$E$5:$M$4994,MATCH(E$3,Platts!$F$5:$M$5,0)+1,FALSE),E1818)</f>
        <v>47.58</v>
      </c>
      <c r="F1819" s="6">
        <f>IFERROR(VLOOKUP($B1819,Platts!$E$5:$M$4994,MATCH(F$3,Platts!$F$5:$M$5,0)+1,FALSE),F1818)</f>
        <v>50.93</v>
      </c>
      <c r="G1819" s="6">
        <f>IFERROR(VLOOKUP($B1819,Platts!$E$5:$M$4994,MATCH(G$3,Platts!$F$5:$M$5,0)+1,FALSE),G1818)</f>
        <v>52.09</v>
      </c>
      <c r="H1819" s="6">
        <f>IFERROR(VLOOKUP($B1819,Platts!$E$5:$M$4994,MATCH(H$3,Platts!$F$5:$M$5,0)+1,FALSE),H1818)</f>
        <v>49.1</v>
      </c>
      <c r="I1819" s="6">
        <f>IFERROR(VLOOKUP($B1819,Platts!$E$5:$M$4994,MATCH(I$3,Platts!$F$5:$M$5,0)+1,FALSE),I1818)</f>
        <v>50.9</v>
      </c>
      <c r="J1819" s="6">
        <f t="shared" si="56"/>
        <v>1.6000000000000014</v>
      </c>
    </row>
    <row r="1820" spans="2:10" x14ac:dyDescent="0.25">
      <c r="B1820" s="5">
        <f t="shared" si="57"/>
        <v>44186</v>
      </c>
      <c r="C1820" s="6">
        <f>IFERROR(VLOOKUP($B1820,Platts!$E$5:$M$4994,MATCH(C$3,Platts!$F$5:$M$5,0)+1,FALSE),C1819)</f>
        <v>46.25</v>
      </c>
      <c r="D1820" s="6">
        <f>IFERROR(VLOOKUP($B1820,Platts!$E$5:$M$4994,MATCH(D$3,Platts!$F$5:$M$5,0)+1,FALSE),D1819)</f>
        <v>47.57</v>
      </c>
      <c r="E1820" s="6">
        <f>IFERROR(VLOOKUP($B1820,Platts!$E$5:$M$4994,MATCH(E$3,Platts!$F$5:$M$5,0)+1,FALSE),E1819)</f>
        <v>46.17</v>
      </c>
      <c r="F1820" s="6">
        <f>IFERROR(VLOOKUP($B1820,Platts!$E$5:$M$4994,MATCH(F$3,Platts!$F$5:$M$5,0)+1,FALSE),F1819)</f>
        <v>49.52</v>
      </c>
      <c r="G1820" s="6">
        <f>IFERROR(VLOOKUP($B1820,Platts!$E$5:$M$4994,MATCH(G$3,Platts!$F$5:$M$5,0)+1,FALSE),G1819)</f>
        <v>50.25</v>
      </c>
      <c r="H1820" s="6">
        <f>IFERROR(VLOOKUP($B1820,Platts!$E$5:$M$4994,MATCH(H$3,Platts!$F$5:$M$5,0)+1,FALSE),H1819)</f>
        <v>47.74</v>
      </c>
      <c r="I1820" s="6">
        <f>IFERROR(VLOOKUP($B1820,Platts!$E$5:$M$4994,MATCH(I$3,Platts!$F$5:$M$5,0)+1,FALSE),I1819)</f>
        <v>49.54</v>
      </c>
      <c r="J1820" s="6">
        <f t="shared" si="56"/>
        <v>1.490000000000002</v>
      </c>
    </row>
    <row r="1821" spans="2:10" x14ac:dyDescent="0.25">
      <c r="B1821" s="5">
        <f t="shared" si="57"/>
        <v>44187</v>
      </c>
      <c r="C1821" s="6">
        <f>IFERROR(VLOOKUP($B1821,Platts!$E$5:$M$4994,MATCH(C$3,Platts!$F$5:$M$5,0)+1,FALSE),C1820)</f>
        <v>45.5</v>
      </c>
      <c r="D1821" s="6">
        <f>IFERROR(VLOOKUP($B1821,Platts!$E$5:$M$4994,MATCH(D$3,Platts!$F$5:$M$5,0)+1,FALSE),D1820)</f>
        <v>46.81</v>
      </c>
      <c r="E1821" s="6">
        <f>IFERROR(VLOOKUP($B1821,Platts!$E$5:$M$4994,MATCH(E$3,Platts!$F$5:$M$5,0)+1,FALSE),E1820)</f>
        <v>45.41</v>
      </c>
      <c r="F1821" s="6">
        <f>IFERROR(VLOOKUP($B1821,Platts!$E$5:$M$4994,MATCH(F$3,Platts!$F$5:$M$5,0)+1,FALSE),F1820)</f>
        <v>48.76</v>
      </c>
      <c r="G1821" s="6">
        <f>IFERROR(VLOOKUP($B1821,Platts!$E$5:$M$4994,MATCH(G$3,Platts!$F$5:$M$5,0)+1,FALSE),G1820)</f>
        <v>50.49</v>
      </c>
      <c r="H1821" s="6">
        <f>IFERROR(VLOOKUP($B1821,Platts!$E$5:$M$4994,MATCH(H$3,Platts!$F$5:$M$5,0)+1,FALSE),H1820)</f>
        <v>46.89</v>
      </c>
      <c r="I1821" s="6">
        <f>IFERROR(VLOOKUP($B1821,Platts!$E$5:$M$4994,MATCH(I$3,Platts!$F$5:$M$5,0)+1,FALSE),I1820)</f>
        <v>48.69</v>
      </c>
      <c r="J1821" s="6">
        <f t="shared" si="56"/>
        <v>1.3900000000000006</v>
      </c>
    </row>
    <row r="1822" spans="2:10" x14ac:dyDescent="0.25">
      <c r="B1822" s="5">
        <f t="shared" si="57"/>
        <v>44188</v>
      </c>
      <c r="C1822" s="6">
        <f>IFERROR(VLOOKUP($B1822,Platts!$E$5:$M$4994,MATCH(C$3,Platts!$F$5:$M$5,0)+1,FALSE),C1821)</f>
        <v>46.46</v>
      </c>
      <c r="D1822" s="6">
        <f>IFERROR(VLOOKUP($B1822,Platts!$E$5:$M$4994,MATCH(D$3,Platts!$F$5:$M$5,0)+1,FALSE),D1821)</f>
        <v>48.02</v>
      </c>
      <c r="E1822" s="6">
        <f>IFERROR(VLOOKUP($B1822,Platts!$E$5:$M$4994,MATCH(E$3,Platts!$F$5:$M$5,0)+1,FALSE),E1821)</f>
        <v>46.62</v>
      </c>
      <c r="F1822" s="6">
        <f>IFERROR(VLOOKUP($B1822,Platts!$E$5:$M$4994,MATCH(F$3,Platts!$F$5:$M$5,0)+1,FALSE),F1821)</f>
        <v>49.97</v>
      </c>
      <c r="G1822" s="6">
        <f>IFERROR(VLOOKUP($B1822,Platts!$E$5:$M$4994,MATCH(G$3,Platts!$F$5:$M$5,0)+1,FALSE),G1821)</f>
        <v>51.36</v>
      </c>
      <c r="H1822" s="6">
        <f>IFERROR(VLOOKUP($B1822,Platts!$E$5:$M$4994,MATCH(H$3,Platts!$F$5:$M$5,0)+1,FALSE),H1821)</f>
        <v>47.99</v>
      </c>
      <c r="I1822" s="6">
        <f>IFERROR(VLOOKUP($B1822,Platts!$E$5:$M$4994,MATCH(I$3,Platts!$F$5:$M$5,0)+1,FALSE),I1821)</f>
        <v>49.84</v>
      </c>
      <c r="J1822" s="6">
        <f t="shared" si="56"/>
        <v>1.5300000000000011</v>
      </c>
    </row>
    <row r="1823" spans="2:10" x14ac:dyDescent="0.25">
      <c r="B1823" s="5">
        <f t="shared" si="57"/>
        <v>44189</v>
      </c>
      <c r="C1823" s="6">
        <f>IFERROR(VLOOKUP($B1823,Platts!$E$5:$M$4994,MATCH(C$3,Platts!$F$5:$M$5,0)+1,FALSE),C1822)</f>
        <v>46.46</v>
      </c>
      <c r="D1823" s="6">
        <f>IFERROR(VLOOKUP($B1823,Platts!$E$5:$M$4994,MATCH(D$3,Platts!$F$5:$M$5,0)+1,FALSE),D1822)</f>
        <v>48.19</v>
      </c>
      <c r="E1823" s="6">
        <f>IFERROR(VLOOKUP($B1823,Platts!$E$5:$M$4994,MATCH(E$3,Platts!$F$5:$M$5,0)+1,FALSE),E1822)</f>
        <v>46.79</v>
      </c>
      <c r="F1823" s="6">
        <f>IFERROR(VLOOKUP($B1823,Platts!$E$5:$M$4994,MATCH(F$3,Platts!$F$5:$M$5,0)+1,FALSE),F1822)</f>
        <v>50.14</v>
      </c>
      <c r="G1823" s="6">
        <f>IFERROR(VLOOKUP($B1823,Platts!$E$5:$M$4994,MATCH(G$3,Platts!$F$5:$M$5,0)+1,FALSE),G1822)</f>
        <v>50.79</v>
      </c>
      <c r="H1823" s="6">
        <f>IFERROR(VLOOKUP($B1823,Platts!$E$5:$M$4994,MATCH(H$3,Platts!$F$5:$M$5,0)+1,FALSE),H1822)</f>
        <v>48.1</v>
      </c>
      <c r="I1823" s="6">
        <f>IFERROR(VLOOKUP($B1823,Platts!$E$5:$M$4994,MATCH(I$3,Platts!$F$5:$M$5,0)+1,FALSE),I1822)</f>
        <v>49.95</v>
      </c>
      <c r="J1823" s="6">
        <f t="shared" si="56"/>
        <v>1.6400000000000006</v>
      </c>
    </row>
    <row r="1824" spans="2:10" x14ac:dyDescent="0.25">
      <c r="B1824" s="5">
        <f t="shared" si="57"/>
        <v>44190</v>
      </c>
      <c r="C1824" s="6">
        <f>IFERROR(VLOOKUP($B1824,Platts!$E$5:$M$4994,MATCH(C$3,Platts!$F$5:$M$5,0)+1,FALSE),C1823)</f>
        <v>46.46</v>
      </c>
      <c r="D1824" s="6">
        <f>IFERROR(VLOOKUP($B1824,Platts!$E$5:$M$4994,MATCH(D$3,Platts!$F$5:$M$5,0)+1,FALSE),D1823)</f>
        <v>48.19</v>
      </c>
      <c r="E1824" s="6">
        <f>IFERROR(VLOOKUP($B1824,Platts!$E$5:$M$4994,MATCH(E$3,Platts!$F$5:$M$5,0)+1,FALSE),E1823)</f>
        <v>46.79</v>
      </c>
      <c r="F1824" s="6">
        <f>IFERROR(VLOOKUP($B1824,Platts!$E$5:$M$4994,MATCH(F$3,Platts!$F$5:$M$5,0)+1,FALSE),F1823)</f>
        <v>50.14</v>
      </c>
      <c r="G1824" s="6">
        <f>IFERROR(VLOOKUP($B1824,Platts!$E$5:$M$4994,MATCH(G$3,Platts!$F$5:$M$5,0)+1,FALSE),G1823)</f>
        <v>50.79</v>
      </c>
      <c r="H1824" s="6">
        <f>IFERROR(VLOOKUP($B1824,Platts!$E$5:$M$4994,MATCH(H$3,Platts!$F$5:$M$5,0)+1,FALSE),H1823)</f>
        <v>48.1</v>
      </c>
      <c r="I1824" s="6">
        <f>IFERROR(VLOOKUP($B1824,Platts!$E$5:$M$4994,MATCH(I$3,Platts!$F$5:$M$5,0)+1,FALSE),I1823)</f>
        <v>49.95</v>
      </c>
      <c r="J1824" s="6">
        <f t="shared" si="56"/>
        <v>1.6400000000000006</v>
      </c>
    </row>
    <row r="1825" spans="2:10" x14ac:dyDescent="0.25">
      <c r="B1825" s="5">
        <f t="shared" si="57"/>
        <v>44191</v>
      </c>
      <c r="C1825" s="6">
        <f>IFERROR(VLOOKUP($B1825,Platts!$E$5:$M$4994,MATCH(C$3,Platts!$F$5:$M$5,0)+1,FALSE),C1824)</f>
        <v>46.46</v>
      </c>
      <c r="D1825" s="6">
        <f>IFERROR(VLOOKUP($B1825,Platts!$E$5:$M$4994,MATCH(D$3,Platts!$F$5:$M$5,0)+1,FALSE),D1824)</f>
        <v>48.19</v>
      </c>
      <c r="E1825" s="6">
        <f>IFERROR(VLOOKUP($B1825,Platts!$E$5:$M$4994,MATCH(E$3,Platts!$F$5:$M$5,0)+1,FALSE),E1824)</f>
        <v>46.79</v>
      </c>
      <c r="F1825" s="6">
        <f>IFERROR(VLOOKUP($B1825,Platts!$E$5:$M$4994,MATCH(F$3,Platts!$F$5:$M$5,0)+1,FALSE),F1824)</f>
        <v>50.14</v>
      </c>
      <c r="G1825" s="6">
        <f>IFERROR(VLOOKUP($B1825,Platts!$E$5:$M$4994,MATCH(G$3,Platts!$F$5:$M$5,0)+1,FALSE),G1824)</f>
        <v>50.79</v>
      </c>
      <c r="H1825" s="6">
        <f>IFERROR(VLOOKUP($B1825,Platts!$E$5:$M$4994,MATCH(H$3,Platts!$F$5:$M$5,0)+1,FALSE),H1824)</f>
        <v>48.1</v>
      </c>
      <c r="I1825" s="6">
        <f>IFERROR(VLOOKUP($B1825,Platts!$E$5:$M$4994,MATCH(I$3,Platts!$F$5:$M$5,0)+1,FALSE),I1824)</f>
        <v>49.95</v>
      </c>
      <c r="J1825" s="6">
        <f t="shared" si="56"/>
        <v>1.6400000000000006</v>
      </c>
    </row>
    <row r="1826" spans="2:10" x14ac:dyDescent="0.25">
      <c r="B1826" s="5">
        <f t="shared" si="57"/>
        <v>44192</v>
      </c>
      <c r="C1826" s="6">
        <f>IFERROR(VLOOKUP($B1826,Platts!$E$5:$M$4994,MATCH(C$3,Platts!$F$5:$M$5,0)+1,FALSE),C1825)</f>
        <v>46.46</v>
      </c>
      <c r="D1826" s="6">
        <f>IFERROR(VLOOKUP($B1826,Platts!$E$5:$M$4994,MATCH(D$3,Platts!$F$5:$M$5,0)+1,FALSE),D1825)</f>
        <v>48.19</v>
      </c>
      <c r="E1826" s="6">
        <f>IFERROR(VLOOKUP($B1826,Platts!$E$5:$M$4994,MATCH(E$3,Platts!$F$5:$M$5,0)+1,FALSE),E1825)</f>
        <v>46.79</v>
      </c>
      <c r="F1826" s="6">
        <f>IFERROR(VLOOKUP($B1826,Platts!$E$5:$M$4994,MATCH(F$3,Platts!$F$5:$M$5,0)+1,FALSE),F1825)</f>
        <v>50.14</v>
      </c>
      <c r="G1826" s="6">
        <f>IFERROR(VLOOKUP($B1826,Platts!$E$5:$M$4994,MATCH(G$3,Platts!$F$5:$M$5,0)+1,FALSE),G1825)</f>
        <v>50.79</v>
      </c>
      <c r="H1826" s="6">
        <f>IFERROR(VLOOKUP($B1826,Platts!$E$5:$M$4994,MATCH(H$3,Platts!$F$5:$M$5,0)+1,FALSE),H1825)</f>
        <v>48.1</v>
      </c>
      <c r="I1826" s="6">
        <f>IFERROR(VLOOKUP($B1826,Platts!$E$5:$M$4994,MATCH(I$3,Platts!$F$5:$M$5,0)+1,FALSE),I1825)</f>
        <v>49.95</v>
      </c>
      <c r="J1826" s="6">
        <f t="shared" si="56"/>
        <v>1.6400000000000006</v>
      </c>
    </row>
    <row r="1827" spans="2:10" x14ac:dyDescent="0.25">
      <c r="B1827" s="5">
        <f t="shared" si="57"/>
        <v>44193</v>
      </c>
      <c r="C1827" s="6">
        <f>IFERROR(VLOOKUP($B1827,Platts!$E$5:$M$4994,MATCH(C$3,Platts!$F$5:$M$5,0)+1,FALSE),C1826)</f>
        <v>46.34</v>
      </c>
      <c r="D1827" s="6">
        <f>IFERROR(VLOOKUP($B1827,Platts!$E$5:$M$4994,MATCH(D$3,Platts!$F$5:$M$5,0)+1,FALSE),D1826)</f>
        <v>47.65</v>
      </c>
      <c r="E1827" s="6">
        <f>IFERROR(VLOOKUP($B1827,Platts!$E$5:$M$4994,MATCH(E$3,Platts!$F$5:$M$5,0)+1,FALSE),E1826)</f>
        <v>46.25</v>
      </c>
      <c r="F1827" s="6">
        <f>IFERROR(VLOOKUP($B1827,Platts!$E$5:$M$4994,MATCH(F$3,Platts!$F$5:$M$5,0)+1,FALSE),F1826)</f>
        <v>49.6</v>
      </c>
      <c r="G1827" s="6">
        <f>IFERROR(VLOOKUP($B1827,Platts!$E$5:$M$4994,MATCH(G$3,Platts!$F$5:$M$5,0)+1,FALSE),G1826)</f>
        <v>50.79</v>
      </c>
      <c r="H1827" s="6">
        <f>IFERROR(VLOOKUP($B1827,Platts!$E$5:$M$4994,MATCH(H$3,Platts!$F$5:$M$5,0)+1,FALSE),H1826)</f>
        <v>47.62</v>
      </c>
      <c r="I1827" s="6">
        <f>IFERROR(VLOOKUP($B1827,Platts!$E$5:$M$4994,MATCH(I$3,Platts!$F$5:$M$5,0)+1,FALSE),I1826)</f>
        <v>49.52</v>
      </c>
      <c r="J1827" s="6">
        <f t="shared" si="56"/>
        <v>1.279999999999994</v>
      </c>
    </row>
    <row r="1828" spans="2:10" x14ac:dyDescent="0.25">
      <c r="B1828" s="5">
        <f t="shared" si="57"/>
        <v>44194</v>
      </c>
      <c r="C1828" s="6">
        <f>IFERROR(VLOOKUP($B1828,Platts!$E$5:$M$4994,MATCH(C$3,Platts!$F$5:$M$5,0)+1,FALSE),C1827)</f>
        <v>46.6</v>
      </c>
      <c r="D1828" s="6">
        <f>IFERROR(VLOOKUP($B1828,Platts!$E$5:$M$4994,MATCH(D$3,Platts!$F$5:$M$5,0)+1,FALSE),D1827)</f>
        <v>48</v>
      </c>
      <c r="E1828" s="6">
        <f>IFERROR(VLOOKUP($B1828,Platts!$E$5:$M$4994,MATCH(E$3,Platts!$F$5:$M$5,0)+1,FALSE),E1827)</f>
        <v>46.6</v>
      </c>
      <c r="F1828" s="6">
        <f>IFERROR(VLOOKUP($B1828,Platts!$E$5:$M$4994,MATCH(F$3,Platts!$F$5:$M$5,0)+1,FALSE),F1827)</f>
        <v>49.95</v>
      </c>
      <c r="G1828" s="6">
        <f>IFERROR(VLOOKUP($B1828,Platts!$E$5:$M$4994,MATCH(G$3,Platts!$F$5:$M$5,0)+1,FALSE),G1827)</f>
        <v>51.13</v>
      </c>
      <c r="H1828" s="6">
        <f>IFERROR(VLOOKUP($B1828,Platts!$E$5:$M$4994,MATCH(H$3,Platts!$F$5:$M$5,0)+1,FALSE),H1827)</f>
        <v>48</v>
      </c>
      <c r="I1828" s="6">
        <f>IFERROR(VLOOKUP($B1828,Platts!$E$5:$M$4994,MATCH(I$3,Platts!$F$5:$M$5,0)+1,FALSE),I1827)</f>
        <v>50.05</v>
      </c>
      <c r="J1828" s="6">
        <f t="shared" si="56"/>
        <v>1.3999999999999986</v>
      </c>
    </row>
    <row r="1829" spans="2:10" x14ac:dyDescent="0.25">
      <c r="B1829" s="5">
        <f t="shared" si="57"/>
        <v>44195</v>
      </c>
      <c r="C1829" s="6">
        <f>IFERROR(VLOOKUP($B1829,Platts!$E$5:$M$4994,MATCH(C$3,Platts!$F$5:$M$5,0)+1,FALSE),C1828)</f>
        <v>46.88</v>
      </c>
      <c r="D1829" s="6">
        <f>IFERROR(VLOOKUP($B1829,Platts!$E$5:$M$4994,MATCH(D$3,Platts!$F$5:$M$5,0)+1,FALSE),D1828)</f>
        <v>48.38</v>
      </c>
      <c r="E1829" s="6">
        <f>IFERROR(VLOOKUP($B1829,Platts!$E$5:$M$4994,MATCH(E$3,Platts!$F$5:$M$5,0)+1,FALSE),E1828)</f>
        <v>46.98</v>
      </c>
      <c r="F1829" s="6">
        <f>IFERROR(VLOOKUP($B1829,Platts!$E$5:$M$4994,MATCH(F$3,Platts!$F$5:$M$5,0)+1,FALSE),F1828)</f>
        <v>50.33</v>
      </c>
      <c r="G1829" s="6">
        <f>IFERROR(VLOOKUP($B1829,Platts!$E$5:$M$4994,MATCH(G$3,Platts!$F$5:$M$5,0)+1,FALSE),G1828)</f>
        <v>51.11</v>
      </c>
      <c r="H1829" s="6">
        <f>IFERROR(VLOOKUP($B1829,Platts!$E$5:$M$4994,MATCH(H$3,Platts!$F$5:$M$5,0)+1,FALSE),H1828)</f>
        <v>48.4</v>
      </c>
      <c r="I1829" s="6">
        <f>IFERROR(VLOOKUP($B1829,Platts!$E$5:$M$4994,MATCH(I$3,Platts!$F$5:$M$5,0)+1,FALSE),I1828)</f>
        <v>50.55</v>
      </c>
      <c r="J1829" s="6">
        <f t="shared" si="56"/>
        <v>1.519999999999996</v>
      </c>
    </row>
    <row r="1830" spans="2:10" x14ac:dyDescent="0.25">
      <c r="B1830" s="5">
        <f t="shared" si="57"/>
        <v>44196</v>
      </c>
      <c r="C1830" s="6">
        <f>IFERROR(VLOOKUP($B1830,Platts!$E$5:$M$4994,MATCH(C$3,Platts!$F$5:$M$5,0)+1,FALSE),C1829)</f>
        <v>47.16</v>
      </c>
      <c r="D1830" s="6">
        <f>IFERROR(VLOOKUP($B1830,Platts!$E$5:$M$4994,MATCH(D$3,Platts!$F$5:$M$5,0)+1,FALSE),D1829)</f>
        <v>48.59</v>
      </c>
      <c r="E1830" s="6">
        <f>IFERROR(VLOOKUP($B1830,Platts!$E$5:$M$4994,MATCH(E$3,Platts!$F$5:$M$5,0)+1,FALSE),E1829)</f>
        <v>47.19</v>
      </c>
      <c r="F1830" s="6">
        <f>IFERROR(VLOOKUP($B1830,Platts!$E$5:$M$4994,MATCH(F$3,Platts!$F$5:$M$5,0)+1,FALSE),F1829)</f>
        <v>50.54</v>
      </c>
      <c r="G1830" s="6">
        <f>IFERROR(VLOOKUP($B1830,Platts!$E$5:$M$4994,MATCH(G$3,Platts!$F$5:$M$5,0)+1,FALSE),G1829)</f>
        <v>50.83</v>
      </c>
      <c r="H1830" s="6">
        <f>IFERROR(VLOOKUP($B1830,Platts!$E$5:$M$4994,MATCH(H$3,Platts!$F$5:$M$5,0)+1,FALSE),H1829)</f>
        <v>48.52</v>
      </c>
      <c r="I1830" s="6">
        <f>IFERROR(VLOOKUP($B1830,Platts!$E$5:$M$4994,MATCH(I$3,Platts!$F$5:$M$5,0)+1,FALSE),I1829)</f>
        <v>50.67</v>
      </c>
      <c r="J1830" s="6">
        <f t="shared" si="56"/>
        <v>1.3600000000000065</v>
      </c>
    </row>
    <row r="1831" spans="2:10" x14ac:dyDescent="0.25">
      <c r="B1831" s="5">
        <f t="shared" si="57"/>
        <v>44197</v>
      </c>
      <c r="C1831" s="6">
        <f>IFERROR(VLOOKUP($B1831,Platts!$E$5:$M$4994,MATCH(C$3,Platts!$F$5:$M$5,0)+1,FALSE),C1830)</f>
        <v>47.16</v>
      </c>
      <c r="D1831" s="6">
        <f>IFERROR(VLOOKUP($B1831,Platts!$E$5:$M$4994,MATCH(D$3,Platts!$F$5:$M$5,0)+1,FALSE),D1830)</f>
        <v>48.59</v>
      </c>
      <c r="E1831" s="6">
        <f>IFERROR(VLOOKUP($B1831,Platts!$E$5:$M$4994,MATCH(E$3,Platts!$F$5:$M$5,0)+1,FALSE),E1830)</f>
        <v>47.19</v>
      </c>
      <c r="F1831" s="6">
        <f>IFERROR(VLOOKUP($B1831,Platts!$E$5:$M$4994,MATCH(F$3,Platts!$F$5:$M$5,0)+1,FALSE),F1830)</f>
        <v>50.54</v>
      </c>
      <c r="G1831" s="6">
        <f>IFERROR(VLOOKUP($B1831,Platts!$E$5:$M$4994,MATCH(G$3,Platts!$F$5:$M$5,0)+1,FALSE),G1830)</f>
        <v>50.83</v>
      </c>
      <c r="H1831" s="6">
        <f>IFERROR(VLOOKUP($B1831,Platts!$E$5:$M$4994,MATCH(H$3,Platts!$F$5:$M$5,0)+1,FALSE),H1830)</f>
        <v>48.52</v>
      </c>
      <c r="I1831" s="6">
        <f>IFERROR(VLOOKUP($B1831,Platts!$E$5:$M$4994,MATCH(I$3,Platts!$F$5:$M$5,0)+1,FALSE),I1830)</f>
        <v>50.67</v>
      </c>
      <c r="J1831" s="6">
        <f t="shared" si="56"/>
        <v>1.3600000000000065</v>
      </c>
    </row>
    <row r="1832" spans="2:10" x14ac:dyDescent="0.25">
      <c r="B1832" s="5">
        <f t="shared" si="57"/>
        <v>44198</v>
      </c>
      <c r="C1832" s="6">
        <f>IFERROR(VLOOKUP($B1832,Platts!$E$5:$M$4994,MATCH(C$3,Platts!$F$5:$M$5,0)+1,FALSE),C1831)</f>
        <v>47.16</v>
      </c>
      <c r="D1832" s="6">
        <f>IFERROR(VLOOKUP($B1832,Platts!$E$5:$M$4994,MATCH(D$3,Platts!$F$5:$M$5,0)+1,FALSE),D1831)</f>
        <v>48.59</v>
      </c>
      <c r="E1832" s="6">
        <f>IFERROR(VLOOKUP($B1832,Platts!$E$5:$M$4994,MATCH(E$3,Platts!$F$5:$M$5,0)+1,FALSE),E1831)</f>
        <v>47.19</v>
      </c>
      <c r="F1832" s="6">
        <f>IFERROR(VLOOKUP($B1832,Platts!$E$5:$M$4994,MATCH(F$3,Platts!$F$5:$M$5,0)+1,FALSE),F1831)</f>
        <v>50.54</v>
      </c>
      <c r="G1832" s="6">
        <f>IFERROR(VLOOKUP($B1832,Platts!$E$5:$M$4994,MATCH(G$3,Platts!$F$5:$M$5,0)+1,FALSE),G1831)</f>
        <v>50.83</v>
      </c>
      <c r="H1832" s="6">
        <f>IFERROR(VLOOKUP($B1832,Platts!$E$5:$M$4994,MATCH(H$3,Platts!$F$5:$M$5,0)+1,FALSE),H1831)</f>
        <v>48.52</v>
      </c>
      <c r="I1832" s="6">
        <f>IFERROR(VLOOKUP($B1832,Platts!$E$5:$M$4994,MATCH(I$3,Platts!$F$5:$M$5,0)+1,FALSE),I1831)</f>
        <v>50.67</v>
      </c>
      <c r="J1832" s="6">
        <f t="shared" si="56"/>
        <v>1.3600000000000065</v>
      </c>
    </row>
    <row r="1833" spans="2:10" x14ac:dyDescent="0.25">
      <c r="B1833" s="5">
        <f t="shared" si="57"/>
        <v>44199</v>
      </c>
      <c r="C1833" s="6">
        <f>IFERROR(VLOOKUP($B1833,Platts!$E$5:$M$4994,MATCH(C$3,Platts!$F$5:$M$5,0)+1,FALSE),C1832)</f>
        <v>47.16</v>
      </c>
      <c r="D1833" s="6">
        <f>IFERROR(VLOOKUP($B1833,Platts!$E$5:$M$4994,MATCH(D$3,Platts!$F$5:$M$5,0)+1,FALSE),D1832)</f>
        <v>48.59</v>
      </c>
      <c r="E1833" s="6">
        <f>IFERROR(VLOOKUP($B1833,Platts!$E$5:$M$4994,MATCH(E$3,Platts!$F$5:$M$5,0)+1,FALSE),E1832)</f>
        <v>47.19</v>
      </c>
      <c r="F1833" s="6">
        <f>IFERROR(VLOOKUP($B1833,Platts!$E$5:$M$4994,MATCH(F$3,Platts!$F$5:$M$5,0)+1,FALSE),F1832)</f>
        <v>50.54</v>
      </c>
      <c r="G1833" s="6">
        <f>IFERROR(VLOOKUP($B1833,Platts!$E$5:$M$4994,MATCH(G$3,Platts!$F$5:$M$5,0)+1,FALSE),G1832)</f>
        <v>50.83</v>
      </c>
      <c r="H1833" s="6">
        <f>IFERROR(VLOOKUP($B1833,Platts!$E$5:$M$4994,MATCH(H$3,Platts!$F$5:$M$5,0)+1,FALSE),H1832)</f>
        <v>48.52</v>
      </c>
      <c r="I1833" s="6">
        <f>IFERROR(VLOOKUP($B1833,Platts!$E$5:$M$4994,MATCH(I$3,Platts!$F$5:$M$5,0)+1,FALSE),I1832)</f>
        <v>50.67</v>
      </c>
      <c r="J1833" s="6">
        <f t="shared" si="56"/>
        <v>1.3600000000000065</v>
      </c>
    </row>
    <row r="1834" spans="2:10" x14ac:dyDescent="0.25">
      <c r="B1834" s="5">
        <f t="shared" si="57"/>
        <v>44200</v>
      </c>
      <c r="C1834" s="6">
        <f>IFERROR(VLOOKUP($B1834,Platts!$E$5:$M$4994,MATCH(C$3,Platts!$F$5:$M$5,0)+1,FALSE),C1833)</f>
        <v>47.12</v>
      </c>
      <c r="D1834" s="6">
        <f>IFERROR(VLOOKUP($B1834,Platts!$E$5:$M$4994,MATCH(D$3,Platts!$F$5:$M$5,0)+1,FALSE),D1833)</f>
        <v>47.19</v>
      </c>
      <c r="E1834" s="6">
        <f>IFERROR(VLOOKUP($B1834,Platts!$E$5:$M$4994,MATCH(E$3,Platts!$F$5:$M$5,0)+1,FALSE),E1833)</f>
        <v>46.69</v>
      </c>
      <c r="F1834" s="6">
        <f>IFERROR(VLOOKUP($B1834,Platts!$E$5:$M$4994,MATCH(F$3,Platts!$F$5:$M$5,0)+1,FALSE),F1833)</f>
        <v>50.04</v>
      </c>
      <c r="G1834" s="6">
        <f>IFERROR(VLOOKUP($B1834,Platts!$E$5:$M$4994,MATCH(G$3,Platts!$F$5:$M$5,0)+1,FALSE),G1833)</f>
        <v>51.01</v>
      </c>
      <c r="H1834" s="6">
        <f>IFERROR(VLOOKUP($B1834,Platts!$E$5:$M$4994,MATCH(H$3,Platts!$F$5:$M$5,0)+1,FALSE),H1833)</f>
        <v>47.62</v>
      </c>
      <c r="I1834" s="6">
        <f>IFERROR(VLOOKUP($B1834,Platts!$E$5:$M$4994,MATCH(I$3,Platts!$F$5:$M$5,0)+1,FALSE),I1833)</f>
        <v>49.82</v>
      </c>
      <c r="J1834" s="6">
        <f t="shared" si="56"/>
        <v>0.5</v>
      </c>
    </row>
    <row r="1835" spans="2:10" x14ac:dyDescent="0.25">
      <c r="B1835" s="5">
        <f t="shared" si="57"/>
        <v>44201</v>
      </c>
      <c r="C1835" s="6">
        <f>IFERROR(VLOOKUP($B1835,Platts!$E$5:$M$4994,MATCH(C$3,Platts!$F$5:$M$5,0)+1,FALSE),C1834)</f>
        <v>48.81</v>
      </c>
      <c r="D1835" s="6">
        <f>IFERROR(VLOOKUP($B1835,Platts!$E$5:$M$4994,MATCH(D$3,Platts!$F$5:$M$5,0)+1,FALSE),D1834)</f>
        <v>49.57</v>
      </c>
      <c r="E1835" s="6">
        <f>IFERROR(VLOOKUP($B1835,Platts!$E$5:$M$4994,MATCH(E$3,Platts!$F$5:$M$5,0)+1,FALSE),E1834)</f>
        <v>49.07</v>
      </c>
      <c r="F1835" s="6">
        <f>IFERROR(VLOOKUP($B1835,Platts!$E$5:$M$4994,MATCH(F$3,Platts!$F$5:$M$5,0)+1,FALSE),F1834)</f>
        <v>52.42</v>
      </c>
      <c r="G1835" s="6">
        <f>IFERROR(VLOOKUP($B1835,Platts!$E$5:$M$4994,MATCH(G$3,Platts!$F$5:$M$5,0)+1,FALSE),G1834)</f>
        <v>53.01</v>
      </c>
      <c r="H1835" s="6">
        <f>IFERROR(VLOOKUP($B1835,Platts!$E$5:$M$4994,MATCH(H$3,Platts!$F$5:$M$5,0)+1,FALSE),H1834)</f>
        <v>49.93</v>
      </c>
      <c r="I1835" s="6">
        <f>IFERROR(VLOOKUP($B1835,Platts!$E$5:$M$4994,MATCH(I$3,Platts!$F$5:$M$5,0)+1,FALSE),I1834)</f>
        <v>52.13</v>
      </c>
      <c r="J1835" s="6">
        <f t="shared" si="56"/>
        <v>1.1199999999999974</v>
      </c>
    </row>
    <row r="1836" spans="2:10" x14ac:dyDescent="0.25">
      <c r="B1836" s="5">
        <f t="shared" si="57"/>
        <v>44202</v>
      </c>
      <c r="C1836" s="6">
        <f>IFERROR(VLOOKUP($B1836,Platts!$E$5:$M$4994,MATCH(C$3,Platts!$F$5:$M$5,0)+1,FALSE),C1835)</f>
        <v>49.96</v>
      </c>
      <c r="D1836" s="6">
        <f>IFERROR(VLOOKUP($B1836,Platts!$E$5:$M$4994,MATCH(D$3,Platts!$F$5:$M$5,0)+1,FALSE),D1835)</f>
        <v>50.5</v>
      </c>
      <c r="E1836" s="6">
        <f>IFERROR(VLOOKUP($B1836,Platts!$E$5:$M$4994,MATCH(E$3,Platts!$F$5:$M$5,0)+1,FALSE),E1835)</f>
        <v>50</v>
      </c>
      <c r="F1836" s="6">
        <f>IFERROR(VLOOKUP($B1836,Platts!$E$5:$M$4994,MATCH(F$3,Platts!$F$5:$M$5,0)+1,FALSE),F1835)</f>
        <v>53.35</v>
      </c>
      <c r="G1836" s="6">
        <f>IFERROR(VLOOKUP($B1836,Platts!$E$5:$M$4994,MATCH(G$3,Platts!$F$5:$M$5,0)+1,FALSE),G1835)</f>
        <v>54.74</v>
      </c>
      <c r="H1836" s="6">
        <f>IFERROR(VLOOKUP($B1836,Platts!$E$5:$M$4994,MATCH(H$3,Platts!$F$5:$M$5,0)+1,FALSE),H1835)</f>
        <v>50.63</v>
      </c>
      <c r="I1836" s="6">
        <f>IFERROR(VLOOKUP($B1836,Platts!$E$5:$M$4994,MATCH(I$3,Platts!$F$5:$M$5,0)+1,FALSE),I1835)</f>
        <v>52.98</v>
      </c>
      <c r="J1836" s="6">
        <f t="shared" si="56"/>
        <v>0.67000000000000171</v>
      </c>
    </row>
    <row r="1837" spans="2:10" x14ac:dyDescent="0.25">
      <c r="B1837" s="5">
        <f t="shared" si="57"/>
        <v>44203</v>
      </c>
      <c r="C1837" s="6">
        <f>IFERROR(VLOOKUP($B1837,Platts!$E$5:$M$4994,MATCH(C$3,Platts!$F$5:$M$5,0)+1,FALSE),C1836)</f>
        <v>50.23</v>
      </c>
      <c r="D1837" s="6">
        <f>IFERROR(VLOOKUP($B1837,Platts!$E$5:$M$4994,MATCH(D$3,Platts!$F$5:$M$5,0)+1,FALSE),D1836)</f>
        <v>50.62</v>
      </c>
      <c r="E1837" s="6">
        <f>IFERROR(VLOOKUP($B1837,Platts!$E$5:$M$4994,MATCH(E$3,Platts!$F$5:$M$5,0)+1,FALSE),E1836)</f>
        <v>50.12</v>
      </c>
      <c r="F1837" s="6">
        <f>IFERROR(VLOOKUP($B1837,Platts!$E$5:$M$4994,MATCH(F$3,Platts!$F$5:$M$5,0)+1,FALSE),F1836)</f>
        <v>53.47</v>
      </c>
      <c r="G1837" s="6">
        <f>IFERROR(VLOOKUP($B1837,Platts!$E$5:$M$4994,MATCH(G$3,Platts!$F$5:$M$5,0)+1,FALSE),G1836)</f>
        <v>54.79</v>
      </c>
      <c r="H1837" s="6">
        <f>IFERROR(VLOOKUP($B1837,Platts!$E$5:$M$4994,MATCH(H$3,Platts!$F$5:$M$5,0)+1,FALSE),H1836)</f>
        <v>50.83</v>
      </c>
      <c r="I1837" s="6">
        <f>IFERROR(VLOOKUP($B1837,Platts!$E$5:$M$4994,MATCH(I$3,Platts!$F$5:$M$5,0)+1,FALSE),I1836)</f>
        <v>53.13</v>
      </c>
      <c r="J1837" s="6">
        <f t="shared" si="56"/>
        <v>0.60000000000000142</v>
      </c>
    </row>
    <row r="1838" spans="2:10" x14ac:dyDescent="0.25">
      <c r="B1838" s="5">
        <f t="shared" si="57"/>
        <v>44204</v>
      </c>
      <c r="C1838" s="6">
        <f>IFERROR(VLOOKUP($B1838,Platts!$E$5:$M$4994,MATCH(C$3,Platts!$F$5:$M$5,0)+1,FALSE),C1837)</f>
        <v>51.52</v>
      </c>
      <c r="D1838" s="6">
        <f>IFERROR(VLOOKUP($B1838,Platts!$E$5:$M$4994,MATCH(D$3,Platts!$F$5:$M$5,0)+1,FALSE),D1837)</f>
        <v>52.14</v>
      </c>
      <c r="E1838" s="6">
        <f>IFERROR(VLOOKUP($B1838,Platts!$E$5:$M$4994,MATCH(E$3,Platts!$F$5:$M$5,0)+1,FALSE),E1837)</f>
        <v>51.64</v>
      </c>
      <c r="F1838" s="6">
        <f>IFERROR(VLOOKUP($B1838,Platts!$E$5:$M$4994,MATCH(F$3,Platts!$F$5:$M$5,0)+1,FALSE),F1837)</f>
        <v>54.99</v>
      </c>
      <c r="G1838" s="6">
        <f>IFERROR(VLOOKUP($B1838,Platts!$E$5:$M$4994,MATCH(G$3,Platts!$F$5:$M$5,0)+1,FALSE),G1837)</f>
        <v>55.65</v>
      </c>
      <c r="H1838" s="6">
        <f>IFERROR(VLOOKUP($B1838,Platts!$E$5:$M$4994,MATCH(H$3,Platts!$F$5:$M$5,0)+1,FALSE),H1837)</f>
        <v>52.24</v>
      </c>
      <c r="I1838" s="6">
        <f>IFERROR(VLOOKUP($B1838,Platts!$E$5:$M$4994,MATCH(I$3,Platts!$F$5:$M$5,0)+1,FALSE),I1837)</f>
        <v>54.54</v>
      </c>
      <c r="J1838" s="6">
        <f t="shared" si="56"/>
        <v>0.71999999999999886</v>
      </c>
    </row>
    <row r="1839" spans="2:10" x14ac:dyDescent="0.25">
      <c r="B1839" s="5">
        <f t="shared" si="57"/>
        <v>44205</v>
      </c>
      <c r="C1839" s="6">
        <f>IFERROR(VLOOKUP($B1839,Platts!$E$5:$M$4994,MATCH(C$3,Platts!$F$5:$M$5,0)+1,FALSE),C1838)</f>
        <v>51.52</v>
      </c>
      <c r="D1839" s="6">
        <f>IFERROR(VLOOKUP($B1839,Platts!$E$5:$M$4994,MATCH(D$3,Platts!$F$5:$M$5,0)+1,FALSE),D1838)</f>
        <v>52.14</v>
      </c>
      <c r="E1839" s="6">
        <f>IFERROR(VLOOKUP($B1839,Platts!$E$5:$M$4994,MATCH(E$3,Platts!$F$5:$M$5,0)+1,FALSE),E1838)</f>
        <v>51.64</v>
      </c>
      <c r="F1839" s="6">
        <f>IFERROR(VLOOKUP($B1839,Platts!$E$5:$M$4994,MATCH(F$3,Platts!$F$5:$M$5,0)+1,FALSE),F1838)</f>
        <v>54.99</v>
      </c>
      <c r="G1839" s="6">
        <f>IFERROR(VLOOKUP($B1839,Platts!$E$5:$M$4994,MATCH(G$3,Platts!$F$5:$M$5,0)+1,FALSE),G1838)</f>
        <v>55.65</v>
      </c>
      <c r="H1839" s="6">
        <f>IFERROR(VLOOKUP($B1839,Platts!$E$5:$M$4994,MATCH(H$3,Platts!$F$5:$M$5,0)+1,FALSE),H1838)</f>
        <v>52.24</v>
      </c>
      <c r="I1839" s="6">
        <f>IFERROR(VLOOKUP($B1839,Platts!$E$5:$M$4994,MATCH(I$3,Platts!$F$5:$M$5,0)+1,FALSE),I1838)</f>
        <v>54.54</v>
      </c>
      <c r="J1839" s="6">
        <f t="shared" si="56"/>
        <v>0.71999999999999886</v>
      </c>
    </row>
    <row r="1840" spans="2:10" x14ac:dyDescent="0.25">
      <c r="B1840" s="5">
        <f t="shared" si="57"/>
        <v>44206</v>
      </c>
      <c r="C1840" s="6">
        <f>IFERROR(VLOOKUP($B1840,Platts!$E$5:$M$4994,MATCH(C$3,Platts!$F$5:$M$5,0)+1,FALSE),C1839)</f>
        <v>51.52</v>
      </c>
      <c r="D1840" s="6">
        <f>IFERROR(VLOOKUP($B1840,Platts!$E$5:$M$4994,MATCH(D$3,Platts!$F$5:$M$5,0)+1,FALSE),D1839)</f>
        <v>52.14</v>
      </c>
      <c r="E1840" s="6">
        <f>IFERROR(VLOOKUP($B1840,Platts!$E$5:$M$4994,MATCH(E$3,Platts!$F$5:$M$5,0)+1,FALSE),E1839)</f>
        <v>51.64</v>
      </c>
      <c r="F1840" s="6">
        <f>IFERROR(VLOOKUP($B1840,Platts!$E$5:$M$4994,MATCH(F$3,Platts!$F$5:$M$5,0)+1,FALSE),F1839)</f>
        <v>54.99</v>
      </c>
      <c r="G1840" s="6">
        <f>IFERROR(VLOOKUP($B1840,Platts!$E$5:$M$4994,MATCH(G$3,Platts!$F$5:$M$5,0)+1,FALSE),G1839)</f>
        <v>55.65</v>
      </c>
      <c r="H1840" s="6">
        <f>IFERROR(VLOOKUP($B1840,Platts!$E$5:$M$4994,MATCH(H$3,Platts!$F$5:$M$5,0)+1,FALSE),H1839)</f>
        <v>52.24</v>
      </c>
      <c r="I1840" s="6">
        <f>IFERROR(VLOOKUP($B1840,Platts!$E$5:$M$4994,MATCH(I$3,Platts!$F$5:$M$5,0)+1,FALSE),I1839)</f>
        <v>54.54</v>
      </c>
      <c r="J1840" s="6">
        <f t="shared" si="56"/>
        <v>0.71999999999999886</v>
      </c>
    </row>
    <row r="1841" spans="2:10" x14ac:dyDescent="0.25">
      <c r="B1841" s="5">
        <f t="shared" si="57"/>
        <v>44207</v>
      </c>
      <c r="C1841" s="6">
        <f>IFERROR(VLOOKUP($B1841,Platts!$E$5:$M$4994,MATCH(C$3,Platts!$F$5:$M$5,0)+1,FALSE),C1840)</f>
        <v>51.41</v>
      </c>
      <c r="D1841" s="6">
        <f>IFERROR(VLOOKUP($B1841,Platts!$E$5:$M$4994,MATCH(D$3,Platts!$F$5:$M$5,0)+1,FALSE),D1840)</f>
        <v>51.9</v>
      </c>
      <c r="E1841" s="6">
        <f>IFERROR(VLOOKUP($B1841,Platts!$E$5:$M$4994,MATCH(E$3,Platts!$F$5:$M$5,0)+1,FALSE),E1840)</f>
        <v>51.4</v>
      </c>
      <c r="F1841" s="6">
        <f>IFERROR(VLOOKUP($B1841,Platts!$E$5:$M$4994,MATCH(F$3,Platts!$F$5:$M$5,0)+1,FALSE),F1840)</f>
        <v>54.75</v>
      </c>
      <c r="G1841" s="6">
        <f>IFERROR(VLOOKUP($B1841,Platts!$E$5:$M$4994,MATCH(G$3,Platts!$F$5:$M$5,0)+1,FALSE),G1840)</f>
        <v>55.72</v>
      </c>
      <c r="H1841" s="6">
        <f>IFERROR(VLOOKUP($B1841,Platts!$E$5:$M$4994,MATCH(H$3,Platts!$F$5:$M$5,0)+1,FALSE),H1840)</f>
        <v>52.25</v>
      </c>
      <c r="I1841" s="6">
        <f>IFERROR(VLOOKUP($B1841,Platts!$E$5:$M$4994,MATCH(I$3,Platts!$F$5:$M$5,0)+1,FALSE),I1840)</f>
        <v>54.35</v>
      </c>
      <c r="J1841" s="6">
        <f t="shared" si="56"/>
        <v>0.84000000000000341</v>
      </c>
    </row>
    <row r="1842" spans="2:10" x14ac:dyDescent="0.25">
      <c r="B1842" s="5">
        <f t="shared" si="57"/>
        <v>44208</v>
      </c>
      <c r="C1842" s="6">
        <f>IFERROR(VLOOKUP($B1842,Platts!$E$5:$M$4994,MATCH(C$3,Platts!$F$5:$M$5,0)+1,FALSE),C1841)</f>
        <v>52.25</v>
      </c>
      <c r="D1842" s="6">
        <f>IFERROR(VLOOKUP($B1842,Platts!$E$5:$M$4994,MATCH(D$3,Platts!$F$5:$M$5,0)+1,FALSE),D1841)</f>
        <v>52.81</v>
      </c>
      <c r="E1842" s="6">
        <f>IFERROR(VLOOKUP($B1842,Platts!$E$5:$M$4994,MATCH(E$3,Platts!$F$5:$M$5,0)+1,FALSE),E1841)</f>
        <v>52.31</v>
      </c>
      <c r="F1842" s="6">
        <f>IFERROR(VLOOKUP($B1842,Platts!$E$5:$M$4994,MATCH(F$3,Platts!$F$5:$M$5,0)+1,FALSE),F1841)</f>
        <v>55.66</v>
      </c>
      <c r="G1842" s="6">
        <f>IFERROR(VLOOKUP($B1842,Platts!$E$5:$M$4994,MATCH(G$3,Platts!$F$5:$M$5,0)+1,FALSE),G1841)</f>
        <v>56.72</v>
      </c>
      <c r="H1842" s="6">
        <f>IFERROR(VLOOKUP($B1842,Platts!$E$5:$M$4994,MATCH(H$3,Platts!$F$5:$M$5,0)+1,FALSE),H1841)</f>
        <v>53.21</v>
      </c>
      <c r="I1842" s="6">
        <f>IFERROR(VLOOKUP($B1842,Platts!$E$5:$M$4994,MATCH(I$3,Platts!$F$5:$M$5,0)+1,FALSE),I1841)</f>
        <v>55.51</v>
      </c>
      <c r="J1842" s="6">
        <f t="shared" si="56"/>
        <v>0.96000000000000085</v>
      </c>
    </row>
    <row r="1843" spans="2:10" x14ac:dyDescent="0.25">
      <c r="B1843" s="5">
        <f t="shared" si="57"/>
        <v>44209</v>
      </c>
      <c r="C1843" s="6">
        <f>IFERROR(VLOOKUP($B1843,Platts!$E$5:$M$4994,MATCH(C$3,Platts!$F$5:$M$5,0)+1,FALSE),C1842)</f>
        <v>51.91</v>
      </c>
      <c r="D1843" s="6">
        <f>IFERROR(VLOOKUP($B1843,Platts!$E$5:$M$4994,MATCH(D$3,Platts!$F$5:$M$5,0)+1,FALSE),D1842)</f>
        <v>52.34</v>
      </c>
      <c r="E1843" s="6">
        <f>IFERROR(VLOOKUP($B1843,Platts!$E$5:$M$4994,MATCH(E$3,Platts!$F$5:$M$5,0)+1,FALSE),E1842)</f>
        <v>51.84</v>
      </c>
      <c r="F1843" s="6">
        <f>IFERROR(VLOOKUP($B1843,Platts!$E$5:$M$4994,MATCH(F$3,Platts!$F$5:$M$5,0)+1,FALSE),F1842)</f>
        <v>55.19</v>
      </c>
      <c r="G1843" s="6">
        <f>IFERROR(VLOOKUP($B1843,Platts!$E$5:$M$4994,MATCH(G$3,Platts!$F$5:$M$5,0)+1,FALSE),G1842)</f>
        <v>56.35</v>
      </c>
      <c r="H1843" s="6">
        <f>IFERROR(VLOOKUP($B1843,Platts!$E$5:$M$4994,MATCH(H$3,Platts!$F$5:$M$5,0)+1,FALSE),H1842)</f>
        <v>52.91</v>
      </c>
      <c r="I1843" s="6">
        <f>IFERROR(VLOOKUP($B1843,Platts!$E$5:$M$4994,MATCH(I$3,Platts!$F$5:$M$5,0)+1,FALSE),I1842)</f>
        <v>55.16</v>
      </c>
      <c r="J1843" s="6">
        <f t="shared" si="56"/>
        <v>1</v>
      </c>
    </row>
    <row r="1844" spans="2:10" x14ac:dyDescent="0.25">
      <c r="B1844" s="5">
        <f t="shared" si="57"/>
        <v>44210</v>
      </c>
      <c r="C1844" s="6">
        <f>IFERROR(VLOOKUP($B1844,Platts!$E$5:$M$4994,MATCH(C$3,Platts!$F$5:$M$5,0)+1,FALSE),C1843)</f>
        <v>52.15</v>
      </c>
      <c r="D1844" s="6">
        <f>IFERROR(VLOOKUP($B1844,Platts!$E$5:$M$4994,MATCH(D$3,Platts!$F$5:$M$5,0)+1,FALSE),D1843)</f>
        <v>52.7</v>
      </c>
      <c r="E1844" s="6">
        <f>IFERROR(VLOOKUP($B1844,Platts!$E$5:$M$4994,MATCH(E$3,Platts!$F$5:$M$5,0)+1,FALSE),E1843)</f>
        <v>52.2</v>
      </c>
      <c r="F1844" s="6">
        <f>IFERROR(VLOOKUP($B1844,Platts!$E$5:$M$4994,MATCH(F$3,Platts!$F$5:$M$5,0)+1,FALSE),F1843)</f>
        <v>55.55</v>
      </c>
      <c r="G1844" s="6">
        <f>IFERROR(VLOOKUP($B1844,Platts!$E$5:$M$4994,MATCH(G$3,Platts!$F$5:$M$5,0)+1,FALSE),G1843)</f>
        <v>55.76</v>
      </c>
      <c r="H1844" s="6">
        <f>IFERROR(VLOOKUP($B1844,Platts!$E$5:$M$4994,MATCH(H$3,Platts!$F$5:$M$5,0)+1,FALSE),H1843)</f>
        <v>53.57</v>
      </c>
      <c r="I1844" s="6">
        <f>IFERROR(VLOOKUP($B1844,Platts!$E$5:$M$4994,MATCH(I$3,Platts!$F$5:$M$5,0)+1,FALSE),I1843)</f>
        <v>55.52</v>
      </c>
      <c r="J1844" s="6">
        <f t="shared" si="56"/>
        <v>1.4200000000000017</v>
      </c>
    </row>
    <row r="1845" spans="2:10" x14ac:dyDescent="0.25">
      <c r="B1845" s="5">
        <f t="shared" si="57"/>
        <v>44211</v>
      </c>
      <c r="C1845" s="6">
        <f>IFERROR(VLOOKUP($B1845,Platts!$E$5:$M$4994,MATCH(C$3,Platts!$F$5:$M$5,0)+1,FALSE),C1844)</f>
        <v>51.05</v>
      </c>
      <c r="D1845" s="6">
        <f>IFERROR(VLOOKUP($B1845,Platts!$E$5:$M$4994,MATCH(D$3,Platts!$F$5:$M$5,0)+1,FALSE),D1844)</f>
        <v>51.45</v>
      </c>
      <c r="E1845" s="6">
        <f>IFERROR(VLOOKUP($B1845,Platts!$E$5:$M$4994,MATCH(E$3,Platts!$F$5:$M$5,0)+1,FALSE),E1844)</f>
        <v>50.95</v>
      </c>
      <c r="F1845" s="6">
        <f>IFERROR(VLOOKUP($B1845,Platts!$E$5:$M$4994,MATCH(F$3,Platts!$F$5:$M$5,0)+1,FALSE),F1844)</f>
        <v>54.3</v>
      </c>
      <c r="G1845" s="6">
        <f>IFERROR(VLOOKUP($B1845,Platts!$E$5:$M$4994,MATCH(G$3,Platts!$F$5:$M$5,0)+1,FALSE),G1844)</f>
        <v>54.98</v>
      </c>
      <c r="H1845" s="6">
        <f>IFERROR(VLOOKUP($B1845,Platts!$E$5:$M$4994,MATCH(H$3,Platts!$F$5:$M$5,0)+1,FALSE),H1844)</f>
        <v>52.36</v>
      </c>
      <c r="I1845" s="6">
        <f>IFERROR(VLOOKUP($B1845,Platts!$E$5:$M$4994,MATCH(I$3,Platts!$F$5:$M$5,0)+1,FALSE),I1844)</f>
        <v>54.31</v>
      </c>
      <c r="J1845" s="6">
        <f t="shared" si="56"/>
        <v>1.3100000000000023</v>
      </c>
    </row>
    <row r="1846" spans="2:10" x14ac:dyDescent="0.25">
      <c r="B1846" s="5">
        <f t="shared" si="57"/>
        <v>44212</v>
      </c>
      <c r="C1846" s="6">
        <f>IFERROR(VLOOKUP($B1846,Platts!$E$5:$M$4994,MATCH(C$3,Platts!$F$5:$M$5,0)+1,FALSE),C1845)</f>
        <v>51.05</v>
      </c>
      <c r="D1846" s="6">
        <f>IFERROR(VLOOKUP($B1846,Platts!$E$5:$M$4994,MATCH(D$3,Platts!$F$5:$M$5,0)+1,FALSE),D1845)</f>
        <v>51.45</v>
      </c>
      <c r="E1846" s="6">
        <f>IFERROR(VLOOKUP($B1846,Platts!$E$5:$M$4994,MATCH(E$3,Platts!$F$5:$M$5,0)+1,FALSE),E1845)</f>
        <v>50.95</v>
      </c>
      <c r="F1846" s="6">
        <f>IFERROR(VLOOKUP($B1846,Platts!$E$5:$M$4994,MATCH(F$3,Platts!$F$5:$M$5,0)+1,FALSE),F1845)</f>
        <v>54.3</v>
      </c>
      <c r="G1846" s="6">
        <f>IFERROR(VLOOKUP($B1846,Platts!$E$5:$M$4994,MATCH(G$3,Platts!$F$5:$M$5,0)+1,FALSE),G1845)</f>
        <v>54.98</v>
      </c>
      <c r="H1846" s="6">
        <f>IFERROR(VLOOKUP($B1846,Platts!$E$5:$M$4994,MATCH(H$3,Platts!$F$5:$M$5,0)+1,FALSE),H1845)</f>
        <v>52.36</v>
      </c>
      <c r="I1846" s="6">
        <f>IFERROR(VLOOKUP($B1846,Platts!$E$5:$M$4994,MATCH(I$3,Platts!$F$5:$M$5,0)+1,FALSE),I1845)</f>
        <v>54.31</v>
      </c>
      <c r="J1846" s="6">
        <f t="shared" si="56"/>
        <v>1.3100000000000023</v>
      </c>
    </row>
    <row r="1847" spans="2:10" x14ac:dyDescent="0.25">
      <c r="B1847" s="5">
        <f t="shared" si="57"/>
        <v>44213</v>
      </c>
      <c r="C1847" s="6">
        <f>IFERROR(VLOOKUP($B1847,Platts!$E$5:$M$4994,MATCH(C$3,Platts!$F$5:$M$5,0)+1,FALSE),C1846)</f>
        <v>51.05</v>
      </c>
      <c r="D1847" s="6">
        <f>IFERROR(VLOOKUP($B1847,Platts!$E$5:$M$4994,MATCH(D$3,Platts!$F$5:$M$5,0)+1,FALSE),D1846)</f>
        <v>51.45</v>
      </c>
      <c r="E1847" s="6">
        <f>IFERROR(VLOOKUP($B1847,Platts!$E$5:$M$4994,MATCH(E$3,Platts!$F$5:$M$5,0)+1,FALSE),E1846)</f>
        <v>50.95</v>
      </c>
      <c r="F1847" s="6">
        <f>IFERROR(VLOOKUP($B1847,Platts!$E$5:$M$4994,MATCH(F$3,Platts!$F$5:$M$5,0)+1,FALSE),F1846)</f>
        <v>54.3</v>
      </c>
      <c r="G1847" s="6">
        <f>IFERROR(VLOOKUP($B1847,Platts!$E$5:$M$4994,MATCH(G$3,Platts!$F$5:$M$5,0)+1,FALSE),G1846)</f>
        <v>54.98</v>
      </c>
      <c r="H1847" s="6">
        <f>IFERROR(VLOOKUP($B1847,Platts!$E$5:$M$4994,MATCH(H$3,Platts!$F$5:$M$5,0)+1,FALSE),H1846)</f>
        <v>52.36</v>
      </c>
      <c r="I1847" s="6">
        <f>IFERROR(VLOOKUP($B1847,Platts!$E$5:$M$4994,MATCH(I$3,Platts!$F$5:$M$5,0)+1,FALSE),I1846)</f>
        <v>54.31</v>
      </c>
      <c r="J1847" s="6">
        <f t="shared" si="56"/>
        <v>1.3100000000000023</v>
      </c>
    </row>
    <row r="1848" spans="2:10" x14ac:dyDescent="0.25">
      <c r="B1848" s="5">
        <f t="shared" si="57"/>
        <v>44214</v>
      </c>
      <c r="C1848" s="6">
        <f>IFERROR(VLOOKUP($B1848,Platts!$E$5:$M$4994,MATCH(C$3,Platts!$F$5:$M$5,0)+1,FALSE),C1847)</f>
        <v>51.05</v>
      </c>
      <c r="D1848" s="6">
        <f>IFERROR(VLOOKUP($B1848,Platts!$E$5:$M$4994,MATCH(D$3,Platts!$F$5:$M$5,0)+1,FALSE),D1847)</f>
        <v>51.45</v>
      </c>
      <c r="E1848" s="6">
        <f>IFERROR(VLOOKUP($B1848,Platts!$E$5:$M$4994,MATCH(E$3,Platts!$F$5:$M$5,0)+1,FALSE),E1847)</f>
        <v>50.95</v>
      </c>
      <c r="F1848" s="6">
        <f>IFERROR(VLOOKUP($B1848,Platts!$E$5:$M$4994,MATCH(F$3,Platts!$F$5:$M$5,0)+1,FALSE),F1847)</f>
        <v>54.3</v>
      </c>
      <c r="G1848" s="6">
        <f>IFERROR(VLOOKUP($B1848,Platts!$E$5:$M$4994,MATCH(G$3,Platts!$F$5:$M$5,0)+1,FALSE),G1847)</f>
        <v>55.15</v>
      </c>
      <c r="H1848" s="6">
        <f>IFERROR(VLOOKUP($B1848,Platts!$E$5:$M$4994,MATCH(H$3,Platts!$F$5:$M$5,0)+1,FALSE),H1847)</f>
        <v>52.36</v>
      </c>
      <c r="I1848" s="6">
        <f>IFERROR(VLOOKUP($B1848,Platts!$E$5:$M$4994,MATCH(I$3,Platts!$F$5:$M$5,0)+1,FALSE),I1847)</f>
        <v>54.31</v>
      </c>
      <c r="J1848" s="6">
        <f t="shared" si="56"/>
        <v>1.3100000000000023</v>
      </c>
    </row>
    <row r="1849" spans="2:10" x14ac:dyDescent="0.25">
      <c r="B1849" s="5">
        <f t="shared" si="57"/>
        <v>44215</v>
      </c>
      <c r="C1849" s="6">
        <f>IFERROR(VLOOKUP($B1849,Platts!$E$5:$M$4994,MATCH(C$3,Platts!$F$5:$M$5,0)+1,FALSE),C1848)</f>
        <v>51.67</v>
      </c>
      <c r="D1849" s="6">
        <f>IFERROR(VLOOKUP($B1849,Platts!$E$5:$M$4994,MATCH(D$3,Platts!$F$5:$M$5,0)+1,FALSE),D1848)</f>
        <v>52.23</v>
      </c>
      <c r="E1849" s="6">
        <f>IFERROR(VLOOKUP($B1849,Platts!$E$5:$M$4994,MATCH(E$3,Platts!$F$5:$M$5,0)+1,FALSE),E1848)</f>
        <v>51.73</v>
      </c>
      <c r="F1849" s="6">
        <f>IFERROR(VLOOKUP($B1849,Platts!$E$5:$M$4994,MATCH(F$3,Platts!$F$5:$M$5,0)+1,FALSE),F1848)</f>
        <v>55.08</v>
      </c>
      <c r="G1849" s="6">
        <f>IFERROR(VLOOKUP($B1849,Platts!$E$5:$M$4994,MATCH(G$3,Platts!$F$5:$M$5,0)+1,FALSE),G1848)</f>
        <v>56.05</v>
      </c>
      <c r="H1849" s="6">
        <f>IFERROR(VLOOKUP($B1849,Platts!$E$5:$M$4994,MATCH(H$3,Platts!$F$5:$M$5,0)+1,FALSE),H1848)</f>
        <v>52.98</v>
      </c>
      <c r="I1849" s="6">
        <f>IFERROR(VLOOKUP($B1849,Platts!$E$5:$M$4994,MATCH(I$3,Platts!$F$5:$M$5,0)+1,FALSE),I1848)</f>
        <v>55.08</v>
      </c>
      <c r="J1849" s="6">
        <f t="shared" si="56"/>
        <v>1.3099999999999952</v>
      </c>
    </row>
    <row r="1850" spans="2:10" x14ac:dyDescent="0.25">
      <c r="B1850" s="5">
        <f t="shared" si="57"/>
        <v>44216</v>
      </c>
      <c r="C1850" s="6">
        <f>IFERROR(VLOOKUP($B1850,Platts!$E$5:$M$4994,MATCH(C$3,Platts!$F$5:$M$5,0)+1,FALSE),C1849)</f>
        <v>51.97</v>
      </c>
      <c r="D1850" s="6">
        <f>IFERROR(VLOOKUP($B1850,Platts!$E$5:$M$4994,MATCH(D$3,Platts!$F$5:$M$5,0)+1,FALSE),D1849)</f>
        <v>52.33</v>
      </c>
      <c r="E1850" s="6">
        <f>IFERROR(VLOOKUP($B1850,Platts!$E$5:$M$4994,MATCH(E$3,Platts!$F$5:$M$5,0)+1,FALSE),E1849)</f>
        <v>51.83</v>
      </c>
      <c r="F1850" s="6">
        <f>IFERROR(VLOOKUP($B1850,Platts!$E$5:$M$4994,MATCH(F$3,Platts!$F$5:$M$5,0)+1,FALSE),F1849)</f>
        <v>55.18</v>
      </c>
      <c r="G1850" s="6">
        <f>IFERROR(VLOOKUP($B1850,Platts!$E$5:$M$4994,MATCH(G$3,Platts!$F$5:$M$5,0)+1,FALSE),G1849)</f>
        <v>56.55</v>
      </c>
      <c r="H1850" s="6">
        <f>IFERROR(VLOOKUP($B1850,Platts!$E$5:$M$4994,MATCH(H$3,Platts!$F$5:$M$5,0)+1,FALSE),H1849)</f>
        <v>53.24</v>
      </c>
      <c r="I1850" s="6">
        <f>IFERROR(VLOOKUP($B1850,Platts!$E$5:$M$4994,MATCH(I$3,Platts!$F$5:$M$5,0)+1,FALSE),I1849)</f>
        <v>55.24</v>
      </c>
      <c r="J1850" s="6">
        <f t="shared" si="56"/>
        <v>1.2700000000000031</v>
      </c>
    </row>
    <row r="1851" spans="2:10" x14ac:dyDescent="0.25">
      <c r="B1851" s="5">
        <f t="shared" si="57"/>
        <v>44217</v>
      </c>
      <c r="C1851" s="6">
        <f>IFERROR(VLOOKUP($B1851,Platts!$E$5:$M$4994,MATCH(C$3,Platts!$F$5:$M$5,0)+1,FALSE),C1850)</f>
        <v>51.73</v>
      </c>
      <c r="D1851" s="6">
        <f>IFERROR(VLOOKUP($B1851,Platts!$E$5:$M$4994,MATCH(D$3,Platts!$F$5:$M$5,0)+1,FALSE),D1850)</f>
        <v>52.14</v>
      </c>
      <c r="E1851" s="6">
        <f>IFERROR(VLOOKUP($B1851,Platts!$E$5:$M$4994,MATCH(E$3,Platts!$F$5:$M$5,0)+1,FALSE),E1850)</f>
        <v>51.64</v>
      </c>
      <c r="F1851" s="6">
        <f>IFERROR(VLOOKUP($B1851,Platts!$E$5:$M$4994,MATCH(F$3,Platts!$F$5:$M$5,0)+1,FALSE),F1850)</f>
        <v>54.99</v>
      </c>
      <c r="G1851" s="6">
        <f>IFERROR(VLOOKUP($B1851,Platts!$E$5:$M$4994,MATCH(G$3,Platts!$F$5:$M$5,0)+1,FALSE),G1850)</f>
        <v>56.11</v>
      </c>
      <c r="H1851" s="6">
        <f>IFERROR(VLOOKUP($B1851,Platts!$E$5:$M$4994,MATCH(H$3,Platts!$F$5:$M$5,0)+1,FALSE),H1850)</f>
        <v>53.09</v>
      </c>
      <c r="I1851" s="6">
        <f>IFERROR(VLOOKUP($B1851,Platts!$E$5:$M$4994,MATCH(I$3,Platts!$F$5:$M$5,0)+1,FALSE),I1850)</f>
        <v>55.04</v>
      </c>
      <c r="J1851" s="6">
        <f t="shared" si="56"/>
        <v>1.3600000000000065</v>
      </c>
    </row>
    <row r="1852" spans="2:10" x14ac:dyDescent="0.25">
      <c r="B1852" s="5">
        <f t="shared" si="57"/>
        <v>44218</v>
      </c>
      <c r="C1852" s="6">
        <f>IFERROR(VLOOKUP($B1852,Platts!$E$5:$M$4994,MATCH(C$3,Platts!$F$5:$M$5,0)+1,FALSE),C1851)</f>
        <v>51.11</v>
      </c>
      <c r="D1852" s="6">
        <f>IFERROR(VLOOKUP($B1852,Platts!$E$5:$M$4994,MATCH(D$3,Platts!$F$5:$M$5,0)+1,FALSE),D1851)</f>
        <v>51.34</v>
      </c>
      <c r="E1852" s="6">
        <f>IFERROR(VLOOKUP($B1852,Platts!$E$5:$M$4994,MATCH(E$3,Platts!$F$5:$M$5,0)+1,FALSE),E1851)</f>
        <v>50.84</v>
      </c>
      <c r="F1852" s="6">
        <f>IFERROR(VLOOKUP($B1852,Platts!$E$5:$M$4994,MATCH(F$3,Platts!$F$5:$M$5,0)+1,FALSE),F1851)</f>
        <v>54.19</v>
      </c>
      <c r="G1852" s="6">
        <f>IFERROR(VLOOKUP($B1852,Platts!$E$5:$M$4994,MATCH(G$3,Platts!$F$5:$M$5,0)+1,FALSE),G1851)</f>
        <v>55.43</v>
      </c>
      <c r="H1852" s="6">
        <f>IFERROR(VLOOKUP($B1852,Platts!$E$5:$M$4994,MATCH(H$3,Platts!$F$5:$M$5,0)+1,FALSE),H1851)</f>
        <v>52.23</v>
      </c>
      <c r="I1852" s="6">
        <f>IFERROR(VLOOKUP($B1852,Platts!$E$5:$M$4994,MATCH(I$3,Platts!$F$5:$M$5,0)+1,FALSE),I1851)</f>
        <v>54.18</v>
      </c>
      <c r="J1852" s="6">
        <f t="shared" si="56"/>
        <v>1.1199999999999974</v>
      </c>
    </row>
    <row r="1853" spans="2:10" x14ac:dyDescent="0.25">
      <c r="B1853" s="5">
        <f t="shared" si="57"/>
        <v>44219</v>
      </c>
      <c r="C1853" s="6">
        <f>IFERROR(VLOOKUP($B1853,Platts!$E$5:$M$4994,MATCH(C$3,Platts!$F$5:$M$5,0)+1,FALSE),C1852)</f>
        <v>51.11</v>
      </c>
      <c r="D1853" s="6">
        <f>IFERROR(VLOOKUP($B1853,Platts!$E$5:$M$4994,MATCH(D$3,Platts!$F$5:$M$5,0)+1,FALSE),D1852)</f>
        <v>51.34</v>
      </c>
      <c r="E1853" s="6">
        <f>IFERROR(VLOOKUP($B1853,Platts!$E$5:$M$4994,MATCH(E$3,Platts!$F$5:$M$5,0)+1,FALSE),E1852)</f>
        <v>50.84</v>
      </c>
      <c r="F1853" s="6">
        <f>IFERROR(VLOOKUP($B1853,Platts!$E$5:$M$4994,MATCH(F$3,Platts!$F$5:$M$5,0)+1,FALSE),F1852)</f>
        <v>54.19</v>
      </c>
      <c r="G1853" s="6">
        <f>IFERROR(VLOOKUP($B1853,Platts!$E$5:$M$4994,MATCH(G$3,Platts!$F$5:$M$5,0)+1,FALSE),G1852)</f>
        <v>55.43</v>
      </c>
      <c r="H1853" s="6">
        <f>IFERROR(VLOOKUP($B1853,Platts!$E$5:$M$4994,MATCH(H$3,Platts!$F$5:$M$5,0)+1,FALSE),H1852)</f>
        <v>52.23</v>
      </c>
      <c r="I1853" s="6">
        <f>IFERROR(VLOOKUP($B1853,Platts!$E$5:$M$4994,MATCH(I$3,Platts!$F$5:$M$5,0)+1,FALSE),I1852)</f>
        <v>54.18</v>
      </c>
      <c r="J1853" s="6">
        <f t="shared" si="56"/>
        <v>1.1199999999999974</v>
      </c>
    </row>
    <row r="1854" spans="2:10" x14ac:dyDescent="0.25">
      <c r="B1854" s="5">
        <f t="shared" si="57"/>
        <v>44220</v>
      </c>
      <c r="C1854" s="6">
        <f>IFERROR(VLOOKUP($B1854,Platts!$E$5:$M$4994,MATCH(C$3,Platts!$F$5:$M$5,0)+1,FALSE),C1853)</f>
        <v>51.11</v>
      </c>
      <c r="D1854" s="6">
        <f>IFERROR(VLOOKUP($B1854,Platts!$E$5:$M$4994,MATCH(D$3,Platts!$F$5:$M$5,0)+1,FALSE),D1853)</f>
        <v>51.34</v>
      </c>
      <c r="E1854" s="6">
        <f>IFERROR(VLOOKUP($B1854,Platts!$E$5:$M$4994,MATCH(E$3,Platts!$F$5:$M$5,0)+1,FALSE),E1853)</f>
        <v>50.84</v>
      </c>
      <c r="F1854" s="6">
        <f>IFERROR(VLOOKUP($B1854,Platts!$E$5:$M$4994,MATCH(F$3,Platts!$F$5:$M$5,0)+1,FALSE),F1853)</f>
        <v>54.19</v>
      </c>
      <c r="G1854" s="6">
        <f>IFERROR(VLOOKUP($B1854,Platts!$E$5:$M$4994,MATCH(G$3,Platts!$F$5:$M$5,0)+1,FALSE),G1853)</f>
        <v>55.43</v>
      </c>
      <c r="H1854" s="6">
        <f>IFERROR(VLOOKUP($B1854,Platts!$E$5:$M$4994,MATCH(H$3,Platts!$F$5:$M$5,0)+1,FALSE),H1853)</f>
        <v>52.23</v>
      </c>
      <c r="I1854" s="6">
        <f>IFERROR(VLOOKUP($B1854,Platts!$E$5:$M$4994,MATCH(I$3,Platts!$F$5:$M$5,0)+1,FALSE),I1853)</f>
        <v>54.18</v>
      </c>
      <c r="J1854" s="6">
        <f t="shared" si="56"/>
        <v>1.1199999999999974</v>
      </c>
    </row>
    <row r="1855" spans="2:10" x14ac:dyDescent="0.25">
      <c r="B1855" s="5">
        <f t="shared" si="57"/>
        <v>44221</v>
      </c>
      <c r="C1855" s="6">
        <f>IFERROR(VLOOKUP($B1855,Platts!$E$5:$M$4994,MATCH(C$3,Platts!$F$5:$M$5,0)+1,FALSE),C1854)</f>
        <v>51.61</v>
      </c>
      <c r="D1855" s="6">
        <f>IFERROR(VLOOKUP($B1855,Platts!$E$5:$M$4994,MATCH(D$3,Platts!$F$5:$M$5,0)+1,FALSE),D1854)</f>
        <v>52.08</v>
      </c>
      <c r="E1855" s="6">
        <f>IFERROR(VLOOKUP($B1855,Platts!$E$5:$M$4994,MATCH(E$3,Platts!$F$5:$M$5,0)+1,FALSE),E1854)</f>
        <v>51.58</v>
      </c>
      <c r="F1855" s="6">
        <f>IFERROR(VLOOKUP($B1855,Platts!$E$5:$M$4994,MATCH(F$3,Platts!$F$5:$M$5,0)+1,FALSE),F1854)</f>
        <v>54.93</v>
      </c>
      <c r="G1855" s="6">
        <f>IFERROR(VLOOKUP($B1855,Platts!$E$5:$M$4994,MATCH(G$3,Platts!$F$5:$M$5,0)+1,FALSE),G1854)</f>
        <v>55.39</v>
      </c>
      <c r="H1855" s="6">
        <f>IFERROR(VLOOKUP($B1855,Platts!$E$5:$M$4994,MATCH(H$3,Platts!$F$5:$M$5,0)+1,FALSE),H1854)</f>
        <v>52.76</v>
      </c>
      <c r="I1855" s="6">
        <f>IFERROR(VLOOKUP($B1855,Platts!$E$5:$M$4994,MATCH(I$3,Platts!$F$5:$M$5,0)+1,FALSE),I1854)</f>
        <v>54.66</v>
      </c>
      <c r="J1855" s="6">
        <f t="shared" si="56"/>
        <v>1.1499999999999986</v>
      </c>
    </row>
    <row r="1856" spans="2:10" x14ac:dyDescent="0.25">
      <c r="B1856" s="5">
        <f t="shared" si="57"/>
        <v>44222</v>
      </c>
      <c r="C1856" s="6">
        <f>IFERROR(VLOOKUP($B1856,Platts!$E$5:$M$4994,MATCH(C$3,Platts!$F$5:$M$5,0)+1,FALSE),C1855)</f>
        <v>51.58</v>
      </c>
      <c r="D1856" s="6">
        <f>IFERROR(VLOOKUP($B1856,Platts!$E$5:$M$4994,MATCH(D$3,Platts!$F$5:$M$5,0)+1,FALSE),D1855)</f>
        <v>52.02</v>
      </c>
      <c r="E1856" s="6">
        <f>IFERROR(VLOOKUP($B1856,Platts!$E$5:$M$4994,MATCH(E$3,Platts!$F$5:$M$5,0)+1,FALSE),E1855)</f>
        <v>51.52</v>
      </c>
      <c r="F1856" s="6">
        <f>IFERROR(VLOOKUP($B1856,Platts!$E$5:$M$4994,MATCH(F$3,Platts!$F$5:$M$5,0)+1,FALSE),F1855)</f>
        <v>54.87</v>
      </c>
      <c r="G1856" s="6">
        <f>IFERROR(VLOOKUP($B1856,Platts!$E$5:$M$4994,MATCH(G$3,Platts!$F$5:$M$5,0)+1,FALSE),G1855)</f>
        <v>55.9</v>
      </c>
      <c r="H1856" s="6">
        <f>IFERROR(VLOOKUP($B1856,Platts!$E$5:$M$4994,MATCH(H$3,Platts!$F$5:$M$5,0)+1,FALSE),H1855)</f>
        <v>52.61</v>
      </c>
      <c r="I1856" s="6">
        <f>IFERROR(VLOOKUP($B1856,Platts!$E$5:$M$4994,MATCH(I$3,Platts!$F$5:$M$5,0)+1,FALSE),I1855)</f>
        <v>54.71</v>
      </c>
      <c r="J1856" s="6">
        <f t="shared" si="56"/>
        <v>1.0300000000000011</v>
      </c>
    </row>
    <row r="1857" spans="2:10" x14ac:dyDescent="0.25">
      <c r="B1857" s="5">
        <f t="shared" si="57"/>
        <v>44223</v>
      </c>
      <c r="C1857" s="6">
        <f>IFERROR(VLOOKUP($B1857,Platts!$E$5:$M$4994,MATCH(C$3,Platts!$F$5:$M$5,0)+1,FALSE),C1856)</f>
        <v>51.66</v>
      </c>
      <c r="D1857" s="6">
        <f>IFERROR(VLOOKUP($B1857,Platts!$E$5:$M$4994,MATCH(D$3,Platts!$F$5:$M$5,0)+1,FALSE),D1856)</f>
        <v>52.14</v>
      </c>
      <c r="E1857" s="6">
        <f>IFERROR(VLOOKUP($B1857,Platts!$E$5:$M$4994,MATCH(E$3,Platts!$F$5:$M$5,0)+1,FALSE),E1856)</f>
        <v>51.64</v>
      </c>
      <c r="F1857" s="6">
        <f>IFERROR(VLOOKUP($B1857,Platts!$E$5:$M$4994,MATCH(F$3,Platts!$F$5:$M$5,0)+1,FALSE),F1856)</f>
        <v>54.99</v>
      </c>
      <c r="G1857" s="6">
        <f>IFERROR(VLOOKUP($B1857,Platts!$E$5:$M$4994,MATCH(G$3,Platts!$F$5:$M$5,0)+1,FALSE),G1856)</f>
        <v>56.26</v>
      </c>
      <c r="H1857" s="6">
        <f>IFERROR(VLOOKUP($B1857,Platts!$E$5:$M$4994,MATCH(H$3,Platts!$F$5:$M$5,0)+1,FALSE),H1856)</f>
        <v>52.85</v>
      </c>
      <c r="I1857" s="6">
        <f>IFERROR(VLOOKUP($B1857,Platts!$E$5:$M$4994,MATCH(I$3,Platts!$F$5:$M$5,0)+1,FALSE),I1856)</f>
        <v>54.95</v>
      </c>
      <c r="J1857" s="6">
        <f t="shared" si="56"/>
        <v>1.1900000000000048</v>
      </c>
    </row>
    <row r="1858" spans="2:10" x14ac:dyDescent="0.25">
      <c r="B1858" s="5">
        <f t="shared" si="57"/>
        <v>44224</v>
      </c>
      <c r="C1858" s="6">
        <f>IFERROR(VLOOKUP($B1858,Platts!$E$5:$M$4994,MATCH(C$3,Platts!$F$5:$M$5,0)+1,FALSE),C1857)</f>
        <v>51.13</v>
      </c>
      <c r="D1858" s="6">
        <f>IFERROR(VLOOKUP($B1858,Platts!$E$5:$M$4994,MATCH(D$3,Platts!$F$5:$M$5,0)+1,FALSE),D1857)</f>
        <v>51.58</v>
      </c>
      <c r="E1858" s="6">
        <f>IFERROR(VLOOKUP($B1858,Platts!$E$5:$M$4994,MATCH(E$3,Platts!$F$5:$M$5,0)+1,FALSE),E1857)</f>
        <v>51.08</v>
      </c>
      <c r="F1858" s="6">
        <f>IFERROR(VLOOKUP($B1858,Platts!$E$5:$M$4994,MATCH(F$3,Platts!$F$5:$M$5,0)+1,FALSE),F1857)</f>
        <v>54.43</v>
      </c>
      <c r="G1858" s="6">
        <f>IFERROR(VLOOKUP($B1858,Platts!$E$5:$M$4994,MATCH(G$3,Platts!$F$5:$M$5,0)+1,FALSE),G1857)</f>
        <v>55.75</v>
      </c>
      <c r="H1858" s="6">
        <f>IFERROR(VLOOKUP($B1858,Platts!$E$5:$M$4994,MATCH(H$3,Platts!$F$5:$M$5,0)+1,FALSE),H1857)</f>
        <v>52.34</v>
      </c>
      <c r="I1858" s="6">
        <f>IFERROR(VLOOKUP($B1858,Platts!$E$5:$M$4994,MATCH(I$3,Platts!$F$5:$M$5,0)+1,FALSE),I1857)</f>
        <v>54.34</v>
      </c>
      <c r="J1858" s="6">
        <f t="shared" si="56"/>
        <v>1.2100000000000009</v>
      </c>
    </row>
    <row r="1859" spans="2:10" x14ac:dyDescent="0.25">
      <c r="B1859" s="5">
        <f t="shared" si="57"/>
        <v>44225</v>
      </c>
      <c r="C1859" s="6">
        <f>IFERROR(VLOOKUP($B1859,Platts!$E$5:$M$4994,MATCH(C$3,Platts!$F$5:$M$5,0)+1,FALSE),C1858)</f>
        <v>51.18</v>
      </c>
      <c r="D1859" s="6">
        <f>IFERROR(VLOOKUP($B1859,Platts!$E$5:$M$4994,MATCH(D$3,Platts!$F$5:$M$5,0)+1,FALSE),D1858)</f>
        <v>51.55</v>
      </c>
      <c r="E1859" s="6">
        <f>IFERROR(VLOOKUP($B1859,Platts!$E$5:$M$4994,MATCH(E$3,Platts!$F$5:$M$5,0)+1,FALSE),E1858)</f>
        <v>51.05</v>
      </c>
      <c r="F1859" s="6">
        <f>IFERROR(VLOOKUP($B1859,Platts!$E$5:$M$4994,MATCH(F$3,Platts!$F$5:$M$5,0)+1,FALSE),F1858)</f>
        <v>54.4</v>
      </c>
      <c r="G1859" s="6">
        <f>IFERROR(VLOOKUP($B1859,Platts!$E$5:$M$4994,MATCH(G$3,Platts!$F$5:$M$5,0)+1,FALSE),G1858)</f>
        <v>55.87</v>
      </c>
      <c r="H1859" s="6">
        <f>IFERROR(VLOOKUP($B1859,Platts!$E$5:$M$4994,MATCH(H$3,Platts!$F$5:$M$5,0)+1,FALSE),H1858)</f>
        <v>52.2</v>
      </c>
      <c r="I1859" s="6">
        <f>IFERROR(VLOOKUP($B1859,Platts!$E$5:$M$4994,MATCH(I$3,Platts!$F$5:$M$5,0)+1,FALSE),I1858)</f>
        <v>54.15</v>
      </c>
      <c r="J1859" s="6">
        <f t="shared" si="56"/>
        <v>1.0200000000000031</v>
      </c>
    </row>
    <row r="1860" spans="2:10" x14ac:dyDescent="0.25">
      <c r="B1860" s="5">
        <f t="shared" si="57"/>
        <v>44226</v>
      </c>
      <c r="C1860" s="6">
        <f>IFERROR(VLOOKUP($B1860,Platts!$E$5:$M$4994,MATCH(C$3,Platts!$F$5:$M$5,0)+1,FALSE),C1859)</f>
        <v>51.18</v>
      </c>
      <c r="D1860" s="6">
        <f>IFERROR(VLOOKUP($B1860,Platts!$E$5:$M$4994,MATCH(D$3,Platts!$F$5:$M$5,0)+1,FALSE),D1859)</f>
        <v>51.55</v>
      </c>
      <c r="E1860" s="6">
        <f>IFERROR(VLOOKUP($B1860,Platts!$E$5:$M$4994,MATCH(E$3,Platts!$F$5:$M$5,0)+1,FALSE),E1859)</f>
        <v>51.05</v>
      </c>
      <c r="F1860" s="6">
        <f>IFERROR(VLOOKUP($B1860,Platts!$E$5:$M$4994,MATCH(F$3,Platts!$F$5:$M$5,0)+1,FALSE),F1859)</f>
        <v>54.4</v>
      </c>
      <c r="G1860" s="6">
        <f>IFERROR(VLOOKUP($B1860,Platts!$E$5:$M$4994,MATCH(G$3,Platts!$F$5:$M$5,0)+1,FALSE),G1859)</f>
        <v>55.87</v>
      </c>
      <c r="H1860" s="6">
        <f>IFERROR(VLOOKUP($B1860,Platts!$E$5:$M$4994,MATCH(H$3,Platts!$F$5:$M$5,0)+1,FALSE),H1859)</f>
        <v>52.2</v>
      </c>
      <c r="I1860" s="6">
        <f>IFERROR(VLOOKUP($B1860,Platts!$E$5:$M$4994,MATCH(I$3,Platts!$F$5:$M$5,0)+1,FALSE),I1859)</f>
        <v>54.15</v>
      </c>
      <c r="J1860" s="6">
        <f t="shared" ref="J1860:J1923" si="58">H1860-C1860</f>
        <v>1.0200000000000031</v>
      </c>
    </row>
    <row r="1861" spans="2:10" x14ac:dyDescent="0.25">
      <c r="B1861" s="5">
        <f t="shared" si="57"/>
        <v>44227</v>
      </c>
      <c r="C1861" s="6">
        <f>IFERROR(VLOOKUP($B1861,Platts!$E$5:$M$4994,MATCH(C$3,Platts!$F$5:$M$5,0)+1,FALSE),C1860)</f>
        <v>51.18</v>
      </c>
      <c r="D1861" s="6">
        <f>IFERROR(VLOOKUP($B1861,Platts!$E$5:$M$4994,MATCH(D$3,Platts!$F$5:$M$5,0)+1,FALSE),D1860)</f>
        <v>51.55</v>
      </c>
      <c r="E1861" s="6">
        <f>IFERROR(VLOOKUP($B1861,Platts!$E$5:$M$4994,MATCH(E$3,Platts!$F$5:$M$5,0)+1,FALSE),E1860)</f>
        <v>51.05</v>
      </c>
      <c r="F1861" s="6">
        <f>IFERROR(VLOOKUP($B1861,Platts!$E$5:$M$4994,MATCH(F$3,Platts!$F$5:$M$5,0)+1,FALSE),F1860)</f>
        <v>54.4</v>
      </c>
      <c r="G1861" s="6">
        <f>IFERROR(VLOOKUP($B1861,Platts!$E$5:$M$4994,MATCH(G$3,Platts!$F$5:$M$5,0)+1,FALSE),G1860)</f>
        <v>55.87</v>
      </c>
      <c r="H1861" s="6">
        <f>IFERROR(VLOOKUP($B1861,Platts!$E$5:$M$4994,MATCH(H$3,Platts!$F$5:$M$5,0)+1,FALSE),H1860)</f>
        <v>52.2</v>
      </c>
      <c r="I1861" s="6">
        <f>IFERROR(VLOOKUP($B1861,Platts!$E$5:$M$4994,MATCH(I$3,Platts!$F$5:$M$5,0)+1,FALSE),I1860)</f>
        <v>54.15</v>
      </c>
      <c r="J1861" s="6">
        <f t="shared" si="58"/>
        <v>1.0200000000000031</v>
      </c>
    </row>
    <row r="1862" spans="2:10" x14ac:dyDescent="0.25">
      <c r="B1862" s="5">
        <f t="shared" ref="B1862:B1925" si="59">B1861+1</f>
        <v>44228</v>
      </c>
      <c r="C1862" s="6">
        <f>IFERROR(VLOOKUP($B1862,Platts!$E$5:$M$4994,MATCH(C$3,Platts!$F$5:$M$5,0)+1,FALSE),C1861)</f>
        <v>51.18</v>
      </c>
      <c r="D1862" s="6">
        <f>IFERROR(VLOOKUP($B1862,Platts!$E$5:$M$4994,MATCH(D$3,Platts!$F$5:$M$5,0)+1,FALSE),D1861)</f>
        <v>52.31</v>
      </c>
      <c r="E1862" s="6">
        <f>IFERROR(VLOOKUP($B1862,Platts!$E$5:$M$4994,MATCH(E$3,Platts!$F$5:$M$5,0)+1,FALSE),E1861)</f>
        <v>51.96</v>
      </c>
      <c r="F1862" s="6">
        <f>IFERROR(VLOOKUP($B1862,Platts!$E$5:$M$4994,MATCH(F$3,Platts!$F$5:$M$5,0)+1,FALSE),F1861)</f>
        <v>55.26</v>
      </c>
      <c r="G1862" s="6">
        <f>IFERROR(VLOOKUP($B1862,Platts!$E$5:$M$4994,MATCH(G$3,Platts!$F$5:$M$5,0)+1,FALSE),G1861)</f>
        <v>55.96</v>
      </c>
      <c r="H1862" s="6">
        <f>IFERROR(VLOOKUP($B1862,Platts!$E$5:$M$4994,MATCH(H$3,Platts!$F$5:$M$5,0)+1,FALSE),H1861)</f>
        <v>53.55</v>
      </c>
      <c r="I1862" s="6">
        <f>IFERROR(VLOOKUP($B1862,Platts!$E$5:$M$4994,MATCH(I$3,Platts!$F$5:$M$5,0)+1,FALSE),I1861)</f>
        <v>55.5</v>
      </c>
      <c r="J1862" s="6">
        <f t="shared" si="58"/>
        <v>2.3699999999999974</v>
      </c>
    </row>
    <row r="1863" spans="2:10" x14ac:dyDescent="0.25">
      <c r="B1863" s="5">
        <f t="shared" si="59"/>
        <v>44229</v>
      </c>
      <c r="C1863" s="6">
        <f>IFERROR(VLOOKUP($B1863,Platts!$E$5:$M$4994,MATCH(C$3,Platts!$F$5:$M$5,0)+1,FALSE),C1862)</f>
        <v>53.05</v>
      </c>
      <c r="D1863" s="6">
        <f>IFERROR(VLOOKUP($B1863,Platts!$E$5:$M$4994,MATCH(D$3,Platts!$F$5:$M$5,0)+1,FALSE),D1862)</f>
        <v>53.45</v>
      </c>
      <c r="E1863" s="6">
        <f>IFERROR(VLOOKUP($B1863,Platts!$E$5:$M$4994,MATCH(E$3,Platts!$F$5:$M$5,0)+1,FALSE),E1862)</f>
        <v>53.1</v>
      </c>
      <c r="F1863" s="6">
        <f>IFERROR(VLOOKUP($B1863,Platts!$E$5:$M$4994,MATCH(F$3,Platts!$F$5:$M$5,0)+1,FALSE),F1862)</f>
        <v>56.4</v>
      </c>
      <c r="G1863" s="6">
        <f>IFERROR(VLOOKUP($B1863,Platts!$E$5:$M$4994,MATCH(G$3,Platts!$F$5:$M$5,0)+1,FALSE),G1862)</f>
        <v>57.82</v>
      </c>
      <c r="H1863" s="6">
        <f>IFERROR(VLOOKUP($B1863,Platts!$E$5:$M$4994,MATCH(H$3,Platts!$F$5:$M$5,0)+1,FALSE),H1862)</f>
        <v>54.76</v>
      </c>
      <c r="I1863" s="6">
        <f>IFERROR(VLOOKUP($B1863,Platts!$E$5:$M$4994,MATCH(I$3,Platts!$F$5:$M$5,0)+1,FALSE),I1862)</f>
        <v>56.71</v>
      </c>
      <c r="J1863" s="6">
        <f t="shared" si="58"/>
        <v>1.7100000000000009</v>
      </c>
    </row>
    <row r="1864" spans="2:10" x14ac:dyDescent="0.25">
      <c r="B1864" s="5">
        <f t="shared" si="59"/>
        <v>44230</v>
      </c>
      <c r="C1864" s="6">
        <f>IFERROR(VLOOKUP($B1864,Platts!$E$5:$M$4994,MATCH(C$3,Platts!$F$5:$M$5,0)+1,FALSE),C1863)</f>
        <v>54.04</v>
      </c>
      <c r="D1864" s="6">
        <f>IFERROR(VLOOKUP($B1864,Platts!$E$5:$M$4994,MATCH(D$3,Platts!$F$5:$M$5,0)+1,FALSE),D1863)</f>
        <v>54.44</v>
      </c>
      <c r="E1864" s="6">
        <f>IFERROR(VLOOKUP($B1864,Platts!$E$5:$M$4994,MATCH(E$3,Platts!$F$5:$M$5,0)+1,FALSE),E1863)</f>
        <v>54.09</v>
      </c>
      <c r="F1864" s="6">
        <f>IFERROR(VLOOKUP($B1864,Platts!$E$5:$M$4994,MATCH(F$3,Platts!$F$5:$M$5,0)+1,FALSE),F1863)</f>
        <v>57.39</v>
      </c>
      <c r="G1864" s="6">
        <f>IFERROR(VLOOKUP($B1864,Platts!$E$5:$M$4994,MATCH(G$3,Platts!$F$5:$M$5,0)+1,FALSE),G1863)</f>
        <v>58.73</v>
      </c>
      <c r="H1864" s="6">
        <f>IFERROR(VLOOKUP($B1864,Platts!$E$5:$M$4994,MATCH(H$3,Platts!$F$5:$M$5,0)+1,FALSE),H1863)</f>
        <v>55.69</v>
      </c>
      <c r="I1864" s="6">
        <f>IFERROR(VLOOKUP($B1864,Platts!$E$5:$M$4994,MATCH(I$3,Platts!$F$5:$M$5,0)+1,FALSE),I1863)</f>
        <v>57.64</v>
      </c>
      <c r="J1864" s="6">
        <f t="shared" si="58"/>
        <v>1.6499999999999986</v>
      </c>
    </row>
    <row r="1865" spans="2:10" x14ac:dyDescent="0.25">
      <c r="B1865" s="5">
        <f t="shared" si="59"/>
        <v>44231</v>
      </c>
      <c r="C1865" s="6">
        <f>IFERROR(VLOOKUP($B1865,Platts!$E$5:$M$4994,MATCH(C$3,Platts!$F$5:$M$5,0)+1,FALSE),C1864)</f>
        <v>54.57</v>
      </c>
      <c r="D1865" s="6">
        <f>IFERROR(VLOOKUP($B1865,Platts!$E$5:$M$4994,MATCH(D$3,Platts!$F$5:$M$5,0)+1,FALSE),D1864)</f>
        <v>55.02</v>
      </c>
      <c r="E1865" s="6">
        <f>IFERROR(VLOOKUP($B1865,Platts!$E$5:$M$4994,MATCH(E$3,Platts!$F$5:$M$5,0)+1,FALSE),E1864)</f>
        <v>54.67</v>
      </c>
      <c r="F1865" s="6">
        <f>IFERROR(VLOOKUP($B1865,Platts!$E$5:$M$4994,MATCH(F$3,Platts!$F$5:$M$5,0)+1,FALSE),F1864)</f>
        <v>57.97</v>
      </c>
      <c r="G1865" s="6">
        <f>IFERROR(VLOOKUP($B1865,Platts!$E$5:$M$4994,MATCH(G$3,Platts!$F$5:$M$5,0)+1,FALSE),G1864)</f>
        <v>58.64</v>
      </c>
      <c r="H1865" s="6">
        <f>IFERROR(VLOOKUP($B1865,Platts!$E$5:$M$4994,MATCH(H$3,Platts!$F$5:$M$5,0)+1,FALSE),H1864)</f>
        <v>56.23</v>
      </c>
      <c r="I1865" s="6">
        <f>IFERROR(VLOOKUP($B1865,Platts!$E$5:$M$4994,MATCH(I$3,Platts!$F$5:$M$5,0)+1,FALSE),I1864)</f>
        <v>58.03</v>
      </c>
      <c r="J1865" s="6">
        <f t="shared" si="58"/>
        <v>1.6599999999999966</v>
      </c>
    </row>
    <row r="1866" spans="2:10" x14ac:dyDescent="0.25">
      <c r="B1866" s="5">
        <f t="shared" si="59"/>
        <v>44232</v>
      </c>
      <c r="C1866" s="6">
        <f>IFERROR(VLOOKUP($B1866,Platts!$E$5:$M$4994,MATCH(C$3,Platts!$F$5:$M$5,0)+1,FALSE),C1865)</f>
        <v>55.17</v>
      </c>
      <c r="D1866" s="6">
        <f>IFERROR(VLOOKUP($B1866,Platts!$E$5:$M$4994,MATCH(D$3,Platts!$F$5:$M$5,0)+1,FALSE),D1865)</f>
        <v>55.6</v>
      </c>
      <c r="E1866" s="6">
        <f>IFERROR(VLOOKUP($B1866,Platts!$E$5:$M$4994,MATCH(E$3,Platts!$F$5:$M$5,0)+1,FALSE),E1865)</f>
        <v>55.25</v>
      </c>
      <c r="F1866" s="6">
        <f>IFERROR(VLOOKUP($B1866,Platts!$E$5:$M$4994,MATCH(F$3,Platts!$F$5:$M$5,0)+1,FALSE),F1865)</f>
        <v>58.55</v>
      </c>
      <c r="G1866" s="6">
        <f>IFERROR(VLOOKUP($B1866,Platts!$E$5:$M$4994,MATCH(G$3,Platts!$F$5:$M$5,0)+1,FALSE),G1865)</f>
        <v>59.77</v>
      </c>
      <c r="H1866" s="6">
        <f>IFERROR(VLOOKUP($B1866,Platts!$E$5:$M$4994,MATCH(H$3,Platts!$F$5:$M$5,0)+1,FALSE),H1865)</f>
        <v>56.85</v>
      </c>
      <c r="I1866" s="6">
        <f>IFERROR(VLOOKUP($B1866,Platts!$E$5:$M$4994,MATCH(I$3,Platts!$F$5:$M$5,0)+1,FALSE),I1865)</f>
        <v>58.65</v>
      </c>
      <c r="J1866" s="6">
        <f t="shared" si="58"/>
        <v>1.6799999999999997</v>
      </c>
    </row>
    <row r="1867" spans="2:10" x14ac:dyDescent="0.25">
      <c r="B1867" s="5">
        <f t="shared" si="59"/>
        <v>44233</v>
      </c>
      <c r="C1867" s="6">
        <f>IFERROR(VLOOKUP($B1867,Platts!$E$5:$M$4994,MATCH(C$3,Platts!$F$5:$M$5,0)+1,FALSE),C1866)</f>
        <v>55.17</v>
      </c>
      <c r="D1867" s="6">
        <f>IFERROR(VLOOKUP($B1867,Platts!$E$5:$M$4994,MATCH(D$3,Platts!$F$5:$M$5,0)+1,FALSE),D1866)</f>
        <v>55.6</v>
      </c>
      <c r="E1867" s="6">
        <f>IFERROR(VLOOKUP($B1867,Platts!$E$5:$M$4994,MATCH(E$3,Platts!$F$5:$M$5,0)+1,FALSE),E1866)</f>
        <v>55.25</v>
      </c>
      <c r="F1867" s="6">
        <f>IFERROR(VLOOKUP($B1867,Platts!$E$5:$M$4994,MATCH(F$3,Platts!$F$5:$M$5,0)+1,FALSE),F1866)</f>
        <v>58.55</v>
      </c>
      <c r="G1867" s="6">
        <f>IFERROR(VLOOKUP($B1867,Platts!$E$5:$M$4994,MATCH(G$3,Platts!$F$5:$M$5,0)+1,FALSE),G1866)</f>
        <v>59.77</v>
      </c>
      <c r="H1867" s="6">
        <f>IFERROR(VLOOKUP($B1867,Platts!$E$5:$M$4994,MATCH(H$3,Platts!$F$5:$M$5,0)+1,FALSE),H1866)</f>
        <v>56.85</v>
      </c>
      <c r="I1867" s="6">
        <f>IFERROR(VLOOKUP($B1867,Platts!$E$5:$M$4994,MATCH(I$3,Platts!$F$5:$M$5,0)+1,FALSE),I1866)</f>
        <v>58.65</v>
      </c>
      <c r="J1867" s="6">
        <f t="shared" si="58"/>
        <v>1.6799999999999997</v>
      </c>
    </row>
    <row r="1868" spans="2:10" x14ac:dyDescent="0.25">
      <c r="B1868" s="5">
        <f t="shared" si="59"/>
        <v>44234</v>
      </c>
      <c r="C1868" s="6">
        <f>IFERROR(VLOOKUP($B1868,Platts!$E$5:$M$4994,MATCH(C$3,Platts!$F$5:$M$5,0)+1,FALSE),C1867)</f>
        <v>55.17</v>
      </c>
      <c r="D1868" s="6">
        <f>IFERROR(VLOOKUP($B1868,Platts!$E$5:$M$4994,MATCH(D$3,Platts!$F$5:$M$5,0)+1,FALSE),D1867)</f>
        <v>55.6</v>
      </c>
      <c r="E1868" s="6">
        <f>IFERROR(VLOOKUP($B1868,Platts!$E$5:$M$4994,MATCH(E$3,Platts!$F$5:$M$5,0)+1,FALSE),E1867)</f>
        <v>55.25</v>
      </c>
      <c r="F1868" s="6">
        <f>IFERROR(VLOOKUP($B1868,Platts!$E$5:$M$4994,MATCH(F$3,Platts!$F$5:$M$5,0)+1,FALSE),F1867)</f>
        <v>58.55</v>
      </c>
      <c r="G1868" s="6">
        <f>IFERROR(VLOOKUP($B1868,Platts!$E$5:$M$4994,MATCH(G$3,Platts!$F$5:$M$5,0)+1,FALSE),G1867)</f>
        <v>59.77</v>
      </c>
      <c r="H1868" s="6">
        <f>IFERROR(VLOOKUP($B1868,Platts!$E$5:$M$4994,MATCH(H$3,Platts!$F$5:$M$5,0)+1,FALSE),H1867)</f>
        <v>56.85</v>
      </c>
      <c r="I1868" s="6">
        <f>IFERROR(VLOOKUP($B1868,Platts!$E$5:$M$4994,MATCH(I$3,Platts!$F$5:$M$5,0)+1,FALSE),I1867)</f>
        <v>58.65</v>
      </c>
      <c r="J1868" s="6">
        <f t="shared" si="58"/>
        <v>1.6799999999999997</v>
      </c>
    </row>
    <row r="1869" spans="2:10" x14ac:dyDescent="0.25">
      <c r="B1869" s="5">
        <f t="shared" si="59"/>
        <v>44235</v>
      </c>
      <c r="C1869" s="6">
        <f>IFERROR(VLOOKUP($B1869,Platts!$E$5:$M$4994,MATCH(C$3,Platts!$F$5:$M$5,0)+1,FALSE),C1868)</f>
        <v>56.31</v>
      </c>
      <c r="D1869" s="6">
        <f>IFERROR(VLOOKUP($B1869,Platts!$E$5:$M$4994,MATCH(D$3,Platts!$F$5:$M$5,0)+1,FALSE),D1868)</f>
        <v>56.75</v>
      </c>
      <c r="E1869" s="6">
        <f>IFERROR(VLOOKUP($B1869,Platts!$E$5:$M$4994,MATCH(E$3,Platts!$F$5:$M$5,0)+1,FALSE),E1868)</f>
        <v>56.4</v>
      </c>
      <c r="F1869" s="6">
        <f>IFERROR(VLOOKUP($B1869,Platts!$E$5:$M$4994,MATCH(F$3,Platts!$F$5:$M$5,0)+1,FALSE),F1868)</f>
        <v>59.7</v>
      </c>
      <c r="G1869" s="6">
        <f>IFERROR(VLOOKUP($B1869,Platts!$E$5:$M$4994,MATCH(G$3,Platts!$F$5:$M$5,0)+1,FALSE),G1868)</f>
        <v>60.37</v>
      </c>
      <c r="H1869" s="6">
        <f>IFERROR(VLOOKUP($B1869,Platts!$E$5:$M$4994,MATCH(H$3,Platts!$F$5:$M$5,0)+1,FALSE),H1868)</f>
        <v>57.97</v>
      </c>
      <c r="I1869" s="6">
        <f>IFERROR(VLOOKUP($B1869,Platts!$E$5:$M$4994,MATCH(I$3,Platts!$F$5:$M$5,0)+1,FALSE),I1868)</f>
        <v>59.77</v>
      </c>
      <c r="J1869" s="6">
        <f t="shared" si="58"/>
        <v>1.6599999999999966</v>
      </c>
    </row>
    <row r="1870" spans="2:10" x14ac:dyDescent="0.25">
      <c r="B1870" s="5">
        <f t="shared" si="59"/>
        <v>44236</v>
      </c>
      <c r="C1870" s="6">
        <f>IFERROR(VLOOKUP($B1870,Platts!$E$5:$M$4994,MATCH(C$3,Platts!$F$5:$M$5,0)+1,FALSE),C1869)</f>
        <v>56.84</v>
      </c>
      <c r="D1870" s="6">
        <f>IFERROR(VLOOKUP($B1870,Platts!$E$5:$M$4994,MATCH(D$3,Platts!$F$5:$M$5,0)+1,FALSE),D1869)</f>
        <v>57.26</v>
      </c>
      <c r="E1870" s="6">
        <f>IFERROR(VLOOKUP($B1870,Platts!$E$5:$M$4994,MATCH(E$3,Platts!$F$5:$M$5,0)+1,FALSE),E1869)</f>
        <v>56.91</v>
      </c>
      <c r="F1870" s="6">
        <f>IFERROR(VLOOKUP($B1870,Platts!$E$5:$M$4994,MATCH(F$3,Platts!$F$5:$M$5,0)+1,FALSE),F1869)</f>
        <v>60.21</v>
      </c>
      <c r="G1870" s="6">
        <f>IFERROR(VLOOKUP($B1870,Platts!$E$5:$M$4994,MATCH(G$3,Platts!$F$5:$M$5,0)+1,FALSE),G1869)</f>
        <v>60.97</v>
      </c>
      <c r="H1870" s="6">
        <f>IFERROR(VLOOKUP($B1870,Platts!$E$5:$M$4994,MATCH(H$3,Platts!$F$5:$M$5,0)+1,FALSE),H1869)</f>
        <v>58.36</v>
      </c>
      <c r="I1870" s="6">
        <f>IFERROR(VLOOKUP($B1870,Platts!$E$5:$M$4994,MATCH(I$3,Platts!$F$5:$M$5,0)+1,FALSE),I1869)</f>
        <v>60.21</v>
      </c>
      <c r="J1870" s="6">
        <f t="shared" si="58"/>
        <v>1.519999999999996</v>
      </c>
    </row>
    <row r="1871" spans="2:10" x14ac:dyDescent="0.25">
      <c r="B1871" s="5">
        <f t="shared" si="59"/>
        <v>44237</v>
      </c>
      <c r="C1871" s="6">
        <f>IFERROR(VLOOKUP($B1871,Platts!$E$5:$M$4994,MATCH(C$3,Platts!$F$5:$M$5,0)+1,FALSE),C1870)</f>
        <v>57.13</v>
      </c>
      <c r="D1871" s="6">
        <f>IFERROR(VLOOKUP($B1871,Platts!$E$5:$M$4994,MATCH(D$3,Platts!$F$5:$M$5,0)+1,FALSE),D1870)</f>
        <v>57.66</v>
      </c>
      <c r="E1871" s="6">
        <f>IFERROR(VLOOKUP($B1871,Platts!$E$5:$M$4994,MATCH(E$3,Platts!$F$5:$M$5,0)+1,FALSE),E1870)</f>
        <v>57.31</v>
      </c>
      <c r="F1871" s="6">
        <f>IFERROR(VLOOKUP($B1871,Platts!$E$5:$M$4994,MATCH(F$3,Platts!$F$5:$M$5,0)+1,FALSE),F1870)</f>
        <v>60.61</v>
      </c>
      <c r="G1871" s="6">
        <f>IFERROR(VLOOKUP($B1871,Platts!$E$5:$M$4994,MATCH(G$3,Platts!$F$5:$M$5,0)+1,FALSE),G1870)</f>
        <v>61.65</v>
      </c>
      <c r="H1871" s="6">
        <f>IFERROR(VLOOKUP($B1871,Platts!$E$5:$M$4994,MATCH(H$3,Platts!$F$5:$M$5,0)+1,FALSE),H1870)</f>
        <v>58.68</v>
      </c>
      <c r="I1871" s="6">
        <f>IFERROR(VLOOKUP($B1871,Platts!$E$5:$M$4994,MATCH(I$3,Platts!$F$5:$M$5,0)+1,FALSE),I1870)</f>
        <v>60.53</v>
      </c>
      <c r="J1871" s="6">
        <f t="shared" si="58"/>
        <v>1.5499999999999972</v>
      </c>
    </row>
    <row r="1872" spans="2:10" x14ac:dyDescent="0.25">
      <c r="B1872" s="5">
        <f t="shared" si="59"/>
        <v>44238</v>
      </c>
      <c r="C1872" s="6">
        <f>IFERROR(VLOOKUP($B1872,Platts!$E$5:$M$4994,MATCH(C$3,Platts!$F$5:$M$5,0)+1,FALSE),C1871)</f>
        <v>56.8</v>
      </c>
      <c r="D1872" s="6">
        <f>IFERROR(VLOOKUP($B1872,Platts!$E$5:$M$4994,MATCH(D$3,Platts!$F$5:$M$5,0)+1,FALSE),D1871)</f>
        <v>57.23</v>
      </c>
      <c r="E1872" s="6">
        <f>IFERROR(VLOOKUP($B1872,Platts!$E$5:$M$4994,MATCH(E$3,Platts!$F$5:$M$5,0)+1,FALSE),E1871)</f>
        <v>56.88</v>
      </c>
      <c r="F1872" s="6">
        <f>IFERROR(VLOOKUP($B1872,Platts!$E$5:$M$4994,MATCH(F$3,Platts!$F$5:$M$5,0)+1,FALSE),F1871)</f>
        <v>60.18</v>
      </c>
      <c r="G1872" s="6">
        <f>IFERROR(VLOOKUP($B1872,Platts!$E$5:$M$4994,MATCH(G$3,Platts!$F$5:$M$5,0)+1,FALSE),G1871)</f>
        <v>61.52</v>
      </c>
      <c r="H1872" s="6">
        <f>IFERROR(VLOOKUP($B1872,Platts!$E$5:$M$4994,MATCH(H$3,Platts!$F$5:$M$5,0)+1,FALSE),H1871)</f>
        <v>58.24</v>
      </c>
      <c r="I1872" s="6">
        <f>IFERROR(VLOOKUP($B1872,Platts!$E$5:$M$4994,MATCH(I$3,Platts!$F$5:$M$5,0)+1,FALSE),I1871)</f>
        <v>60.09</v>
      </c>
      <c r="J1872" s="6">
        <f t="shared" si="58"/>
        <v>1.4400000000000048</v>
      </c>
    </row>
    <row r="1873" spans="2:10" x14ac:dyDescent="0.25">
      <c r="B1873" s="5">
        <f t="shared" si="59"/>
        <v>44239</v>
      </c>
      <c r="C1873" s="6">
        <f>IFERROR(VLOOKUP($B1873,Platts!$E$5:$M$4994,MATCH(C$3,Platts!$F$5:$M$5,0)+1,FALSE),C1872)</f>
        <v>57.89</v>
      </c>
      <c r="D1873" s="6">
        <f>IFERROR(VLOOKUP($B1873,Platts!$E$5:$M$4994,MATCH(D$3,Platts!$F$5:$M$5,0)+1,FALSE),D1872)</f>
        <v>58.48</v>
      </c>
      <c r="E1873" s="6">
        <f>IFERROR(VLOOKUP($B1873,Platts!$E$5:$M$4994,MATCH(E$3,Platts!$F$5:$M$5,0)+1,FALSE),E1872)</f>
        <v>58.13</v>
      </c>
      <c r="F1873" s="6">
        <f>IFERROR(VLOOKUP($B1873,Platts!$E$5:$M$4994,MATCH(F$3,Platts!$F$5:$M$5,0)+1,FALSE),F1872)</f>
        <v>61.43</v>
      </c>
      <c r="G1873" s="6">
        <f>IFERROR(VLOOKUP($B1873,Platts!$E$5:$M$4994,MATCH(G$3,Platts!$F$5:$M$5,0)+1,FALSE),G1872)</f>
        <v>62.03</v>
      </c>
      <c r="H1873" s="6">
        <f>IFERROR(VLOOKUP($B1873,Platts!$E$5:$M$4994,MATCH(H$3,Platts!$F$5:$M$5,0)+1,FALSE),H1872)</f>
        <v>59.47</v>
      </c>
      <c r="I1873" s="6">
        <f>IFERROR(VLOOKUP($B1873,Platts!$E$5:$M$4994,MATCH(I$3,Platts!$F$5:$M$5,0)+1,FALSE),I1872)</f>
        <v>61.32</v>
      </c>
      <c r="J1873" s="6">
        <f t="shared" si="58"/>
        <v>1.5799999999999983</v>
      </c>
    </row>
    <row r="1874" spans="2:10" x14ac:dyDescent="0.25">
      <c r="B1874" s="5">
        <f t="shared" si="59"/>
        <v>44240</v>
      </c>
      <c r="C1874" s="6">
        <f>IFERROR(VLOOKUP($B1874,Platts!$E$5:$M$4994,MATCH(C$3,Platts!$F$5:$M$5,0)+1,FALSE),C1873)</f>
        <v>57.89</v>
      </c>
      <c r="D1874" s="6">
        <f>IFERROR(VLOOKUP($B1874,Platts!$E$5:$M$4994,MATCH(D$3,Platts!$F$5:$M$5,0)+1,FALSE),D1873)</f>
        <v>58.48</v>
      </c>
      <c r="E1874" s="6">
        <f>IFERROR(VLOOKUP($B1874,Platts!$E$5:$M$4994,MATCH(E$3,Platts!$F$5:$M$5,0)+1,FALSE),E1873)</f>
        <v>58.13</v>
      </c>
      <c r="F1874" s="6">
        <f>IFERROR(VLOOKUP($B1874,Platts!$E$5:$M$4994,MATCH(F$3,Platts!$F$5:$M$5,0)+1,FALSE),F1873)</f>
        <v>61.43</v>
      </c>
      <c r="G1874" s="6">
        <f>IFERROR(VLOOKUP($B1874,Platts!$E$5:$M$4994,MATCH(G$3,Platts!$F$5:$M$5,0)+1,FALSE),G1873)</f>
        <v>62.03</v>
      </c>
      <c r="H1874" s="6">
        <f>IFERROR(VLOOKUP($B1874,Platts!$E$5:$M$4994,MATCH(H$3,Platts!$F$5:$M$5,0)+1,FALSE),H1873)</f>
        <v>59.47</v>
      </c>
      <c r="I1874" s="6">
        <f>IFERROR(VLOOKUP($B1874,Platts!$E$5:$M$4994,MATCH(I$3,Platts!$F$5:$M$5,0)+1,FALSE),I1873)</f>
        <v>61.32</v>
      </c>
      <c r="J1874" s="6">
        <f t="shared" si="58"/>
        <v>1.5799999999999983</v>
      </c>
    </row>
    <row r="1875" spans="2:10" x14ac:dyDescent="0.25">
      <c r="B1875" s="5">
        <f t="shared" si="59"/>
        <v>44241</v>
      </c>
      <c r="C1875" s="6">
        <f>IFERROR(VLOOKUP($B1875,Platts!$E$5:$M$4994,MATCH(C$3,Platts!$F$5:$M$5,0)+1,FALSE),C1874)</f>
        <v>57.89</v>
      </c>
      <c r="D1875" s="6">
        <f>IFERROR(VLOOKUP($B1875,Platts!$E$5:$M$4994,MATCH(D$3,Platts!$F$5:$M$5,0)+1,FALSE),D1874)</f>
        <v>58.48</v>
      </c>
      <c r="E1875" s="6">
        <f>IFERROR(VLOOKUP($B1875,Platts!$E$5:$M$4994,MATCH(E$3,Platts!$F$5:$M$5,0)+1,FALSE),E1874)</f>
        <v>58.13</v>
      </c>
      <c r="F1875" s="6">
        <f>IFERROR(VLOOKUP($B1875,Platts!$E$5:$M$4994,MATCH(F$3,Platts!$F$5:$M$5,0)+1,FALSE),F1874)</f>
        <v>61.43</v>
      </c>
      <c r="G1875" s="6">
        <f>IFERROR(VLOOKUP($B1875,Platts!$E$5:$M$4994,MATCH(G$3,Platts!$F$5:$M$5,0)+1,FALSE),G1874)</f>
        <v>62.03</v>
      </c>
      <c r="H1875" s="6">
        <f>IFERROR(VLOOKUP($B1875,Platts!$E$5:$M$4994,MATCH(H$3,Platts!$F$5:$M$5,0)+1,FALSE),H1874)</f>
        <v>59.47</v>
      </c>
      <c r="I1875" s="6">
        <f>IFERROR(VLOOKUP($B1875,Platts!$E$5:$M$4994,MATCH(I$3,Platts!$F$5:$M$5,0)+1,FALSE),I1874)</f>
        <v>61.32</v>
      </c>
      <c r="J1875" s="6">
        <f t="shared" si="58"/>
        <v>1.5799999999999983</v>
      </c>
    </row>
    <row r="1876" spans="2:10" x14ac:dyDescent="0.25">
      <c r="B1876" s="5">
        <f t="shared" si="59"/>
        <v>44242</v>
      </c>
      <c r="C1876" s="6">
        <f>IFERROR(VLOOKUP($B1876,Platts!$E$5:$M$4994,MATCH(C$3,Platts!$F$5:$M$5,0)+1,FALSE),C1875)</f>
        <v>57.89</v>
      </c>
      <c r="D1876" s="6">
        <f>IFERROR(VLOOKUP($B1876,Platts!$E$5:$M$4994,MATCH(D$3,Platts!$F$5:$M$5,0)+1,FALSE),D1875)</f>
        <v>58.48</v>
      </c>
      <c r="E1876" s="6">
        <f>IFERROR(VLOOKUP($B1876,Platts!$E$5:$M$4994,MATCH(E$3,Platts!$F$5:$M$5,0)+1,FALSE),E1875)</f>
        <v>58.13</v>
      </c>
      <c r="F1876" s="6">
        <f>IFERROR(VLOOKUP($B1876,Platts!$E$5:$M$4994,MATCH(F$3,Platts!$F$5:$M$5,0)+1,FALSE),F1875)</f>
        <v>61.43</v>
      </c>
      <c r="G1876" s="6">
        <f>IFERROR(VLOOKUP($B1876,Platts!$E$5:$M$4994,MATCH(G$3,Platts!$F$5:$M$5,0)+1,FALSE),G1875)</f>
        <v>63.67</v>
      </c>
      <c r="H1876" s="6">
        <f>IFERROR(VLOOKUP($B1876,Platts!$E$5:$M$4994,MATCH(H$3,Platts!$F$5:$M$5,0)+1,FALSE),H1875)</f>
        <v>59.47</v>
      </c>
      <c r="I1876" s="6">
        <f>IFERROR(VLOOKUP($B1876,Platts!$E$5:$M$4994,MATCH(I$3,Platts!$F$5:$M$5,0)+1,FALSE),I1875)</f>
        <v>61.32</v>
      </c>
      <c r="J1876" s="6">
        <f t="shared" si="58"/>
        <v>1.5799999999999983</v>
      </c>
    </row>
    <row r="1877" spans="2:10" x14ac:dyDescent="0.25">
      <c r="B1877" s="5">
        <f t="shared" si="59"/>
        <v>44243</v>
      </c>
      <c r="C1877" s="6">
        <f>IFERROR(VLOOKUP($B1877,Platts!$E$5:$M$4994,MATCH(C$3,Platts!$F$5:$M$5,0)+1,FALSE),C1876)</f>
        <v>58.8</v>
      </c>
      <c r="D1877" s="6">
        <f>IFERROR(VLOOKUP($B1877,Platts!$E$5:$M$4994,MATCH(D$3,Platts!$F$5:$M$5,0)+1,FALSE),D1876)</f>
        <v>59.15</v>
      </c>
      <c r="E1877" s="6">
        <f>IFERROR(VLOOKUP($B1877,Platts!$E$5:$M$4994,MATCH(E$3,Platts!$F$5:$M$5,0)+1,FALSE),E1876)</f>
        <v>58.8</v>
      </c>
      <c r="F1877" s="6">
        <f>IFERROR(VLOOKUP($B1877,Platts!$E$5:$M$4994,MATCH(F$3,Platts!$F$5:$M$5,0)+1,FALSE),F1876)</f>
        <v>62.1</v>
      </c>
      <c r="G1877" s="6">
        <f>IFERROR(VLOOKUP($B1877,Platts!$E$5:$M$4994,MATCH(G$3,Platts!$F$5:$M$5,0)+1,FALSE),G1876)</f>
        <v>63.24</v>
      </c>
      <c r="H1877" s="6">
        <f>IFERROR(VLOOKUP($B1877,Platts!$E$5:$M$4994,MATCH(H$3,Platts!$F$5:$M$5,0)+1,FALSE),H1876)</f>
        <v>60.05</v>
      </c>
      <c r="I1877" s="6">
        <f>IFERROR(VLOOKUP($B1877,Platts!$E$5:$M$4994,MATCH(I$3,Platts!$F$5:$M$5,0)+1,FALSE),I1876)</f>
        <v>61.9</v>
      </c>
      <c r="J1877" s="6">
        <f t="shared" si="58"/>
        <v>1.25</v>
      </c>
    </row>
    <row r="1878" spans="2:10" x14ac:dyDescent="0.25">
      <c r="B1878" s="5">
        <f t="shared" si="59"/>
        <v>44244</v>
      </c>
      <c r="C1878" s="6">
        <f>IFERROR(VLOOKUP($B1878,Platts!$E$5:$M$4994,MATCH(C$3,Platts!$F$5:$M$5,0)+1,FALSE),C1877)</f>
        <v>59.8</v>
      </c>
      <c r="D1878" s="6">
        <f>IFERROR(VLOOKUP($B1878,Platts!$E$5:$M$4994,MATCH(D$3,Platts!$F$5:$M$5,0)+1,FALSE),D1877)</f>
        <v>60.24</v>
      </c>
      <c r="E1878" s="6">
        <f>IFERROR(VLOOKUP($B1878,Platts!$E$5:$M$4994,MATCH(E$3,Platts!$F$5:$M$5,0)+1,FALSE),E1877)</f>
        <v>59.89</v>
      </c>
      <c r="F1878" s="6">
        <f>IFERROR(VLOOKUP($B1878,Platts!$E$5:$M$4994,MATCH(F$3,Platts!$F$5:$M$5,0)+1,FALSE),F1877)</f>
        <v>63.19</v>
      </c>
      <c r="G1878" s="6">
        <f>IFERROR(VLOOKUP($B1878,Platts!$E$5:$M$4994,MATCH(G$3,Platts!$F$5:$M$5,0)+1,FALSE),G1877)</f>
        <v>63.9</v>
      </c>
      <c r="H1878" s="6">
        <f>IFERROR(VLOOKUP($B1878,Platts!$E$5:$M$4994,MATCH(H$3,Platts!$F$5:$M$5,0)+1,FALSE),H1877)</f>
        <v>61.14</v>
      </c>
      <c r="I1878" s="6">
        <f>IFERROR(VLOOKUP($B1878,Platts!$E$5:$M$4994,MATCH(I$3,Platts!$F$5:$M$5,0)+1,FALSE),I1877)</f>
        <v>63.34</v>
      </c>
      <c r="J1878" s="6">
        <f t="shared" si="58"/>
        <v>1.3400000000000034</v>
      </c>
    </row>
    <row r="1879" spans="2:10" x14ac:dyDescent="0.25">
      <c r="B1879" s="5">
        <f t="shared" si="59"/>
        <v>44245</v>
      </c>
      <c r="C1879" s="6">
        <f>IFERROR(VLOOKUP($B1879,Platts!$E$5:$M$4994,MATCH(C$3,Platts!$F$5:$M$5,0)+1,FALSE),C1878)</f>
        <v>59.4</v>
      </c>
      <c r="D1879" s="6">
        <f>IFERROR(VLOOKUP($B1879,Platts!$E$5:$M$4994,MATCH(D$3,Platts!$F$5:$M$5,0)+1,FALSE),D1878)</f>
        <v>59.62</v>
      </c>
      <c r="E1879" s="6">
        <f>IFERROR(VLOOKUP($B1879,Platts!$E$5:$M$4994,MATCH(E$3,Platts!$F$5:$M$5,0)+1,FALSE),E1878)</f>
        <v>59.27</v>
      </c>
      <c r="F1879" s="6">
        <f>IFERROR(VLOOKUP($B1879,Platts!$E$5:$M$4994,MATCH(F$3,Platts!$F$5:$M$5,0)+1,FALSE),F1878)</f>
        <v>62.57</v>
      </c>
      <c r="G1879" s="6">
        <f>IFERROR(VLOOKUP($B1879,Platts!$E$5:$M$4994,MATCH(G$3,Platts!$F$5:$M$5,0)+1,FALSE),G1878)</f>
        <v>64.58</v>
      </c>
      <c r="H1879" s="6">
        <f>IFERROR(VLOOKUP($B1879,Platts!$E$5:$M$4994,MATCH(H$3,Platts!$F$5:$M$5,0)+1,FALSE),H1878)</f>
        <v>60.52</v>
      </c>
      <c r="I1879" s="6">
        <f>IFERROR(VLOOKUP($B1879,Platts!$E$5:$M$4994,MATCH(I$3,Platts!$F$5:$M$5,0)+1,FALSE),I1878)</f>
        <v>62.77</v>
      </c>
      <c r="J1879" s="6">
        <f t="shared" si="58"/>
        <v>1.1200000000000045</v>
      </c>
    </row>
    <row r="1880" spans="2:10" x14ac:dyDescent="0.25">
      <c r="B1880" s="5">
        <f t="shared" si="59"/>
        <v>44246</v>
      </c>
      <c r="C1880" s="6">
        <f>IFERROR(VLOOKUP($B1880,Platts!$E$5:$M$4994,MATCH(C$3,Platts!$F$5:$M$5,0)+1,FALSE),C1879)</f>
        <v>60.1</v>
      </c>
      <c r="D1880" s="6">
        <f>IFERROR(VLOOKUP($B1880,Platts!$E$5:$M$4994,MATCH(D$3,Platts!$F$5:$M$5,0)+1,FALSE),D1879)</f>
        <v>58.43</v>
      </c>
      <c r="E1880" s="6">
        <f>IFERROR(VLOOKUP($B1880,Platts!$E$5:$M$4994,MATCH(E$3,Platts!$F$5:$M$5,0)+1,FALSE),E1879)</f>
        <v>58.08</v>
      </c>
      <c r="F1880" s="6">
        <f>IFERROR(VLOOKUP($B1880,Platts!$E$5:$M$4994,MATCH(F$3,Platts!$F$5:$M$5,0)+1,FALSE),F1879)</f>
        <v>61.38</v>
      </c>
      <c r="G1880" s="6">
        <f>IFERROR(VLOOKUP($B1880,Platts!$E$5:$M$4994,MATCH(G$3,Platts!$F$5:$M$5,0)+1,FALSE),G1879)</f>
        <v>63.64</v>
      </c>
      <c r="H1880" s="6">
        <f>IFERROR(VLOOKUP($B1880,Platts!$E$5:$M$4994,MATCH(H$3,Platts!$F$5:$M$5,0)+1,FALSE),H1879)</f>
        <v>59.24</v>
      </c>
      <c r="I1880" s="6">
        <f>IFERROR(VLOOKUP($B1880,Platts!$E$5:$M$4994,MATCH(I$3,Platts!$F$5:$M$5,0)+1,FALSE),I1879)</f>
        <v>61.49</v>
      </c>
      <c r="J1880" s="6">
        <f t="shared" si="58"/>
        <v>-0.85999999999999943</v>
      </c>
    </row>
    <row r="1881" spans="2:10" x14ac:dyDescent="0.25">
      <c r="B1881" s="5">
        <f t="shared" si="59"/>
        <v>44247</v>
      </c>
      <c r="C1881" s="6">
        <f>IFERROR(VLOOKUP($B1881,Platts!$E$5:$M$4994,MATCH(C$3,Platts!$F$5:$M$5,0)+1,FALSE),C1880)</f>
        <v>60.1</v>
      </c>
      <c r="D1881" s="6">
        <f>IFERROR(VLOOKUP($B1881,Platts!$E$5:$M$4994,MATCH(D$3,Platts!$F$5:$M$5,0)+1,FALSE),D1880)</f>
        <v>58.43</v>
      </c>
      <c r="E1881" s="6">
        <f>IFERROR(VLOOKUP($B1881,Platts!$E$5:$M$4994,MATCH(E$3,Platts!$F$5:$M$5,0)+1,FALSE),E1880)</f>
        <v>58.08</v>
      </c>
      <c r="F1881" s="6">
        <f>IFERROR(VLOOKUP($B1881,Platts!$E$5:$M$4994,MATCH(F$3,Platts!$F$5:$M$5,0)+1,FALSE),F1880)</f>
        <v>61.38</v>
      </c>
      <c r="G1881" s="6">
        <f>IFERROR(VLOOKUP($B1881,Platts!$E$5:$M$4994,MATCH(G$3,Platts!$F$5:$M$5,0)+1,FALSE),G1880)</f>
        <v>63.64</v>
      </c>
      <c r="H1881" s="6">
        <f>IFERROR(VLOOKUP($B1881,Platts!$E$5:$M$4994,MATCH(H$3,Platts!$F$5:$M$5,0)+1,FALSE),H1880)</f>
        <v>59.24</v>
      </c>
      <c r="I1881" s="6">
        <f>IFERROR(VLOOKUP($B1881,Platts!$E$5:$M$4994,MATCH(I$3,Platts!$F$5:$M$5,0)+1,FALSE),I1880)</f>
        <v>61.49</v>
      </c>
      <c r="J1881" s="6">
        <f t="shared" si="58"/>
        <v>-0.85999999999999943</v>
      </c>
    </row>
    <row r="1882" spans="2:10" x14ac:dyDescent="0.25">
      <c r="B1882" s="5">
        <f t="shared" si="59"/>
        <v>44248</v>
      </c>
      <c r="C1882" s="6">
        <f>IFERROR(VLOOKUP($B1882,Platts!$E$5:$M$4994,MATCH(C$3,Platts!$F$5:$M$5,0)+1,FALSE),C1881)</f>
        <v>60.1</v>
      </c>
      <c r="D1882" s="6">
        <f>IFERROR(VLOOKUP($B1882,Platts!$E$5:$M$4994,MATCH(D$3,Platts!$F$5:$M$5,0)+1,FALSE),D1881)</f>
        <v>58.43</v>
      </c>
      <c r="E1882" s="6">
        <f>IFERROR(VLOOKUP($B1882,Platts!$E$5:$M$4994,MATCH(E$3,Platts!$F$5:$M$5,0)+1,FALSE),E1881)</f>
        <v>58.08</v>
      </c>
      <c r="F1882" s="6">
        <f>IFERROR(VLOOKUP($B1882,Platts!$E$5:$M$4994,MATCH(F$3,Platts!$F$5:$M$5,0)+1,FALSE),F1881)</f>
        <v>61.38</v>
      </c>
      <c r="G1882" s="6">
        <f>IFERROR(VLOOKUP($B1882,Platts!$E$5:$M$4994,MATCH(G$3,Platts!$F$5:$M$5,0)+1,FALSE),G1881)</f>
        <v>63.64</v>
      </c>
      <c r="H1882" s="6">
        <f>IFERROR(VLOOKUP($B1882,Platts!$E$5:$M$4994,MATCH(H$3,Platts!$F$5:$M$5,0)+1,FALSE),H1881)</f>
        <v>59.24</v>
      </c>
      <c r="I1882" s="6">
        <f>IFERROR(VLOOKUP($B1882,Platts!$E$5:$M$4994,MATCH(I$3,Platts!$F$5:$M$5,0)+1,FALSE),I1881)</f>
        <v>61.49</v>
      </c>
      <c r="J1882" s="6">
        <f t="shared" si="58"/>
        <v>-0.85999999999999943</v>
      </c>
    </row>
    <row r="1883" spans="2:10" x14ac:dyDescent="0.25">
      <c r="B1883" s="5">
        <f t="shared" si="59"/>
        <v>44249</v>
      </c>
      <c r="C1883" s="6">
        <f>IFERROR(VLOOKUP($B1883,Platts!$E$5:$M$4994,MATCH(C$3,Platts!$F$5:$M$5,0)+1,FALSE),C1882)</f>
        <v>60.1</v>
      </c>
      <c r="D1883" s="6">
        <f>IFERROR(VLOOKUP($B1883,Platts!$E$5:$M$4994,MATCH(D$3,Platts!$F$5:$M$5,0)+1,FALSE),D1882)</f>
        <v>60.81</v>
      </c>
      <c r="E1883" s="6">
        <f>IFERROR(VLOOKUP($B1883,Platts!$E$5:$M$4994,MATCH(E$3,Platts!$F$5:$M$5,0)+1,FALSE),E1882)</f>
        <v>60.46</v>
      </c>
      <c r="F1883" s="6">
        <f>IFERROR(VLOOKUP($B1883,Platts!$E$5:$M$4994,MATCH(F$3,Platts!$F$5:$M$5,0)+1,FALSE),F1882)</f>
        <v>63.76</v>
      </c>
      <c r="G1883" s="6">
        <f>IFERROR(VLOOKUP($B1883,Platts!$E$5:$M$4994,MATCH(G$3,Platts!$F$5:$M$5,0)+1,FALSE),G1882)</f>
        <v>64.709999999999994</v>
      </c>
      <c r="H1883" s="6">
        <f>IFERROR(VLOOKUP($B1883,Platts!$E$5:$M$4994,MATCH(H$3,Platts!$F$5:$M$5,0)+1,FALSE),H1882)</f>
        <v>61.49</v>
      </c>
      <c r="I1883" s="6">
        <f>IFERROR(VLOOKUP($B1883,Platts!$E$5:$M$4994,MATCH(I$3,Platts!$F$5:$M$5,0)+1,FALSE),I1882)</f>
        <v>64.14</v>
      </c>
      <c r="J1883" s="6">
        <f t="shared" si="58"/>
        <v>1.3900000000000006</v>
      </c>
    </row>
    <row r="1884" spans="2:10" x14ac:dyDescent="0.25">
      <c r="B1884" s="5">
        <f t="shared" si="59"/>
        <v>44250</v>
      </c>
      <c r="C1884" s="6">
        <f>IFERROR(VLOOKUP($B1884,Platts!$E$5:$M$4994,MATCH(C$3,Platts!$F$5:$M$5,0)+1,FALSE),C1883)</f>
        <v>60.53</v>
      </c>
      <c r="D1884" s="6">
        <f>IFERROR(VLOOKUP($B1884,Platts!$E$5:$M$4994,MATCH(D$3,Platts!$F$5:$M$5,0)+1,FALSE),D1883)</f>
        <v>60.91</v>
      </c>
      <c r="E1884" s="6">
        <f>IFERROR(VLOOKUP($B1884,Platts!$E$5:$M$4994,MATCH(E$3,Platts!$F$5:$M$5,0)+1,FALSE),E1883)</f>
        <v>60.56</v>
      </c>
      <c r="F1884" s="6">
        <f>IFERROR(VLOOKUP($B1884,Platts!$E$5:$M$4994,MATCH(F$3,Platts!$F$5:$M$5,0)+1,FALSE),F1883)</f>
        <v>63.86</v>
      </c>
      <c r="G1884" s="6">
        <f>IFERROR(VLOOKUP($B1884,Platts!$E$5:$M$4994,MATCH(G$3,Platts!$F$5:$M$5,0)+1,FALSE),G1883)</f>
        <v>65.47</v>
      </c>
      <c r="H1884" s="6">
        <f>IFERROR(VLOOKUP($B1884,Platts!$E$5:$M$4994,MATCH(H$3,Platts!$F$5:$M$5,0)+1,FALSE),H1883)</f>
        <v>61.62</v>
      </c>
      <c r="I1884" s="6">
        <f>IFERROR(VLOOKUP($B1884,Platts!$E$5:$M$4994,MATCH(I$3,Platts!$F$5:$M$5,0)+1,FALSE),I1883)</f>
        <v>64.47</v>
      </c>
      <c r="J1884" s="6">
        <f t="shared" si="58"/>
        <v>1.0899999999999963</v>
      </c>
    </row>
    <row r="1885" spans="2:10" x14ac:dyDescent="0.25">
      <c r="B1885" s="5">
        <f t="shared" si="59"/>
        <v>44251</v>
      </c>
      <c r="C1885" s="6">
        <f>IFERROR(VLOOKUP($B1885,Platts!$E$5:$M$4994,MATCH(C$3,Platts!$F$5:$M$5,0)+1,FALSE),C1884)</f>
        <v>61.85</v>
      </c>
      <c r="D1885" s="6">
        <f>IFERROR(VLOOKUP($B1885,Platts!$E$5:$M$4994,MATCH(D$3,Platts!$F$5:$M$5,0)+1,FALSE),D1884)</f>
        <v>62.58</v>
      </c>
      <c r="E1885" s="6">
        <f>IFERROR(VLOOKUP($B1885,Platts!$E$5:$M$4994,MATCH(E$3,Platts!$F$5:$M$5,0)+1,FALSE),E1884)</f>
        <v>62.23</v>
      </c>
      <c r="F1885" s="6">
        <f>IFERROR(VLOOKUP($B1885,Platts!$E$5:$M$4994,MATCH(F$3,Platts!$F$5:$M$5,0)+1,FALSE),F1884)</f>
        <v>65.53</v>
      </c>
      <c r="G1885" s="6">
        <f>IFERROR(VLOOKUP($B1885,Platts!$E$5:$M$4994,MATCH(G$3,Platts!$F$5:$M$5,0)+1,FALSE),G1884)</f>
        <v>66.989999999999995</v>
      </c>
      <c r="H1885" s="6">
        <f>IFERROR(VLOOKUP($B1885,Platts!$E$5:$M$4994,MATCH(H$3,Platts!$F$5:$M$5,0)+1,FALSE),H1884)</f>
        <v>63.19</v>
      </c>
      <c r="I1885" s="6">
        <f>IFERROR(VLOOKUP($B1885,Platts!$E$5:$M$4994,MATCH(I$3,Platts!$F$5:$M$5,0)+1,FALSE),I1884)</f>
        <v>66.040000000000006</v>
      </c>
      <c r="J1885" s="6">
        <f t="shared" si="58"/>
        <v>1.3399999999999963</v>
      </c>
    </row>
    <row r="1886" spans="2:10" x14ac:dyDescent="0.25">
      <c r="B1886" s="5">
        <f t="shared" si="59"/>
        <v>44252</v>
      </c>
      <c r="C1886" s="6">
        <f>IFERROR(VLOOKUP($B1886,Platts!$E$5:$M$4994,MATCH(C$3,Platts!$F$5:$M$5,0)+1,FALSE),C1885)</f>
        <v>62.23</v>
      </c>
      <c r="D1886" s="6">
        <f>IFERROR(VLOOKUP($B1886,Platts!$E$5:$M$4994,MATCH(D$3,Platts!$F$5:$M$5,0)+1,FALSE),D1885)</f>
        <v>62.73</v>
      </c>
      <c r="E1886" s="6">
        <f>IFERROR(VLOOKUP($B1886,Platts!$E$5:$M$4994,MATCH(E$3,Platts!$F$5:$M$5,0)+1,FALSE),E1885)</f>
        <v>62.38</v>
      </c>
      <c r="F1886" s="6">
        <f>IFERROR(VLOOKUP($B1886,Platts!$E$5:$M$4994,MATCH(F$3,Platts!$F$5:$M$5,0)+1,FALSE),F1885)</f>
        <v>65.680000000000007</v>
      </c>
      <c r="G1886" s="6">
        <f>IFERROR(VLOOKUP($B1886,Platts!$E$5:$M$4994,MATCH(G$3,Platts!$F$5:$M$5,0)+1,FALSE),G1885)</f>
        <v>67.38</v>
      </c>
      <c r="H1886" s="6">
        <f>IFERROR(VLOOKUP($B1886,Platts!$E$5:$M$4994,MATCH(H$3,Platts!$F$5:$M$5,0)+1,FALSE),H1885)</f>
        <v>63.56</v>
      </c>
      <c r="I1886" s="6">
        <f>IFERROR(VLOOKUP($B1886,Platts!$E$5:$M$4994,MATCH(I$3,Platts!$F$5:$M$5,0)+1,FALSE),I1885)</f>
        <v>66.010000000000005</v>
      </c>
      <c r="J1886" s="6">
        <f t="shared" si="58"/>
        <v>1.3300000000000054</v>
      </c>
    </row>
    <row r="1887" spans="2:10" x14ac:dyDescent="0.25">
      <c r="B1887" s="5">
        <f t="shared" si="59"/>
        <v>44253</v>
      </c>
      <c r="C1887" s="6">
        <f>IFERROR(VLOOKUP($B1887,Platts!$E$5:$M$4994,MATCH(C$3,Platts!$F$5:$M$5,0)+1,FALSE),C1886)</f>
        <v>60.89</v>
      </c>
      <c r="D1887" s="6">
        <f>IFERROR(VLOOKUP($B1887,Platts!$E$5:$M$4994,MATCH(D$3,Platts!$F$5:$M$5,0)+1,FALSE),D1886)</f>
        <v>61.1</v>
      </c>
      <c r="E1887" s="6">
        <f>IFERROR(VLOOKUP($B1887,Platts!$E$5:$M$4994,MATCH(E$3,Platts!$F$5:$M$5,0)+1,FALSE),E1886)</f>
        <v>60.75</v>
      </c>
      <c r="F1887" s="6">
        <f>IFERROR(VLOOKUP($B1887,Platts!$E$5:$M$4994,MATCH(F$3,Platts!$F$5:$M$5,0)+1,FALSE),F1886)</f>
        <v>64.05</v>
      </c>
      <c r="G1887" s="6">
        <f>IFERROR(VLOOKUP($B1887,Platts!$E$5:$M$4994,MATCH(G$3,Platts!$F$5:$M$5,0)+1,FALSE),G1886)</f>
        <v>66.06</v>
      </c>
      <c r="H1887" s="6">
        <f>IFERROR(VLOOKUP($B1887,Platts!$E$5:$M$4994,MATCH(H$3,Platts!$F$5:$M$5,0)+1,FALSE),H1886)</f>
        <v>61.5</v>
      </c>
      <c r="I1887" s="6">
        <f>IFERROR(VLOOKUP($B1887,Platts!$E$5:$M$4994,MATCH(I$3,Platts!$F$5:$M$5,0)+1,FALSE),I1886)</f>
        <v>63.65</v>
      </c>
      <c r="J1887" s="6">
        <f t="shared" si="58"/>
        <v>0.60999999999999943</v>
      </c>
    </row>
    <row r="1888" spans="2:10" x14ac:dyDescent="0.25">
      <c r="B1888" s="5">
        <f t="shared" si="59"/>
        <v>44254</v>
      </c>
      <c r="C1888" s="6">
        <f>IFERROR(VLOOKUP($B1888,Platts!$E$5:$M$4994,MATCH(C$3,Platts!$F$5:$M$5,0)+1,FALSE),C1887)</f>
        <v>60.89</v>
      </c>
      <c r="D1888" s="6">
        <f>IFERROR(VLOOKUP($B1888,Platts!$E$5:$M$4994,MATCH(D$3,Platts!$F$5:$M$5,0)+1,FALSE),D1887)</f>
        <v>61.1</v>
      </c>
      <c r="E1888" s="6">
        <f>IFERROR(VLOOKUP($B1888,Platts!$E$5:$M$4994,MATCH(E$3,Platts!$F$5:$M$5,0)+1,FALSE),E1887)</f>
        <v>60.75</v>
      </c>
      <c r="F1888" s="6">
        <f>IFERROR(VLOOKUP($B1888,Platts!$E$5:$M$4994,MATCH(F$3,Platts!$F$5:$M$5,0)+1,FALSE),F1887)</f>
        <v>64.05</v>
      </c>
      <c r="G1888" s="6">
        <f>IFERROR(VLOOKUP($B1888,Platts!$E$5:$M$4994,MATCH(G$3,Platts!$F$5:$M$5,0)+1,FALSE),G1887)</f>
        <v>66.06</v>
      </c>
      <c r="H1888" s="6">
        <f>IFERROR(VLOOKUP($B1888,Platts!$E$5:$M$4994,MATCH(H$3,Platts!$F$5:$M$5,0)+1,FALSE),H1887)</f>
        <v>61.5</v>
      </c>
      <c r="I1888" s="6">
        <f>IFERROR(VLOOKUP($B1888,Platts!$E$5:$M$4994,MATCH(I$3,Platts!$F$5:$M$5,0)+1,FALSE),I1887)</f>
        <v>63.65</v>
      </c>
      <c r="J1888" s="6">
        <f t="shared" si="58"/>
        <v>0.60999999999999943</v>
      </c>
    </row>
    <row r="1889" spans="2:10" x14ac:dyDescent="0.25">
      <c r="B1889" s="5">
        <f t="shared" si="59"/>
        <v>44255</v>
      </c>
      <c r="C1889" s="6">
        <f>IFERROR(VLOOKUP($B1889,Platts!$E$5:$M$4994,MATCH(C$3,Platts!$F$5:$M$5,0)+1,FALSE),C1888)</f>
        <v>60.89</v>
      </c>
      <c r="D1889" s="6">
        <f>IFERROR(VLOOKUP($B1889,Platts!$E$5:$M$4994,MATCH(D$3,Platts!$F$5:$M$5,0)+1,FALSE),D1888)</f>
        <v>61.1</v>
      </c>
      <c r="E1889" s="6">
        <f>IFERROR(VLOOKUP($B1889,Platts!$E$5:$M$4994,MATCH(E$3,Platts!$F$5:$M$5,0)+1,FALSE),E1888)</f>
        <v>60.75</v>
      </c>
      <c r="F1889" s="6">
        <f>IFERROR(VLOOKUP($B1889,Platts!$E$5:$M$4994,MATCH(F$3,Platts!$F$5:$M$5,0)+1,FALSE),F1888)</f>
        <v>64.05</v>
      </c>
      <c r="G1889" s="6">
        <f>IFERROR(VLOOKUP($B1889,Platts!$E$5:$M$4994,MATCH(G$3,Platts!$F$5:$M$5,0)+1,FALSE),G1888)</f>
        <v>66.06</v>
      </c>
      <c r="H1889" s="6">
        <f>IFERROR(VLOOKUP($B1889,Platts!$E$5:$M$4994,MATCH(H$3,Platts!$F$5:$M$5,0)+1,FALSE),H1888)</f>
        <v>61.5</v>
      </c>
      <c r="I1889" s="6">
        <f>IFERROR(VLOOKUP($B1889,Platts!$E$5:$M$4994,MATCH(I$3,Platts!$F$5:$M$5,0)+1,FALSE),I1888)</f>
        <v>63.65</v>
      </c>
      <c r="J1889" s="6">
        <f t="shared" si="58"/>
        <v>0.60999999999999943</v>
      </c>
    </row>
    <row r="1890" spans="2:10" x14ac:dyDescent="0.25">
      <c r="B1890" s="5">
        <f t="shared" si="59"/>
        <v>44256</v>
      </c>
      <c r="C1890" s="6">
        <f>IFERROR(VLOOKUP($B1890,Platts!$E$5:$M$4994,MATCH(C$3,Platts!$F$5:$M$5,0)+1,FALSE),C1889)</f>
        <v>59.23</v>
      </c>
      <c r="D1890" s="6">
        <f>IFERROR(VLOOKUP($B1890,Platts!$E$5:$M$4994,MATCH(D$3,Platts!$F$5:$M$5,0)+1,FALSE),D1889)</f>
        <v>59.7</v>
      </c>
      <c r="E1890" s="6">
        <f>IFERROR(VLOOKUP($B1890,Platts!$E$5:$M$4994,MATCH(E$3,Platts!$F$5:$M$5,0)+1,FALSE),E1889)</f>
        <v>58.8</v>
      </c>
      <c r="F1890" s="6">
        <f>IFERROR(VLOOKUP($B1890,Platts!$E$5:$M$4994,MATCH(F$3,Platts!$F$5:$M$5,0)+1,FALSE),F1889)</f>
        <v>61.35</v>
      </c>
      <c r="G1890" s="6">
        <f>IFERROR(VLOOKUP($B1890,Platts!$E$5:$M$4994,MATCH(G$3,Platts!$F$5:$M$5,0)+1,FALSE),G1889)</f>
        <v>65.09</v>
      </c>
      <c r="H1890" s="6">
        <f>IFERROR(VLOOKUP($B1890,Platts!$E$5:$M$4994,MATCH(H$3,Platts!$F$5:$M$5,0)+1,FALSE),H1889)</f>
        <v>60.64</v>
      </c>
      <c r="I1890" s="6">
        <f>IFERROR(VLOOKUP($B1890,Platts!$E$5:$M$4994,MATCH(I$3,Platts!$F$5:$M$5,0)+1,FALSE),I1889)</f>
        <v>62.79</v>
      </c>
      <c r="J1890" s="6">
        <f t="shared" si="58"/>
        <v>1.4100000000000037</v>
      </c>
    </row>
    <row r="1891" spans="2:10" x14ac:dyDescent="0.25">
      <c r="B1891" s="5">
        <f t="shared" si="59"/>
        <v>44257</v>
      </c>
      <c r="C1891" s="6">
        <f>IFERROR(VLOOKUP($B1891,Platts!$E$5:$M$4994,MATCH(C$3,Platts!$F$5:$M$5,0)+1,FALSE),C1890)</f>
        <v>57.97</v>
      </c>
      <c r="D1891" s="6">
        <f>IFERROR(VLOOKUP($B1891,Platts!$E$5:$M$4994,MATCH(D$3,Platts!$F$5:$M$5,0)+1,FALSE),D1890)</f>
        <v>58.68</v>
      </c>
      <c r="E1891" s="6">
        <f>IFERROR(VLOOKUP($B1891,Platts!$E$5:$M$4994,MATCH(E$3,Platts!$F$5:$M$5,0)+1,FALSE),E1890)</f>
        <v>57.78</v>
      </c>
      <c r="F1891" s="6">
        <f>IFERROR(VLOOKUP($B1891,Platts!$E$5:$M$4994,MATCH(F$3,Platts!$F$5:$M$5,0)+1,FALSE),F1890)</f>
        <v>60.33</v>
      </c>
      <c r="G1891" s="6">
        <f>IFERROR(VLOOKUP($B1891,Platts!$E$5:$M$4994,MATCH(G$3,Platts!$F$5:$M$5,0)+1,FALSE),G1890)</f>
        <v>63.72</v>
      </c>
      <c r="H1891" s="6">
        <f>IFERROR(VLOOKUP($B1891,Platts!$E$5:$M$4994,MATCH(H$3,Platts!$F$5:$M$5,0)+1,FALSE),H1890)</f>
        <v>59.75</v>
      </c>
      <c r="I1891" s="6">
        <f>IFERROR(VLOOKUP($B1891,Platts!$E$5:$M$4994,MATCH(I$3,Platts!$F$5:$M$5,0)+1,FALSE),I1890)</f>
        <v>62.1</v>
      </c>
      <c r="J1891" s="6">
        <f t="shared" si="58"/>
        <v>1.7800000000000011</v>
      </c>
    </row>
    <row r="1892" spans="2:10" x14ac:dyDescent="0.25">
      <c r="B1892" s="5">
        <f t="shared" si="59"/>
        <v>44258</v>
      </c>
      <c r="C1892" s="6">
        <f>IFERROR(VLOOKUP($B1892,Platts!$E$5:$M$4994,MATCH(C$3,Platts!$F$5:$M$5,0)+1,FALSE),C1891)</f>
        <v>59.24</v>
      </c>
      <c r="D1892" s="6">
        <f>IFERROR(VLOOKUP($B1892,Platts!$E$5:$M$4994,MATCH(D$3,Platts!$F$5:$M$5,0)+1,FALSE),D1891)</f>
        <v>60.18</v>
      </c>
      <c r="E1892" s="6">
        <f>IFERROR(VLOOKUP($B1892,Platts!$E$5:$M$4994,MATCH(E$3,Platts!$F$5:$M$5,0)+1,FALSE),E1891)</f>
        <v>59.28</v>
      </c>
      <c r="F1892" s="6">
        <f>IFERROR(VLOOKUP($B1892,Platts!$E$5:$M$4994,MATCH(F$3,Platts!$F$5:$M$5,0)+1,FALSE),F1891)</f>
        <v>61.83</v>
      </c>
      <c r="G1892" s="6">
        <f>IFERROR(VLOOKUP($B1892,Platts!$E$5:$M$4994,MATCH(G$3,Platts!$F$5:$M$5,0)+1,FALSE),G1891)</f>
        <v>64.290000000000006</v>
      </c>
      <c r="H1892" s="6">
        <f>IFERROR(VLOOKUP($B1892,Platts!$E$5:$M$4994,MATCH(H$3,Platts!$F$5:$M$5,0)+1,FALSE),H1891)</f>
        <v>61.28</v>
      </c>
      <c r="I1892" s="6">
        <f>IFERROR(VLOOKUP($B1892,Platts!$E$5:$M$4994,MATCH(I$3,Platts!$F$5:$M$5,0)+1,FALSE),I1891)</f>
        <v>63.63</v>
      </c>
      <c r="J1892" s="6">
        <f t="shared" si="58"/>
        <v>2.0399999999999991</v>
      </c>
    </row>
    <row r="1893" spans="2:10" x14ac:dyDescent="0.25">
      <c r="B1893" s="5">
        <f t="shared" si="59"/>
        <v>44259</v>
      </c>
      <c r="C1893" s="6">
        <f>IFERROR(VLOOKUP($B1893,Platts!$E$5:$M$4994,MATCH(C$3,Platts!$F$5:$M$5,0)+1,FALSE),C1892)</f>
        <v>61.74</v>
      </c>
      <c r="D1893" s="6">
        <f>IFERROR(VLOOKUP($B1893,Platts!$E$5:$M$4994,MATCH(D$3,Platts!$F$5:$M$5,0)+1,FALSE),D1892)</f>
        <v>62.78</v>
      </c>
      <c r="E1893" s="6">
        <f>IFERROR(VLOOKUP($B1893,Platts!$E$5:$M$4994,MATCH(E$3,Platts!$F$5:$M$5,0)+1,FALSE),E1892)</f>
        <v>61.88</v>
      </c>
      <c r="F1893" s="6">
        <f>IFERROR(VLOOKUP($B1893,Platts!$E$5:$M$4994,MATCH(F$3,Platts!$F$5:$M$5,0)+1,FALSE),F1892)</f>
        <v>64.430000000000007</v>
      </c>
      <c r="G1893" s="6">
        <f>IFERROR(VLOOKUP($B1893,Platts!$E$5:$M$4994,MATCH(G$3,Platts!$F$5:$M$5,0)+1,FALSE),G1892)</f>
        <v>67.23</v>
      </c>
      <c r="H1893" s="6">
        <f>IFERROR(VLOOKUP($B1893,Platts!$E$5:$M$4994,MATCH(H$3,Platts!$F$5:$M$5,0)+1,FALSE),H1892)</f>
        <v>63.83</v>
      </c>
      <c r="I1893" s="6">
        <f>IFERROR(VLOOKUP($B1893,Platts!$E$5:$M$4994,MATCH(I$3,Platts!$F$5:$M$5,0)+1,FALSE),I1892)</f>
        <v>66.180000000000007</v>
      </c>
      <c r="J1893" s="6">
        <f t="shared" si="58"/>
        <v>2.0899999999999963</v>
      </c>
    </row>
    <row r="1894" spans="2:10" x14ac:dyDescent="0.25">
      <c r="B1894" s="5">
        <f t="shared" si="59"/>
        <v>44260</v>
      </c>
      <c r="C1894" s="6">
        <f>IFERROR(VLOOKUP($B1894,Platts!$E$5:$M$4994,MATCH(C$3,Platts!$F$5:$M$5,0)+1,FALSE),C1893)</f>
        <v>64.400000000000006</v>
      </c>
      <c r="D1894" s="6">
        <f>IFERROR(VLOOKUP($B1894,Platts!$E$5:$M$4994,MATCH(D$3,Platts!$F$5:$M$5,0)+1,FALSE),D1893)</f>
        <v>65.23</v>
      </c>
      <c r="E1894" s="6">
        <f>IFERROR(VLOOKUP($B1894,Platts!$E$5:$M$4994,MATCH(E$3,Platts!$F$5:$M$5,0)+1,FALSE),E1893)</f>
        <v>64.33</v>
      </c>
      <c r="F1894" s="6">
        <f>IFERROR(VLOOKUP($B1894,Platts!$E$5:$M$4994,MATCH(F$3,Platts!$F$5:$M$5,0)+1,FALSE),F1893)</f>
        <v>66.88</v>
      </c>
      <c r="G1894" s="6">
        <f>IFERROR(VLOOKUP($B1894,Platts!$E$5:$M$4994,MATCH(G$3,Platts!$F$5:$M$5,0)+1,FALSE),G1893)</f>
        <v>68.849999999999994</v>
      </c>
      <c r="H1894" s="6">
        <f>IFERROR(VLOOKUP($B1894,Platts!$E$5:$M$4994,MATCH(H$3,Platts!$F$5:$M$5,0)+1,FALSE),H1893)</f>
        <v>66.09</v>
      </c>
      <c r="I1894" s="6">
        <f>IFERROR(VLOOKUP($B1894,Platts!$E$5:$M$4994,MATCH(I$3,Platts!$F$5:$M$5,0)+1,FALSE),I1893)</f>
        <v>68.239999999999995</v>
      </c>
      <c r="J1894" s="6">
        <f t="shared" si="58"/>
        <v>1.6899999999999977</v>
      </c>
    </row>
    <row r="1895" spans="2:10" x14ac:dyDescent="0.25">
      <c r="B1895" s="5">
        <f t="shared" si="59"/>
        <v>44261</v>
      </c>
      <c r="C1895" s="6">
        <f>IFERROR(VLOOKUP($B1895,Platts!$E$5:$M$4994,MATCH(C$3,Platts!$F$5:$M$5,0)+1,FALSE),C1894)</f>
        <v>64.400000000000006</v>
      </c>
      <c r="D1895" s="6">
        <f>IFERROR(VLOOKUP($B1895,Platts!$E$5:$M$4994,MATCH(D$3,Platts!$F$5:$M$5,0)+1,FALSE),D1894)</f>
        <v>65.23</v>
      </c>
      <c r="E1895" s="6">
        <f>IFERROR(VLOOKUP($B1895,Platts!$E$5:$M$4994,MATCH(E$3,Platts!$F$5:$M$5,0)+1,FALSE),E1894)</f>
        <v>64.33</v>
      </c>
      <c r="F1895" s="6">
        <f>IFERROR(VLOOKUP($B1895,Platts!$E$5:$M$4994,MATCH(F$3,Platts!$F$5:$M$5,0)+1,FALSE),F1894)</f>
        <v>66.88</v>
      </c>
      <c r="G1895" s="6">
        <f>IFERROR(VLOOKUP($B1895,Platts!$E$5:$M$4994,MATCH(G$3,Platts!$F$5:$M$5,0)+1,FALSE),G1894)</f>
        <v>68.849999999999994</v>
      </c>
      <c r="H1895" s="6">
        <f>IFERROR(VLOOKUP($B1895,Platts!$E$5:$M$4994,MATCH(H$3,Platts!$F$5:$M$5,0)+1,FALSE),H1894)</f>
        <v>66.09</v>
      </c>
      <c r="I1895" s="6">
        <f>IFERROR(VLOOKUP($B1895,Platts!$E$5:$M$4994,MATCH(I$3,Platts!$F$5:$M$5,0)+1,FALSE),I1894)</f>
        <v>68.239999999999995</v>
      </c>
      <c r="J1895" s="6">
        <f t="shared" si="58"/>
        <v>1.6899999999999977</v>
      </c>
    </row>
    <row r="1896" spans="2:10" x14ac:dyDescent="0.25">
      <c r="B1896" s="5">
        <f t="shared" si="59"/>
        <v>44262</v>
      </c>
      <c r="C1896" s="6">
        <f>IFERROR(VLOOKUP($B1896,Platts!$E$5:$M$4994,MATCH(C$3,Platts!$F$5:$M$5,0)+1,FALSE),C1895)</f>
        <v>64.400000000000006</v>
      </c>
      <c r="D1896" s="6">
        <f>IFERROR(VLOOKUP($B1896,Platts!$E$5:$M$4994,MATCH(D$3,Platts!$F$5:$M$5,0)+1,FALSE),D1895)</f>
        <v>65.23</v>
      </c>
      <c r="E1896" s="6">
        <f>IFERROR(VLOOKUP($B1896,Platts!$E$5:$M$4994,MATCH(E$3,Platts!$F$5:$M$5,0)+1,FALSE),E1895)</f>
        <v>64.33</v>
      </c>
      <c r="F1896" s="6">
        <f>IFERROR(VLOOKUP($B1896,Platts!$E$5:$M$4994,MATCH(F$3,Platts!$F$5:$M$5,0)+1,FALSE),F1895)</f>
        <v>66.88</v>
      </c>
      <c r="G1896" s="6">
        <f>IFERROR(VLOOKUP($B1896,Platts!$E$5:$M$4994,MATCH(G$3,Platts!$F$5:$M$5,0)+1,FALSE),G1895)</f>
        <v>68.849999999999994</v>
      </c>
      <c r="H1896" s="6">
        <f>IFERROR(VLOOKUP($B1896,Platts!$E$5:$M$4994,MATCH(H$3,Platts!$F$5:$M$5,0)+1,FALSE),H1895)</f>
        <v>66.09</v>
      </c>
      <c r="I1896" s="6">
        <f>IFERROR(VLOOKUP($B1896,Platts!$E$5:$M$4994,MATCH(I$3,Platts!$F$5:$M$5,0)+1,FALSE),I1895)</f>
        <v>68.239999999999995</v>
      </c>
      <c r="J1896" s="6">
        <f t="shared" si="58"/>
        <v>1.6899999999999977</v>
      </c>
    </row>
    <row r="1897" spans="2:10" x14ac:dyDescent="0.25">
      <c r="B1897" s="5">
        <f t="shared" si="59"/>
        <v>44263</v>
      </c>
      <c r="C1897" s="6">
        <f>IFERROR(VLOOKUP($B1897,Platts!$E$5:$M$4994,MATCH(C$3,Platts!$F$5:$M$5,0)+1,FALSE),C1896)</f>
        <v>63.67</v>
      </c>
      <c r="D1897" s="6">
        <f>IFERROR(VLOOKUP($B1897,Platts!$E$5:$M$4994,MATCH(D$3,Platts!$F$5:$M$5,0)+1,FALSE),D1896)</f>
        <v>64.19</v>
      </c>
      <c r="E1897" s="6">
        <f>IFERROR(VLOOKUP($B1897,Platts!$E$5:$M$4994,MATCH(E$3,Platts!$F$5:$M$5,0)+1,FALSE),E1896)</f>
        <v>63.29</v>
      </c>
      <c r="F1897" s="6">
        <f>IFERROR(VLOOKUP($B1897,Platts!$E$5:$M$4994,MATCH(F$3,Platts!$F$5:$M$5,0)+1,FALSE),F1896)</f>
        <v>65.84</v>
      </c>
      <c r="G1897" s="6">
        <f>IFERROR(VLOOKUP($B1897,Platts!$E$5:$M$4994,MATCH(G$3,Platts!$F$5:$M$5,0)+1,FALSE),G1896)</f>
        <v>69.08</v>
      </c>
      <c r="H1897" s="6">
        <f>IFERROR(VLOOKUP($B1897,Platts!$E$5:$M$4994,MATCH(H$3,Platts!$F$5:$M$5,0)+1,FALSE),H1896)</f>
        <v>65.05</v>
      </c>
      <c r="I1897" s="6">
        <f>IFERROR(VLOOKUP($B1897,Platts!$E$5:$M$4994,MATCH(I$3,Platts!$F$5:$M$5,0)+1,FALSE),I1896)</f>
        <v>67.2</v>
      </c>
      <c r="J1897" s="6">
        <f t="shared" si="58"/>
        <v>1.3799999999999955</v>
      </c>
    </row>
    <row r="1898" spans="2:10" x14ac:dyDescent="0.25">
      <c r="B1898" s="5">
        <f t="shared" si="59"/>
        <v>44264</v>
      </c>
      <c r="C1898" s="6">
        <f>IFERROR(VLOOKUP($B1898,Platts!$E$5:$M$4994,MATCH(C$3,Platts!$F$5:$M$5,0)+1,FALSE),C1897)</f>
        <v>62.66</v>
      </c>
      <c r="D1898" s="6">
        <f>IFERROR(VLOOKUP($B1898,Platts!$E$5:$M$4994,MATCH(D$3,Platts!$F$5:$M$5,0)+1,FALSE),D1897)</f>
        <v>63.2</v>
      </c>
      <c r="E1898" s="6">
        <f>IFERROR(VLOOKUP($B1898,Platts!$E$5:$M$4994,MATCH(E$3,Platts!$F$5:$M$5,0)+1,FALSE),E1897)</f>
        <v>62.3</v>
      </c>
      <c r="F1898" s="6">
        <f>IFERROR(VLOOKUP($B1898,Platts!$E$5:$M$4994,MATCH(F$3,Platts!$F$5:$M$5,0)+1,FALSE),F1897)</f>
        <v>64.849999999999994</v>
      </c>
      <c r="G1898" s="6">
        <f>IFERROR(VLOOKUP($B1898,Platts!$E$5:$M$4994,MATCH(G$3,Platts!$F$5:$M$5,0)+1,FALSE),G1897)</f>
        <v>67.8</v>
      </c>
      <c r="H1898" s="6">
        <f>IFERROR(VLOOKUP($B1898,Platts!$E$5:$M$4994,MATCH(H$3,Platts!$F$5:$M$5,0)+1,FALSE),H1897)</f>
        <v>64.010000000000005</v>
      </c>
      <c r="I1898" s="6">
        <f>IFERROR(VLOOKUP($B1898,Platts!$E$5:$M$4994,MATCH(I$3,Platts!$F$5:$M$5,0)+1,FALSE),I1897)</f>
        <v>66.209999999999994</v>
      </c>
      <c r="J1898" s="6">
        <f t="shared" si="58"/>
        <v>1.3500000000000085</v>
      </c>
    </row>
    <row r="1899" spans="2:10" x14ac:dyDescent="0.25">
      <c r="B1899" s="5">
        <f t="shared" si="59"/>
        <v>44265</v>
      </c>
      <c r="C1899" s="6">
        <f>IFERROR(VLOOKUP($B1899,Platts!$E$5:$M$4994,MATCH(C$3,Platts!$F$5:$M$5,0)+1,FALSE),C1898)</f>
        <v>62.83</v>
      </c>
      <c r="D1899" s="6">
        <f>IFERROR(VLOOKUP($B1899,Platts!$E$5:$M$4994,MATCH(D$3,Platts!$F$5:$M$5,0)+1,FALSE),D1898)</f>
        <v>63.61</v>
      </c>
      <c r="E1899" s="6">
        <f>IFERROR(VLOOKUP($B1899,Platts!$E$5:$M$4994,MATCH(E$3,Platts!$F$5:$M$5,0)+1,FALSE),E1898)</f>
        <v>62.71</v>
      </c>
      <c r="F1899" s="6">
        <f>IFERROR(VLOOKUP($B1899,Platts!$E$5:$M$4994,MATCH(F$3,Platts!$F$5:$M$5,0)+1,FALSE),F1898)</f>
        <v>65.260000000000005</v>
      </c>
      <c r="G1899" s="6">
        <f>IFERROR(VLOOKUP($B1899,Platts!$E$5:$M$4994,MATCH(G$3,Platts!$F$5:$M$5,0)+1,FALSE),G1898)</f>
        <v>67.31</v>
      </c>
      <c r="H1899" s="6">
        <f>IFERROR(VLOOKUP($B1899,Platts!$E$5:$M$4994,MATCH(H$3,Platts!$F$5:$M$5,0)+1,FALSE),H1898)</f>
        <v>64.44</v>
      </c>
      <c r="I1899" s="6">
        <f>IFERROR(VLOOKUP($B1899,Platts!$E$5:$M$4994,MATCH(I$3,Platts!$F$5:$M$5,0)+1,FALSE),I1898)</f>
        <v>66.64</v>
      </c>
      <c r="J1899" s="6">
        <f t="shared" si="58"/>
        <v>1.6099999999999994</v>
      </c>
    </row>
    <row r="1900" spans="2:10" x14ac:dyDescent="0.25">
      <c r="B1900" s="5">
        <f t="shared" si="59"/>
        <v>44266</v>
      </c>
      <c r="C1900" s="6">
        <f>IFERROR(VLOOKUP($B1900,Platts!$E$5:$M$4994,MATCH(C$3,Platts!$F$5:$M$5,0)+1,FALSE),C1899)</f>
        <v>64.48</v>
      </c>
      <c r="D1900" s="6">
        <f>IFERROR(VLOOKUP($B1900,Platts!$E$5:$M$4994,MATCH(D$3,Platts!$F$5:$M$5,0)+1,FALSE),D1899)</f>
        <v>65.180000000000007</v>
      </c>
      <c r="E1900" s="6">
        <f>IFERROR(VLOOKUP($B1900,Platts!$E$5:$M$4994,MATCH(E$3,Platts!$F$5:$M$5,0)+1,FALSE),E1899)</f>
        <v>64.28</v>
      </c>
      <c r="F1900" s="6">
        <f>IFERROR(VLOOKUP($B1900,Platts!$E$5:$M$4994,MATCH(F$3,Platts!$F$5:$M$5,0)+1,FALSE),F1899)</f>
        <v>66.83</v>
      </c>
      <c r="G1900" s="6">
        <f>IFERROR(VLOOKUP($B1900,Platts!$E$5:$M$4994,MATCH(G$3,Platts!$F$5:$M$5,0)+1,FALSE),G1899)</f>
        <v>69.58</v>
      </c>
      <c r="H1900" s="6">
        <f>IFERROR(VLOOKUP($B1900,Platts!$E$5:$M$4994,MATCH(H$3,Platts!$F$5:$M$5,0)+1,FALSE),H1899)</f>
        <v>66.02</v>
      </c>
      <c r="I1900" s="6">
        <f>IFERROR(VLOOKUP($B1900,Platts!$E$5:$M$4994,MATCH(I$3,Platts!$F$5:$M$5,0)+1,FALSE),I1899)</f>
        <v>68.22</v>
      </c>
      <c r="J1900" s="6">
        <f t="shared" si="58"/>
        <v>1.539999999999992</v>
      </c>
    </row>
    <row r="1901" spans="2:10" x14ac:dyDescent="0.25">
      <c r="B1901" s="5">
        <f t="shared" si="59"/>
        <v>44267</v>
      </c>
      <c r="C1901" s="6">
        <f>IFERROR(VLOOKUP($B1901,Platts!$E$5:$M$4994,MATCH(C$3,Platts!$F$5:$M$5,0)+1,FALSE),C1900)</f>
        <v>64.27</v>
      </c>
      <c r="D1901" s="6">
        <f>IFERROR(VLOOKUP($B1901,Platts!$E$5:$M$4994,MATCH(D$3,Platts!$F$5:$M$5,0)+1,FALSE),D1900)</f>
        <v>64.77</v>
      </c>
      <c r="E1901" s="6">
        <f>IFERROR(VLOOKUP($B1901,Platts!$E$5:$M$4994,MATCH(E$3,Platts!$F$5:$M$5,0)+1,FALSE),E1900)</f>
        <v>63.87</v>
      </c>
      <c r="F1901" s="6">
        <f>IFERROR(VLOOKUP($B1901,Platts!$E$5:$M$4994,MATCH(F$3,Platts!$F$5:$M$5,0)+1,FALSE),F1900)</f>
        <v>66.42</v>
      </c>
      <c r="G1901" s="6">
        <f>IFERROR(VLOOKUP($B1901,Platts!$E$5:$M$4994,MATCH(G$3,Platts!$F$5:$M$5,0)+1,FALSE),G1900)</f>
        <v>69.760000000000005</v>
      </c>
      <c r="H1901" s="6">
        <f>IFERROR(VLOOKUP($B1901,Platts!$E$5:$M$4994,MATCH(H$3,Platts!$F$5:$M$5,0)+1,FALSE),H1900)</f>
        <v>65.61</v>
      </c>
      <c r="I1901" s="6">
        <f>IFERROR(VLOOKUP($B1901,Platts!$E$5:$M$4994,MATCH(I$3,Platts!$F$5:$M$5,0)+1,FALSE),I1900)</f>
        <v>67.959999999999994</v>
      </c>
      <c r="J1901" s="6">
        <f t="shared" si="58"/>
        <v>1.3400000000000034</v>
      </c>
    </row>
    <row r="1902" spans="2:10" x14ac:dyDescent="0.25">
      <c r="B1902" s="5">
        <f t="shared" si="59"/>
        <v>44268</v>
      </c>
      <c r="C1902" s="6">
        <f>IFERROR(VLOOKUP($B1902,Platts!$E$5:$M$4994,MATCH(C$3,Platts!$F$5:$M$5,0)+1,FALSE),C1901)</f>
        <v>64.27</v>
      </c>
      <c r="D1902" s="6">
        <f>IFERROR(VLOOKUP($B1902,Platts!$E$5:$M$4994,MATCH(D$3,Platts!$F$5:$M$5,0)+1,FALSE),D1901)</f>
        <v>64.77</v>
      </c>
      <c r="E1902" s="6">
        <f>IFERROR(VLOOKUP($B1902,Platts!$E$5:$M$4994,MATCH(E$3,Platts!$F$5:$M$5,0)+1,FALSE),E1901)</f>
        <v>63.87</v>
      </c>
      <c r="F1902" s="6">
        <f>IFERROR(VLOOKUP($B1902,Platts!$E$5:$M$4994,MATCH(F$3,Platts!$F$5:$M$5,0)+1,FALSE),F1901)</f>
        <v>66.42</v>
      </c>
      <c r="G1902" s="6">
        <f>IFERROR(VLOOKUP($B1902,Platts!$E$5:$M$4994,MATCH(G$3,Platts!$F$5:$M$5,0)+1,FALSE),G1901)</f>
        <v>69.760000000000005</v>
      </c>
      <c r="H1902" s="6">
        <f>IFERROR(VLOOKUP($B1902,Platts!$E$5:$M$4994,MATCH(H$3,Platts!$F$5:$M$5,0)+1,FALSE),H1901)</f>
        <v>65.61</v>
      </c>
      <c r="I1902" s="6">
        <f>IFERROR(VLOOKUP($B1902,Platts!$E$5:$M$4994,MATCH(I$3,Platts!$F$5:$M$5,0)+1,FALSE),I1901)</f>
        <v>67.959999999999994</v>
      </c>
      <c r="J1902" s="6">
        <f t="shared" si="58"/>
        <v>1.3400000000000034</v>
      </c>
    </row>
    <row r="1903" spans="2:10" x14ac:dyDescent="0.25">
      <c r="B1903" s="5">
        <f t="shared" si="59"/>
        <v>44269</v>
      </c>
      <c r="C1903" s="6">
        <f>IFERROR(VLOOKUP($B1903,Platts!$E$5:$M$4994,MATCH(C$3,Platts!$F$5:$M$5,0)+1,FALSE),C1902)</f>
        <v>64.27</v>
      </c>
      <c r="D1903" s="6">
        <f>IFERROR(VLOOKUP($B1903,Platts!$E$5:$M$4994,MATCH(D$3,Platts!$F$5:$M$5,0)+1,FALSE),D1902)</f>
        <v>64.77</v>
      </c>
      <c r="E1903" s="6">
        <f>IFERROR(VLOOKUP($B1903,Platts!$E$5:$M$4994,MATCH(E$3,Platts!$F$5:$M$5,0)+1,FALSE),E1902)</f>
        <v>63.87</v>
      </c>
      <c r="F1903" s="6">
        <f>IFERROR(VLOOKUP($B1903,Platts!$E$5:$M$4994,MATCH(F$3,Platts!$F$5:$M$5,0)+1,FALSE),F1902)</f>
        <v>66.42</v>
      </c>
      <c r="G1903" s="6">
        <f>IFERROR(VLOOKUP($B1903,Platts!$E$5:$M$4994,MATCH(G$3,Platts!$F$5:$M$5,0)+1,FALSE),G1902)</f>
        <v>69.760000000000005</v>
      </c>
      <c r="H1903" s="6">
        <f>IFERROR(VLOOKUP($B1903,Platts!$E$5:$M$4994,MATCH(H$3,Platts!$F$5:$M$5,0)+1,FALSE),H1902)</f>
        <v>65.61</v>
      </c>
      <c r="I1903" s="6">
        <f>IFERROR(VLOOKUP($B1903,Platts!$E$5:$M$4994,MATCH(I$3,Platts!$F$5:$M$5,0)+1,FALSE),I1902)</f>
        <v>67.959999999999994</v>
      </c>
      <c r="J1903" s="6">
        <f t="shared" si="58"/>
        <v>1.3400000000000034</v>
      </c>
    </row>
    <row r="1904" spans="2:10" x14ac:dyDescent="0.25">
      <c r="B1904" s="5">
        <f t="shared" si="59"/>
        <v>44270</v>
      </c>
      <c r="C1904" s="6">
        <f>IFERROR(VLOOKUP($B1904,Platts!$E$5:$M$4994,MATCH(C$3,Platts!$F$5:$M$5,0)+1,FALSE),C1903)</f>
        <v>64.27</v>
      </c>
      <c r="D1904" s="6">
        <f>IFERROR(VLOOKUP($B1904,Platts!$E$5:$M$4994,MATCH(D$3,Platts!$F$5:$M$5,0)+1,FALSE),D1903)</f>
        <v>64.44</v>
      </c>
      <c r="E1904" s="6">
        <f>IFERROR(VLOOKUP($B1904,Platts!$E$5:$M$4994,MATCH(E$3,Platts!$F$5:$M$5,0)+1,FALSE),E1903)</f>
        <v>63.54</v>
      </c>
      <c r="F1904" s="6">
        <f>IFERROR(VLOOKUP($B1904,Platts!$E$5:$M$4994,MATCH(F$3,Platts!$F$5:$M$5,0)+1,FALSE),F1903)</f>
        <v>66.09</v>
      </c>
      <c r="G1904" s="6">
        <f>IFERROR(VLOOKUP($B1904,Platts!$E$5:$M$4994,MATCH(G$3,Platts!$F$5:$M$5,0)+1,FALSE),G1903)</f>
        <v>68.81</v>
      </c>
      <c r="H1904" s="6">
        <f>IFERROR(VLOOKUP($B1904,Platts!$E$5:$M$4994,MATCH(H$3,Platts!$F$5:$M$5,0)+1,FALSE),H1903)</f>
        <v>65.39</v>
      </c>
      <c r="I1904" s="6">
        <f>IFERROR(VLOOKUP($B1904,Platts!$E$5:$M$4994,MATCH(I$3,Platts!$F$5:$M$5,0)+1,FALSE),I1903)</f>
        <v>67.739999999999995</v>
      </c>
      <c r="J1904" s="6">
        <f t="shared" si="58"/>
        <v>1.1200000000000045</v>
      </c>
    </row>
    <row r="1905" spans="2:10" x14ac:dyDescent="0.25">
      <c r="B1905" s="5">
        <f t="shared" si="59"/>
        <v>44271</v>
      </c>
      <c r="C1905" s="6">
        <f>IFERROR(VLOOKUP($B1905,Platts!$E$5:$M$4994,MATCH(C$3,Platts!$F$5:$M$5,0)+1,FALSE),C1904)</f>
        <v>63.29</v>
      </c>
      <c r="D1905" s="6">
        <f>IFERROR(VLOOKUP($B1905,Platts!$E$5:$M$4994,MATCH(D$3,Platts!$F$5:$M$5,0)+1,FALSE),D1904)</f>
        <v>63.79</v>
      </c>
      <c r="E1905" s="6">
        <f>IFERROR(VLOOKUP($B1905,Platts!$E$5:$M$4994,MATCH(E$3,Platts!$F$5:$M$5,0)+1,FALSE),E1904)</f>
        <v>62.89</v>
      </c>
      <c r="F1905" s="6">
        <f>IFERROR(VLOOKUP($B1905,Platts!$E$5:$M$4994,MATCH(F$3,Platts!$F$5:$M$5,0)+1,FALSE),F1904)</f>
        <v>65.44</v>
      </c>
      <c r="G1905" s="6">
        <f>IFERROR(VLOOKUP($B1905,Platts!$E$5:$M$4994,MATCH(G$3,Platts!$F$5:$M$5,0)+1,FALSE),G1904)</f>
        <v>68.23</v>
      </c>
      <c r="H1905" s="6">
        <f>IFERROR(VLOOKUP($B1905,Platts!$E$5:$M$4994,MATCH(H$3,Platts!$F$5:$M$5,0)+1,FALSE),H1904)</f>
        <v>64.8</v>
      </c>
      <c r="I1905" s="6">
        <f>IFERROR(VLOOKUP($B1905,Platts!$E$5:$M$4994,MATCH(I$3,Platts!$F$5:$M$5,0)+1,FALSE),I1904)</f>
        <v>67.05</v>
      </c>
      <c r="J1905" s="6">
        <f t="shared" si="58"/>
        <v>1.509999999999998</v>
      </c>
    </row>
    <row r="1906" spans="2:10" x14ac:dyDescent="0.25">
      <c r="B1906" s="5">
        <f t="shared" si="59"/>
        <v>44272</v>
      </c>
      <c r="C1906" s="6">
        <f>IFERROR(VLOOKUP($B1906,Platts!$E$5:$M$4994,MATCH(C$3,Platts!$F$5:$M$5,0)+1,FALSE),C1905)</f>
        <v>63.03</v>
      </c>
      <c r="D1906" s="6">
        <f>IFERROR(VLOOKUP($B1906,Platts!$E$5:$M$4994,MATCH(D$3,Platts!$F$5:$M$5,0)+1,FALSE),D1905)</f>
        <v>63.52</v>
      </c>
      <c r="E1906" s="6">
        <f>IFERROR(VLOOKUP($B1906,Platts!$E$5:$M$4994,MATCH(E$3,Platts!$F$5:$M$5,0)+1,FALSE),E1905)</f>
        <v>62.62</v>
      </c>
      <c r="F1906" s="6">
        <f>IFERROR(VLOOKUP($B1906,Platts!$E$5:$M$4994,MATCH(F$3,Platts!$F$5:$M$5,0)+1,FALSE),F1905)</f>
        <v>65.17</v>
      </c>
      <c r="G1906" s="6">
        <f>IFERROR(VLOOKUP($B1906,Platts!$E$5:$M$4994,MATCH(G$3,Platts!$F$5:$M$5,0)+1,FALSE),G1905)</f>
        <v>67.78</v>
      </c>
      <c r="H1906" s="6">
        <f>IFERROR(VLOOKUP($B1906,Platts!$E$5:$M$4994,MATCH(H$3,Platts!$F$5:$M$5,0)+1,FALSE),H1905)</f>
        <v>64.599999999999994</v>
      </c>
      <c r="I1906" s="6">
        <f>IFERROR(VLOOKUP($B1906,Platts!$E$5:$M$4994,MATCH(I$3,Platts!$F$5:$M$5,0)+1,FALSE),I1905)</f>
        <v>66.8</v>
      </c>
      <c r="J1906" s="6">
        <f t="shared" si="58"/>
        <v>1.5699999999999932</v>
      </c>
    </row>
    <row r="1907" spans="2:10" x14ac:dyDescent="0.25">
      <c r="B1907" s="5">
        <f t="shared" si="59"/>
        <v>44273</v>
      </c>
      <c r="C1907" s="6">
        <f>IFERROR(VLOOKUP($B1907,Platts!$E$5:$M$4994,MATCH(C$3,Platts!$F$5:$M$5,0)+1,FALSE),C1906)</f>
        <v>58.81</v>
      </c>
      <c r="D1907" s="6">
        <f>IFERROR(VLOOKUP($B1907,Platts!$E$5:$M$4994,MATCH(D$3,Platts!$F$5:$M$5,0)+1,FALSE),D1906)</f>
        <v>58.88</v>
      </c>
      <c r="E1907" s="6">
        <f>IFERROR(VLOOKUP($B1907,Platts!$E$5:$M$4994,MATCH(E$3,Platts!$F$5:$M$5,0)+1,FALSE),E1906)</f>
        <v>57.98</v>
      </c>
      <c r="F1907" s="6">
        <f>IFERROR(VLOOKUP($B1907,Platts!$E$5:$M$4994,MATCH(F$3,Platts!$F$5:$M$5,0)+1,FALSE),F1906)</f>
        <v>60.53</v>
      </c>
      <c r="G1907" s="6">
        <f>IFERROR(VLOOKUP($B1907,Platts!$E$5:$M$4994,MATCH(G$3,Platts!$F$5:$M$5,0)+1,FALSE),G1906)</f>
        <v>65.3</v>
      </c>
      <c r="H1907" s="6">
        <f>IFERROR(VLOOKUP($B1907,Platts!$E$5:$M$4994,MATCH(H$3,Platts!$F$5:$M$5,0)+1,FALSE),H1906)</f>
        <v>60</v>
      </c>
      <c r="I1907" s="6">
        <f>IFERROR(VLOOKUP($B1907,Platts!$E$5:$M$4994,MATCH(I$3,Platts!$F$5:$M$5,0)+1,FALSE),I1906)</f>
        <v>62.05</v>
      </c>
      <c r="J1907" s="6">
        <f t="shared" si="58"/>
        <v>1.1899999999999977</v>
      </c>
    </row>
    <row r="1908" spans="2:10" x14ac:dyDescent="0.25">
      <c r="B1908" s="5">
        <f t="shared" si="59"/>
        <v>44274</v>
      </c>
      <c r="C1908" s="6">
        <f>IFERROR(VLOOKUP($B1908,Platts!$E$5:$M$4994,MATCH(C$3,Platts!$F$5:$M$5,0)+1,FALSE),C1907)</f>
        <v>59.55</v>
      </c>
      <c r="D1908" s="6">
        <f>IFERROR(VLOOKUP($B1908,Platts!$E$5:$M$4994,MATCH(D$3,Platts!$F$5:$M$5,0)+1,FALSE),D1907)</f>
        <v>60.24</v>
      </c>
      <c r="E1908" s="6">
        <f>IFERROR(VLOOKUP($B1908,Platts!$E$5:$M$4994,MATCH(E$3,Platts!$F$5:$M$5,0)+1,FALSE),E1907)</f>
        <v>59.34</v>
      </c>
      <c r="F1908" s="6">
        <f>IFERROR(VLOOKUP($B1908,Platts!$E$5:$M$4994,MATCH(F$3,Platts!$F$5:$M$5,0)+1,FALSE),F1907)</f>
        <v>61.89</v>
      </c>
      <c r="G1908" s="6">
        <f>IFERROR(VLOOKUP($B1908,Platts!$E$5:$M$4994,MATCH(G$3,Platts!$F$5:$M$5,0)+1,FALSE),G1907)</f>
        <v>64.23</v>
      </c>
      <c r="H1908" s="6">
        <f>IFERROR(VLOOKUP($B1908,Platts!$E$5:$M$4994,MATCH(H$3,Platts!$F$5:$M$5,0)+1,FALSE),H1907)</f>
        <v>61.42</v>
      </c>
      <c r="I1908" s="6">
        <f>IFERROR(VLOOKUP($B1908,Platts!$E$5:$M$4994,MATCH(I$3,Platts!$F$5:$M$5,0)+1,FALSE),I1907)</f>
        <v>63.47</v>
      </c>
      <c r="J1908" s="6">
        <f t="shared" si="58"/>
        <v>1.8700000000000045</v>
      </c>
    </row>
    <row r="1909" spans="2:10" x14ac:dyDescent="0.25">
      <c r="B1909" s="5">
        <f t="shared" si="59"/>
        <v>44275</v>
      </c>
      <c r="C1909" s="6">
        <f>IFERROR(VLOOKUP($B1909,Platts!$E$5:$M$4994,MATCH(C$3,Platts!$F$5:$M$5,0)+1,FALSE),C1908)</f>
        <v>59.55</v>
      </c>
      <c r="D1909" s="6">
        <f>IFERROR(VLOOKUP($B1909,Platts!$E$5:$M$4994,MATCH(D$3,Platts!$F$5:$M$5,0)+1,FALSE),D1908)</f>
        <v>60.24</v>
      </c>
      <c r="E1909" s="6">
        <f>IFERROR(VLOOKUP($B1909,Platts!$E$5:$M$4994,MATCH(E$3,Platts!$F$5:$M$5,0)+1,FALSE),E1908)</f>
        <v>59.34</v>
      </c>
      <c r="F1909" s="6">
        <f>IFERROR(VLOOKUP($B1909,Platts!$E$5:$M$4994,MATCH(F$3,Platts!$F$5:$M$5,0)+1,FALSE),F1908)</f>
        <v>61.89</v>
      </c>
      <c r="G1909" s="6">
        <f>IFERROR(VLOOKUP($B1909,Platts!$E$5:$M$4994,MATCH(G$3,Platts!$F$5:$M$5,0)+1,FALSE),G1908)</f>
        <v>64.23</v>
      </c>
      <c r="H1909" s="6">
        <f>IFERROR(VLOOKUP($B1909,Platts!$E$5:$M$4994,MATCH(H$3,Platts!$F$5:$M$5,0)+1,FALSE),H1908)</f>
        <v>61.42</v>
      </c>
      <c r="I1909" s="6">
        <f>IFERROR(VLOOKUP($B1909,Platts!$E$5:$M$4994,MATCH(I$3,Platts!$F$5:$M$5,0)+1,FALSE),I1908)</f>
        <v>63.47</v>
      </c>
      <c r="J1909" s="6">
        <f t="shared" si="58"/>
        <v>1.8700000000000045</v>
      </c>
    </row>
    <row r="1910" spans="2:10" x14ac:dyDescent="0.25">
      <c r="B1910" s="5">
        <f t="shared" si="59"/>
        <v>44276</v>
      </c>
      <c r="C1910" s="6">
        <f>IFERROR(VLOOKUP($B1910,Platts!$E$5:$M$4994,MATCH(C$3,Platts!$F$5:$M$5,0)+1,FALSE),C1909)</f>
        <v>59.55</v>
      </c>
      <c r="D1910" s="6">
        <f>IFERROR(VLOOKUP($B1910,Platts!$E$5:$M$4994,MATCH(D$3,Platts!$F$5:$M$5,0)+1,FALSE),D1909)</f>
        <v>60.24</v>
      </c>
      <c r="E1910" s="6">
        <f>IFERROR(VLOOKUP($B1910,Platts!$E$5:$M$4994,MATCH(E$3,Platts!$F$5:$M$5,0)+1,FALSE),E1909)</f>
        <v>59.34</v>
      </c>
      <c r="F1910" s="6">
        <f>IFERROR(VLOOKUP($B1910,Platts!$E$5:$M$4994,MATCH(F$3,Platts!$F$5:$M$5,0)+1,FALSE),F1909)</f>
        <v>61.89</v>
      </c>
      <c r="G1910" s="6">
        <f>IFERROR(VLOOKUP($B1910,Platts!$E$5:$M$4994,MATCH(G$3,Platts!$F$5:$M$5,0)+1,FALSE),G1909)</f>
        <v>64.23</v>
      </c>
      <c r="H1910" s="6">
        <f>IFERROR(VLOOKUP($B1910,Platts!$E$5:$M$4994,MATCH(H$3,Platts!$F$5:$M$5,0)+1,FALSE),H1909)</f>
        <v>61.42</v>
      </c>
      <c r="I1910" s="6">
        <f>IFERROR(VLOOKUP($B1910,Platts!$E$5:$M$4994,MATCH(I$3,Platts!$F$5:$M$5,0)+1,FALSE),I1909)</f>
        <v>63.47</v>
      </c>
      <c r="J1910" s="6">
        <f t="shared" si="58"/>
        <v>1.8700000000000045</v>
      </c>
    </row>
    <row r="1911" spans="2:10" x14ac:dyDescent="0.25">
      <c r="B1911" s="5">
        <f t="shared" si="59"/>
        <v>44277</v>
      </c>
      <c r="C1911" s="6">
        <f>IFERROR(VLOOKUP($B1911,Platts!$E$5:$M$4994,MATCH(C$3,Platts!$F$5:$M$5,0)+1,FALSE),C1910)</f>
        <v>59.7</v>
      </c>
      <c r="D1911" s="6">
        <f>IFERROR(VLOOKUP($B1911,Platts!$E$5:$M$4994,MATCH(D$3,Platts!$F$5:$M$5,0)+1,FALSE),D1910)</f>
        <v>60.29</v>
      </c>
      <c r="E1911" s="6">
        <f>IFERROR(VLOOKUP($B1911,Platts!$E$5:$M$4994,MATCH(E$3,Platts!$F$5:$M$5,0)+1,FALSE),E1910)</f>
        <v>59.39</v>
      </c>
      <c r="F1911" s="6">
        <f>IFERROR(VLOOKUP($B1911,Platts!$E$5:$M$4994,MATCH(F$3,Platts!$F$5:$M$5,0)+1,FALSE),F1910)</f>
        <v>61.94</v>
      </c>
      <c r="G1911" s="6">
        <f>IFERROR(VLOOKUP($B1911,Platts!$E$5:$M$4994,MATCH(G$3,Platts!$F$5:$M$5,0)+1,FALSE),G1910)</f>
        <v>64.52</v>
      </c>
      <c r="H1911" s="6">
        <f>IFERROR(VLOOKUP($B1911,Platts!$E$5:$M$4994,MATCH(H$3,Platts!$F$5:$M$5,0)+1,FALSE),H1910)</f>
        <v>61.55</v>
      </c>
      <c r="I1911" s="6">
        <f>IFERROR(VLOOKUP($B1911,Platts!$E$5:$M$4994,MATCH(I$3,Platts!$F$5:$M$5,0)+1,FALSE),I1910)</f>
        <v>63.6</v>
      </c>
      <c r="J1911" s="6">
        <f t="shared" si="58"/>
        <v>1.8499999999999943</v>
      </c>
    </row>
    <row r="1912" spans="2:10" x14ac:dyDescent="0.25">
      <c r="B1912" s="5">
        <f t="shared" si="59"/>
        <v>44278</v>
      </c>
      <c r="C1912" s="6">
        <f>IFERROR(VLOOKUP($B1912,Platts!$E$5:$M$4994,MATCH(C$3,Platts!$F$5:$M$5,0)+1,FALSE),C1911)</f>
        <v>56.23</v>
      </c>
      <c r="D1912" s="6">
        <f>IFERROR(VLOOKUP($B1912,Platts!$E$5:$M$4994,MATCH(D$3,Platts!$F$5:$M$5,0)+1,FALSE),D1911)</f>
        <v>56.2</v>
      </c>
      <c r="E1912" s="6">
        <f>IFERROR(VLOOKUP($B1912,Platts!$E$5:$M$4994,MATCH(E$3,Platts!$F$5:$M$5,0)+1,FALSE),E1911)</f>
        <v>55.3</v>
      </c>
      <c r="F1912" s="6">
        <f>IFERROR(VLOOKUP($B1912,Platts!$E$5:$M$4994,MATCH(F$3,Platts!$F$5:$M$5,0)+1,FALSE),F1911)</f>
        <v>57.85</v>
      </c>
      <c r="G1912" s="6">
        <f>IFERROR(VLOOKUP($B1912,Platts!$E$5:$M$4994,MATCH(G$3,Platts!$F$5:$M$5,0)+1,FALSE),G1911)</f>
        <v>62.38</v>
      </c>
      <c r="H1912" s="6">
        <f>IFERROR(VLOOKUP($B1912,Platts!$E$5:$M$4994,MATCH(H$3,Platts!$F$5:$M$5,0)+1,FALSE),H1911)</f>
        <v>57.71</v>
      </c>
      <c r="I1912" s="6">
        <f>IFERROR(VLOOKUP($B1912,Platts!$E$5:$M$4994,MATCH(I$3,Platts!$F$5:$M$5,0)+1,FALSE),I1911)</f>
        <v>59.76</v>
      </c>
      <c r="J1912" s="6">
        <f t="shared" si="58"/>
        <v>1.480000000000004</v>
      </c>
    </row>
    <row r="1913" spans="2:10" x14ac:dyDescent="0.25">
      <c r="B1913" s="5">
        <f t="shared" si="59"/>
        <v>44279</v>
      </c>
      <c r="C1913" s="6">
        <f>IFERROR(VLOOKUP($B1913,Platts!$E$5:$M$4994,MATCH(C$3,Platts!$F$5:$M$5,0)+1,FALSE),C1912)</f>
        <v>59.09</v>
      </c>
      <c r="D1913" s="6">
        <f>IFERROR(VLOOKUP($B1913,Platts!$E$5:$M$4994,MATCH(D$3,Platts!$F$5:$M$5,0)+1,FALSE),D1912)</f>
        <v>59.82</v>
      </c>
      <c r="E1913" s="6">
        <f>IFERROR(VLOOKUP($B1913,Platts!$E$5:$M$4994,MATCH(E$3,Platts!$F$5:$M$5,0)+1,FALSE),E1912)</f>
        <v>58.92</v>
      </c>
      <c r="F1913" s="6">
        <f>IFERROR(VLOOKUP($B1913,Platts!$E$5:$M$4994,MATCH(F$3,Platts!$F$5:$M$5,0)+1,FALSE),F1912)</f>
        <v>61.47</v>
      </c>
      <c r="G1913" s="6">
        <f>IFERROR(VLOOKUP($B1913,Platts!$E$5:$M$4994,MATCH(G$3,Platts!$F$5:$M$5,0)+1,FALSE),G1912)</f>
        <v>64.22</v>
      </c>
      <c r="H1913" s="6">
        <f>IFERROR(VLOOKUP($B1913,Platts!$E$5:$M$4994,MATCH(H$3,Platts!$F$5:$M$5,0)+1,FALSE),H1912)</f>
        <v>61.13</v>
      </c>
      <c r="I1913" s="6">
        <f>IFERROR(VLOOKUP($B1913,Platts!$E$5:$M$4994,MATCH(I$3,Platts!$F$5:$M$5,0)+1,FALSE),I1912)</f>
        <v>63.23</v>
      </c>
      <c r="J1913" s="6">
        <f t="shared" si="58"/>
        <v>2.0399999999999991</v>
      </c>
    </row>
    <row r="1914" spans="2:10" x14ac:dyDescent="0.25">
      <c r="B1914" s="5">
        <f t="shared" si="59"/>
        <v>44280</v>
      </c>
      <c r="C1914" s="6">
        <f>IFERROR(VLOOKUP($B1914,Platts!$E$5:$M$4994,MATCH(C$3,Platts!$F$5:$M$5,0)+1,FALSE),C1913)</f>
        <v>57.13</v>
      </c>
      <c r="D1914" s="6">
        <f>IFERROR(VLOOKUP($B1914,Platts!$E$5:$M$4994,MATCH(D$3,Platts!$F$5:$M$5,0)+1,FALSE),D1913)</f>
        <v>57.25</v>
      </c>
      <c r="E1914" s="6">
        <f>IFERROR(VLOOKUP($B1914,Platts!$E$5:$M$4994,MATCH(E$3,Platts!$F$5:$M$5,0)+1,FALSE),E1913)</f>
        <v>56.35</v>
      </c>
      <c r="F1914" s="6">
        <f>IFERROR(VLOOKUP($B1914,Platts!$E$5:$M$4994,MATCH(F$3,Platts!$F$5:$M$5,0)+1,FALSE),F1913)</f>
        <v>58.9</v>
      </c>
      <c r="G1914" s="6">
        <f>IFERROR(VLOOKUP($B1914,Platts!$E$5:$M$4994,MATCH(G$3,Platts!$F$5:$M$5,0)+1,FALSE),G1913)</f>
        <v>61.95</v>
      </c>
      <c r="H1914" s="6">
        <f>IFERROR(VLOOKUP($B1914,Platts!$E$5:$M$4994,MATCH(H$3,Platts!$F$5:$M$5,0)+1,FALSE),H1913)</f>
        <v>58.51</v>
      </c>
      <c r="I1914" s="6">
        <f>IFERROR(VLOOKUP($B1914,Platts!$E$5:$M$4994,MATCH(I$3,Platts!$F$5:$M$5,0)+1,FALSE),I1913)</f>
        <v>60.61</v>
      </c>
      <c r="J1914" s="6">
        <f t="shared" si="58"/>
        <v>1.3799999999999955</v>
      </c>
    </row>
    <row r="1915" spans="2:10" x14ac:dyDescent="0.25">
      <c r="B1915" s="5">
        <f t="shared" si="59"/>
        <v>44281</v>
      </c>
      <c r="C1915" s="6">
        <f>IFERROR(VLOOKUP($B1915,Platts!$E$5:$M$4994,MATCH(C$3,Platts!$F$5:$M$5,0)+1,FALSE),C1914)</f>
        <v>59.35</v>
      </c>
      <c r="D1915" s="6">
        <f>IFERROR(VLOOKUP($B1915,Platts!$E$5:$M$4994,MATCH(D$3,Platts!$F$5:$M$5,0)+1,FALSE),D1914)</f>
        <v>59.93</v>
      </c>
      <c r="E1915" s="6">
        <f>IFERROR(VLOOKUP($B1915,Platts!$E$5:$M$4994,MATCH(E$3,Platts!$F$5:$M$5,0)+1,FALSE),E1914)</f>
        <v>59.03</v>
      </c>
      <c r="F1915" s="6">
        <f>IFERROR(VLOOKUP($B1915,Platts!$E$5:$M$4994,MATCH(F$3,Platts!$F$5:$M$5,0)+1,FALSE),F1914)</f>
        <v>61.58</v>
      </c>
      <c r="G1915" s="6">
        <f>IFERROR(VLOOKUP($B1915,Platts!$E$5:$M$4994,MATCH(G$3,Platts!$F$5:$M$5,0)+1,FALSE),G1914)</f>
        <v>64.53</v>
      </c>
      <c r="H1915" s="6">
        <f>IFERROR(VLOOKUP($B1915,Platts!$E$5:$M$4994,MATCH(H$3,Platts!$F$5:$M$5,0)+1,FALSE),H1914)</f>
        <v>60.97</v>
      </c>
      <c r="I1915" s="6">
        <f>IFERROR(VLOOKUP($B1915,Platts!$E$5:$M$4994,MATCH(I$3,Platts!$F$5:$M$5,0)+1,FALSE),I1914)</f>
        <v>62.92</v>
      </c>
      <c r="J1915" s="6">
        <f t="shared" si="58"/>
        <v>1.6199999999999974</v>
      </c>
    </row>
    <row r="1916" spans="2:10" x14ac:dyDescent="0.25">
      <c r="B1916" s="5">
        <f t="shared" si="59"/>
        <v>44282</v>
      </c>
      <c r="C1916" s="6">
        <f>IFERROR(VLOOKUP($B1916,Platts!$E$5:$M$4994,MATCH(C$3,Platts!$F$5:$M$5,0)+1,FALSE),C1915)</f>
        <v>59.35</v>
      </c>
      <c r="D1916" s="6">
        <f>IFERROR(VLOOKUP($B1916,Platts!$E$5:$M$4994,MATCH(D$3,Platts!$F$5:$M$5,0)+1,FALSE),D1915)</f>
        <v>59.93</v>
      </c>
      <c r="E1916" s="6">
        <f>IFERROR(VLOOKUP($B1916,Platts!$E$5:$M$4994,MATCH(E$3,Platts!$F$5:$M$5,0)+1,FALSE),E1915)</f>
        <v>59.03</v>
      </c>
      <c r="F1916" s="6">
        <f>IFERROR(VLOOKUP($B1916,Platts!$E$5:$M$4994,MATCH(F$3,Platts!$F$5:$M$5,0)+1,FALSE),F1915)</f>
        <v>61.58</v>
      </c>
      <c r="G1916" s="6">
        <f>IFERROR(VLOOKUP($B1916,Platts!$E$5:$M$4994,MATCH(G$3,Platts!$F$5:$M$5,0)+1,FALSE),G1915)</f>
        <v>64.53</v>
      </c>
      <c r="H1916" s="6">
        <f>IFERROR(VLOOKUP($B1916,Platts!$E$5:$M$4994,MATCH(H$3,Platts!$F$5:$M$5,0)+1,FALSE),H1915)</f>
        <v>60.97</v>
      </c>
      <c r="I1916" s="6">
        <f>IFERROR(VLOOKUP($B1916,Platts!$E$5:$M$4994,MATCH(I$3,Platts!$F$5:$M$5,0)+1,FALSE),I1915)</f>
        <v>62.92</v>
      </c>
      <c r="J1916" s="6">
        <f t="shared" si="58"/>
        <v>1.6199999999999974</v>
      </c>
    </row>
    <row r="1917" spans="2:10" x14ac:dyDescent="0.25">
      <c r="B1917" s="5">
        <f t="shared" si="59"/>
        <v>44283</v>
      </c>
      <c r="C1917" s="6">
        <f>IFERROR(VLOOKUP($B1917,Platts!$E$5:$M$4994,MATCH(C$3,Platts!$F$5:$M$5,0)+1,FALSE),C1916)</f>
        <v>59.35</v>
      </c>
      <c r="D1917" s="6">
        <f>IFERROR(VLOOKUP($B1917,Platts!$E$5:$M$4994,MATCH(D$3,Platts!$F$5:$M$5,0)+1,FALSE),D1916)</f>
        <v>59.93</v>
      </c>
      <c r="E1917" s="6">
        <f>IFERROR(VLOOKUP($B1917,Platts!$E$5:$M$4994,MATCH(E$3,Platts!$F$5:$M$5,0)+1,FALSE),E1916)</f>
        <v>59.03</v>
      </c>
      <c r="F1917" s="6">
        <f>IFERROR(VLOOKUP($B1917,Platts!$E$5:$M$4994,MATCH(F$3,Platts!$F$5:$M$5,0)+1,FALSE),F1916)</f>
        <v>61.58</v>
      </c>
      <c r="G1917" s="6">
        <f>IFERROR(VLOOKUP($B1917,Platts!$E$5:$M$4994,MATCH(G$3,Platts!$F$5:$M$5,0)+1,FALSE),G1916)</f>
        <v>64.53</v>
      </c>
      <c r="H1917" s="6">
        <f>IFERROR(VLOOKUP($B1917,Platts!$E$5:$M$4994,MATCH(H$3,Platts!$F$5:$M$5,0)+1,FALSE),H1916)</f>
        <v>60.97</v>
      </c>
      <c r="I1917" s="6">
        <f>IFERROR(VLOOKUP($B1917,Platts!$E$5:$M$4994,MATCH(I$3,Platts!$F$5:$M$5,0)+1,FALSE),I1916)</f>
        <v>62.92</v>
      </c>
      <c r="J1917" s="6">
        <f t="shared" si="58"/>
        <v>1.6199999999999974</v>
      </c>
    </row>
    <row r="1918" spans="2:10" x14ac:dyDescent="0.25">
      <c r="B1918" s="5">
        <f t="shared" si="59"/>
        <v>44284</v>
      </c>
      <c r="C1918" s="6">
        <f>IFERROR(VLOOKUP($B1918,Platts!$E$5:$M$4994,MATCH(C$3,Platts!$F$5:$M$5,0)+1,FALSE),C1917)</f>
        <v>59.98</v>
      </c>
      <c r="D1918" s="6">
        <f>IFERROR(VLOOKUP($B1918,Platts!$E$5:$M$4994,MATCH(D$3,Platts!$F$5:$M$5,0)+1,FALSE),D1917)</f>
        <v>60.55</v>
      </c>
      <c r="E1918" s="6">
        <f>IFERROR(VLOOKUP($B1918,Platts!$E$5:$M$4994,MATCH(E$3,Platts!$F$5:$M$5,0)+1,FALSE),E1917)</f>
        <v>59.65</v>
      </c>
      <c r="F1918" s="6">
        <f>IFERROR(VLOOKUP($B1918,Platts!$E$5:$M$4994,MATCH(F$3,Platts!$F$5:$M$5,0)+1,FALSE),F1917)</f>
        <v>62.2</v>
      </c>
      <c r="G1918" s="6">
        <f>IFERROR(VLOOKUP($B1918,Platts!$E$5:$M$4994,MATCH(G$3,Platts!$F$5:$M$5,0)+1,FALSE),G1917)</f>
        <v>64.25</v>
      </c>
      <c r="H1918" s="6">
        <f>IFERROR(VLOOKUP($B1918,Platts!$E$5:$M$4994,MATCH(H$3,Platts!$F$5:$M$5,0)+1,FALSE),H1917)</f>
        <v>61.56</v>
      </c>
      <c r="I1918" s="6">
        <f>IFERROR(VLOOKUP($B1918,Platts!$E$5:$M$4994,MATCH(I$3,Platts!$F$5:$M$5,0)+1,FALSE),I1917)</f>
        <v>63.61</v>
      </c>
      <c r="J1918" s="6">
        <f t="shared" si="58"/>
        <v>1.5800000000000054</v>
      </c>
    </row>
    <row r="1919" spans="2:10" x14ac:dyDescent="0.25">
      <c r="B1919" s="5">
        <f t="shared" si="59"/>
        <v>44285</v>
      </c>
      <c r="C1919" s="6">
        <f>IFERROR(VLOOKUP($B1919,Platts!$E$5:$M$4994,MATCH(C$3,Platts!$F$5:$M$5,0)+1,FALSE),C1918)</f>
        <v>59.25</v>
      </c>
      <c r="D1919" s="6">
        <f>IFERROR(VLOOKUP($B1919,Platts!$E$5:$M$4994,MATCH(D$3,Platts!$F$5:$M$5,0)+1,FALSE),D1918)</f>
        <v>59.57</v>
      </c>
      <c r="E1919" s="6">
        <f>IFERROR(VLOOKUP($B1919,Platts!$E$5:$M$4994,MATCH(E$3,Platts!$F$5:$M$5,0)+1,FALSE),E1918)</f>
        <v>58.67</v>
      </c>
      <c r="F1919" s="6">
        <f>IFERROR(VLOOKUP($B1919,Platts!$E$5:$M$4994,MATCH(F$3,Platts!$F$5:$M$5,0)+1,FALSE),F1918)</f>
        <v>61.22</v>
      </c>
      <c r="G1919" s="6">
        <f>IFERROR(VLOOKUP($B1919,Platts!$E$5:$M$4994,MATCH(G$3,Platts!$F$5:$M$5,0)+1,FALSE),G1918)</f>
        <v>64.34</v>
      </c>
      <c r="H1919" s="6">
        <f>IFERROR(VLOOKUP($B1919,Platts!$E$5:$M$4994,MATCH(H$3,Platts!$F$5:$M$5,0)+1,FALSE),H1918)</f>
        <v>60.55</v>
      </c>
      <c r="I1919" s="6">
        <f>IFERROR(VLOOKUP($B1919,Platts!$E$5:$M$4994,MATCH(I$3,Platts!$F$5:$M$5,0)+1,FALSE),I1918)</f>
        <v>62.6</v>
      </c>
      <c r="J1919" s="6">
        <f t="shared" si="58"/>
        <v>1.2999999999999972</v>
      </c>
    </row>
    <row r="1920" spans="2:10" x14ac:dyDescent="0.25">
      <c r="B1920" s="5">
        <f t="shared" si="59"/>
        <v>44286</v>
      </c>
      <c r="C1920" s="6">
        <f>IFERROR(VLOOKUP($B1920,Platts!$E$5:$M$4994,MATCH(C$3,Platts!$F$5:$M$5,0)+1,FALSE),C1919)</f>
        <v>58.37</v>
      </c>
      <c r="D1920" s="6">
        <f>IFERROR(VLOOKUP($B1920,Platts!$E$5:$M$4994,MATCH(D$3,Platts!$F$5:$M$5,0)+1,FALSE),D1919)</f>
        <v>58.46</v>
      </c>
      <c r="E1920" s="6">
        <f>IFERROR(VLOOKUP($B1920,Platts!$E$5:$M$4994,MATCH(E$3,Platts!$F$5:$M$5,0)+1,FALSE),E1919)</f>
        <v>57.56</v>
      </c>
      <c r="F1920" s="6">
        <f>IFERROR(VLOOKUP($B1920,Platts!$E$5:$M$4994,MATCH(F$3,Platts!$F$5:$M$5,0)+1,FALSE),F1919)</f>
        <v>60.11</v>
      </c>
      <c r="G1920" s="6">
        <f>IFERROR(VLOOKUP($B1920,Platts!$E$5:$M$4994,MATCH(G$3,Platts!$F$5:$M$5,0)+1,FALSE),G1919)</f>
        <v>64.2</v>
      </c>
      <c r="H1920" s="6">
        <f>IFERROR(VLOOKUP($B1920,Platts!$E$5:$M$4994,MATCH(H$3,Platts!$F$5:$M$5,0)+1,FALSE),H1919)</f>
        <v>59.16</v>
      </c>
      <c r="I1920" s="6">
        <f>IFERROR(VLOOKUP($B1920,Platts!$E$5:$M$4994,MATCH(I$3,Platts!$F$5:$M$5,0)+1,FALSE),I1919)</f>
        <v>61.21</v>
      </c>
      <c r="J1920" s="6">
        <f t="shared" si="58"/>
        <v>0.78999999999999915</v>
      </c>
    </row>
    <row r="1921" spans="2:10" x14ac:dyDescent="0.25">
      <c r="B1921" s="5">
        <f t="shared" si="59"/>
        <v>44287</v>
      </c>
      <c r="C1921" s="6">
        <f>IFERROR(VLOOKUP($B1921,Platts!$E$5:$M$4994,MATCH(C$3,Platts!$F$5:$M$5,0)+1,FALSE),C1920)</f>
        <v>58.37</v>
      </c>
      <c r="D1921" s="6">
        <f>IFERROR(VLOOKUP($B1921,Platts!$E$5:$M$4994,MATCH(D$3,Platts!$F$5:$M$5,0)+1,FALSE),D1920)</f>
        <v>59.96</v>
      </c>
      <c r="E1921" s="6">
        <f>IFERROR(VLOOKUP($B1921,Platts!$E$5:$M$4994,MATCH(E$3,Platts!$F$5:$M$5,0)+1,FALSE),E1920)</f>
        <v>58.86</v>
      </c>
      <c r="F1921" s="6">
        <f>IFERROR(VLOOKUP($B1921,Platts!$E$5:$M$4994,MATCH(F$3,Platts!$F$5:$M$5,0)+1,FALSE),F1920)</f>
        <v>62.06</v>
      </c>
      <c r="G1921" s="6">
        <f>IFERROR(VLOOKUP($B1921,Platts!$E$5:$M$4994,MATCH(G$3,Platts!$F$5:$M$5,0)+1,FALSE),G1920)</f>
        <v>63.12</v>
      </c>
      <c r="H1921" s="6">
        <f>IFERROR(VLOOKUP($B1921,Platts!$E$5:$M$4994,MATCH(H$3,Platts!$F$5:$M$5,0)+1,FALSE),H1920)</f>
        <v>61.45</v>
      </c>
      <c r="I1921" s="6">
        <f>IFERROR(VLOOKUP($B1921,Platts!$E$5:$M$4994,MATCH(I$3,Platts!$F$5:$M$5,0)+1,FALSE),I1920)</f>
        <v>63.5</v>
      </c>
      <c r="J1921" s="6">
        <f t="shared" si="58"/>
        <v>3.0800000000000054</v>
      </c>
    </row>
    <row r="1922" spans="2:10" x14ac:dyDescent="0.25">
      <c r="B1922" s="5">
        <f t="shared" si="59"/>
        <v>44288</v>
      </c>
      <c r="C1922" s="6">
        <f>IFERROR(VLOOKUP($B1922,Platts!$E$5:$M$4994,MATCH(C$3,Platts!$F$5:$M$5,0)+1,FALSE),C1921)</f>
        <v>58.37</v>
      </c>
      <c r="D1922" s="6">
        <f>IFERROR(VLOOKUP($B1922,Platts!$E$5:$M$4994,MATCH(D$3,Platts!$F$5:$M$5,0)+1,FALSE),D1921)</f>
        <v>59.96</v>
      </c>
      <c r="E1922" s="6">
        <f>IFERROR(VLOOKUP($B1922,Platts!$E$5:$M$4994,MATCH(E$3,Platts!$F$5:$M$5,0)+1,FALSE),E1921)</f>
        <v>58.86</v>
      </c>
      <c r="F1922" s="6">
        <f>IFERROR(VLOOKUP($B1922,Platts!$E$5:$M$4994,MATCH(F$3,Platts!$F$5:$M$5,0)+1,FALSE),F1921)</f>
        <v>62.06</v>
      </c>
      <c r="G1922" s="6">
        <f>IFERROR(VLOOKUP($B1922,Platts!$E$5:$M$4994,MATCH(G$3,Platts!$F$5:$M$5,0)+1,FALSE),G1921)</f>
        <v>63.12</v>
      </c>
      <c r="H1922" s="6">
        <f>IFERROR(VLOOKUP($B1922,Platts!$E$5:$M$4994,MATCH(H$3,Platts!$F$5:$M$5,0)+1,FALSE),H1921)</f>
        <v>61.45</v>
      </c>
      <c r="I1922" s="6">
        <f>IFERROR(VLOOKUP($B1922,Platts!$E$5:$M$4994,MATCH(I$3,Platts!$F$5:$M$5,0)+1,FALSE),I1921)</f>
        <v>63.5</v>
      </c>
      <c r="J1922" s="6">
        <f t="shared" si="58"/>
        <v>3.0800000000000054</v>
      </c>
    </row>
    <row r="1923" spans="2:10" x14ac:dyDescent="0.25">
      <c r="B1923" s="5">
        <f t="shared" si="59"/>
        <v>44289</v>
      </c>
      <c r="C1923" s="6">
        <f>IFERROR(VLOOKUP($B1923,Platts!$E$5:$M$4994,MATCH(C$3,Platts!$F$5:$M$5,0)+1,FALSE),C1922)</f>
        <v>58.37</v>
      </c>
      <c r="D1923" s="6">
        <f>IFERROR(VLOOKUP($B1923,Platts!$E$5:$M$4994,MATCH(D$3,Platts!$F$5:$M$5,0)+1,FALSE),D1922)</f>
        <v>59.96</v>
      </c>
      <c r="E1923" s="6">
        <f>IFERROR(VLOOKUP($B1923,Platts!$E$5:$M$4994,MATCH(E$3,Platts!$F$5:$M$5,0)+1,FALSE),E1922)</f>
        <v>58.86</v>
      </c>
      <c r="F1923" s="6">
        <f>IFERROR(VLOOKUP($B1923,Platts!$E$5:$M$4994,MATCH(F$3,Platts!$F$5:$M$5,0)+1,FALSE),F1922)</f>
        <v>62.06</v>
      </c>
      <c r="G1923" s="6">
        <f>IFERROR(VLOOKUP($B1923,Platts!$E$5:$M$4994,MATCH(G$3,Platts!$F$5:$M$5,0)+1,FALSE),G1922)</f>
        <v>63.12</v>
      </c>
      <c r="H1923" s="6">
        <f>IFERROR(VLOOKUP($B1923,Platts!$E$5:$M$4994,MATCH(H$3,Platts!$F$5:$M$5,0)+1,FALSE),H1922)</f>
        <v>61.45</v>
      </c>
      <c r="I1923" s="6">
        <f>IFERROR(VLOOKUP($B1923,Platts!$E$5:$M$4994,MATCH(I$3,Platts!$F$5:$M$5,0)+1,FALSE),I1922)</f>
        <v>63.5</v>
      </c>
      <c r="J1923" s="6">
        <f t="shared" si="58"/>
        <v>3.0800000000000054</v>
      </c>
    </row>
    <row r="1924" spans="2:10" x14ac:dyDescent="0.25">
      <c r="B1924" s="5">
        <f t="shared" si="59"/>
        <v>44290</v>
      </c>
      <c r="C1924" s="6">
        <f>IFERROR(VLOOKUP($B1924,Platts!$E$5:$M$4994,MATCH(C$3,Platts!$F$5:$M$5,0)+1,FALSE),C1923)</f>
        <v>58.37</v>
      </c>
      <c r="D1924" s="6">
        <f>IFERROR(VLOOKUP($B1924,Platts!$E$5:$M$4994,MATCH(D$3,Platts!$F$5:$M$5,0)+1,FALSE),D1923)</f>
        <v>59.96</v>
      </c>
      <c r="E1924" s="6">
        <f>IFERROR(VLOOKUP($B1924,Platts!$E$5:$M$4994,MATCH(E$3,Platts!$F$5:$M$5,0)+1,FALSE),E1923)</f>
        <v>58.86</v>
      </c>
      <c r="F1924" s="6">
        <f>IFERROR(VLOOKUP($B1924,Platts!$E$5:$M$4994,MATCH(F$3,Platts!$F$5:$M$5,0)+1,FALSE),F1923)</f>
        <v>62.06</v>
      </c>
      <c r="G1924" s="6">
        <f>IFERROR(VLOOKUP($B1924,Platts!$E$5:$M$4994,MATCH(G$3,Platts!$F$5:$M$5,0)+1,FALSE),G1923)</f>
        <v>63.12</v>
      </c>
      <c r="H1924" s="6">
        <f>IFERROR(VLOOKUP($B1924,Platts!$E$5:$M$4994,MATCH(H$3,Platts!$F$5:$M$5,0)+1,FALSE),H1923)</f>
        <v>61.45</v>
      </c>
      <c r="I1924" s="6">
        <f>IFERROR(VLOOKUP($B1924,Platts!$E$5:$M$4994,MATCH(I$3,Platts!$F$5:$M$5,0)+1,FALSE),I1923)</f>
        <v>63.5</v>
      </c>
      <c r="J1924" s="6">
        <f t="shared" ref="J1924:J1987" si="60">H1924-C1924</f>
        <v>3.0800000000000054</v>
      </c>
    </row>
    <row r="1925" spans="2:10" x14ac:dyDescent="0.25">
      <c r="B1925" s="5">
        <f t="shared" si="59"/>
        <v>44291</v>
      </c>
      <c r="C1925" s="6">
        <f>IFERROR(VLOOKUP($B1925,Platts!$E$5:$M$4994,MATCH(C$3,Platts!$F$5:$M$5,0)+1,FALSE),C1924)</f>
        <v>56.62</v>
      </c>
      <c r="D1925" s="6">
        <f>IFERROR(VLOOKUP($B1925,Platts!$E$5:$M$4994,MATCH(D$3,Platts!$F$5:$M$5,0)+1,FALSE),D1924)</f>
        <v>57.16</v>
      </c>
      <c r="E1925" s="6">
        <f>IFERROR(VLOOKUP($B1925,Platts!$E$5:$M$4994,MATCH(E$3,Platts!$F$5:$M$5,0)+1,FALSE),E1924)</f>
        <v>56.06</v>
      </c>
      <c r="F1925" s="6">
        <f>IFERROR(VLOOKUP($B1925,Platts!$E$5:$M$4994,MATCH(F$3,Platts!$F$5:$M$5,0)+1,FALSE),F1924)</f>
        <v>59.26</v>
      </c>
      <c r="G1925" s="6">
        <f>IFERROR(VLOOKUP($B1925,Platts!$E$5:$M$4994,MATCH(G$3,Platts!$F$5:$M$5,0)+1,FALSE),G1924)</f>
        <v>63.12</v>
      </c>
      <c r="H1925" s="6">
        <f>IFERROR(VLOOKUP($B1925,Platts!$E$5:$M$4994,MATCH(H$3,Platts!$F$5:$M$5,0)+1,FALSE),H1924)</f>
        <v>58.65</v>
      </c>
      <c r="I1925" s="6">
        <f>IFERROR(VLOOKUP($B1925,Platts!$E$5:$M$4994,MATCH(I$3,Platts!$F$5:$M$5,0)+1,FALSE),I1924)</f>
        <v>60.7</v>
      </c>
      <c r="J1925" s="6">
        <f t="shared" si="60"/>
        <v>2.0300000000000011</v>
      </c>
    </row>
    <row r="1926" spans="2:10" x14ac:dyDescent="0.25">
      <c r="B1926" s="5">
        <f t="shared" ref="B1926:B1989" si="61">B1925+1</f>
        <v>44292</v>
      </c>
      <c r="C1926" s="6">
        <f>IFERROR(VLOOKUP($B1926,Platts!$E$5:$M$4994,MATCH(C$3,Platts!$F$5:$M$5,0)+1,FALSE),C1925)</f>
        <v>57.09</v>
      </c>
      <c r="D1926" s="6">
        <f>IFERROR(VLOOKUP($B1926,Platts!$E$5:$M$4994,MATCH(D$3,Platts!$F$5:$M$5,0)+1,FALSE),D1925)</f>
        <v>57.74</v>
      </c>
      <c r="E1926" s="6">
        <f>IFERROR(VLOOKUP($B1926,Platts!$E$5:$M$4994,MATCH(E$3,Platts!$F$5:$M$5,0)+1,FALSE),E1925)</f>
        <v>56.64</v>
      </c>
      <c r="F1926" s="6">
        <f>IFERROR(VLOOKUP($B1926,Platts!$E$5:$M$4994,MATCH(F$3,Platts!$F$5:$M$5,0)+1,FALSE),F1925)</f>
        <v>59.84</v>
      </c>
      <c r="G1926" s="6">
        <f>IFERROR(VLOOKUP($B1926,Platts!$E$5:$M$4994,MATCH(G$3,Platts!$F$5:$M$5,0)+1,FALSE),G1925)</f>
        <v>63.55</v>
      </c>
      <c r="H1926" s="6">
        <f>IFERROR(VLOOKUP($B1926,Platts!$E$5:$M$4994,MATCH(H$3,Platts!$F$5:$M$5,0)+1,FALSE),H1925)</f>
        <v>59.33</v>
      </c>
      <c r="I1926" s="6">
        <f>IFERROR(VLOOKUP($B1926,Platts!$E$5:$M$4994,MATCH(I$3,Platts!$F$5:$M$5,0)+1,FALSE),I1925)</f>
        <v>61.38</v>
      </c>
      <c r="J1926" s="6">
        <f t="shared" si="60"/>
        <v>2.2399999999999949</v>
      </c>
    </row>
    <row r="1927" spans="2:10" x14ac:dyDescent="0.25">
      <c r="B1927" s="5">
        <f t="shared" si="61"/>
        <v>44293</v>
      </c>
      <c r="C1927" s="6">
        <f>IFERROR(VLOOKUP($B1927,Platts!$E$5:$M$4994,MATCH(C$3,Platts!$F$5:$M$5,0)+1,FALSE),C1926)</f>
        <v>57.4</v>
      </c>
      <c r="D1927" s="6">
        <f>IFERROR(VLOOKUP($B1927,Platts!$E$5:$M$4994,MATCH(D$3,Platts!$F$5:$M$5,0)+1,FALSE),D1926)</f>
        <v>58.12</v>
      </c>
      <c r="E1927" s="6">
        <f>IFERROR(VLOOKUP($B1927,Platts!$E$5:$M$4994,MATCH(E$3,Platts!$F$5:$M$5,0)+1,FALSE),E1926)</f>
        <v>57.02</v>
      </c>
      <c r="F1927" s="6">
        <f>IFERROR(VLOOKUP($B1927,Platts!$E$5:$M$4994,MATCH(F$3,Platts!$F$5:$M$5,0)+1,FALSE),F1926)</f>
        <v>60.22</v>
      </c>
      <c r="G1927" s="6">
        <f>IFERROR(VLOOKUP($B1927,Platts!$E$5:$M$4994,MATCH(G$3,Platts!$F$5:$M$5,0)+1,FALSE),G1926)</f>
        <v>62.11</v>
      </c>
      <c r="H1927" s="6">
        <f>IFERROR(VLOOKUP($B1927,Platts!$E$5:$M$4994,MATCH(H$3,Platts!$F$5:$M$5,0)+1,FALSE),H1926)</f>
        <v>59.79</v>
      </c>
      <c r="I1927" s="6">
        <f>IFERROR(VLOOKUP($B1927,Platts!$E$5:$M$4994,MATCH(I$3,Platts!$F$5:$M$5,0)+1,FALSE),I1926)</f>
        <v>61.79</v>
      </c>
      <c r="J1927" s="6">
        <f t="shared" si="60"/>
        <v>2.3900000000000006</v>
      </c>
    </row>
    <row r="1928" spans="2:10" x14ac:dyDescent="0.25">
      <c r="B1928" s="5">
        <f t="shared" si="61"/>
        <v>44294</v>
      </c>
      <c r="C1928" s="6">
        <f>IFERROR(VLOOKUP($B1928,Platts!$E$5:$M$4994,MATCH(C$3,Platts!$F$5:$M$5,0)+1,FALSE),C1927)</f>
        <v>57.39</v>
      </c>
      <c r="D1928" s="6">
        <f>IFERROR(VLOOKUP($B1928,Platts!$E$5:$M$4994,MATCH(D$3,Platts!$F$5:$M$5,0)+1,FALSE),D1927)</f>
        <v>58.01</v>
      </c>
      <c r="E1928" s="6">
        <f>IFERROR(VLOOKUP($B1928,Platts!$E$5:$M$4994,MATCH(E$3,Platts!$F$5:$M$5,0)+1,FALSE),E1927)</f>
        <v>56.91</v>
      </c>
      <c r="F1928" s="6">
        <f>IFERROR(VLOOKUP($B1928,Platts!$E$5:$M$4994,MATCH(F$3,Platts!$F$5:$M$5,0)+1,FALSE),F1927)</f>
        <v>60.11</v>
      </c>
      <c r="G1928" s="6">
        <f>IFERROR(VLOOKUP($B1928,Platts!$E$5:$M$4994,MATCH(G$3,Platts!$F$5:$M$5,0)+1,FALSE),G1927)</f>
        <v>62.99</v>
      </c>
      <c r="H1928" s="6">
        <f>IFERROR(VLOOKUP($B1928,Platts!$E$5:$M$4994,MATCH(H$3,Platts!$F$5:$M$5,0)+1,FALSE),H1927)</f>
        <v>59.6</v>
      </c>
      <c r="I1928" s="6">
        <f>IFERROR(VLOOKUP($B1928,Platts!$E$5:$M$4994,MATCH(I$3,Platts!$F$5:$M$5,0)+1,FALSE),I1927)</f>
        <v>61.6</v>
      </c>
      <c r="J1928" s="6">
        <f t="shared" si="60"/>
        <v>2.2100000000000009</v>
      </c>
    </row>
    <row r="1929" spans="2:10" x14ac:dyDescent="0.25">
      <c r="B1929" s="5">
        <f t="shared" si="61"/>
        <v>44295</v>
      </c>
      <c r="C1929" s="6">
        <f>IFERROR(VLOOKUP($B1929,Platts!$E$5:$M$4994,MATCH(C$3,Platts!$F$5:$M$5,0)+1,FALSE),C1928)</f>
        <v>57.13</v>
      </c>
      <c r="D1929" s="6">
        <f>IFERROR(VLOOKUP($B1929,Platts!$E$5:$M$4994,MATCH(D$3,Platts!$F$5:$M$5,0)+1,FALSE),D1928)</f>
        <v>57.78</v>
      </c>
      <c r="E1929" s="6">
        <f>IFERROR(VLOOKUP($B1929,Platts!$E$5:$M$4994,MATCH(E$3,Platts!$F$5:$M$5,0)+1,FALSE),E1928)</f>
        <v>56.68</v>
      </c>
      <c r="F1929" s="6">
        <f>IFERROR(VLOOKUP($B1929,Platts!$E$5:$M$4994,MATCH(F$3,Platts!$F$5:$M$5,0)+1,FALSE),F1928)</f>
        <v>59.88</v>
      </c>
      <c r="G1929" s="6">
        <f>IFERROR(VLOOKUP($B1929,Platts!$E$5:$M$4994,MATCH(G$3,Platts!$F$5:$M$5,0)+1,FALSE),G1928)</f>
        <v>63.23</v>
      </c>
      <c r="H1929" s="6">
        <f>IFERROR(VLOOKUP($B1929,Platts!$E$5:$M$4994,MATCH(H$3,Platts!$F$5:$M$5,0)+1,FALSE),H1928)</f>
        <v>59.32</v>
      </c>
      <c r="I1929" s="6">
        <f>IFERROR(VLOOKUP($B1929,Platts!$E$5:$M$4994,MATCH(I$3,Platts!$F$5:$M$5,0)+1,FALSE),I1928)</f>
        <v>61.27</v>
      </c>
      <c r="J1929" s="6">
        <f t="shared" si="60"/>
        <v>2.1899999999999977</v>
      </c>
    </row>
    <row r="1930" spans="2:10" x14ac:dyDescent="0.25">
      <c r="B1930" s="5">
        <f t="shared" si="61"/>
        <v>44296</v>
      </c>
      <c r="C1930" s="6">
        <f>IFERROR(VLOOKUP($B1930,Platts!$E$5:$M$4994,MATCH(C$3,Platts!$F$5:$M$5,0)+1,FALSE),C1929)</f>
        <v>57.13</v>
      </c>
      <c r="D1930" s="6">
        <f>IFERROR(VLOOKUP($B1930,Platts!$E$5:$M$4994,MATCH(D$3,Platts!$F$5:$M$5,0)+1,FALSE),D1929)</f>
        <v>57.78</v>
      </c>
      <c r="E1930" s="6">
        <f>IFERROR(VLOOKUP($B1930,Platts!$E$5:$M$4994,MATCH(E$3,Platts!$F$5:$M$5,0)+1,FALSE),E1929)</f>
        <v>56.68</v>
      </c>
      <c r="F1930" s="6">
        <f>IFERROR(VLOOKUP($B1930,Platts!$E$5:$M$4994,MATCH(F$3,Platts!$F$5:$M$5,0)+1,FALSE),F1929)</f>
        <v>59.88</v>
      </c>
      <c r="G1930" s="6">
        <f>IFERROR(VLOOKUP($B1930,Platts!$E$5:$M$4994,MATCH(G$3,Platts!$F$5:$M$5,0)+1,FALSE),G1929)</f>
        <v>63.23</v>
      </c>
      <c r="H1930" s="6">
        <f>IFERROR(VLOOKUP($B1930,Platts!$E$5:$M$4994,MATCH(H$3,Platts!$F$5:$M$5,0)+1,FALSE),H1929)</f>
        <v>59.32</v>
      </c>
      <c r="I1930" s="6">
        <f>IFERROR(VLOOKUP($B1930,Platts!$E$5:$M$4994,MATCH(I$3,Platts!$F$5:$M$5,0)+1,FALSE),I1929)</f>
        <v>61.27</v>
      </c>
      <c r="J1930" s="6">
        <f t="shared" si="60"/>
        <v>2.1899999999999977</v>
      </c>
    </row>
    <row r="1931" spans="2:10" x14ac:dyDescent="0.25">
      <c r="B1931" s="5">
        <f t="shared" si="61"/>
        <v>44297</v>
      </c>
      <c r="C1931" s="6">
        <f>IFERROR(VLOOKUP($B1931,Platts!$E$5:$M$4994,MATCH(C$3,Platts!$F$5:$M$5,0)+1,FALSE),C1930)</f>
        <v>57.13</v>
      </c>
      <c r="D1931" s="6">
        <f>IFERROR(VLOOKUP($B1931,Platts!$E$5:$M$4994,MATCH(D$3,Platts!$F$5:$M$5,0)+1,FALSE),D1930)</f>
        <v>57.78</v>
      </c>
      <c r="E1931" s="6">
        <f>IFERROR(VLOOKUP($B1931,Platts!$E$5:$M$4994,MATCH(E$3,Platts!$F$5:$M$5,0)+1,FALSE),E1930)</f>
        <v>56.68</v>
      </c>
      <c r="F1931" s="6">
        <f>IFERROR(VLOOKUP($B1931,Platts!$E$5:$M$4994,MATCH(F$3,Platts!$F$5:$M$5,0)+1,FALSE),F1930)</f>
        <v>59.88</v>
      </c>
      <c r="G1931" s="6">
        <f>IFERROR(VLOOKUP($B1931,Platts!$E$5:$M$4994,MATCH(G$3,Platts!$F$5:$M$5,0)+1,FALSE),G1930)</f>
        <v>63.23</v>
      </c>
      <c r="H1931" s="6">
        <f>IFERROR(VLOOKUP($B1931,Platts!$E$5:$M$4994,MATCH(H$3,Platts!$F$5:$M$5,0)+1,FALSE),H1930)</f>
        <v>59.32</v>
      </c>
      <c r="I1931" s="6">
        <f>IFERROR(VLOOKUP($B1931,Platts!$E$5:$M$4994,MATCH(I$3,Platts!$F$5:$M$5,0)+1,FALSE),I1930)</f>
        <v>61.27</v>
      </c>
      <c r="J1931" s="6">
        <f t="shared" si="60"/>
        <v>2.1899999999999977</v>
      </c>
    </row>
    <row r="1932" spans="2:10" x14ac:dyDescent="0.25">
      <c r="B1932" s="5">
        <f t="shared" si="61"/>
        <v>44298</v>
      </c>
      <c r="C1932" s="6">
        <f>IFERROR(VLOOKUP($B1932,Platts!$E$5:$M$4994,MATCH(C$3,Platts!$F$5:$M$5,0)+1,FALSE),C1931)</f>
        <v>57.45</v>
      </c>
      <c r="D1932" s="6">
        <f>IFERROR(VLOOKUP($B1932,Platts!$E$5:$M$4994,MATCH(D$3,Platts!$F$5:$M$5,0)+1,FALSE),D1931)</f>
        <v>58.17</v>
      </c>
      <c r="E1932" s="6">
        <f>IFERROR(VLOOKUP($B1932,Platts!$E$5:$M$4994,MATCH(E$3,Platts!$F$5:$M$5,0)+1,FALSE),E1931)</f>
        <v>57.07</v>
      </c>
      <c r="F1932" s="6">
        <f>IFERROR(VLOOKUP($B1932,Platts!$E$5:$M$4994,MATCH(F$3,Platts!$F$5:$M$5,0)+1,FALSE),F1931)</f>
        <v>60.27</v>
      </c>
      <c r="G1932" s="6">
        <f>IFERROR(VLOOKUP($B1932,Platts!$E$5:$M$4994,MATCH(G$3,Platts!$F$5:$M$5,0)+1,FALSE),G1931)</f>
        <v>63.56</v>
      </c>
      <c r="H1932" s="6">
        <f>IFERROR(VLOOKUP($B1932,Platts!$E$5:$M$4994,MATCH(H$3,Platts!$F$5:$M$5,0)+1,FALSE),H1931)</f>
        <v>59.7</v>
      </c>
      <c r="I1932" s="6">
        <f>IFERROR(VLOOKUP($B1932,Platts!$E$5:$M$4994,MATCH(I$3,Platts!$F$5:$M$5,0)+1,FALSE),I1931)</f>
        <v>61.6</v>
      </c>
      <c r="J1932" s="6">
        <f t="shared" si="60"/>
        <v>2.25</v>
      </c>
    </row>
    <row r="1933" spans="2:10" x14ac:dyDescent="0.25">
      <c r="B1933" s="5">
        <f t="shared" si="61"/>
        <v>44299</v>
      </c>
      <c r="C1933" s="6">
        <f>IFERROR(VLOOKUP($B1933,Platts!$E$5:$M$4994,MATCH(C$3,Platts!$F$5:$M$5,0)+1,FALSE),C1932)</f>
        <v>57.9</v>
      </c>
      <c r="D1933" s="6">
        <f>IFERROR(VLOOKUP($B1933,Platts!$E$5:$M$4994,MATCH(D$3,Platts!$F$5:$M$5,0)+1,FALSE),D1932)</f>
        <v>58.62</v>
      </c>
      <c r="E1933" s="6">
        <f>IFERROR(VLOOKUP($B1933,Platts!$E$5:$M$4994,MATCH(E$3,Platts!$F$5:$M$5,0)+1,FALSE),E1932)</f>
        <v>57.52</v>
      </c>
      <c r="F1933" s="6">
        <f>IFERROR(VLOOKUP($B1933,Platts!$E$5:$M$4994,MATCH(F$3,Platts!$F$5:$M$5,0)+1,FALSE),F1932)</f>
        <v>60.72</v>
      </c>
      <c r="G1933" s="6">
        <f>IFERROR(VLOOKUP($B1933,Platts!$E$5:$M$4994,MATCH(G$3,Platts!$F$5:$M$5,0)+1,FALSE),G1932)</f>
        <v>63.93</v>
      </c>
      <c r="H1933" s="6">
        <f>IFERROR(VLOOKUP($B1933,Platts!$E$5:$M$4994,MATCH(H$3,Platts!$F$5:$M$5,0)+1,FALSE),H1932)</f>
        <v>60.18</v>
      </c>
      <c r="I1933" s="6">
        <f>IFERROR(VLOOKUP($B1933,Platts!$E$5:$M$4994,MATCH(I$3,Platts!$F$5:$M$5,0)+1,FALSE),I1932)</f>
        <v>62.08</v>
      </c>
      <c r="J1933" s="6">
        <f t="shared" si="60"/>
        <v>2.2800000000000011</v>
      </c>
    </row>
    <row r="1934" spans="2:10" x14ac:dyDescent="0.25">
      <c r="B1934" s="5">
        <f t="shared" si="61"/>
        <v>44300</v>
      </c>
      <c r="C1934" s="6">
        <f>IFERROR(VLOOKUP($B1934,Platts!$E$5:$M$4994,MATCH(C$3,Platts!$F$5:$M$5,0)+1,FALSE),C1933)</f>
        <v>60.63</v>
      </c>
      <c r="D1934" s="6">
        <f>IFERROR(VLOOKUP($B1934,Platts!$E$5:$M$4994,MATCH(D$3,Platts!$F$5:$M$5,0)+1,FALSE),D1933)</f>
        <v>61.63</v>
      </c>
      <c r="E1934" s="6">
        <f>IFERROR(VLOOKUP($B1934,Platts!$E$5:$M$4994,MATCH(E$3,Platts!$F$5:$M$5,0)+1,FALSE),E1933)</f>
        <v>60.53</v>
      </c>
      <c r="F1934" s="6">
        <f>IFERROR(VLOOKUP($B1934,Platts!$E$5:$M$4994,MATCH(F$3,Platts!$F$5:$M$5,0)+1,FALSE),F1933)</f>
        <v>63.73</v>
      </c>
      <c r="G1934" s="6">
        <f>IFERROR(VLOOKUP($B1934,Platts!$E$5:$M$4994,MATCH(G$3,Platts!$F$5:$M$5,0)+1,FALSE),G1933)</f>
        <v>66.349999999999994</v>
      </c>
      <c r="H1934" s="6">
        <f>IFERROR(VLOOKUP($B1934,Platts!$E$5:$M$4994,MATCH(H$3,Platts!$F$5:$M$5,0)+1,FALSE),H1933)</f>
        <v>63.15</v>
      </c>
      <c r="I1934" s="6">
        <f>IFERROR(VLOOKUP($B1934,Platts!$E$5:$M$4994,MATCH(I$3,Platts!$F$5:$M$5,0)+1,FALSE),I1933)</f>
        <v>65.05</v>
      </c>
      <c r="J1934" s="6">
        <f t="shared" si="60"/>
        <v>2.519999999999996</v>
      </c>
    </row>
    <row r="1935" spans="2:10" x14ac:dyDescent="0.25">
      <c r="B1935" s="5">
        <f t="shared" si="61"/>
        <v>44301</v>
      </c>
      <c r="C1935" s="6">
        <f>IFERROR(VLOOKUP($B1935,Platts!$E$5:$M$4994,MATCH(C$3,Platts!$F$5:$M$5,0)+1,FALSE),C1934)</f>
        <v>61.12</v>
      </c>
      <c r="D1935" s="6">
        <f>IFERROR(VLOOKUP($B1935,Platts!$E$5:$M$4994,MATCH(D$3,Platts!$F$5:$M$5,0)+1,FALSE),D1934)</f>
        <v>61.93</v>
      </c>
      <c r="E1935" s="6">
        <f>IFERROR(VLOOKUP($B1935,Platts!$E$5:$M$4994,MATCH(E$3,Platts!$F$5:$M$5,0)+1,FALSE),E1934)</f>
        <v>60.83</v>
      </c>
      <c r="F1935" s="6">
        <f>IFERROR(VLOOKUP($B1935,Platts!$E$5:$M$4994,MATCH(F$3,Platts!$F$5:$M$5,0)+1,FALSE),F1934)</f>
        <v>64.03</v>
      </c>
      <c r="G1935" s="6">
        <f>IFERROR(VLOOKUP($B1935,Platts!$E$5:$M$4994,MATCH(G$3,Platts!$F$5:$M$5,0)+1,FALSE),G1934)</f>
        <v>66.510000000000005</v>
      </c>
      <c r="H1935" s="6">
        <f>IFERROR(VLOOKUP($B1935,Platts!$E$5:$M$4994,MATCH(H$3,Platts!$F$5:$M$5,0)+1,FALSE),H1934)</f>
        <v>63.46</v>
      </c>
      <c r="I1935" s="6">
        <f>IFERROR(VLOOKUP($B1935,Platts!$E$5:$M$4994,MATCH(I$3,Platts!$F$5:$M$5,0)+1,FALSE),I1934)</f>
        <v>65.36</v>
      </c>
      <c r="J1935" s="6">
        <f t="shared" si="60"/>
        <v>2.3400000000000034</v>
      </c>
    </row>
    <row r="1936" spans="2:10" x14ac:dyDescent="0.25">
      <c r="B1936" s="5">
        <f t="shared" si="61"/>
        <v>44302</v>
      </c>
      <c r="C1936" s="6">
        <f>IFERROR(VLOOKUP($B1936,Platts!$E$5:$M$4994,MATCH(C$3,Platts!$F$5:$M$5,0)+1,FALSE),C1935)</f>
        <v>61.03</v>
      </c>
      <c r="D1936" s="6">
        <f>IFERROR(VLOOKUP($B1936,Platts!$E$5:$M$4994,MATCH(D$3,Platts!$F$5:$M$5,0)+1,FALSE),D1935)</f>
        <v>61.65</v>
      </c>
      <c r="E1936" s="6">
        <f>IFERROR(VLOOKUP($B1936,Platts!$E$5:$M$4994,MATCH(E$3,Platts!$F$5:$M$5,0)+1,FALSE),E1935)</f>
        <v>60.55</v>
      </c>
      <c r="F1936" s="6">
        <f>IFERROR(VLOOKUP($B1936,Platts!$E$5:$M$4994,MATCH(F$3,Platts!$F$5:$M$5,0)+1,FALSE),F1935)</f>
        <v>63.75</v>
      </c>
      <c r="G1936" s="6">
        <f>IFERROR(VLOOKUP($B1936,Platts!$E$5:$M$4994,MATCH(G$3,Platts!$F$5:$M$5,0)+1,FALSE),G1935)</f>
        <v>66.739999999999995</v>
      </c>
      <c r="H1936" s="6">
        <f>IFERROR(VLOOKUP($B1936,Platts!$E$5:$M$4994,MATCH(H$3,Platts!$F$5:$M$5,0)+1,FALSE),H1935)</f>
        <v>63.13</v>
      </c>
      <c r="I1936" s="6">
        <f>IFERROR(VLOOKUP($B1936,Platts!$E$5:$M$4994,MATCH(I$3,Platts!$F$5:$M$5,0)+1,FALSE),I1935)</f>
        <v>65.03</v>
      </c>
      <c r="J1936" s="6">
        <f t="shared" si="60"/>
        <v>2.1000000000000014</v>
      </c>
    </row>
    <row r="1937" spans="2:10" x14ac:dyDescent="0.25">
      <c r="B1937" s="5">
        <f t="shared" si="61"/>
        <v>44303</v>
      </c>
      <c r="C1937" s="6">
        <f>IFERROR(VLOOKUP($B1937,Platts!$E$5:$M$4994,MATCH(C$3,Platts!$F$5:$M$5,0)+1,FALSE),C1936)</f>
        <v>61.03</v>
      </c>
      <c r="D1937" s="6">
        <f>IFERROR(VLOOKUP($B1937,Platts!$E$5:$M$4994,MATCH(D$3,Platts!$F$5:$M$5,0)+1,FALSE),D1936)</f>
        <v>61.65</v>
      </c>
      <c r="E1937" s="6">
        <f>IFERROR(VLOOKUP($B1937,Platts!$E$5:$M$4994,MATCH(E$3,Platts!$F$5:$M$5,0)+1,FALSE),E1936)</f>
        <v>60.55</v>
      </c>
      <c r="F1937" s="6">
        <f>IFERROR(VLOOKUP($B1937,Platts!$E$5:$M$4994,MATCH(F$3,Platts!$F$5:$M$5,0)+1,FALSE),F1936)</f>
        <v>63.75</v>
      </c>
      <c r="G1937" s="6">
        <f>IFERROR(VLOOKUP($B1937,Platts!$E$5:$M$4994,MATCH(G$3,Platts!$F$5:$M$5,0)+1,FALSE),G1936)</f>
        <v>66.739999999999995</v>
      </c>
      <c r="H1937" s="6">
        <f>IFERROR(VLOOKUP($B1937,Platts!$E$5:$M$4994,MATCH(H$3,Platts!$F$5:$M$5,0)+1,FALSE),H1936)</f>
        <v>63.13</v>
      </c>
      <c r="I1937" s="6">
        <f>IFERROR(VLOOKUP($B1937,Platts!$E$5:$M$4994,MATCH(I$3,Platts!$F$5:$M$5,0)+1,FALSE),I1936)</f>
        <v>65.03</v>
      </c>
      <c r="J1937" s="6">
        <f t="shared" si="60"/>
        <v>2.1000000000000014</v>
      </c>
    </row>
    <row r="1938" spans="2:10" x14ac:dyDescent="0.25">
      <c r="B1938" s="5">
        <f t="shared" si="61"/>
        <v>44304</v>
      </c>
      <c r="C1938" s="6">
        <f>IFERROR(VLOOKUP($B1938,Platts!$E$5:$M$4994,MATCH(C$3,Platts!$F$5:$M$5,0)+1,FALSE),C1937)</f>
        <v>61.03</v>
      </c>
      <c r="D1938" s="6">
        <f>IFERROR(VLOOKUP($B1938,Platts!$E$5:$M$4994,MATCH(D$3,Platts!$F$5:$M$5,0)+1,FALSE),D1937)</f>
        <v>61.65</v>
      </c>
      <c r="E1938" s="6">
        <f>IFERROR(VLOOKUP($B1938,Platts!$E$5:$M$4994,MATCH(E$3,Platts!$F$5:$M$5,0)+1,FALSE),E1937)</f>
        <v>60.55</v>
      </c>
      <c r="F1938" s="6">
        <f>IFERROR(VLOOKUP($B1938,Platts!$E$5:$M$4994,MATCH(F$3,Platts!$F$5:$M$5,0)+1,FALSE),F1937)</f>
        <v>63.75</v>
      </c>
      <c r="G1938" s="6">
        <f>IFERROR(VLOOKUP($B1938,Platts!$E$5:$M$4994,MATCH(G$3,Platts!$F$5:$M$5,0)+1,FALSE),G1937)</f>
        <v>66.739999999999995</v>
      </c>
      <c r="H1938" s="6">
        <f>IFERROR(VLOOKUP($B1938,Platts!$E$5:$M$4994,MATCH(H$3,Platts!$F$5:$M$5,0)+1,FALSE),H1937)</f>
        <v>63.13</v>
      </c>
      <c r="I1938" s="6">
        <f>IFERROR(VLOOKUP($B1938,Platts!$E$5:$M$4994,MATCH(I$3,Platts!$F$5:$M$5,0)+1,FALSE),I1937)</f>
        <v>65.03</v>
      </c>
      <c r="J1938" s="6">
        <f t="shared" si="60"/>
        <v>2.1000000000000014</v>
      </c>
    </row>
    <row r="1939" spans="2:10" x14ac:dyDescent="0.25">
      <c r="B1939" s="5">
        <f t="shared" si="61"/>
        <v>44305</v>
      </c>
      <c r="C1939" s="6">
        <f>IFERROR(VLOOKUP($B1939,Platts!$E$5:$M$4994,MATCH(C$3,Platts!$F$5:$M$5,0)+1,FALSE),C1938)</f>
        <v>61.24</v>
      </c>
      <c r="D1939" s="6">
        <f>IFERROR(VLOOKUP($B1939,Platts!$E$5:$M$4994,MATCH(D$3,Platts!$F$5:$M$5,0)+1,FALSE),D1938)</f>
        <v>61.91</v>
      </c>
      <c r="E1939" s="6">
        <f>IFERROR(VLOOKUP($B1939,Platts!$E$5:$M$4994,MATCH(E$3,Platts!$F$5:$M$5,0)+1,FALSE),E1938)</f>
        <v>60.81</v>
      </c>
      <c r="F1939" s="6">
        <f>IFERROR(VLOOKUP($B1939,Platts!$E$5:$M$4994,MATCH(F$3,Platts!$F$5:$M$5,0)+1,FALSE),F1938)</f>
        <v>64.010000000000005</v>
      </c>
      <c r="G1939" s="6">
        <f>IFERROR(VLOOKUP($B1939,Platts!$E$5:$M$4994,MATCH(G$3,Platts!$F$5:$M$5,0)+1,FALSE),G1938)</f>
        <v>66.94</v>
      </c>
      <c r="H1939" s="6">
        <f>IFERROR(VLOOKUP($B1939,Platts!$E$5:$M$4994,MATCH(H$3,Platts!$F$5:$M$5,0)+1,FALSE),H1938)</f>
        <v>63.38</v>
      </c>
      <c r="I1939" s="6">
        <f>IFERROR(VLOOKUP($B1939,Platts!$E$5:$M$4994,MATCH(I$3,Platts!$F$5:$M$5,0)+1,FALSE),I1938)</f>
        <v>65.48</v>
      </c>
      <c r="J1939" s="6">
        <f t="shared" si="60"/>
        <v>2.1400000000000006</v>
      </c>
    </row>
    <row r="1940" spans="2:10" x14ac:dyDescent="0.25">
      <c r="B1940" s="5">
        <f t="shared" si="61"/>
        <v>44306</v>
      </c>
      <c r="C1940" s="6">
        <f>IFERROR(VLOOKUP($B1940,Platts!$E$5:$M$4994,MATCH(C$3,Platts!$F$5:$M$5,0)+1,FALSE),C1939)</f>
        <v>60.67</v>
      </c>
      <c r="D1940" s="6">
        <f>IFERROR(VLOOKUP($B1940,Platts!$E$5:$M$4994,MATCH(D$3,Platts!$F$5:$M$5,0)+1,FALSE),D1939)</f>
        <v>61.14</v>
      </c>
      <c r="E1940" s="6">
        <f>IFERROR(VLOOKUP($B1940,Platts!$E$5:$M$4994,MATCH(E$3,Platts!$F$5:$M$5,0)+1,FALSE),E1939)</f>
        <v>60.04</v>
      </c>
      <c r="F1940" s="6">
        <f>IFERROR(VLOOKUP($B1940,Platts!$E$5:$M$4994,MATCH(F$3,Platts!$F$5:$M$5,0)+1,FALSE),F1939)</f>
        <v>63.24</v>
      </c>
      <c r="G1940" s="6">
        <f>IFERROR(VLOOKUP($B1940,Platts!$E$5:$M$4994,MATCH(G$3,Platts!$F$5:$M$5,0)+1,FALSE),G1939)</f>
        <v>65.7</v>
      </c>
      <c r="H1940" s="6">
        <f>IFERROR(VLOOKUP($B1940,Platts!$E$5:$M$4994,MATCH(H$3,Platts!$F$5:$M$5,0)+1,FALSE),H1939)</f>
        <v>62.44</v>
      </c>
      <c r="I1940" s="6">
        <f>IFERROR(VLOOKUP($B1940,Platts!$E$5:$M$4994,MATCH(I$3,Platts!$F$5:$M$5,0)+1,FALSE),I1939)</f>
        <v>64.64</v>
      </c>
      <c r="J1940" s="6">
        <f t="shared" si="60"/>
        <v>1.769999999999996</v>
      </c>
    </row>
    <row r="1941" spans="2:10" x14ac:dyDescent="0.25">
      <c r="B1941" s="5">
        <f t="shared" si="61"/>
        <v>44307</v>
      </c>
      <c r="C1941" s="6">
        <f>IFERROR(VLOOKUP($B1941,Platts!$E$5:$M$4994,MATCH(C$3,Platts!$F$5:$M$5,0)+1,FALSE),C1940)</f>
        <v>59.39</v>
      </c>
      <c r="D1941" s="6">
        <f>IFERROR(VLOOKUP($B1941,Platts!$E$5:$M$4994,MATCH(D$3,Platts!$F$5:$M$5,0)+1,FALSE),D1940)</f>
        <v>59.96</v>
      </c>
      <c r="E1941" s="6">
        <f>IFERROR(VLOOKUP($B1941,Platts!$E$5:$M$4994,MATCH(E$3,Platts!$F$5:$M$5,0)+1,FALSE),E1940)</f>
        <v>58.86</v>
      </c>
      <c r="F1941" s="6">
        <f>IFERROR(VLOOKUP($B1941,Platts!$E$5:$M$4994,MATCH(F$3,Platts!$F$5:$M$5,0)+1,FALSE),F1940)</f>
        <v>62.06</v>
      </c>
      <c r="G1941" s="6">
        <f>IFERROR(VLOOKUP($B1941,Platts!$E$5:$M$4994,MATCH(G$3,Platts!$F$5:$M$5,0)+1,FALSE),G1940)</f>
        <v>66.02</v>
      </c>
      <c r="H1941" s="6">
        <f>IFERROR(VLOOKUP($B1941,Platts!$E$5:$M$4994,MATCH(H$3,Platts!$F$5:$M$5,0)+1,FALSE),H1940)</f>
        <v>61.35</v>
      </c>
      <c r="I1941" s="6">
        <f>IFERROR(VLOOKUP($B1941,Platts!$E$5:$M$4994,MATCH(I$3,Platts!$F$5:$M$5,0)+1,FALSE),I1940)</f>
        <v>63.5</v>
      </c>
      <c r="J1941" s="6">
        <f t="shared" si="60"/>
        <v>1.9600000000000009</v>
      </c>
    </row>
    <row r="1942" spans="2:10" x14ac:dyDescent="0.25">
      <c r="B1942" s="5">
        <f t="shared" si="61"/>
        <v>44308</v>
      </c>
      <c r="C1942" s="6">
        <f>IFERROR(VLOOKUP($B1942,Platts!$E$5:$M$4994,MATCH(C$3,Platts!$F$5:$M$5,0)+1,FALSE),C1941)</f>
        <v>59.28</v>
      </c>
      <c r="D1942" s="6">
        <f>IFERROR(VLOOKUP($B1942,Platts!$E$5:$M$4994,MATCH(D$3,Platts!$F$5:$M$5,0)+1,FALSE),D1941)</f>
        <v>59.94</v>
      </c>
      <c r="E1942" s="6">
        <f>IFERROR(VLOOKUP($B1942,Platts!$E$5:$M$4994,MATCH(E$3,Platts!$F$5:$M$5,0)+1,FALSE),E1941)</f>
        <v>58.84</v>
      </c>
      <c r="F1942" s="6">
        <f>IFERROR(VLOOKUP($B1942,Platts!$E$5:$M$4994,MATCH(F$3,Platts!$F$5:$M$5,0)+1,FALSE),F1941)</f>
        <v>62.04</v>
      </c>
      <c r="G1942" s="6">
        <f>IFERROR(VLOOKUP($B1942,Platts!$E$5:$M$4994,MATCH(G$3,Platts!$F$5:$M$5,0)+1,FALSE),G1941)</f>
        <v>65.63</v>
      </c>
      <c r="H1942" s="6">
        <f>IFERROR(VLOOKUP($B1942,Platts!$E$5:$M$4994,MATCH(H$3,Platts!$F$5:$M$5,0)+1,FALSE),H1941)</f>
        <v>61.43</v>
      </c>
      <c r="I1942" s="6">
        <f>IFERROR(VLOOKUP($B1942,Platts!$E$5:$M$4994,MATCH(I$3,Platts!$F$5:$M$5,0)+1,FALSE),I1941)</f>
        <v>63.63</v>
      </c>
      <c r="J1942" s="6">
        <f t="shared" si="60"/>
        <v>2.1499999999999986</v>
      </c>
    </row>
    <row r="1943" spans="2:10" x14ac:dyDescent="0.25">
      <c r="B1943" s="5">
        <f t="shared" si="61"/>
        <v>44309</v>
      </c>
      <c r="C1943" s="6">
        <f>IFERROR(VLOOKUP($B1943,Platts!$E$5:$M$4994,MATCH(C$3,Platts!$F$5:$M$5,0)+1,FALSE),C1942)</f>
        <v>59.86</v>
      </c>
      <c r="D1943" s="6">
        <f>IFERROR(VLOOKUP($B1943,Platts!$E$5:$M$4994,MATCH(D$3,Platts!$F$5:$M$5,0)+1,FALSE),D1942)</f>
        <v>60.51</v>
      </c>
      <c r="E1943" s="6">
        <f>IFERROR(VLOOKUP($B1943,Platts!$E$5:$M$4994,MATCH(E$3,Platts!$F$5:$M$5,0)+1,FALSE),E1942)</f>
        <v>59.41</v>
      </c>
      <c r="F1943" s="6">
        <f>IFERROR(VLOOKUP($B1943,Platts!$E$5:$M$4994,MATCH(F$3,Platts!$F$5:$M$5,0)+1,FALSE),F1942)</f>
        <v>62.61</v>
      </c>
      <c r="G1943" s="6">
        <f>IFERROR(VLOOKUP($B1943,Platts!$E$5:$M$4994,MATCH(G$3,Platts!$F$5:$M$5,0)+1,FALSE),G1942)</f>
        <v>66.040000000000006</v>
      </c>
      <c r="H1943" s="6">
        <f>IFERROR(VLOOKUP($B1943,Platts!$E$5:$M$4994,MATCH(H$3,Platts!$F$5:$M$5,0)+1,FALSE),H1942)</f>
        <v>62.18</v>
      </c>
      <c r="I1943" s="6">
        <f>IFERROR(VLOOKUP($B1943,Platts!$E$5:$M$4994,MATCH(I$3,Platts!$F$5:$M$5,0)+1,FALSE),I1942)</f>
        <v>64.38</v>
      </c>
      <c r="J1943" s="6">
        <f t="shared" si="60"/>
        <v>2.3200000000000003</v>
      </c>
    </row>
    <row r="1944" spans="2:10" x14ac:dyDescent="0.25">
      <c r="B1944" s="5">
        <f t="shared" si="61"/>
        <v>44310</v>
      </c>
      <c r="C1944" s="6">
        <f>IFERROR(VLOOKUP($B1944,Platts!$E$5:$M$4994,MATCH(C$3,Platts!$F$5:$M$5,0)+1,FALSE),C1943)</f>
        <v>59.86</v>
      </c>
      <c r="D1944" s="6">
        <f>IFERROR(VLOOKUP($B1944,Platts!$E$5:$M$4994,MATCH(D$3,Platts!$F$5:$M$5,0)+1,FALSE),D1943)</f>
        <v>60.51</v>
      </c>
      <c r="E1944" s="6">
        <f>IFERROR(VLOOKUP($B1944,Platts!$E$5:$M$4994,MATCH(E$3,Platts!$F$5:$M$5,0)+1,FALSE),E1943)</f>
        <v>59.41</v>
      </c>
      <c r="F1944" s="6">
        <f>IFERROR(VLOOKUP($B1944,Platts!$E$5:$M$4994,MATCH(F$3,Platts!$F$5:$M$5,0)+1,FALSE),F1943)</f>
        <v>62.61</v>
      </c>
      <c r="G1944" s="6">
        <f>IFERROR(VLOOKUP($B1944,Platts!$E$5:$M$4994,MATCH(G$3,Platts!$F$5:$M$5,0)+1,FALSE),G1943)</f>
        <v>66.040000000000006</v>
      </c>
      <c r="H1944" s="6">
        <f>IFERROR(VLOOKUP($B1944,Platts!$E$5:$M$4994,MATCH(H$3,Platts!$F$5:$M$5,0)+1,FALSE),H1943)</f>
        <v>62.18</v>
      </c>
      <c r="I1944" s="6">
        <f>IFERROR(VLOOKUP($B1944,Platts!$E$5:$M$4994,MATCH(I$3,Platts!$F$5:$M$5,0)+1,FALSE),I1943)</f>
        <v>64.38</v>
      </c>
      <c r="J1944" s="6">
        <f t="shared" si="60"/>
        <v>2.3200000000000003</v>
      </c>
    </row>
    <row r="1945" spans="2:10" x14ac:dyDescent="0.25">
      <c r="B1945" s="5">
        <f t="shared" si="61"/>
        <v>44311</v>
      </c>
      <c r="C1945" s="6">
        <f>IFERROR(VLOOKUP($B1945,Platts!$E$5:$M$4994,MATCH(C$3,Platts!$F$5:$M$5,0)+1,FALSE),C1944)</f>
        <v>59.86</v>
      </c>
      <c r="D1945" s="6">
        <f>IFERROR(VLOOKUP($B1945,Platts!$E$5:$M$4994,MATCH(D$3,Platts!$F$5:$M$5,0)+1,FALSE),D1944)</f>
        <v>60.51</v>
      </c>
      <c r="E1945" s="6">
        <f>IFERROR(VLOOKUP($B1945,Platts!$E$5:$M$4994,MATCH(E$3,Platts!$F$5:$M$5,0)+1,FALSE),E1944)</f>
        <v>59.41</v>
      </c>
      <c r="F1945" s="6">
        <f>IFERROR(VLOOKUP($B1945,Platts!$E$5:$M$4994,MATCH(F$3,Platts!$F$5:$M$5,0)+1,FALSE),F1944)</f>
        <v>62.61</v>
      </c>
      <c r="G1945" s="6">
        <f>IFERROR(VLOOKUP($B1945,Platts!$E$5:$M$4994,MATCH(G$3,Platts!$F$5:$M$5,0)+1,FALSE),G1944)</f>
        <v>66.040000000000006</v>
      </c>
      <c r="H1945" s="6">
        <f>IFERROR(VLOOKUP($B1945,Platts!$E$5:$M$4994,MATCH(H$3,Platts!$F$5:$M$5,0)+1,FALSE),H1944)</f>
        <v>62.18</v>
      </c>
      <c r="I1945" s="6">
        <f>IFERROR(VLOOKUP($B1945,Platts!$E$5:$M$4994,MATCH(I$3,Platts!$F$5:$M$5,0)+1,FALSE),I1944)</f>
        <v>64.38</v>
      </c>
      <c r="J1945" s="6">
        <f t="shared" si="60"/>
        <v>2.3200000000000003</v>
      </c>
    </row>
    <row r="1946" spans="2:10" x14ac:dyDescent="0.25">
      <c r="B1946" s="5">
        <f t="shared" si="61"/>
        <v>44312</v>
      </c>
      <c r="C1946" s="6">
        <f>IFERROR(VLOOKUP($B1946,Platts!$E$5:$M$4994,MATCH(C$3,Platts!$F$5:$M$5,0)+1,FALSE),C1945)</f>
        <v>59.65</v>
      </c>
      <c r="D1946" s="6">
        <f>IFERROR(VLOOKUP($B1946,Platts!$E$5:$M$4994,MATCH(D$3,Platts!$F$5:$M$5,0)+1,FALSE),D1945)</f>
        <v>60.44</v>
      </c>
      <c r="E1946" s="6">
        <f>IFERROR(VLOOKUP($B1946,Platts!$E$5:$M$4994,MATCH(E$3,Platts!$F$5:$M$5,0)+1,FALSE),E1945)</f>
        <v>59.34</v>
      </c>
      <c r="F1946" s="6">
        <f>IFERROR(VLOOKUP($B1946,Platts!$E$5:$M$4994,MATCH(F$3,Platts!$F$5:$M$5,0)+1,FALSE),F1945)</f>
        <v>62.54</v>
      </c>
      <c r="G1946" s="6">
        <f>IFERROR(VLOOKUP($B1946,Platts!$E$5:$M$4994,MATCH(G$3,Platts!$F$5:$M$5,0)+1,FALSE),G1945)</f>
        <v>65.760000000000005</v>
      </c>
      <c r="H1946" s="6">
        <f>IFERROR(VLOOKUP($B1946,Platts!$E$5:$M$4994,MATCH(H$3,Platts!$F$5:$M$5,0)+1,FALSE),H1945)</f>
        <v>61.91</v>
      </c>
      <c r="I1946" s="6">
        <f>IFERROR(VLOOKUP($B1946,Platts!$E$5:$M$4994,MATCH(I$3,Platts!$F$5:$M$5,0)+1,FALSE),I1945)</f>
        <v>64.010000000000005</v>
      </c>
      <c r="J1946" s="6">
        <f t="shared" si="60"/>
        <v>2.259999999999998</v>
      </c>
    </row>
    <row r="1947" spans="2:10" x14ac:dyDescent="0.25">
      <c r="B1947" s="5">
        <f t="shared" si="61"/>
        <v>44313</v>
      </c>
      <c r="C1947" s="6">
        <f>IFERROR(VLOOKUP($B1947,Platts!$E$5:$M$4994,MATCH(C$3,Platts!$F$5:$M$5,0)+1,FALSE),C1946)</f>
        <v>60.48</v>
      </c>
      <c r="D1947" s="6">
        <f>IFERROR(VLOOKUP($B1947,Platts!$E$5:$M$4994,MATCH(D$3,Platts!$F$5:$M$5,0)+1,FALSE),D1946)</f>
        <v>61.31</v>
      </c>
      <c r="E1947" s="6">
        <f>IFERROR(VLOOKUP($B1947,Platts!$E$5:$M$4994,MATCH(E$3,Platts!$F$5:$M$5,0)+1,FALSE),E1946)</f>
        <v>60.21</v>
      </c>
      <c r="F1947" s="6">
        <f>IFERROR(VLOOKUP($B1947,Platts!$E$5:$M$4994,MATCH(F$3,Platts!$F$5:$M$5,0)+1,FALSE),F1946)</f>
        <v>63.41</v>
      </c>
      <c r="G1947" s="6">
        <f>IFERROR(VLOOKUP($B1947,Platts!$E$5:$M$4994,MATCH(G$3,Platts!$F$5:$M$5,0)+1,FALSE),G1946)</f>
        <v>65.959999999999994</v>
      </c>
      <c r="H1947" s="6">
        <f>IFERROR(VLOOKUP($B1947,Platts!$E$5:$M$4994,MATCH(H$3,Platts!$F$5:$M$5,0)+1,FALSE),H1946)</f>
        <v>62.94</v>
      </c>
      <c r="I1947" s="6">
        <f>IFERROR(VLOOKUP($B1947,Platts!$E$5:$M$4994,MATCH(I$3,Platts!$F$5:$M$5,0)+1,FALSE),I1946)</f>
        <v>64.989999999999995</v>
      </c>
      <c r="J1947" s="6">
        <f t="shared" si="60"/>
        <v>2.4600000000000009</v>
      </c>
    </row>
    <row r="1948" spans="2:10" x14ac:dyDescent="0.25">
      <c r="B1948" s="5">
        <f t="shared" si="61"/>
        <v>44314</v>
      </c>
      <c r="C1948" s="6">
        <f>IFERROR(VLOOKUP($B1948,Platts!$E$5:$M$4994,MATCH(C$3,Platts!$F$5:$M$5,0)+1,FALSE),C1947)</f>
        <v>61.29</v>
      </c>
      <c r="D1948" s="6">
        <f>IFERROR(VLOOKUP($B1948,Platts!$E$5:$M$4994,MATCH(D$3,Platts!$F$5:$M$5,0)+1,FALSE),D1947)</f>
        <v>62.17</v>
      </c>
      <c r="E1948" s="6">
        <f>IFERROR(VLOOKUP($B1948,Platts!$E$5:$M$4994,MATCH(E$3,Platts!$F$5:$M$5,0)+1,FALSE),E1947)</f>
        <v>61.07</v>
      </c>
      <c r="F1948" s="6">
        <f>IFERROR(VLOOKUP($B1948,Platts!$E$5:$M$4994,MATCH(F$3,Platts!$F$5:$M$5,0)+1,FALSE),F1947)</f>
        <v>64.27</v>
      </c>
      <c r="G1948" s="6">
        <f>IFERROR(VLOOKUP($B1948,Platts!$E$5:$M$4994,MATCH(G$3,Platts!$F$5:$M$5,0)+1,FALSE),G1947)</f>
        <v>67.69</v>
      </c>
      <c r="H1948" s="6">
        <f>IFERROR(VLOOKUP($B1948,Platts!$E$5:$M$4994,MATCH(H$3,Platts!$F$5:$M$5,0)+1,FALSE),H1947)</f>
        <v>63.86</v>
      </c>
      <c r="I1948" s="6">
        <f>IFERROR(VLOOKUP($B1948,Platts!$E$5:$M$4994,MATCH(I$3,Platts!$F$5:$M$5,0)+1,FALSE),I1947)</f>
        <v>65.86</v>
      </c>
      <c r="J1948" s="6">
        <f t="shared" si="60"/>
        <v>2.5700000000000003</v>
      </c>
    </row>
    <row r="1949" spans="2:10" x14ac:dyDescent="0.25">
      <c r="B1949" s="5">
        <f t="shared" si="61"/>
        <v>44315</v>
      </c>
      <c r="C1949" s="6">
        <f>IFERROR(VLOOKUP($B1949,Platts!$E$5:$M$4994,MATCH(C$3,Platts!$F$5:$M$5,0)+1,FALSE),C1948)</f>
        <v>62.57</v>
      </c>
      <c r="D1949" s="6">
        <f>IFERROR(VLOOKUP($B1949,Platts!$E$5:$M$4994,MATCH(D$3,Platts!$F$5:$M$5,0)+1,FALSE),D1948)</f>
        <v>63.41</v>
      </c>
      <c r="E1949" s="6">
        <f>IFERROR(VLOOKUP($B1949,Platts!$E$5:$M$4994,MATCH(E$3,Platts!$F$5:$M$5,0)+1,FALSE),E1948)</f>
        <v>62.31</v>
      </c>
      <c r="F1949" s="6">
        <f>IFERROR(VLOOKUP($B1949,Platts!$E$5:$M$4994,MATCH(F$3,Platts!$F$5:$M$5,0)+1,FALSE),F1948)</f>
        <v>65.510000000000005</v>
      </c>
      <c r="G1949" s="6">
        <f>IFERROR(VLOOKUP($B1949,Platts!$E$5:$M$4994,MATCH(G$3,Platts!$F$5:$M$5,0)+1,FALSE),G1948)</f>
        <v>68.290000000000006</v>
      </c>
      <c r="H1949" s="6">
        <f>IFERROR(VLOOKUP($B1949,Platts!$E$5:$M$4994,MATCH(H$3,Platts!$F$5:$M$5,0)+1,FALSE),H1948)</f>
        <v>65.010000000000005</v>
      </c>
      <c r="I1949" s="6">
        <f>IFERROR(VLOOKUP($B1949,Platts!$E$5:$M$4994,MATCH(I$3,Platts!$F$5:$M$5,0)+1,FALSE),I1948)</f>
        <v>66.959999999999994</v>
      </c>
      <c r="J1949" s="6">
        <f t="shared" si="60"/>
        <v>2.4400000000000048</v>
      </c>
    </row>
    <row r="1950" spans="2:10" x14ac:dyDescent="0.25">
      <c r="B1950" s="5">
        <f t="shared" si="61"/>
        <v>44316</v>
      </c>
      <c r="C1950" s="6">
        <f>IFERROR(VLOOKUP($B1950,Platts!$E$5:$M$4994,MATCH(C$3,Platts!$F$5:$M$5,0)+1,FALSE),C1949)</f>
        <v>61.39</v>
      </c>
      <c r="D1950" s="6">
        <f>IFERROR(VLOOKUP($B1950,Platts!$E$5:$M$4994,MATCH(D$3,Platts!$F$5:$M$5,0)+1,FALSE),D1949)</f>
        <v>62.02</v>
      </c>
      <c r="E1950" s="6">
        <f>IFERROR(VLOOKUP($B1950,Platts!$E$5:$M$4994,MATCH(E$3,Platts!$F$5:$M$5,0)+1,FALSE),E1949)</f>
        <v>60.92</v>
      </c>
      <c r="F1950" s="6">
        <f>IFERROR(VLOOKUP($B1950,Platts!$E$5:$M$4994,MATCH(F$3,Platts!$F$5:$M$5,0)+1,FALSE),F1949)</f>
        <v>64.12</v>
      </c>
      <c r="G1950" s="6">
        <f>IFERROR(VLOOKUP($B1950,Platts!$E$5:$M$4994,MATCH(G$3,Platts!$F$5:$M$5,0)+1,FALSE),G1949)</f>
        <v>66.84</v>
      </c>
      <c r="H1950" s="6">
        <f>IFERROR(VLOOKUP($B1950,Platts!$E$5:$M$4994,MATCH(H$3,Platts!$F$5:$M$5,0)+1,FALSE),H1949)</f>
        <v>63.58</v>
      </c>
      <c r="I1950" s="6">
        <f>IFERROR(VLOOKUP($B1950,Platts!$E$5:$M$4994,MATCH(I$3,Platts!$F$5:$M$5,0)+1,FALSE),I1949)</f>
        <v>65.53</v>
      </c>
      <c r="J1950" s="6">
        <f t="shared" si="60"/>
        <v>2.1899999999999977</v>
      </c>
    </row>
    <row r="1951" spans="2:10" x14ac:dyDescent="0.25">
      <c r="B1951" s="5">
        <f t="shared" si="61"/>
        <v>44317</v>
      </c>
      <c r="C1951" s="6">
        <f>IFERROR(VLOOKUP($B1951,Platts!$E$5:$M$4994,MATCH(C$3,Platts!$F$5:$M$5,0)+1,FALSE),C1950)</f>
        <v>61.39</v>
      </c>
      <c r="D1951" s="6">
        <f>IFERROR(VLOOKUP($B1951,Platts!$E$5:$M$4994,MATCH(D$3,Platts!$F$5:$M$5,0)+1,FALSE),D1950)</f>
        <v>62.02</v>
      </c>
      <c r="E1951" s="6">
        <f>IFERROR(VLOOKUP($B1951,Platts!$E$5:$M$4994,MATCH(E$3,Platts!$F$5:$M$5,0)+1,FALSE),E1950)</f>
        <v>60.92</v>
      </c>
      <c r="F1951" s="6">
        <f>IFERROR(VLOOKUP($B1951,Platts!$E$5:$M$4994,MATCH(F$3,Platts!$F$5:$M$5,0)+1,FALSE),F1950)</f>
        <v>64.12</v>
      </c>
      <c r="G1951" s="6">
        <f>IFERROR(VLOOKUP($B1951,Platts!$E$5:$M$4994,MATCH(G$3,Platts!$F$5:$M$5,0)+1,FALSE),G1950)</f>
        <v>66.84</v>
      </c>
      <c r="H1951" s="6">
        <f>IFERROR(VLOOKUP($B1951,Platts!$E$5:$M$4994,MATCH(H$3,Platts!$F$5:$M$5,0)+1,FALSE),H1950)</f>
        <v>63.58</v>
      </c>
      <c r="I1951" s="6">
        <f>IFERROR(VLOOKUP($B1951,Platts!$E$5:$M$4994,MATCH(I$3,Platts!$F$5:$M$5,0)+1,FALSE),I1950)</f>
        <v>65.53</v>
      </c>
      <c r="J1951" s="6">
        <f t="shared" si="60"/>
        <v>2.1899999999999977</v>
      </c>
    </row>
    <row r="1952" spans="2:10" x14ac:dyDescent="0.25">
      <c r="B1952" s="5">
        <f t="shared" si="61"/>
        <v>44318</v>
      </c>
      <c r="C1952" s="6">
        <f>IFERROR(VLOOKUP($B1952,Platts!$E$5:$M$4994,MATCH(C$3,Platts!$F$5:$M$5,0)+1,FALSE),C1951)</f>
        <v>61.39</v>
      </c>
      <c r="D1952" s="6">
        <f>IFERROR(VLOOKUP($B1952,Platts!$E$5:$M$4994,MATCH(D$3,Platts!$F$5:$M$5,0)+1,FALSE),D1951)</f>
        <v>62.02</v>
      </c>
      <c r="E1952" s="6">
        <f>IFERROR(VLOOKUP($B1952,Platts!$E$5:$M$4994,MATCH(E$3,Platts!$F$5:$M$5,0)+1,FALSE),E1951)</f>
        <v>60.92</v>
      </c>
      <c r="F1952" s="6">
        <f>IFERROR(VLOOKUP($B1952,Platts!$E$5:$M$4994,MATCH(F$3,Platts!$F$5:$M$5,0)+1,FALSE),F1951)</f>
        <v>64.12</v>
      </c>
      <c r="G1952" s="6">
        <f>IFERROR(VLOOKUP($B1952,Platts!$E$5:$M$4994,MATCH(G$3,Platts!$F$5:$M$5,0)+1,FALSE),G1951)</f>
        <v>66.84</v>
      </c>
      <c r="H1952" s="6">
        <f>IFERROR(VLOOKUP($B1952,Platts!$E$5:$M$4994,MATCH(H$3,Platts!$F$5:$M$5,0)+1,FALSE),H1951)</f>
        <v>63.58</v>
      </c>
      <c r="I1952" s="6">
        <f>IFERROR(VLOOKUP($B1952,Platts!$E$5:$M$4994,MATCH(I$3,Platts!$F$5:$M$5,0)+1,FALSE),I1951)</f>
        <v>65.53</v>
      </c>
      <c r="J1952" s="6">
        <f t="shared" si="60"/>
        <v>2.1899999999999977</v>
      </c>
    </row>
    <row r="1953" spans="2:10" x14ac:dyDescent="0.25">
      <c r="B1953" s="5">
        <f t="shared" si="61"/>
        <v>44319</v>
      </c>
      <c r="C1953" s="6">
        <f>IFERROR(VLOOKUP($B1953,Platts!$E$5:$M$4994,MATCH(C$3,Platts!$F$5:$M$5,0)+1,FALSE),C1952)</f>
        <v>61.6</v>
      </c>
      <c r="D1953" s="6">
        <f>IFERROR(VLOOKUP($B1953,Platts!$E$5:$M$4994,MATCH(D$3,Platts!$F$5:$M$5,0)+1,FALSE),D1952)</f>
        <v>62.32</v>
      </c>
      <c r="E1953" s="6">
        <f>IFERROR(VLOOKUP($B1953,Platts!$E$5:$M$4994,MATCH(E$3,Platts!$F$5:$M$5,0)+1,FALSE),E1952)</f>
        <v>61.57</v>
      </c>
      <c r="F1953" s="6">
        <f>IFERROR(VLOOKUP($B1953,Platts!$E$5:$M$4994,MATCH(F$3,Platts!$F$5:$M$5,0)+1,FALSE),F1952)</f>
        <v>64.52</v>
      </c>
      <c r="G1953" s="6">
        <f>IFERROR(VLOOKUP($B1953,Platts!$E$5:$M$4994,MATCH(G$3,Platts!$F$5:$M$5,0)+1,FALSE),G1952)</f>
        <v>66.84</v>
      </c>
      <c r="H1953" s="6">
        <f>IFERROR(VLOOKUP($B1953,Platts!$E$5:$M$4994,MATCH(H$3,Platts!$F$5:$M$5,0)+1,FALSE),H1952)</f>
        <v>64.489999999999995</v>
      </c>
      <c r="I1953" s="6">
        <f>IFERROR(VLOOKUP($B1953,Platts!$E$5:$M$4994,MATCH(I$3,Platts!$F$5:$M$5,0)+1,FALSE),I1952)</f>
        <v>66.44</v>
      </c>
      <c r="J1953" s="6">
        <f t="shared" si="60"/>
        <v>2.8899999999999935</v>
      </c>
    </row>
    <row r="1954" spans="2:10" x14ac:dyDescent="0.25">
      <c r="B1954" s="5">
        <f t="shared" si="61"/>
        <v>44320</v>
      </c>
      <c r="C1954" s="6">
        <f>IFERROR(VLOOKUP($B1954,Platts!$E$5:$M$4994,MATCH(C$3,Platts!$F$5:$M$5,0)+1,FALSE),C1953)</f>
        <v>62.86</v>
      </c>
      <c r="D1954" s="6">
        <f>IFERROR(VLOOKUP($B1954,Platts!$E$5:$M$4994,MATCH(D$3,Platts!$F$5:$M$5,0)+1,FALSE),D1953)</f>
        <v>63.53</v>
      </c>
      <c r="E1954" s="6">
        <f>IFERROR(VLOOKUP($B1954,Platts!$E$5:$M$4994,MATCH(E$3,Platts!$F$5:$M$5,0)+1,FALSE),E1953)</f>
        <v>62.78</v>
      </c>
      <c r="F1954" s="6">
        <f>IFERROR(VLOOKUP($B1954,Platts!$E$5:$M$4994,MATCH(F$3,Platts!$F$5:$M$5,0)+1,FALSE),F1953)</f>
        <v>65.73</v>
      </c>
      <c r="G1954" s="6">
        <f>IFERROR(VLOOKUP($B1954,Platts!$E$5:$M$4994,MATCH(G$3,Platts!$F$5:$M$5,0)+1,FALSE),G1953)</f>
        <v>68.849999999999994</v>
      </c>
      <c r="H1954" s="6">
        <f>IFERROR(VLOOKUP($B1954,Platts!$E$5:$M$4994,MATCH(H$3,Platts!$F$5:$M$5,0)+1,FALSE),H1953)</f>
        <v>65.69</v>
      </c>
      <c r="I1954" s="6">
        <f>IFERROR(VLOOKUP($B1954,Platts!$E$5:$M$4994,MATCH(I$3,Platts!$F$5:$M$5,0)+1,FALSE),I1953)</f>
        <v>67.59</v>
      </c>
      <c r="J1954" s="6">
        <f t="shared" si="60"/>
        <v>2.8299999999999983</v>
      </c>
    </row>
    <row r="1955" spans="2:10" x14ac:dyDescent="0.25">
      <c r="B1955" s="5">
        <f t="shared" si="61"/>
        <v>44321</v>
      </c>
      <c r="C1955" s="6">
        <f>IFERROR(VLOOKUP($B1955,Platts!$E$5:$M$4994,MATCH(C$3,Platts!$F$5:$M$5,0)+1,FALSE),C1954)</f>
        <v>62.86</v>
      </c>
      <c r="D1955" s="6">
        <f>IFERROR(VLOOKUP($B1955,Platts!$E$5:$M$4994,MATCH(D$3,Platts!$F$5:$M$5,0)+1,FALSE),D1954)</f>
        <v>63.52</v>
      </c>
      <c r="E1955" s="6">
        <f>IFERROR(VLOOKUP($B1955,Platts!$E$5:$M$4994,MATCH(E$3,Platts!$F$5:$M$5,0)+1,FALSE),E1954)</f>
        <v>62.77</v>
      </c>
      <c r="F1955" s="6">
        <f>IFERROR(VLOOKUP($B1955,Platts!$E$5:$M$4994,MATCH(F$3,Platts!$F$5:$M$5,0)+1,FALSE),F1954)</f>
        <v>65.72</v>
      </c>
      <c r="G1955" s="6">
        <f>IFERROR(VLOOKUP($B1955,Platts!$E$5:$M$4994,MATCH(G$3,Platts!$F$5:$M$5,0)+1,FALSE),G1954)</f>
        <v>69.739999999999995</v>
      </c>
      <c r="H1955" s="6">
        <f>IFERROR(VLOOKUP($B1955,Platts!$E$5:$M$4994,MATCH(H$3,Platts!$F$5:$M$5,0)+1,FALSE),H1954)</f>
        <v>65.63</v>
      </c>
      <c r="I1955" s="6">
        <f>IFERROR(VLOOKUP($B1955,Platts!$E$5:$M$4994,MATCH(I$3,Platts!$F$5:$M$5,0)+1,FALSE),I1954)</f>
        <v>67.58</v>
      </c>
      <c r="J1955" s="6">
        <f t="shared" si="60"/>
        <v>2.769999999999996</v>
      </c>
    </row>
    <row r="1956" spans="2:10" x14ac:dyDescent="0.25">
      <c r="B1956" s="5">
        <f t="shared" si="61"/>
        <v>44322</v>
      </c>
      <c r="C1956" s="6">
        <f>IFERROR(VLOOKUP($B1956,Platts!$E$5:$M$4994,MATCH(C$3,Platts!$F$5:$M$5,0)+1,FALSE),C1955)</f>
        <v>62.27</v>
      </c>
      <c r="D1956" s="6">
        <f>IFERROR(VLOOKUP($B1956,Platts!$E$5:$M$4994,MATCH(D$3,Platts!$F$5:$M$5,0)+1,FALSE),D1955)</f>
        <v>62.65</v>
      </c>
      <c r="E1956" s="6">
        <f>IFERROR(VLOOKUP($B1956,Platts!$E$5:$M$4994,MATCH(E$3,Platts!$F$5:$M$5,0)+1,FALSE),E1955)</f>
        <v>61.9</v>
      </c>
      <c r="F1956" s="6">
        <f>IFERROR(VLOOKUP($B1956,Platts!$E$5:$M$4994,MATCH(F$3,Platts!$F$5:$M$5,0)+1,FALSE),F1955)</f>
        <v>64.849999999999994</v>
      </c>
      <c r="G1956" s="6">
        <f>IFERROR(VLOOKUP($B1956,Platts!$E$5:$M$4994,MATCH(G$3,Platts!$F$5:$M$5,0)+1,FALSE),G1955)</f>
        <v>68.66</v>
      </c>
      <c r="H1956" s="6">
        <f>IFERROR(VLOOKUP($B1956,Platts!$E$5:$M$4994,MATCH(H$3,Platts!$F$5:$M$5,0)+1,FALSE),H1955)</f>
        <v>64.709999999999994</v>
      </c>
      <c r="I1956" s="6">
        <f>IFERROR(VLOOKUP($B1956,Platts!$E$5:$M$4994,MATCH(I$3,Platts!$F$5:$M$5,0)+1,FALSE),I1955)</f>
        <v>66.709999999999994</v>
      </c>
      <c r="J1956" s="6">
        <f t="shared" si="60"/>
        <v>2.4399999999999906</v>
      </c>
    </row>
    <row r="1957" spans="2:10" x14ac:dyDescent="0.25">
      <c r="B1957" s="5">
        <f t="shared" si="61"/>
        <v>44323</v>
      </c>
      <c r="C1957" s="6">
        <f>IFERROR(VLOOKUP($B1957,Platts!$E$5:$M$4994,MATCH(C$3,Platts!$F$5:$M$5,0)+1,FALSE),C1956)</f>
        <v>62.28</v>
      </c>
      <c r="D1957" s="6">
        <f>IFERROR(VLOOKUP($B1957,Platts!$E$5:$M$4994,MATCH(D$3,Platts!$F$5:$M$5,0)+1,FALSE),D1956)</f>
        <v>62.77</v>
      </c>
      <c r="E1957" s="6">
        <f>IFERROR(VLOOKUP($B1957,Platts!$E$5:$M$4994,MATCH(E$3,Platts!$F$5:$M$5,0)+1,FALSE),E1956)</f>
        <v>62.02</v>
      </c>
      <c r="F1957" s="6">
        <f>IFERROR(VLOOKUP($B1957,Platts!$E$5:$M$4994,MATCH(F$3,Platts!$F$5:$M$5,0)+1,FALSE),F1956)</f>
        <v>64.97</v>
      </c>
      <c r="G1957" s="6">
        <f>IFERROR(VLOOKUP($B1957,Platts!$E$5:$M$4994,MATCH(G$3,Platts!$F$5:$M$5,0)+1,FALSE),G1956)</f>
        <v>68.459999999999994</v>
      </c>
      <c r="H1957" s="6">
        <f>IFERROR(VLOOKUP($B1957,Platts!$E$5:$M$4994,MATCH(H$3,Platts!$F$5:$M$5,0)+1,FALSE),H1956)</f>
        <v>64.900000000000006</v>
      </c>
      <c r="I1957" s="6">
        <f>IFERROR(VLOOKUP($B1957,Platts!$E$5:$M$4994,MATCH(I$3,Platts!$F$5:$M$5,0)+1,FALSE),I1956)</f>
        <v>66.900000000000006</v>
      </c>
      <c r="J1957" s="6">
        <f t="shared" si="60"/>
        <v>2.6200000000000045</v>
      </c>
    </row>
    <row r="1958" spans="2:10" x14ac:dyDescent="0.25">
      <c r="B1958" s="5">
        <f t="shared" si="61"/>
        <v>44324</v>
      </c>
      <c r="C1958" s="6">
        <f>IFERROR(VLOOKUP($B1958,Platts!$E$5:$M$4994,MATCH(C$3,Platts!$F$5:$M$5,0)+1,FALSE),C1957)</f>
        <v>62.28</v>
      </c>
      <c r="D1958" s="6">
        <f>IFERROR(VLOOKUP($B1958,Platts!$E$5:$M$4994,MATCH(D$3,Platts!$F$5:$M$5,0)+1,FALSE),D1957)</f>
        <v>62.77</v>
      </c>
      <c r="E1958" s="6">
        <f>IFERROR(VLOOKUP($B1958,Platts!$E$5:$M$4994,MATCH(E$3,Platts!$F$5:$M$5,0)+1,FALSE),E1957)</f>
        <v>62.02</v>
      </c>
      <c r="F1958" s="6">
        <f>IFERROR(VLOOKUP($B1958,Platts!$E$5:$M$4994,MATCH(F$3,Platts!$F$5:$M$5,0)+1,FALSE),F1957)</f>
        <v>64.97</v>
      </c>
      <c r="G1958" s="6">
        <f>IFERROR(VLOOKUP($B1958,Platts!$E$5:$M$4994,MATCH(G$3,Platts!$F$5:$M$5,0)+1,FALSE),G1957)</f>
        <v>68.459999999999994</v>
      </c>
      <c r="H1958" s="6">
        <f>IFERROR(VLOOKUP($B1958,Platts!$E$5:$M$4994,MATCH(H$3,Platts!$F$5:$M$5,0)+1,FALSE),H1957)</f>
        <v>64.900000000000006</v>
      </c>
      <c r="I1958" s="6">
        <f>IFERROR(VLOOKUP($B1958,Platts!$E$5:$M$4994,MATCH(I$3,Platts!$F$5:$M$5,0)+1,FALSE),I1957)</f>
        <v>66.900000000000006</v>
      </c>
      <c r="J1958" s="6">
        <f t="shared" si="60"/>
        <v>2.6200000000000045</v>
      </c>
    </row>
    <row r="1959" spans="2:10" x14ac:dyDescent="0.25">
      <c r="B1959" s="5">
        <f t="shared" si="61"/>
        <v>44325</v>
      </c>
      <c r="C1959" s="6">
        <f>IFERROR(VLOOKUP($B1959,Platts!$E$5:$M$4994,MATCH(C$3,Platts!$F$5:$M$5,0)+1,FALSE),C1958)</f>
        <v>62.28</v>
      </c>
      <c r="D1959" s="6">
        <f>IFERROR(VLOOKUP($B1959,Platts!$E$5:$M$4994,MATCH(D$3,Platts!$F$5:$M$5,0)+1,FALSE),D1958)</f>
        <v>62.77</v>
      </c>
      <c r="E1959" s="6">
        <f>IFERROR(VLOOKUP($B1959,Platts!$E$5:$M$4994,MATCH(E$3,Platts!$F$5:$M$5,0)+1,FALSE),E1958)</f>
        <v>62.02</v>
      </c>
      <c r="F1959" s="6">
        <f>IFERROR(VLOOKUP($B1959,Platts!$E$5:$M$4994,MATCH(F$3,Platts!$F$5:$M$5,0)+1,FALSE),F1958)</f>
        <v>64.97</v>
      </c>
      <c r="G1959" s="6">
        <f>IFERROR(VLOOKUP($B1959,Platts!$E$5:$M$4994,MATCH(G$3,Platts!$F$5:$M$5,0)+1,FALSE),G1958)</f>
        <v>68.459999999999994</v>
      </c>
      <c r="H1959" s="6">
        <f>IFERROR(VLOOKUP($B1959,Platts!$E$5:$M$4994,MATCH(H$3,Platts!$F$5:$M$5,0)+1,FALSE),H1958)</f>
        <v>64.900000000000006</v>
      </c>
      <c r="I1959" s="6">
        <f>IFERROR(VLOOKUP($B1959,Platts!$E$5:$M$4994,MATCH(I$3,Platts!$F$5:$M$5,0)+1,FALSE),I1958)</f>
        <v>66.900000000000006</v>
      </c>
      <c r="J1959" s="6">
        <f t="shared" si="60"/>
        <v>2.6200000000000045</v>
      </c>
    </row>
    <row r="1960" spans="2:10" x14ac:dyDescent="0.25">
      <c r="B1960" s="5">
        <f t="shared" si="61"/>
        <v>44326</v>
      </c>
      <c r="C1960" s="6">
        <f>IFERROR(VLOOKUP($B1960,Platts!$E$5:$M$4994,MATCH(C$3,Platts!$F$5:$M$5,0)+1,FALSE),C1959)</f>
        <v>62.38</v>
      </c>
      <c r="D1960" s="6">
        <f>IFERROR(VLOOKUP($B1960,Platts!$E$5:$M$4994,MATCH(D$3,Platts!$F$5:$M$5,0)+1,FALSE),D1959)</f>
        <v>62.8</v>
      </c>
      <c r="E1960" s="6">
        <f>IFERROR(VLOOKUP($B1960,Platts!$E$5:$M$4994,MATCH(E$3,Platts!$F$5:$M$5,0)+1,FALSE),E1959)</f>
        <v>62.05</v>
      </c>
      <c r="F1960" s="6">
        <f>IFERROR(VLOOKUP($B1960,Platts!$E$5:$M$4994,MATCH(F$3,Platts!$F$5:$M$5,0)+1,FALSE),F1959)</f>
        <v>65</v>
      </c>
      <c r="G1960" s="6">
        <f>IFERROR(VLOOKUP($B1960,Platts!$E$5:$M$4994,MATCH(G$3,Platts!$F$5:$M$5,0)+1,FALSE),G1959)</f>
        <v>68.27</v>
      </c>
      <c r="H1960" s="6">
        <f>IFERROR(VLOOKUP($B1960,Platts!$E$5:$M$4994,MATCH(H$3,Platts!$F$5:$M$5,0)+1,FALSE),H1959)</f>
        <v>64.92</v>
      </c>
      <c r="I1960" s="6">
        <f>IFERROR(VLOOKUP($B1960,Platts!$E$5:$M$4994,MATCH(I$3,Platts!$F$5:$M$5,0)+1,FALSE),I1959)</f>
        <v>66.87</v>
      </c>
      <c r="J1960" s="6">
        <f t="shared" si="60"/>
        <v>2.5399999999999991</v>
      </c>
    </row>
    <row r="1961" spans="2:10" x14ac:dyDescent="0.25">
      <c r="B1961" s="5">
        <f t="shared" si="61"/>
        <v>44327</v>
      </c>
      <c r="C1961" s="6">
        <f>IFERROR(VLOOKUP($B1961,Platts!$E$5:$M$4994,MATCH(C$3,Platts!$F$5:$M$5,0)+1,FALSE),C1960)</f>
        <v>62.43</v>
      </c>
      <c r="D1961" s="6">
        <f>IFERROR(VLOOKUP($B1961,Platts!$E$5:$M$4994,MATCH(D$3,Platts!$F$5:$M$5,0)+1,FALSE),D1960)</f>
        <v>63.01</v>
      </c>
      <c r="E1961" s="6">
        <f>IFERROR(VLOOKUP($B1961,Platts!$E$5:$M$4994,MATCH(E$3,Platts!$F$5:$M$5,0)+1,FALSE),E1960)</f>
        <v>62.26</v>
      </c>
      <c r="F1961" s="6">
        <f>IFERROR(VLOOKUP($B1961,Platts!$E$5:$M$4994,MATCH(F$3,Platts!$F$5:$M$5,0)+1,FALSE),F1960)</f>
        <v>65.209999999999994</v>
      </c>
      <c r="G1961" s="6">
        <f>IFERROR(VLOOKUP($B1961,Platts!$E$5:$M$4994,MATCH(G$3,Platts!$F$5:$M$5,0)+1,FALSE),G1960)</f>
        <v>68.52</v>
      </c>
      <c r="H1961" s="6">
        <f>IFERROR(VLOOKUP($B1961,Platts!$E$5:$M$4994,MATCH(H$3,Platts!$F$5:$M$5,0)+1,FALSE),H1960)</f>
        <v>65.28</v>
      </c>
      <c r="I1961" s="6">
        <f>IFERROR(VLOOKUP($B1961,Platts!$E$5:$M$4994,MATCH(I$3,Platts!$F$5:$M$5,0)+1,FALSE),I1960)</f>
        <v>67.180000000000007</v>
      </c>
      <c r="J1961" s="6">
        <f t="shared" si="60"/>
        <v>2.8500000000000014</v>
      </c>
    </row>
    <row r="1962" spans="2:10" x14ac:dyDescent="0.25">
      <c r="B1962" s="5">
        <f t="shared" si="61"/>
        <v>44328</v>
      </c>
      <c r="C1962" s="6">
        <f>IFERROR(VLOOKUP($B1962,Platts!$E$5:$M$4994,MATCH(C$3,Platts!$F$5:$M$5,0)+1,FALSE),C1961)</f>
        <v>63.26</v>
      </c>
      <c r="D1962" s="6">
        <f>IFERROR(VLOOKUP($B1962,Platts!$E$5:$M$4994,MATCH(D$3,Platts!$F$5:$M$5,0)+1,FALSE),D1961)</f>
        <v>63.8</v>
      </c>
      <c r="E1962" s="6">
        <f>IFERROR(VLOOKUP($B1962,Platts!$E$5:$M$4994,MATCH(E$3,Platts!$F$5:$M$5,0)+1,FALSE),E1961)</f>
        <v>63.05</v>
      </c>
      <c r="F1962" s="6">
        <f>IFERROR(VLOOKUP($B1962,Platts!$E$5:$M$4994,MATCH(F$3,Platts!$F$5:$M$5,0)+1,FALSE),F1961)</f>
        <v>66</v>
      </c>
      <c r="G1962" s="6">
        <f>IFERROR(VLOOKUP($B1962,Platts!$E$5:$M$4994,MATCH(G$3,Platts!$F$5:$M$5,0)+1,FALSE),G1961)</f>
        <v>69.73</v>
      </c>
      <c r="H1962" s="6">
        <f>IFERROR(VLOOKUP($B1962,Platts!$E$5:$M$4994,MATCH(H$3,Platts!$F$5:$M$5,0)+1,FALSE),H1961)</f>
        <v>66.08</v>
      </c>
      <c r="I1962" s="6">
        <f>IFERROR(VLOOKUP($B1962,Platts!$E$5:$M$4994,MATCH(I$3,Platts!$F$5:$M$5,0)+1,FALSE),I1961)</f>
        <v>67.98</v>
      </c>
      <c r="J1962" s="6">
        <f t="shared" si="60"/>
        <v>2.8200000000000003</v>
      </c>
    </row>
    <row r="1963" spans="2:10" x14ac:dyDescent="0.25">
      <c r="B1963" s="5">
        <f t="shared" si="61"/>
        <v>44329</v>
      </c>
      <c r="C1963" s="6">
        <f>IFERROR(VLOOKUP($B1963,Platts!$E$5:$M$4994,MATCH(C$3,Platts!$F$5:$M$5,0)+1,FALSE),C1962)</f>
        <v>63.26</v>
      </c>
      <c r="D1963" s="6">
        <f>IFERROR(VLOOKUP($B1963,Platts!$E$5:$M$4994,MATCH(D$3,Platts!$F$5:$M$5,0)+1,FALSE),D1962)</f>
        <v>61.64</v>
      </c>
      <c r="E1963" s="6">
        <f>IFERROR(VLOOKUP($B1963,Platts!$E$5:$M$4994,MATCH(E$3,Platts!$F$5:$M$5,0)+1,FALSE),E1962)</f>
        <v>60.89</v>
      </c>
      <c r="F1963" s="6">
        <f>IFERROR(VLOOKUP($B1963,Platts!$E$5:$M$4994,MATCH(F$3,Platts!$F$5:$M$5,0)+1,FALSE),F1962)</f>
        <v>63.84</v>
      </c>
      <c r="G1963" s="6">
        <f>IFERROR(VLOOKUP($B1963,Platts!$E$5:$M$4994,MATCH(G$3,Platts!$F$5:$M$5,0)+1,FALSE),G1962)</f>
        <v>67.61</v>
      </c>
      <c r="H1963" s="6">
        <f>IFERROR(VLOOKUP($B1963,Platts!$E$5:$M$4994,MATCH(H$3,Platts!$F$5:$M$5,0)+1,FALSE),H1962)</f>
        <v>63.82</v>
      </c>
      <c r="I1963" s="6">
        <f>IFERROR(VLOOKUP($B1963,Platts!$E$5:$M$4994,MATCH(I$3,Platts!$F$5:$M$5,0)+1,FALSE),I1962)</f>
        <v>65.87</v>
      </c>
      <c r="J1963" s="6">
        <f t="shared" si="60"/>
        <v>0.56000000000000227</v>
      </c>
    </row>
    <row r="1964" spans="2:10" x14ac:dyDescent="0.25">
      <c r="B1964" s="5">
        <f t="shared" si="61"/>
        <v>44330</v>
      </c>
      <c r="C1964" s="6">
        <f>IFERROR(VLOOKUP($B1964,Platts!$E$5:$M$4994,MATCH(C$3,Platts!$F$5:$M$5,0)+1,FALSE),C1963)</f>
        <v>62.6</v>
      </c>
      <c r="D1964" s="6">
        <f>IFERROR(VLOOKUP($B1964,Platts!$E$5:$M$4994,MATCH(D$3,Platts!$F$5:$M$5,0)+1,FALSE),D1963)</f>
        <v>63.26</v>
      </c>
      <c r="E1964" s="6">
        <f>IFERROR(VLOOKUP($B1964,Platts!$E$5:$M$4994,MATCH(E$3,Platts!$F$5:$M$5,0)+1,FALSE),E1963)</f>
        <v>62.51</v>
      </c>
      <c r="F1964" s="6">
        <f>IFERROR(VLOOKUP($B1964,Platts!$E$5:$M$4994,MATCH(F$3,Platts!$F$5:$M$5,0)+1,FALSE),F1963)</f>
        <v>65.459999999999994</v>
      </c>
      <c r="G1964" s="6">
        <f>IFERROR(VLOOKUP($B1964,Platts!$E$5:$M$4994,MATCH(G$3,Platts!$F$5:$M$5,0)+1,FALSE),G1963)</f>
        <v>68.58</v>
      </c>
      <c r="H1964" s="6">
        <f>IFERROR(VLOOKUP($B1964,Platts!$E$5:$M$4994,MATCH(H$3,Platts!$F$5:$M$5,0)+1,FALSE),H1963)</f>
        <v>65.37</v>
      </c>
      <c r="I1964" s="6">
        <f>IFERROR(VLOOKUP($B1964,Platts!$E$5:$M$4994,MATCH(I$3,Platts!$F$5:$M$5,0)+1,FALSE),I1963)</f>
        <v>67.67</v>
      </c>
      <c r="J1964" s="6">
        <f t="shared" si="60"/>
        <v>2.7700000000000031</v>
      </c>
    </row>
    <row r="1965" spans="2:10" x14ac:dyDescent="0.25">
      <c r="B1965" s="5">
        <f t="shared" si="61"/>
        <v>44331</v>
      </c>
      <c r="C1965" s="6">
        <f>IFERROR(VLOOKUP($B1965,Platts!$E$5:$M$4994,MATCH(C$3,Platts!$F$5:$M$5,0)+1,FALSE),C1964)</f>
        <v>62.6</v>
      </c>
      <c r="D1965" s="6">
        <f>IFERROR(VLOOKUP($B1965,Platts!$E$5:$M$4994,MATCH(D$3,Platts!$F$5:$M$5,0)+1,FALSE),D1964)</f>
        <v>63.26</v>
      </c>
      <c r="E1965" s="6">
        <f>IFERROR(VLOOKUP($B1965,Platts!$E$5:$M$4994,MATCH(E$3,Platts!$F$5:$M$5,0)+1,FALSE),E1964)</f>
        <v>62.51</v>
      </c>
      <c r="F1965" s="6">
        <f>IFERROR(VLOOKUP($B1965,Platts!$E$5:$M$4994,MATCH(F$3,Platts!$F$5:$M$5,0)+1,FALSE),F1964)</f>
        <v>65.459999999999994</v>
      </c>
      <c r="G1965" s="6">
        <f>IFERROR(VLOOKUP($B1965,Platts!$E$5:$M$4994,MATCH(G$3,Platts!$F$5:$M$5,0)+1,FALSE),G1964)</f>
        <v>68.58</v>
      </c>
      <c r="H1965" s="6">
        <f>IFERROR(VLOOKUP($B1965,Platts!$E$5:$M$4994,MATCH(H$3,Platts!$F$5:$M$5,0)+1,FALSE),H1964)</f>
        <v>65.37</v>
      </c>
      <c r="I1965" s="6">
        <f>IFERROR(VLOOKUP($B1965,Platts!$E$5:$M$4994,MATCH(I$3,Platts!$F$5:$M$5,0)+1,FALSE),I1964)</f>
        <v>67.67</v>
      </c>
      <c r="J1965" s="6">
        <f t="shared" si="60"/>
        <v>2.7700000000000031</v>
      </c>
    </row>
    <row r="1966" spans="2:10" x14ac:dyDescent="0.25">
      <c r="B1966" s="5">
        <f t="shared" si="61"/>
        <v>44332</v>
      </c>
      <c r="C1966" s="6">
        <f>IFERROR(VLOOKUP($B1966,Platts!$E$5:$M$4994,MATCH(C$3,Platts!$F$5:$M$5,0)+1,FALSE),C1965)</f>
        <v>62.6</v>
      </c>
      <c r="D1966" s="6">
        <f>IFERROR(VLOOKUP($B1966,Platts!$E$5:$M$4994,MATCH(D$3,Platts!$F$5:$M$5,0)+1,FALSE),D1965)</f>
        <v>63.26</v>
      </c>
      <c r="E1966" s="6">
        <f>IFERROR(VLOOKUP($B1966,Platts!$E$5:$M$4994,MATCH(E$3,Platts!$F$5:$M$5,0)+1,FALSE),E1965)</f>
        <v>62.51</v>
      </c>
      <c r="F1966" s="6">
        <f>IFERROR(VLOOKUP($B1966,Platts!$E$5:$M$4994,MATCH(F$3,Platts!$F$5:$M$5,0)+1,FALSE),F1965)</f>
        <v>65.459999999999994</v>
      </c>
      <c r="G1966" s="6">
        <f>IFERROR(VLOOKUP($B1966,Platts!$E$5:$M$4994,MATCH(G$3,Platts!$F$5:$M$5,0)+1,FALSE),G1965)</f>
        <v>68.58</v>
      </c>
      <c r="H1966" s="6">
        <f>IFERROR(VLOOKUP($B1966,Platts!$E$5:$M$4994,MATCH(H$3,Platts!$F$5:$M$5,0)+1,FALSE),H1965)</f>
        <v>65.37</v>
      </c>
      <c r="I1966" s="6">
        <f>IFERROR(VLOOKUP($B1966,Platts!$E$5:$M$4994,MATCH(I$3,Platts!$F$5:$M$5,0)+1,FALSE),I1965)</f>
        <v>67.67</v>
      </c>
      <c r="J1966" s="6">
        <f t="shared" si="60"/>
        <v>2.7700000000000031</v>
      </c>
    </row>
    <row r="1967" spans="2:10" x14ac:dyDescent="0.25">
      <c r="B1967" s="5">
        <f t="shared" si="61"/>
        <v>44333</v>
      </c>
      <c r="C1967" s="6">
        <f>IFERROR(VLOOKUP($B1967,Platts!$E$5:$M$4994,MATCH(C$3,Platts!$F$5:$M$5,0)+1,FALSE),C1966)</f>
        <v>63.55</v>
      </c>
      <c r="D1967" s="6">
        <f>IFERROR(VLOOKUP($B1967,Platts!$E$5:$M$4994,MATCH(D$3,Platts!$F$5:$M$5,0)+1,FALSE),D1966)</f>
        <v>64.11</v>
      </c>
      <c r="E1967" s="6">
        <f>IFERROR(VLOOKUP($B1967,Platts!$E$5:$M$4994,MATCH(E$3,Platts!$F$5:$M$5,0)+1,FALSE),E1966)</f>
        <v>63.36</v>
      </c>
      <c r="F1967" s="6">
        <f>IFERROR(VLOOKUP($B1967,Platts!$E$5:$M$4994,MATCH(F$3,Platts!$F$5:$M$5,0)+1,FALSE),F1966)</f>
        <v>66.31</v>
      </c>
      <c r="G1967" s="6">
        <f>IFERROR(VLOOKUP($B1967,Platts!$E$5:$M$4994,MATCH(G$3,Platts!$F$5:$M$5,0)+1,FALSE),G1966)</f>
        <v>69.260000000000005</v>
      </c>
      <c r="H1967" s="6">
        <f>IFERROR(VLOOKUP($B1967,Platts!$E$5:$M$4994,MATCH(H$3,Platts!$F$5:$M$5,0)+1,FALSE),H1966)</f>
        <v>66.27</v>
      </c>
      <c r="I1967" s="6">
        <f>IFERROR(VLOOKUP($B1967,Platts!$E$5:$M$4994,MATCH(I$3,Platts!$F$5:$M$5,0)+1,FALSE),I1966)</f>
        <v>68.569999999999993</v>
      </c>
      <c r="J1967" s="6">
        <f t="shared" si="60"/>
        <v>2.7199999999999989</v>
      </c>
    </row>
    <row r="1968" spans="2:10" x14ac:dyDescent="0.25">
      <c r="B1968" s="5">
        <f t="shared" si="61"/>
        <v>44334</v>
      </c>
      <c r="C1968" s="6">
        <f>IFERROR(VLOOKUP($B1968,Platts!$E$5:$M$4994,MATCH(C$3,Platts!$F$5:$M$5,0)+1,FALSE),C1967)</f>
        <v>63.01</v>
      </c>
      <c r="D1968" s="6">
        <f>IFERROR(VLOOKUP($B1968,Platts!$E$5:$M$4994,MATCH(D$3,Platts!$F$5:$M$5,0)+1,FALSE),D1967)</f>
        <v>63.27</v>
      </c>
      <c r="E1968" s="6">
        <f>IFERROR(VLOOKUP($B1968,Platts!$E$5:$M$4994,MATCH(E$3,Platts!$F$5:$M$5,0)+1,FALSE),E1967)</f>
        <v>62.52</v>
      </c>
      <c r="F1968" s="6">
        <f>IFERROR(VLOOKUP($B1968,Platts!$E$5:$M$4994,MATCH(F$3,Platts!$F$5:$M$5,0)+1,FALSE),F1967)</f>
        <v>65.47</v>
      </c>
      <c r="G1968" s="6">
        <f>IFERROR(VLOOKUP($B1968,Platts!$E$5:$M$4994,MATCH(G$3,Platts!$F$5:$M$5,0)+1,FALSE),G1967)</f>
        <v>69.430000000000007</v>
      </c>
      <c r="H1968" s="6">
        <f>IFERROR(VLOOKUP($B1968,Platts!$E$5:$M$4994,MATCH(H$3,Platts!$F$5:$M$5,0)+1,FALSE),H1967)</f>
        <v>65.489999999999995</v>
      </c>
      <c r="I1968" s="6">
        <f>IFERROR(VLOOKUP($B1968,Platts!$E$5:$M$4994,MATCH(I$3,Platts!$F$5:$M$5,0)+1,FALSE),I1967)</f>
        <v>67.790000000000006</v>
      </c>
      <c r="J1968" s="6">
        <f t="shared" si="60"/>
        <v>2.4799999999999969</v>
      </c>
    </row>
    <row r="1969" spans="2:10" x14ac:dyDescent="0.25">
      <c r="B1969" s="5">
        <f t="shared" si="61"/>
        <v>44335</v>
      </c>
      <c r="C1969" s="6">
        <f>IFERROR(VLOOKUP($B1969,Platts!$E$5:$M$4994,MATCH(C$3,Platts!$F$5:$M$5,0)+1,FALSE),C1968)</f>
        <v>60.91</v>
      </c>
      <c r="D1969" s="6">
        <f>IFERROR(VLOOKUP($B1969,Platts!$E$5:$M$4994,MATCH(D$3,Platts!$F$5:$M$5,0)+1,FALSE),D1968)</f>
        <v>61.17</v>
      </c>
      <c r="E1969" s="6">
        <f>IFERROR(VLOOKUP($B1969,Platts!$E$5:$M$4994,MATCH(E$3,Platts!$F$5:$M$5,0)+1,FALSE),E1968)</f>
        <v>60.42</v>
      </c>
      <c r="F1969" s="6">
        <f>IFERROR(VLOOKUP($B1969,Platts!$E$5:$M$4994,MATCH(F$3,Platts!$F$5:$M$5,0)+1,FALSE),F1968)</f>
        <v>63.37</v>
      </c>
      <c r="G1969" s="6">
        <f>IFERROR(VLOOKUP($B1969,Platts!$E$5:$M$4994,MATCH(G$3,Platts!$F$5:$M$5,0)+1,FALSE),G1968)</f>
        <v>66.25</v>
      </c>
      <c r="H1969" s="6">
        <f>IFERROR(VLOOKUP($B1969,Platts!$E$5:$M$4994,MATCH(H$3,Platts!$F$5:$M$5,0)+1,FALSE),H1968)</f>
        <v>63.36</v>
      </c>
      <c r="I1969" s="6">
        <f>IFERROR(VLOOKUP($B1969,Platts!$E$5:$M$4994,MATCH(I$3,Platts!$F$5:$M$5,0)+1,FALSE),I1968)</f>
        <v>65.66</v>
      </c>
      <c r="J1969" s="6">
        <f t="shared" si="60"/>
        <v>2.4500000000000028</v>
      </c>
    </row>
    <row r="1970" spans="2:10" x14ac:dyDescent="0.25">
      <c r="B1970" s="5">
        <f t="shared" si="61"/>
        <v>44336</v>
      </c>
      <c r="C1970" s="6">
        <f>IFERROR(VLOOKUP($B1970,Platts!$E$5:$M$4994,MATCH(C$3,Platts!$F$5:$M$5,0)+1,FALSE),C1969)</f>
        <v>59.53</v>
      </c>
      <c r="D1970" s="6">
        <f>IFERROR(VLOOKUP($B1970,Platts!$E$5:$M$4994,MATCH(D$3,Platts!$F$5:$M$5,0)+1,FALSE),D1969)</f>
        <v>59.78</v>
      </c>
      <c r="E1970" s="6">
        <f>IFERROR(VLOOKUP($B1970,Platts!$E$5:$M$4994,MATCH(E$3,Platts!$F$5:$M$5,0)+1,FALSE),E1969)</f>
        <v>59.03</v>
      </c>
      <c r="F1970" s="6">
        <f>IFERROR(VLOOKUP($B1970,Platts!$E$5:$M$4994,MATCH(F$3,Platts!$F$5:$M$5,0)+1,FALSE),F1969)</f>
        <v>61.98</v>
      </c>
      <c r="G1970" s="6">
        <f>IFERROR(VLOOKUP($B1970,Platts!$E$5:$M$4994,MATCH(G$3,Platts!$F$5:$M$5,0)+1,FALSE),G1969)</f>
        <v>66.45</v>
      </c>
      <c r="H1970" s="6">
        <f>IFERROR(VLOOKUP($B1970,Platts!$E$5:$M$4994,MATCH(H$3,Platts!$F$5:$M$5,0)+1,FALSE),H1969)</f>
        <v>62.05</v>
      </c>
      <c r="I1970" s="6">
        <f>IFERROR(VLOOKUP($B1970,Platts!$E$5:$M$4994,MATCH(I$3,Platts!$F$5:$M$5,0)+1,FALSE),I1969)</f>
        <v>64.3</v>
      </c>
      <c r="J1970" s="6">
        <f t="shared" si="60"/>
        <v>2.519999999999996</v>
      </c>
    </row>
    <row r="1971" spans="2:10" x14ac:dyDescent="0.25">
      <c r="B1971" s="5">
        <f t="shared" si="61"/>
        <v>44337</v>
      </c>
      <c r="C1971" s="6">
        <f>IFERROR(VLOOKUP($B1971,Platts!$E$5:$M$4994,MATCH(C$3,Platts!$F$5:$M$5,0)+1,FALSE),C1970)</f>
        <v>59.53</v>
      </c>
      <c r="D1971" s="6">
        <f>IFERROR(VLOOKUP($B1971,Platts!$E$5:$M$4994,MATCH(D$3,Platts!$F$5:$M$5,0)+1,FALSE),D1970)</f>
        <v>61.22</v>
      </c>
      <c r="E1971" s="6">
        <f>IFERROR(VLOOKUP($B1971,Platts!$E$5:$M$4994,MATCH(E$3,Platts!$F$5:$M$5,0)+1,FALSE),E1970)</f>
        <v>60.47</v>
      </c>
      <c r="F1971" s="6">
        <f>IFERROR(VLOOKUP($B1971,Platts!$E$5:$M$4994,MATCH(F$3,Platts!$F$5:$M$5,0)+1,FALSE),F1970)</f>
        <v>63.42</v>
      </c>
      <c r="G1971" s="6">
        <f>IFERROR(VLOOKUP($B1971,Platts!$E$5:$M$4994,MATCH(G$3,Platts!$F$5:$M$5,0)+1,FALSE),G1970)</f>
        <v>66.790000000000006</v>
      </c>
      <c r="H1971" s="6">
        <f>IFERROR(VLOOKUP($B1971,Platts!$E$5:$M$4994,MATCH(H$3,Platts!$F$5:$M$5,0)+1,FALSE),H1970)</f>
        <v>63.7</v>
      </c>
      <c r="I1971" s="6">
        <f>IFERROR(VLOOKUP($B1971,Platts!$E$5:$M$4994,MATCH(I$3,Platts!$F$5:$M$5,0)+1,FALSE),I1970)</f>
        <v>65.8</v>
      </c>
      <c r="J1971" s="6">
        <f t="shared" si="60"/>
        <v>4.1700000000000017</v>
      </c>
    </row>
    <row r="1972" spans="2:10" x14ac:dyDescent="0.25">
      <c r="B1972" s="5">
        <f t="shared" si="61"/>
        <v>44338</v>
      </c>
      <c r="C1972" s="6">
        <f>IFERROR(VLOOKUP($B1972,Platts!$E$5:$M$4994,MATCH(C$3,Platts!$F$5:$M$5,0)+1,FALSE),C1971)</f>
        <v>59.53</v>
      </c>
      <c r="D1972" s="6">
        <f>IFERROR(VLOOKUP($B1972,Platts!$E$5:$M$4994,MATCH(D$3,Platts!$F$5:$M$5,0)+1,FALSE),D1971)</f>
        <v>61.22</v>
      </c>
      <c r="E1972" s="6">
        <f>IFERROR(VLOOKUP($B1972,Platts!$E$5:$M$4994,MATCH(E$3,Platts!$F$5:$M$5,0)+1,FALSE),E1971)</f>
        <v>60.47</v>
      </c>
      <c r="F1972" s="6">
        <f>IFERROR(VLOOKUP($B1972,Platts!$E$5:$M$4994,MATCH(F$3,Platts!$F$5:$M$5,0)+1,FALSE),F1971)</f>
        <v>63.42</v>
      </c>
      <c r="G1972" s="6">
        <f>IFERROR(VLOOKUP($B1972,Platts!$E$5:$M$4994,MATCH(G$3,Platts!$F$5:$M$5,0)+1,FALSE),G1971)</f>
        <v>66.790000000000006</v>
      </c>
      <c r="H1972" s="6">
        <f>IFERROR(VLOOKUP($B1972,Platts!$E$5:$M$4994,MATCH(H$3,Platts!$F$5:$M$5,0)+1,FALSE),H1971)</f>
        <v>63.7</v>
      </c>
      <c r="I1972" s="6">
        <f>IFERROR(VLOOKUP($B1972,Platts!$E$5:$M$4994,MATCH(I$3,Platts!$F$5:$M$5,0)+1,FALSE),I1971)</f>
        <v>65.8</v>
      </c>
      <c r="J1972" s="6">
        <f t="shared" si="60"/>
        <v>4.1700000000000017</v>
      </c>
    </row>
    <row r="1973" spans="2:10" x14ac:dyDescent="0.25">
      <c r="B1973" s="5">
        <f t="shared" si="61"/>
        <v>44339</v>
      </c>
      <c r="C1973" s="6">
        <f>IFERROR(VLOOKUP($B1973,Platts!$E$5:$M$4994,MATCH(C$3,Platts!$F$5:$M$5,0)+1,FALSE),C1972)</f>
        <v>59.53</v>
      </c>
      <c r="D1973" s="6">
        <f>IFERROR(VLOOKUP($B1973,Platts!$E$5:$M$4994,MATCH(D$3,Platts!$F$5:$M$5,0)+1,FALSE),D1972)</f>
        <v>61.22</v>
      </c>
      <c r="E1973" s="6">
        <f>IFERROR(VLOOKUP($B1973,Platts!$E$5:$M$4994,MATCH(E$3,Platts!$F$5:$M$5,0)+1,FALSE),E1972)</f>
        <v>60.47</v>
      </c>
      <c r="F1973" s="6">
        <f>IFERROR(VLOOKUP($B1973,Platts!$E$5:$M$4994,MATCH(F$3,Platts!$F$5:$M$5,0)+1,FALSE),F1972)</f>
        <v>63.42</v>
      </c>
      <c r="G1973" s="6">
        <f>IFERROR(VLOOKUP($B1973,Platts!$E$5:$M$4994,MATCH(G$3,Platts!$F$5:$M$5,0)+1,FALSE),G1972)</f>
        <v>66.790000000000006</v>
      </c>
      <c r="H1973" s="6">
        <f>IFERROR(VLOOKUP($B1973,Platts!$E$5:$M$4994,MATCH(H$3,Platts!$F$5:$M$5,0)+1,FALSE),H1972)</f>
        <v>63.7</v>
      </c>
      <c r="I1973" s="6">
        <f>IFERROR(VLOOKUP($B1973,Platts!$E$5:$M$4994,MATCH(I$3,Platts!$F$5:$M$5,0)+1,FALSE),I1972)</f>
        <v>65.8</v>
      </c>
      <c r="J1973" s="6">
        <f t="shared" si="60"/>
        <v>4.1700000000000017</v>
      </c>
    </row>
    <row r="1974" spans="2:10" x14ac:dyDescent="0.25">
      <c r="B1974" s="5">
        <f t="shared" si="61"/>
        <v>44340</v>
      </c>
      <c r="C1974" s="6">
        <f>IFERROR(VLOOKUP($B1974,Platts!$E$5:$M$4994,MATCH(C$3,Platts!$F$5:$M$5,0)+1,FALSE),C1973)</f>
        <v>62.8</v>
      </c>
      <c r="D1974" s="6">
        <f>IFERROR(VLOOKUP($B1974,Platts!$E$5:$M$4994,MATCH(D$3,Platts!$F$5:$M$5,0)+1,FALSE),D1973)</f>
        <v>63.48</v>
      </c>
      <c r="E1974" s="6">
        <f>IFERROR(VLOOKUP($B1974,Platts!$E$5:$M$4994,MATCH(E$3,Platts!$F$5:$M$5,0)+1,FALSE),E1973)</f>
        <v>62.73</v>
      </c>
      <c r="F1974" s="6">
        <f>IFERROR(VLOOKUP($B1974,Platts!$E$5:$M$4994,MATCH(F$3,Platts!$F$5:$M$5,0)+1,FALSE),F1973)</f>
        <v>65.680000000000007</v>
      </c>
      <c r="G1974" s="6">
        <f>IFERROR(VLOOKUP($B1974,Platts!$E$5:$M$4994,MATCH(G$3,Platts!$F$5:$M$5,0)+1,FALSE),G1973)</f>
        <v>68.27</v>
      </c>
      <c r="H1974" s="6">
        <f>IFERROR(VLOOKUP($B1974,Platts!$E$5:$M$4994,MATCH(H$3,Platts!$F$5:$M$5,0)+1,FALSE),H1973)</f>
        <v>66.2</v>
      </c>
      <c r="I1974" s="6">
        <f>IFERROR(VLOOKUP($B1974,Platts!$E$5:$M$4994,MATCH(I$3,Platts!$F$5:$M$5,0)+1,FALSE),I1973)</f>
        <v>68.3</v>
      </c>
      <c r="J1974" s="6">
        <f t="shared" si="60"/>
        <v>3.4000000000000057</v>
      </c>
    </row>
    <row r="1975" spans="2:10" x14ac:dyDescent="0.25">
      <c r="B1975" s="5">
        <f t="shared" si="61"/>
        <v>44341</v>
      </c>
      <c r="C1975" s="6">
        <f>IFERROR(VLOOKUP($B1975,Platts!$E$5:$M$4994,MATCH(C$3,Platts!$F$5:$M$5,0)+1,FALSE),C1974)</f>
        <v>63.08</v>
      </c>
      <c r="D1975" s="6">
        <f>IFERROR(VLOOKUP($B1975,Platts!$E$5:$M$4994,MATCH(D$3,Platts!$F$5:$M$5,0)+1,FALSE),D1974)</f>
        <v>63.58</v>
      </c>
      <c r="E1975" s="6">
        <f>IFERROR(VLOOKUP($B1975,Platts!$E$5:$M$4994,MATCH(E$3,Platts!$F$5:$M$5,0)+1,FALSE),E1974)</f>
        <v>62.83</v>
      </c>
      <c r="F1975" s="6">
        <f>IFERROR(VLOOKUP($B1975,Platts!$E$5:$M$4994,MATCH(F$3,Platts!$F$5:$M$5,0)+1,FALSE),F1974)</f>
        <v>65.78</v>
      </c>
      <c r="G1975" s="6">
        <f>IFERROR(VLOOKUP($B1975,Platts!$E$5:$M$4994,MATCH(G$3,Platts!$F$5:$M$5,0)+1,FALSE),G1974)</f>
        <v>68.67</v>
      </c>
      <c r="H1975" s="6">
        <f>IFERROR(VLOOKUP($B1975,Platts!$E$5:$M$4994,MATCH(H$3,Platts!$F$5:$M$5,0)+1,FALSE),H1974)</f>
        <v>66.25</v>
      </c>
      <c r="I1975" s="6">
        <f>IFERROR(VLOOKUP($B1975,Platts!$E$5:$M$4994,MATCH(I$3,Platts!$F$5:$M$5,0)+1,FALSE),I1974)</f>
        <v>68.150000000000006</v>
      </c>
      <c r="J1975" s="6">
        <f t="shared" si="60"/>
        <v>3.1700000000000017</v>
      </c>
    </row>
    <row r="1976" spans="2:10" x14ac:dyDescent="0.25">
      <c r="B1976" s="5">
        <f t="shared" si="61"/>
        <v>44342</v>
      </c>
      <c r="C1976" s="6">
        <f>IFERROR(VLOOKUP($B1976,Platts!$E$5:$M$4994,MATCH(C$3,Platts!$F$5:$M$5,0)+1,FALSE),C1975)</f>
        <v>63.08</v>
      </c>
      <c r="D1976" s="6">
        <f>IFERROR(VLOOKUP($B1976,Platts!$E$5:$M$4994,MATCH(D$3,Platts!$F$5:$M$5,0)+1,FALSE),D1975)</f>
        <v>63.8</v>
      </c>
      <c r="E1976" s="6">
        <f>IFERROR(VLOOKUP($B1976,Platts!$E$5:$M$4994,MATCH(E$3,Platts!$F$5:$M$5,0)+1,FALSE),E1975)</f>
        <v>63.05</v>
      </c>
      <c r="F1976" s="6">
        <f>IFERROR(VLOOKUP($B1976,Platts!$E$5:$M$4994,MATCH(F$3,Platts!$F$5:$M$5,0)+1,FALSE),F1975)</f>
        <v>66</v>
      </c>
      <c r="G1976" s="6">
        <f>IFERROR(VLOOKUP($B1976,Platts!$E$5:$M$4994,MATCH(G$3,Platts!$F$5:$M$5,0)+1,FALSE),G1975)</f>
        <v>69</v>
      </c>
      <c r="H1976" s="6">
        <f>IFERROR(VLOOKUP($B1976,Platts!$E$5:$M$4994,MATCH(H$3,Platts!$F$5:$M$5,0)+1,FALSE),H1975)</f>
        <v>66.209999999999994</v>
      </c>
      <c r="I1976" s="6">
        <f>IFERROR(VLOOKUP($B1976,Platts!$E$5:$M$4994,MATCH(I$3,Platts!$F$5:$M$5,0)+1,FALSE),I1975)</f>
        <v>68.16</v>
      </c>
      <c r="J1976" s="6">
        <f t="shared" si="60"/>
        <v>3.1299999999999955</v>
      </c>
    </row>
    <row r="1977" spans="2:10" x14ac:dyDescent="0.25">
      <c r="B1977" s="5">
        <f t="shared" si="61"/>
        <v>44343</v>
      </c>
      <c r="C1977" s="6">
        <f>IFERROR(VLOOKUP($B1977,Platts!$E$5:$M$4994,MATCH(C$3,Platts!$F$5:$M$5,0)+1,FALSE),C1976)</f>
        <v>63.62</v>
      </c>
      <c r="D1977" s="6">
        <f>IFERROR(VLOOKUP($B1977,Platts!$E$5:$M$4994,MATCH(D$3,Platts!$F$5:$M$5,0)+1,FALSE),D1976)</f>
        <v>64.39</v>
      </c>
      <c r="E1977" s="6">
        <f>IFERROR(VLOOKUP($B1977,Platts!$E$5:$M$4994,MATCH(E$3,Platts!$F$5:$M$5,0)+1,FALSE),E1976)</f>
        <v>63.64</v>
      </c>
      <c r="F1977" s="6">
        <f>IFERROR(VLOOKUP($B1977,Platts!$E$5:$M$4994,MATCH(F$3,Platts!$F$5:$M$5,0)+1,FALSE),F1976)</f>
        <v>66.59</v>
      </c>
      <c r="G1977" s="6">
        <f>IFERROR(VLOOKUP($B1977,Platts!$E$5:$M$4994,MATCH(G$3,Platts!$F$5:$M$5,0)+1,FALSE),G1976)</f>
        <v>69.25</v>
      </c>
      <c r="H1977" s="6">
        <f>IFERROR(VLOOKUP($B1977,Platts!$E$5:$M$4994,MATCH(H$3,Platts!$F$5:$M$5,0)+1,FALSE),H1976)</f>
        <v>66.849999999999994</v>
      </c>
      <c r="I1977" s="6">
        <f>IFERROR(VLOOKUP($B1977,Platts!$E$5:$M$4994,MATCH(I$3,Platts!$F$5:$M$5,0)+1,FALSE),I1976)</f>
        <v>69</v>
      </c>
      <c r="J1977" s="6">
        <f t="shared" si="60"/>
        <v>3.2299999999999969</v>
      </c>
    </row>
    <row r="1978" spans="2:10" x14ac:dyDescent="0.25">
      <c r="B1978" s="5">
        <f t="shared" si="61"/>
        <v>44344</v>
      </c>
      <c r="C1978" s="6">
        <f>IFERROR(VLOOKUP($B1978,Platts!$E$5:$M$4994,MATCH(C$3,Platts!$F$5:$M$5,0)+1,FALSE),C1977)</f>
        <v>63.66</v>
      </c>
      <c r="D1978" s="6">
        <f>IFERROR(VLOOKUP($B1978,Platts!$E$5:$M$4994,MATCH(D$3,Platts!$F$5:$M$5,0)+1,FALSE),D1977)</f>
        <v>64.13</v>
      </c>
      <c r="E1978" s="6">
        <f>IFERROR(VLOOKUP($B1978,Platts!$E$5:$M$4994,MATCH(E$3,Platts!$F$5:$M$5,0)+1,FALSE),E1977)</f>
        <v>63.38</v>
      </c>
      <c r="F1978" s="6">
        <f>IFERROR(VLOOKUP($B1978,Platts!$E$5:$M$4994,MATCH(F$3,Platts!$F$5:$M$5,0)+1,FALSE),F1977)</f>
        <v>66.33</v>
      </c>
      <c r="G1978" s="6">
        <f>IFERROR(VLOOKUP($B1978,Platts!$E$5:$M$4994,MATCH(G$3,Platts!$F$5:$M$5,0)+1,FALSE),G1977)</f>
        <v>69.900000000000006</v>
      </c>
      <c r="H1978" s="6">
        <f>IFERROR(VLOOKUP($B1978,Platts!$E$5:$M$4994,MATCH(H$3,Platts!$F$5:$M$5,0)+1,FALSE),H1977)</f>
        <v>66.319999999999993</v>
      </c>
      <c r="I1978" s="6">
        <f>IFERROR(VLOOKUP($B1978,Platts!$E$5:$M$4994,MATCH(I$3,Platts!$F$5:$M$5,0)+1,FALSE),I1977)</f>
        <v>68.47</v>
      </c>
      <c r="J1978" s="6">
        <f t="shared" si="60"/>
        <v>2.6599999999999966</v>
      </c>
    </row>
    <row r="1979" spans="2:10" x14ac:dyDescent="0.25">
      <c r="B1979" s="5">
        <f t="shared" si="61"/>
        <v>44345</v>
      </c>
      <c r="C1979" s="6">
        <f>IFERROR(VLOOKUP($B1979,Platts!$E$5:$M$4994,MATCH(C$3,Platts!$F$5:$M$5,0)+1,FALSE),C1978)</f>
        <v>63.66</v>
      </c>
      <c r="D1979" s="6">
        <f>IFERROR(VLOOKUP($B1979,Platts!$E$5:$M$4994,MATCH(D$3,Platts!$F$5:$M$5,0)+1,FALSE),D1978)</f>
        <v>64.13</v>
      </c>
      <c r="E1979" s="6">
        <f>IFERROR(VLOOKUP($B1979,Platts!$E$5:$M$4994,MATCH(E$3,Platts!$F$5:$M$5,0)+1,FALSE),E1978)</f>
        <v>63.38</v>
      </c>
      <c r="F1979" s="6">
        <f>IFERROR(VLOOKUP($B1979,Platts!$E$5:$M$4994,MATCH(F$3,Platts!$F$5:$M$5,0)+1,FALSE),F1978)</f>
        <v>66.33</v>
      </c>
      <c r="G1979" s="6">
        <f>IFERROR(VLOOKUP($B1979,Platts!$E$5:$M$4994,MATCH(G$3,Platts!$F$5:$M$5,0)+1,FALSE),G1978)</f>
        <v>69.900000000000006</v>
      </c>
      <c r="H1979" s="6">
        <f>IFERROR(VLOOKUP($B1979,Platts!$E$5:$M$4994,MATCH(H$3,Platts!$F$5:$M$5,0)+1,FALSE),H1978)</f>
        <v>66.319999999999993</v>
      </c>
      <c r="I1979" s="6">
        <f>IFERROR(VLOOKUP($B1979,Platts!$E$5:$M$4994,MATCH(I$3,Platts!$F$5:$M$5,0)+1,FALSE),I1978)</f>
        <v>68.47</v>
      </c>
      <c r="J1979" s="6">
        <f t="shared" si="60"/>
        <v>2.6599999999999966</v>
      </c>
    </row>
    <row r="1980" spans="2:10" x14ac:dyDescent="0.25">
      <c r="B1980" s="5">
        <f t="shared" si="61"/>
        <v>44346</v>
      </c>
      <c r="C1980" s="6">
        <f>IFERROR(VLOOKUP($B1980,Platts!$E$5:$M$4994,MATCH(C$3,Platts!$F$5:$M$5,0)+1,FALSE),C1979)</f>
        <v>63.66</v>
      </c>
      <c r="D1980" s="6">
        <f>IFERROR(VLOOKUP($B1980,Platts!$E$5:$M$4994,MATCH(D$3,Platts!$F$5:$M$5,0)+1,FALSE),D1979)</f>
        <v>64.13</v>
      </c>
      <c r="E1980" s="6">
        <f>IFERROR(VLOOKUP($B1980,Platts!$E$5:$M$4994,MATCH(E$3,Platts!$F$5:$M$5,0)+1,FALSE),E1979)</f>
        <v>63.38</v>
      </c>
      <c r="F1980" s="6">
        <f>IFERROR(VLOOKUP($B1980,Platts!$E$5:$M$4994,MATCH(F$3,Platts!$F$5:$M$5,0)+1,FALSE),F1979)</f>
        <v>66.33</v>
      </c>
      <c r="G1980" s="6">
        <f>IFERROR(VLOOKUP($B1980,Platts!$E$5:$M$4994,MATCH(G$3,Platts!$F$5:$M$5,0)+1,FALSE),G1979)</f>
        <v>69.900000000000006</v>
      </c>
      <c r="H1980" s="6">
        <f>IFERROR(VLOOKUP($B1980,Platts!$E$5:$M$4994,MATCH(H$3,Platts!$F$5:$M$5,0)+1,FALSE),H1979)</f>
        <v>66.319999999999993</v>
      </c>
      <c r="I1980" s="6">
        <f>IFERROR(VLOOKUP($B1980,Platts!$E$5:$M$4994,MATCH(I$3,Platts!$F$5:$M$5,0)+1,FALSE),I1979)</f>
        <v>68.47</v>
      </c>
      <c r="J1980" s="6">
        <f t="shared" si="60"/>
        <v>2.6599999999999966</v>
      </c>
    </row>
    <row r="1981" spans="2:10" x14ac:dyDescent="0.25">
      <c r="B1981" s="5">
        <f t="shared" si="61"/>
        <v>44347</v>
      </c>
      <c r="C1981" s="6">
        <f>IFERROR(VLOOKUP($B1981,Platts!$E$5:$M$4994,MATCH(C$3,Platts!$F$5:$M$5,0)+1,FALSE),C1980)</f>
        <v>63.66</v>
      </c>
      <c r="D1981" s="6">
        <f>IFERROR(VLOOKUP($B1981,Platts!$E$5:$M$4994,MATCH(D$3,Platts!$F$5:$M$5,0)+1,FALSE),D1980)</f>
        <v>64.13</v>
      </c>
      <c r="E1981" s="6">
        <f>IFERROR(VLOOKUP($B1981,Platts!$E$5:$M$4994,MATCH(E$3,Platts!$F$5:$M$5,0)+1,FALSE),E1980)</f>
        <v>63.38</v>
      </c>
      <c r="F1981" s="6">
        <f>IFERROR(VLOOKUP($B1981,Platts!$E$5:$M$4994,MATCH(F$3,Platts!$F$5:$M$5,0)+1,FALSE),F1980)</f>
        <v>66.33</v>
      </c>
      <c r="G1981" s="6">
        <f>IFERROR(VLOOKUP($B1981,Platts!$E$5:$M$4994,MATCH(G$3,Platts!$F$5:$M$5,0)+1,FALSE),G1980)</f>
        <v>69.900000000000006</v>
      </c>
      <c r="H1981" s="6">
        <f>IFERROR(VLOOKUP($B1981,Platts!$E$5:$M$4994,MATCH(H$3,Platts!$F$5:$M$5,0)+1,FALSE),H1980)</f>
        <v>66.319999999999993</v>
      </c>
      <c r="I1981" s="6">
        <f>IFERROR(VLOOKUP($B1981,Platts!$E$5:$M$4994,MATCH(I$3,Platts!$F$5:$M$5,0)+1,FALSE),I1980)</f>
        <v>68.47</v>
      </c>
      <c r="J1981" s="6">
        <f t="shared" si="60"/>
        <v>2.6599999999999966</v>
      </c>
    </row>
    <row r="1982" spans="2:10" x14ac:dyDescent="0.25">
      <c r="B1982" s="5">
        <f t="shared" si="61"/>
        <v>44348</v>
      </c>
      <c r="C1982" s="6">
        <f>IFERROR(VLOOKUP($B1982,Platts!$E$5:$M$4994,MATCH(C$3,Platts!$F$5:$M$5,0)+1,FALSE),C1981)</f>
        <v>64.400000000000006</v>
      </c>
      <c r="D1982" s="6">
        <f>IFERROR(VLOOKUP($B1982,Platts!$E$5:$M$4994,MATCH(D$3,Platts!$F$5:$M$5,0)+1,FALSE),D1981)</f>
        <v>64.41</v>
      </c>
      <c r="E1982" s="6">
        <f>IFERROR(VLOOKUP($B1982,Platts!$E$5:$M$4994,MATCH(E$3,Platts!$F$5:$M$5,0)+1,FALSE),E1981)</f>
        <v>64.010000000000005</v>
      </c>
      <c r="F1982" s="6">
        <f>IFERROR(VLOOKUP($B1982,Platts!$E$5:$M$4994,MATCH(F$3,Platts!$F$5:$M$5,0)+1,FALSE),F1981)</f>
        <v>67.86</v>
      </c>
      <c r="G1982" s="6">
        <f>IFERROR(VLOOKUP($B1982,Platts!$E$5:$M$4994,MATCH(G$3,Platts!$F$5:$M$5,0)+1,FALSE),G1981)</f>
        <v>70.41</v>
      </c>
      <c r="H1982" s="6">
        <f>IFERROR(VLOOKUP($B1982,Platts!$E$5:$M$4994,MATCH(H$3,Platts!$F$5:$M$5,0)+1,FALSE),H1981)</f>
        <v>67.72</v>
      </c>
      <c r="I1982" s="6">
        <f>IFERROR(VLOOKUP($B1982,Platts!$E$5:$M$4994,MATCH(I$3,Platts!$F$5:$M$5,0)+1,FALSE),I1981)</f>
        <v>69.87</v>
      </c>
      <c r="J1982" s="6">
        <f t="shared" si="60"/>
        <v>3.3199999999999932</v>
      </c>
    </row>
    <row r="1983" spans="2:10" x14ac:dyDescent="0.25">
      <c r="B1983" s="5">
        <f t="shared" si="61"/>
        <v>44349</v>
      </c>
      <c r="C1983" s="6">
        <f>IFERROR(VLOOKUP($B1983,Platts!$E$5:$M$4994,MATCH(C$3,Platts!$F$5:$M$5,0)+1,FALSE),C1982)</f>
        <v>65.36</v>
      </c>
      <c r="D1983" s="6">
        <f>IFERROR(VLOOKUP($B1983,Platts!$E$5:$M$4994,MATCH(D$3,Platts!$F$5:$M$5,0)+1,FALSE),D1982)</f>
        <v>65.58</v>
      </c>
      <c r="E1983" s="6">
        <f>IFERROR(VLOOKUP($B1983,Platts!$E$5:$M$4994,MATCH(E$3,Platts!$F$5:$M$5,0)+1,FALSE),E1982)</f>
        <v>65.180000000000007</v>
      </c>
      <c r="F1983" s="6">
        <f>IFERROR(VLOOKUP($B1983,Platts!$E$5:$M$4994,MATCH(F$3,Platts!$F$5:$M$5,0)+1,FALSE),F1982)</f>
        <v>69.03</v>
      </c>
      <c r="G1983" s="6">
        <f>IFERROR(VLOOKUP($B1983,Platts!$E$5:$M$4994,MATCH(G$3,Platts!$F$5:$M$5,0)+1,FALSE),G1982)</f>
        <v>71</v>
      </c>
      <c r="H1983" s="6">
        <f>IFERROR(VLOOKUP($B1983,Platts!$E$5:$M$4994,MATCH(H$3,Platts!$F$5:$M$5,0)+1,FALSE),H1982)</f>
        <v>68.83</v>
      </c>
      <c r="I1983" s="6">
        <f>IFERROR(VLOOKUP($B1983,Platts!$E$5:$M$4994,MATCH(I$3,Platts!$F$5:$M$5,0)+1,FALSE),I1982)</f>
        <v>70.98</v>
      </c>
      <c r="J1983" s="6">
        <f t="shared" si="60"/>
        <v>3.4699999999999989</v>
      </c>
    </row>
    <row r="1984" spans="2:10" x14ac:dyDescent="0.25">
      <c r="B1984" s="5">
        <f t="shared" si="61"/>
        <v>44350</v>
      </c>
      <c r="C1984" s="6">
        <f>IFERROR(VLOOKUP($B1984,Platts!$E$5:$M$4994,MATCH(C$3,Platts!$F$5:$M$5,0)+1,FALSE),C1983)</f>
        <v>65.45</v>
      </c>
      <c r="D1984" s="6">
        <f>IFERROR(VLOOKUP($B1984,Platts!$E$5:$M$4994,MATCH(D$3,Platts!$F$5:$M$5,0)+1,FALSE),D1983)</f>
        <v>65.56</v>
      </c>
      <c r="E1984" s="6">
        <f>IFERROR(VLOOKUP($B1984,Platts!$E$5:$M$4994,MATCH(E$3,Platts!$F$5:$M$5,0)+1,FALSE),E1983)</f>
        <v>65.16</v>
      </c>
      <c r="F1984" s="6">
        <f>IFERROR(VLOOKUP($B1984,Platts!$E$5:$M$4994,MATCH(F$3,Platts!$F$5:$M$5,0)+1,FALSE),F1983)</f>
        <v>69.010000000000005</v>
      </c>
      <c r="G1984" s="6">
        <f>IFERROR(VLOOKUP($B1984,Platts!$E$5:$M$4994,MATCH(G$3,Platts!$F$5:$M$5,0)+1,FALSE),G1983)</f>
        <v>70.91</v>
      </c>
      <c r="H1984" s="6">
        <f>IFERROR(VLOOKUP($B1984,Platts!$E$5:$M$4994,MATCH(H$3,Platts!$F$5:$M$5,0)+1,FALSE),H1983)</f>
        <v>68.81</v>
      </c>
      <c r="I1984" s="6">
        <f>IFERROR(VLOOKUP($B1984,Platts!$E$5:$M$4994,MATCH(I$3,Platts!$F$5:$M$5,0)+1,FALSE),I1983)</f>
        <v>70.959999999999994</v>
      </c>
      <c r="J1984" s="6">
        <f t="shared" si="60"/>
        <v>3.3599999999999994</v>
      </c>
    </row>
    <row r="1985" spans="2:10" x14ac:dyDescent="0.25">
      <c r="B1985" s="5">
        <f t="shared" si="61"/>
        <v>44351</v>
      </c>
      <c r="C1985" s="6">
        <f>IFERROR(VLOOKUP($B1985,Platts!$E$5:$M$4994,MATCH(C$3,Platts!$F$5:$M$5,0)+1,FALSE),C1984)</f>
        <v>66.08</v>
      </c>
      <c r="D1985" s="6">
        <f>IFERROR(VLOOKUP($B1985,Platts!$E$5:$M$4994,MATCH(D$3,Platts!$F$5:$M$5,0)+1,FALSE),D1984)</f>
        <v>66.28</v>
      </c>
      <c r="E1985" s="6">
        <f>IFERROR(VLOOKUP($B1985,Platts!$E$5:$M$4994,MATCH(E$3,Platts!$F$5:$M$5,0)+1,FALSE),E1984)</f>
        <v>65.88</v>
      </c>
      <c r="F1985" s="6">
        <f>IFERROR(VLOOKUP($B1985,Platts!$E$5:$M$4994,MATCH(F$3,Platts!$F$5:$M$5,0)+1,FALSE),F1984)</f>
        <v>69.73</v>
      </c>
      <c r="G1985" s="6">
        <f>IFERROR(VLOOKUP($B1985,Platts!$E$5:$M$4994,MATCH(G$3,Platts!$F$5:$M$5,0)+1,FALSE),G1984)</f>
        <v>71.59</v>
      </c>
      <c r="H1985" s="6">
        <f>IFERROR(VLOOKUP($B1985,Platts!$E$5:$M$4994,MATCH(H$3,Platts!$F$5:$M$5,0)+1,FALSE),H1984)</f>
        <v>69.62</v>
      </c>
      <c r="I1985" s="6">
        <f>IFERROR(VLOOKUP($B1985,Platts!$E$5:$M$4994,MATCH(I$3,Platts!$F$5:$M$5,0)+1,FALSE),I1984)</f>
        <v>71.77</v>
      </c>
      <c r="J1985" s="6">
        <f t="shared" si="60"/>
        <v>3.5400000000000063</v>
      </c>
    </row>
    <row r="1986" spans="2:10" x14ac:dyDescent="0.25">
      <c r="B1986" s="5">
        <f t="shared" si="61"/>
        <v>44352</v>
      </c>
      <c r="C1986" s="6">
        <f>IFERROR(VLOOKUP($B1986,Platts!$E$5:$M$4994,MATCH(C$3,Platts!$F$5:$M$5,0)+1,FALSE),C1985)</f>
        <v>66.08</v>
      </c>
      <c r="D1986" s="6">
        <f>IFERROR(VLOOKUP($B1986,Platts!$E$5:$M$4994,MATCH(D$3,Platts!$F$5:$M$5,0)+1,FALSE),D1985)</f>
        <v>66.28</v>
      </c>
      <c r="E1986" s="6">
        <f>IFERROR(VLOOKUP($B1986,Platts!$E$5:$M$4994,MATCH(E$3,Platts!$F$5:$M$5,0)+1,FALSE),E1985)</f>
        <v>65.88</v>
      </c>
      <c r="F1986" s="6">
        <f>IFERROR(VLOOKUP($B1986,Platts!$E$5:$M$4994,MATCH(F$3,Platts!$F$5:$M$5,0)+1,FALSE),F1985)</f>
        <v>69.73</v>
      </c>
      <c r="G1986" s="6">
        <f>IFERROR(VLOOKUP($B1986,Platts!$E$5:$M$4994,MATCH(G$3,Platts!$F$5:$M$5,0)+1,FALSE),G1985)</f>
        <v>71.59</v>
      </c>
      <c r="H1986" s="6">
        <f>IFERROR(VLOOKUP($B1986,Platts!$E$5:$M$4994,MATCH(H$3,Platts!$F$5:$M$5,0)+1,FALSE),H1985)</f>
        <v>69.62</v>
      </c>
      <c r="I1986" s="6">
        <f>IFERROR(VLOOKUP($B1986,Platts!$E$5:$M$4994,MATCH(I$3,Platts!$F$5:$M$5,0)+1,FALSE),I1985)</f>
        <v>71.77</v>
      </c>
      <c r="J1986" s="6">
        <f t="shared" si="60"/>
        <v>3.5400000000000063</v>
      </c>
    </row>
    <row r="1987" spans="2:10" x14ac:dyDescent="0.25">
      <c r="B1987" s="5">
        <f t="shared" si="61"/>
        <v>44353</v>
      </c>
      <c r="C1987" s="6">
        <f>IFERROR(VLOOKUP($B1987,Platts!$E$5:$M$4994,MATCH(C$3,Platts!$F$5:$M$5,0)+1,FALSE),C1986)</f>
        <v>66.08</v>
      </c>
      <c r="D1987" s="6">
        <f>IFERROR(VLOOKUP($B1987,Platts!$E$5:$M$4994,MATCH(D$3,Platts!$F$5:$M$5,0)+1,FALSE),D1986)</f>
        <v>66.28</v>
      </c>
      <c r="E1987" s="6">
        <f>IFERROR(VLOOKUP($B1987,Platts!$E$5:$M$4994,MATCH(E$3,Platts!$F$5:$M$5,0)+1,FALSE),E1986)</f>
        <v>65.88</v>
      </c>
      <c r="F1987" s="6">
        <f>IFERROR(VLOOKUP($B1987,Platts!$E$5:$M$4994,MATCH(F$3,Platts!$F$5:$M$5,0)+1,FALSE),F1986)</f>
        <v>69.73</v>
      </c>
      <c r="G1987" s="6">
        <f>IFERROR(VLOOKUP($B1987,Platts!$E$5:$M$4994,MATCH(G$3,Platts!$F$5:$M$5,0)+1,FALSE),G1986)</f>
        <v>71.59</v>
      </c>
      <c r="H1987" s="6">
        <f>IFERROR(VLOOKUP($B1987,Platts!$E$5:$M$4994,MATCH(H$3,Platts!$F$5:$M$5,0)+1,FALSE),H1986)</f>
        <v>69.62</v>
      </c>
      <c r="I1987" s="6">
        <f>IFERROR(VLOOKUP($B1987,Platts!$E$5:$M$4994,MATCH(I$3,Platts!$F$5:$M$5,0)+1,FALSE),I1986)</f>
        <v>71.77</v>
      </c>
      <c r="J1987" s="6">
        <f t="shared" si="60"/>
        <v>3.5400000000000063</v>
      </c>
    </row>
    <row r="1988" spans="2:10" x14ac:dyDescent="0.25">
      <c r="B1988" s="5">
        <f t="shared" si="61"/>
        <v>44354</v>
      </c>
      <c r="C1988" s="6">
        <f>IFERROR(VLOOKUP($B1988,Platts!$E$5:$M$4994,MATCH(C$3,Platts!$F$5:$M$5,0)+1,FALSE),C1987)</f>
        <v>65.709999999999994</v>
      </c>
      <c r="D1988" s="6">
        <f>IFERROR(VLOOKUP($B1988,Platts!$E$5:$M$4994,MATCH(D$3,Platts!$F$5:$M$5,0)+1,FALSE),D1987)</f>
        <v>65.83</v>
      </c>
      <c r="E1988" s="6">
        <f>IFERROR(VLOOKUP($B1988,Platts!$E$5:$M$4994,MATCH(E$3,Platts!$F$5:$M$5,0)+1,FALSE),E1987)</f>
        <v>65.430000000000007</v>
      </c>
      <c r="F1988" s="6">
        <f>IFERROR(VLOOKUP($B1988,Platts!$E$5:$M$4994,MATCH(F$3,Platts!$F$5:$M$5,0)+1,FALSE),F1987)</f>
        <v>69.28</v>
      </c>
      <c r="G1988" s="6">
        <f>IFERROR(VLOOKUP($B1988,Platts!$E$5:$M$4994,MATCH(G$3,Platts!$F$5:$M$5,0)+1,FALSE),G1987)</f>
        <v>71.38</v>
      </c>
      <c r="H1988" s="6">
        <f>IFERROR(VLOOKUP($B1988,Platts!$E$5:$M$4994,MATCH(H$3,Platts!$F$5:$M$5,0)+1,FALSE),H1987)</f>
        <v>69.23</v>
      </c>
      <c r="I1988" s="6">
        <f>IFERROR(VLOOKUP($B1988,Platts!$E$5:$M$4994,MATCH(I$3,Platts!$F$5:$M$5,0)+1,FALSE),I1987)</f>
        <v>71.33</v>
      </c>
      <c r="J1988" s="6">
        <f t="shared" ref="J1988:J2051" si="62">H1988-C1988</f>
        <v>3.5200000000000102</v>
      </c>
    </row>
    <row r="1989" spans="2:10" x14ac:dyDescent="0.25">
      <c r="B1989" s="5">
        <f t="shared" si="61"/>
        <v>44355</v>
      </c>
      <c r="C1989" s="6">
        <f>IFERROR(VLOOKUP($B1989,Platts!$E$5:$M$4994,MATCH(C$3,Platts!$F$5:$M$5,0)+1,FALSE),C1988)</f>
        <v>66.22</v>
      </c>
      <c r="D1989" s="6">
        <f>IFERROR(VLOOKUP($B1989,Platts!$E$5:$M$4994,MATCH(D$3,Platts!$F$5:$M$5,0)+1,FALSE),D1988)</f>
        <v>66.61</v>
      </c>
      <c r="E1989" s="6">
        <f>IFERROR(VLOOKUP($B1989,Platts!$E$5:$M$4994,MATCH(E$3,Platts!$F$5:$M$5,0)+1,FALSE),E1988)</f>
        <v>66.209999999999994</v>
      </c>
      <c r="F1989" s="6">
        <f>IFERROR(VLOOKUP($B1989,Platts!$E$5:$M$4994,MATCH(F$3,Platts!$F$5:$M$5,0)+1,FALSE),F1988)</f>
        <v>70.06</v>
      </c>
      <c r="G1989" s="6">
        <f>IFERROR(VLOOKUP($B1989,Platts!$E$5:$M$4994,MATCH(G$3,Platts!$F$5:$M$5,0)+1,FALSE),G1988)</f>
        <v>71.8</v>
      </c>
      <c r="H1989" s="6">
        <f>IFERROR(VLOOKUP($B1989,Platts!$E$5:$M$4994,MATCH(H$3,Platts!$F$5:$M$5,0)+1,FALSE),H1988)</f>
        <v>70.05</v>
      </c>
      <c r="I1989" s="6">
        <f>IFERROR(VLOOKUP($B1989,Platts!$E$5:$M$4994,MATCH(I$3,Platts!$F$5:$M$5,0)+1,FALSE),I1988)</f>
        <v>72.05</v>
      </c>
      <c r="J1989" s="6">
        <f t="shared" si="62"/>
        <v>3.8299999999999983</v>
      </c>
    </row>
    <row r="1990" spans="2:10" x14ac:dyDescent="0.25">
      <c r="B1990" s="5">
        <f t="shared" ref="B1990:B2053" si="63">B1989+1</f>
        <v>44356</v>
      </c>
      <c r="C1990" s="6">
        <f>IFERROR(VLOOKUP($B1990,Platts!$E$5:$M$4994,MATCH(C$3,Platts!$F$5:$M$5,0)+1,FALSE),C1989)</f>
        <v>66.510000000000005</v>
      </c>
      <c r="D1990" s="6">
        <f>IFERROR(VLOOKUP($B1990,Platts!$E$5:$M$4994,MATCH(D$3,Platts!$F$5:$M$5,0)+1,FALSE),D1989)</f>
        <v>66.56</v>
      </c>
      <c r="E1990" s="6">
        <f>IFERROR(VLOOKUP($B1990,Platts!$E$5:$M$4994,MATCH(E$3,Platts!$F$5:$M$5,0)+1,FALSE),E1989)</f>
        <v>66.16</v>
      </c>
      <c r="F1990" s="6">
        <f>IFERROR(VLOOKUP($B1990,Platts!$E$5:$M$4994,MATCH(F$3,Platts!$F$5:$M$5,0)+1,FALSE),F1989)</f>
        <v>70.010000000000005</v>
      </c>
      <c r="G1990" s="6">
        <f>IFERROR(VLOOKUP($B1990,Platts!$E$5:$M$4994,MATCH(G$3,Platts!$F$5:$M$5,0)+1,FALSE),G1989)</f>
        <v>72.38</v>
      </c>
      <c r="H1990" s="6">
        <f>IFERROR(VLOOKUP($B1990,Platts!$E$5:$M$4994,MATCH(H$3,Platts!$F$5:$M$5,0)+1,FALSE),H1989)</f>
        <v>69.959999999999994</v>
      </c>
      <c r="I1990" s="6">
        <f>IFERROR(VLOOKUP($B1990,Platts!$E$5:$M$4994,MATCH(I$3,Platts!$F$5:$M$5,0)+1,FALSE),I1989)</f>
        <v>71.959999999999994</v>
      </c>
      <c r="J1990" s="6">
        <f t="shared" si="62"/>
        <v>3.4499999999999886</v>
      </c>
    </row>
    <row r="1991" spans="2:10" x14ac:dyDescent="0.25">
      <c r="B1991" s="5">
        <f t="shared" si="63"/>
        <v>44357</v>
      </c>
      <c r="C1991" s="6">
        <f>IFERROR(VLOOKUP($B1991,Platts!$E$5:$M$4994,MATCH(C$3,Platts!$F$5:$M$5,0)+1,FALSE),C1990)</f>
        <v>66.73</v>
      </c>
      <c r="D1991" s="6">
        <f>IFERROR(VLOOKUP($B1991,Platts!$E$5:$M$4994,MATCH(D$3,Platts!$F$5:$M$5,0)+1,FALSE),D1990)</f>
        <v>66.94</v>
      </c>
      <c r="E1991" s="6">
        <f>IFERROR(VLOOKUP($B1991,Platts!$E$5:$M$4994,MATCH(E$3,Platts!$F$5:$M$5,0)+1,FALSE),E1990)</f>
        <v>66.540000000000006</v>
      </c>
      <c r="F1991" s="6">
        <f>IFERROR(VLOOKUP($B1991,Platts!$E$5:$M$4994,MATCH(F$3,Platts!$F$5:$M$5,0)+1,FALSE),F1990)</f>
        <v>70.39</v>
      </c>
      <c r="G1991" s="6">
        <f>IFERROR(VLOOKUP($B1991,Platts!$E$5:$M$4994,MATCH(G$3,Platts!$F$5:$M$5,0)+1,FALSE),G1990)</f>
        <v>72.53</v>
      </c>
      <c r="H1991" s="6">
        <f>IFERROR(VLOOKUP($B1991,Platts!$E$5:$M$4994,MATCH(H$3,Platts!$F$5:$M$5,0)+1,FALSE),H1990)</f>
        <v>70.290000000000006</v>
      </c>
      <c r="I1991" s="6">
        <f>IFERROR(VLOOKUP($B1991,Platts!$E$5:$M$4994,MATCH(I$3,Platts!$F$5:$M$5,0)+1,FALSE),I1990)</f>
        <v>72.34</v>
      </c>
      <c r="J1991" s="6">
        <f t="shared" si="62"/>
        <v>3.5600000000000023</v>
      </c>
    </row>
    <row r="1992" spans="2:10" x14ac:dyDescent="0.25">
      <c r="B1992" s="5">
        <f t="shared" si="63"/>
        <v>44358</v>
      </c>
      <c r="C1992" s="6">
        <f>IFERROR(VLOOKUP($B1992,Platts!$E$5:$M$4994,MATCH(C$3,Platts!$F$5:$M$5,0)+1,FALSE),C1991)</f>
        <v>67.11</v>
      </c>
      <c r="D1992" s="6">
        <f>IFERROR(VLOOKUP($B1992,Platts!$E$5:$M$4994,MATCH(D$3,Platts!$F$5:$M$5,0)+1,FALSE),D1991)</f>
        <v>67.34</v>
      </c>
      <c r="E1992" s="6">
        <f>IFERROR(VLOOKUP($B1992,Platts!$E$5:$M$4994,MATCH(E$3,Platts!$F$5:$M$5,0)+1,FALSE),E1991)</f>
        <v>66.94</v>
      </c>
      <c r="F1992" s="6">
        <f>IFERROR(VLOOKUP($B1992,Platts!$E$5:$M$4994,MATCH(F$3,Platts!$F$5:$M$5,0)+1,FALSE),F1991)</f>
        <v>70.790000000000006</v>
      </c>
      <c r="G1992" s="6">
        <f>IFERROR(VLOOKUP($B1992,Platts!$E$5:$M$4994,MATCH(G$3,Platts!$F$5:$M$5,0)+1,FALSE),G1991)</f>
        <v>72.73</v>
      </c>
      <c r="H1992" s="6">
        <f>IFERROR(VLOOKUP($B1992,Platts!$E$5:$M$4994,MATCH(H$3,Platts!$F$5:$M$5,0)+1,FALSE),H1991)</f>
        <v>70.91</v>
      </c>
      <c r="I1992" s="6">
        <f>IFERROR(VLOOKUP($B1992,Platts!$E$5:$M$4994,MATCH(I$3,Platts!$F$5:$M$5,0)+1,FALSE),I1991)</f>
        <v>72.91</v>
      </c>
      <c r="J1992" s="6">
        <f t="shared" si="62"/>
        <v>3.7999999999999972</v>
      </c>
    </row>
    <row r="1993" spans="2:10" x14ac:dyDescent="0.25">
      <c r="B1993" s="5">
        <f t="shared" si="63"/>
        <v>44359</v>
      </c>
      <c r="C1993" s="6">
        <f>IFERROR(VLOOKUP($B1993,Platts!$E$5:$M$4994,MATCH(C$3,Platts!$F$5:$M$5,0)+1,FALSE),C1992)</f>
        <v>67.11</v>
      </c>
      <c r="D1993" s="6">
        <f>IFERROR(VLOOKUP($B1993,Platts!$E$5:$M$4994,MATCH(D$3,Platts!$F$5:$M$5,0)+1,FALSE),D1992)</f>
        <v>67.34</v>
      </c>
      <c r="E1993" s="6">
        <f>IFERROR(VLOOKUP($B1993,Platts!$E$5:$M$4994,MATCH(E$3,Platts!$F$5:$M$5,0)+1,FALSE),E1992)</f>
        <v>66.94</v>
      </c>
      <c r="F1993" s="6">
        <f>IFERROR(VLOOKUP($B1993,Platts!$E$5:$M$4994,MATCH(F$3,Platts!$F$5:$M$5,0)+1,FALSE),F1992)</f>
        <v>70.790000000000006</v>
      </c>
      <c r="G1993" s="6">
        <f>IFERROR(VLOOKUP($B1993,Platts!$E$5:$M$4994,MATCH(G$3,Platts!$F$5:$M$5,0)+1,FALSE),G1992)</f>
        <v>72.73</v>
      </c>
      <c r="H1993" s="6">
        <f>IFERROR(VLOOKUP($B1993,Platts!$E$5:$M$4994,MATCH(H$3,Platts!$F$5:$M$5,0)+1,FALSE),H1992)</f>
        <v>70.91</v>
      </c>
      <c r="I1993" s="6">
        <f>IFERROR(VLOOKUP($B1993,Platts!$E$5:$M$4994,MATCH(I$3,Platts!$F$5:$M$5,0)+1,FALSE),I1992)</f>
        <v>72.91</v>
      </c>
      <c r="J1993" s="6">
        <f t="shared" si="62"/>
        <v>3.7999999999999972</v>
      </c>
    </row>
    <row r="1994" spans="2:10" x14ac:dyDescent="0.25">
      <c r="B1994" s="5">
        <f t="shared" si="63"/>
        <v>44360</v>
      </c>
      <c r="C1994" s="6">
        <f>IFERROR(VLOOKUP($B1994,Platts!$E$5:$M$4994,MATCH(C$3,Platts!$F$5:$M$5,0)+1,FALSE),C1993)</f>
        <v>67.11</v>
      </c>
      <c r="D1994" s="6">
        <f>IFERROR(VLOOKUP($B1994,Platts!$E$5:$M$4994,MATCH(D$3,Platts!$F$5:$M$5,0)+1,FALSE),D1993)</f>
        <v>67.34</v>
      </c>
      <c r="E1994" s="6">
        <f>IFERROR(VLOOKUP($B1994,Platts!$E$5:$M$4994,MATCH(E$3,Platts!$F$5:$M$5,0)+1,FALSE),E1993)</f>
        <v>66.94</v>
      </c>
      <c r="F1994" s="6">
        <f>IFERROR(VLOOKUP($B1994,Platts!$E$5:$M$4994,MATCH(F$3,Platts!$F$5:$M$5,0)+1,FALSE),F1993)</f>
        <v>70.790000000000006</v>
      </c>
      <c r="G1994" s="6">
        <f>IFERROR(VLOOKUP($B1994,Platts!$E$5:$M$4994,MATCH(G$3,Platts!$F$5:$M$5,0)+1,FALSE),G1993)</f>
        <v>72.73</v>
      </c>
      <c r="H1994" s="6">
        <f>IFERROR(VLOOKUP($B1994,Platts!$E$5:$M$4994,MATCH(H$3,Platts!$F$5:$M$5,0)+1,FALSE),H1993)</f>
        <v>70.91</v>
      </c>
      <c r="I1994" s="6">
        <f>IFERROR(VLOOKUP($B1994,Platts!$E$5:$M$4994,MATCH(I$3,Platts!$F$5:$M$5,0)+1,FALSE),I1993)</f>
        <v>72.91</v>
      </c>
      <c r="J1994" s="6">
        <f t="shared" si="62"/>
        <v>3.7999999999999972</v>
      </c>
    </row>
    <row r="1995" spans="2:10" x14ac:dyDescent="0.25">
      <c r="B1995" s="5">
        <f t="shared" si="63"/>
        <v>44361</v>
      </c>
      <c r="C1995" s="6">
        <f>IFERROR(VLOOKUP($B1995,Platts!$E$5:$M$4994,MATCH(C$3,Platts!$F$5:$M$5,0)+1,FALSE),C1994)</f>
        <v>67.239999999999995</v>
      </c>
      <c r="D1995" s="6">
        <f>IFERROR(VLOOKUP($B1995,Platts!$E$5:$M$4994,MATCH(D$3,Platts!$F$5:$M$5,0)+1,FALSE),D1994)</f>
        <v>67.38</v>
      </c>
      <c r="E1995" s="6">
        <f>IFERROR(VLOOKUP($B1995,Platts!$E$5:$M$4994,MATCH(E$3,Platts!$F$5:$M$5,0)+1,FALSE),E1994)</f>
        <v>66.98</v>
      </c>
      <c r="F1995" s="6">
        <f>IFERROR(VLOOKUP($B1995,Platts!$E$5:$M$4994,MATCH(F$3,Platts!$F$5:$M$5,0)+1,FALSE),F1994)</f>
        <v>70.83</v>
      </c>
      <c r="G1995" s="6">
        <f>IFERROR(VLOOKUP($B1995,Platts!$E$5:$M$4994,MATCH(G$3,Platts!$F$5:$M$5,0)+1,FALSE),G1994)</f>
        <v>73.31</v>
      </c>
      <c r="H1995" s="6">
        <f>IFERROR(VLOOKUP($B1995,Platts!$E$5:$M$4994,MATCH(H$3,Platts!$F$5:$M$5,0)+1,FALSE),H1994)</f>
        <v>70.88</v>
      </c>
      <c r="I1995" s="6">
        <f>IFERROR(VLOOKUP($B1995,Platts!$E$5:$M$4994,MATCH(I$3,Platts!$F$5:$M$5,0)+1,FALSE),I1994)</f>
        <v>72.83</v>
      </c>
      <c r="J1995" s="6">
        <f t="shared" si="62"/>
        <v>3.6400000000000006</v>
      </c>
    </row>
    <row r="1996" spans="2:10" x14ac:dyDescent="0.25">
      <c r="B1996" s="5">
        <f t="shared" si="63"/>
        <v>44362</v>
      </c>
      <c r="C1996" s="6">
        <f>IFERROR(VLOOKUP($B1996,Platts!$E$5:$M$4994,MATCH(C$3,Platts!$F$5:$M$5,0)+1,FALSE),C1995)</f>
        <v>68.209999999999994</v>
      </c>
      <c r="D1996" s="6">
        <f>IFERROR(VLOOKUP($B1996,Platts!$E$5:$M$4994,MATCH(D$3,Platts!$F$5:$M$5,0)+1,FALSE),D1995)</f>
        <v>68.58</v>
      </c>
      <c r="E1996" s="6">
        <f>IFERROR(VLOOKUP($B1996,Platts!$E$5:$M$4994,MATCH(E$3,Platts!$F$5:$M$5,0)+1,FALSE),E1995)</f>
        <v>68.180000000000007</v>
      </c>
      <c r="F1996" s="6">
        <f>IFERROR(VLOOKUP($B1996,Platts!$E$5:$M$4994,MATCH(F$3,Platts!$F$5:$M$5,0)+1,FALSE),F1995)</f>
        <v>72.03</v>
      </c>
      <c r="G1996" s="6">
        <f>IFERROR(VLOOKUP($B1996,Platts!$E$5:$M$4994,MATCH(G$3,Platts!$F$5:$M$5,0)+1,FALSE),G1995)</f>
        <v>73.760000000000005</v>
      </c>
      <c r="H1996" s="6">
        <f>IFERROR(VLOOKUP($B1996,Platts!$E$5:$M$4994,MATCH(H$3,Platts!$F$5:$M$5,0)+1,FALSE),H1995)</f>
        <v>72.12</v>
      </c>
      <c r="I1996" s="6">
        <f>IFERROR(VLOOKUP($B1996,Platts!$E$5:$M$4994,MATCH(I$3,Platts!$F$5:$M$5,0)+1,FALSE),I1995)</f>
        <v>74.12</v>
      </c>
      <c r="J1996" s="6">
        <f t="shared" si="62"/>
        <v>3.9100000000000108</v>
      </c>
    </row>
    <row r="1997" spans="2:10" x14ac:dyDescent="0.25">
      <c r="B1997" s="5">
        <f t="shared" si="63"/>
        <v>44363</v>
      </c>
      <c r="C1997" s="6">
        <f>IFERROR(VLOOKUP($B1997,Platts!$E$5:$M$4994,MATCH(C$3,Platts!$F$5:$M$5,0)+1,FALSE),C1996)</f>
        <v>68.569999999999993</v>
      </c>
      <c r="D1997" s="6">
        <f>IFERROR(VLOOKUP($B1997,Platts!$E$5:$M$4994,MATCH(D$3,Platts!$F$5:$M$5,0)+1,FALSE),D1996)</f>
        <v>68.77</v>
      </c>
      <c r="E1997" s="6">
        <f>IFERROR(VLOOKUP($B1997,Platts!$E$5:$M$4994,MATCH(E$3,Platts!$F$5:$M$5,0)+1,FALSE),E1996)</f>
        <v>68.37</v>
      </c>
      <c r="F1997" s="6">
        <f>IFERROR(VLOOKUP($B1997,Platts!$E$5:$M$4994,MATCH(F$3,Platts!$F$5:$M$5,0)+1,FALSE),F1996)</f>
        <v>72.22</v>
      </c>
      <c r="G1997" s="6">
        <f>IFERROR(VLOOKUP($B1997,Platts!$E$5:$M$4994,MATCH(G$3,Platts!$F$5:$M$5,0)+1,FALSE),G1996)</f>
        <v>75.06</v>
      </c>
      <c r="H1997" s="6">
        <f>IFERROR(VLOOKUP($B1997,Platts!$E$5:$M$4994,MATCH(H$3,Platts!$F$5:$M$5,0)+1,FALSE),H1996)</f>
        <v>72.150000000000006</v>
      </c>
      <c r="I1997" s="6">
        <f>IFERROR(VLOOKUP($B1997,Platts!$E$5:$M$4994,MATCH(I$3,Platts!$F$5:$M$5,0)+1,FALSE),I1996)</f>
        <v>74</v>
      </c>
      <c r="J1997" s="6">
        <f t="shared" si="62"/>
        <v>3.5800000000000125</v>
      </c>
    </row>
    <row r="1998" spans="2:10" x14ac:dyDescent="0.25">
      <c r="B1998" s="5">
        <f t="shared" si="63"/>
        <v>44364</v>
      </c>
      <c r="C1998" s="6">
        <f>IFERROR(VLOOKUP($B1998,Platts!$E$5:$M$4994,MATCH(C$3,Platts!$F$5:$M$5,0)+1,FALSE),C1997)</f>
        <v>67.44</v>
      </c>
      <c r="D1998" s="6">
        <f>IFERROR(VLOOKUP($B1998,Platts!$E$5:$M$4994,MATCH(D$3,Platts!$F$5:$M$5,0)+1,FALSE),D1997)</f>
        <v>67.59</v>
      </c>
      <c r="E1998" s="6">
        <f>IFERROR(VLOOKUP($B1998,Platts!$E$5:$M$4994,MATCH(E$3,Platts!$F$5:$M$5,0)+1,FALSE),E1997)</f>
        <v>67.19</v>
      </c>
      <c r="F1998" s="6">
        <f>IFERROR(VLOOKUP($B1998,Platts!$E$5:$M$4994,MATCH(F$3,Platts!$F$5:$M$5,0)+1,FALSE),F1997)</f>
        <v>71.040000000000006</v>
      </c>
      <c r="G1998" s="6">
        <f>IFERROR(VLOOKUP($B1998,Platts!$E$5:$M$4994,MATCH(G$3,Platts!$F$5:$M$5,0)+1,FALSE),G1997)</f>
        <v>73.209999999999994</v>
      </c>
      <c r="H1998" s="6">
        <f>IFERROR(VLOOKUP($B1998,Platts!$E$5:$M$4994,MATCH(H$3,Platts!$F$5:$M$5,0)+1,FALSE),H1997)</f>
        <v>71.040000000000006</v>
      </c>
      <c r="I1998" s="6">
        <f>IFERROR(VLOOKUP($B1998,Platts!$E$5:$M$4994,MATCH(I$3,Platts!$F$5:$M$5,0)+1,FALSE),I1997)</f>
        <v>72.790000000000006</v>
      </c>
      <c r="J1998" s="6">
        <f t="shared" si="62"/>
        <v>3.6000000000000085</v>
      </c>
    </row>
    <row r="1999" spans="2:10" x14ac:dyDescent="0.25">
      <c r="B1999" s="5">
        <f t="shared" si="63"/>
        <v>44365</v>
      </c>
      <c r="C1999" s="6">
        <f>IFERROR(VLOOKUP($B1999,Platts!$E$5:$M$4994,MATCH(C$3,Platts!$F$5:$M$5,0)+1,FALSE),C1998)</f>
        <v>67.55</v>
      </c>
      <c r="D1999" s="6">
        <f>IFERROR(VLOOKUP($B1999,Platts!$E$5:$M$4994,MATCH(D$3,Platts!$F$5:$M$5,0)+1,FALSE),D1998)</f>
        <v>67.900000000000006</v>
      </c>
      <c r="E1999" s="6">
        <f>IFERROR(VLOOKUP($B1999,Platts!$E$5:$M$4994,MATCH(E$3,Platts!$F$5:$M$5,0)+1,FALSE),E1998)</f>
        <v>67.5</v>
      </c>
      <c r="F1999" s="6">
        <f>IFERROR(VLOOKUP($B1999,Platts!$E$5:$M$4994,MATCH(F$3,Platts!$F$5:$M$5,0)+1,FALSE),F1998)</f>
        <v>71.349999999999994</v>
      </c>
      <c r="G1999" s="6">
        <f>IFERROR(VLOOKUP($B1999,Platts!$E$5:$M$4994,MATCH(G$3,Platts!$F$5:$M$5,0)+1,FALSE),G1998)</f>
        <v>73.64</v>
      </c>
      <c r="H1999" s="6">
        <f>IFERROR(VLOOKUP($B1999,Platts!$E$5:$M$4994,MATCH(H$3,Platts!$F$5:$M$5,0)+1,FALSE),H1998)</f>
        <v>71.64</v>
      </c>
      <c r="I1999" s="6">
        <f>IFERROR(VLOOKUP($B1999,Platts!$E$5:$M$4994,MATCH(I$3,Platts!$F$5:$M$5,0)+1,FALSE),I1998)</f>
        <v>73.040000000000006</v>
      </c>
      <c r="J1999" s="6">
        <f t="shared" si="62"/>
        <v>4.0900000000000034</v>
      </c>
    </row>
    <row r="2000" spans="2:10" x14ac:dyDescent="0.25">
      <c r="B2000" s="5">
        <f t="shared" si="63"/>
        <v>44366</v>
      </c>
      <c r="C2000" s="6">
        <f>IFERROR(VLOOKUP($B2000,Platts!$E$5:$M$4994,MATCH(C$3,Platts!$F$5:$M$5,0)+1,FALSE),C1999)</f>
        <v>67.55</v>
      </c>
      <c r="D2000" s="6">
        <f>IFERROR(VLOOKUP($B2000,Platts!$E$5:$M$4994,MATCH(D$3,Platts!$F$5:$M$5,0)+1,FALSE),D1999)</f>
        <v>67.900000000000006</v>
      </c>
      <c r="E2000" s="6">
        <f>IFERROR(VLOOKUP($B2000,Platts!$E$5:$M$4994,MATCH(E$3,Platts!$F$5:$M$5,0)+1,FALSE),E1999)</f>
        <v>67.5</v>
      </c>
      <c r="F2000" s="6">
        <f>IFERROR(VLOOKUP($B2000,Platts!$E$5:$M$4994,MATCH(F$3,Platts!$F$5:$M$5,0)+1,FALSE),F1999)</f>
        <v>71.349999999999994</v>
      </c>
      <c r="G2000" s="6">
        <f>IFERROR(VLOOKUP($B2000,Platts!$E$5:$M$4994,MATCH(G$3,Platts!$F$5:$M$5,0)+1,FALSE),G1999)</f>
        <v>73.64</v>
      </c>
      <c r="H2000" s="6">
        <f>IFERROR(VLOOKUP($B2000,Platts!$E$5:$M$4994,MATCH(H$3,Platts!$F$5:$M$5,0)+1,FALSE),H1999)</f>
        <v>71.64</v>
      </c>
      <c r="I2000" s="6">
        <f>IFERROR(VLOOKUP($B2000,Platts!$E$5:$M$4994,MATCH(I$3,Platts!$F$5:$M$5,0)+1,FALSE),I1999)</f>
        <v>73.040000000000006</v>
      </c>
      <c r="J2000" s="6">
        <f t="shared" si="62"/>
        <v>4.0900000000000034</v>
      </c>
    </row>
    <row r="2001" spans="2:10" x14ac:dyDescent="0.25">
      <c r="B2001" s="5">
        <f t="shared" si="63"/>
        <v>44367</v>
      </c>
      <c r="C2001" s="6">
        <f>IFERROR(VLOOKUP($B2001,Platts!$E$5:$M$4994,MATCH(C$3,Platts!$F$5:$M$5,0)+1,FALSE),C2000)</f>
        <v>67.55</v>
      </c>
      <c r="D2001" s="6">
        <f>IFERROR(VLOOKUP($B2001,Platts!$E$5:$M$4994,MATCH(D$3,Platts!$F$5:$M$5,0)+1,FALSE),D2000)</f>
        <v>67.900000000000006</v>
      </c>
      <c r="E2001" s="6">
        <f>IFERROR(VLOOKUP($B2001,Platts!$E$5:$M$4994,MATCH(E$3,Platts!$F$5:$M$5,0)+1,FALSE),E2000)</f>
        <v>67.5</v>
      </c>
      <c r="F2001" s="6">
        <f>IFERROR(VLOOKUP($B2001,Platts!$E$5:$M$4994,MATCH(F$3,Platts!$F$5:$M$5,0)+1,FALSE),F2000)</f>
        <v>71.349999999999994</v>
      </c>
      <c r="G2001" s="6">
        <f>IFERROR(VLOOKUP($B2001,Platts!$E$5:$M$4994,MATCH(G$3,Platts!$F$5:$M$5,0)+1,FALSE),G2000)</f>
        <v>73.64</v>
      </c>
      <c r="H2001" s="6">
        <f>IFERROR(VLOOKUP($B2001,Platts!$E$5:$M$4994,MATCH(H$3,Platts!$F$5:$M$5,0)+1,FALSE),H2000)</f>
        <v>71.64</v>
      </c>
      <c r="I2001" s="6">
        <f>IFERROR(VLOOKUP($B2001,Platts!$E$5:$M$4994,MATCH(I$3,Platts!$F$5:$M$5,0)+1,FALSE),I2000)</f>
        <v>73.040000000000006</v>
      </c>
      <c r="J2001" s="6">
        <f t="shared" si="62"/>
        <v>4.0900000000000034</v>
      </c>
    </row>
    <row r="2002" spans="2:10" x14ac:dyDescent="0.25">
      <c r="B2002" s="5">
        <f t="shared" si="63"/>
        <v>44368</v>
      </c>
      <c r="C2002" s="6">
        <f>IFERROR(VLOOKUP($B2002,Platts!$E$5:$M$4994,MATCH(C$3,Platts!$F$5:$M$5,0)+1,FALSE),C2001)</f>
        <v>69.03</v>
      </c>
      <c r="D2002" s="6">
        <f>IFERROR(VLOOKUP($B2002,Platts!$E$5:$M$4994,MATCH(D$3,Platts!$F$5:$M$5,0)+1,FALSE),D2001)</f>
        <v>69.64</v>
      </c>
      <c r="E2002" s="6">
        <f>IFERROR(VLOOKUP($B2002,Platts!$E$5:$M$4994,MATCH(E$3,Platts!$F$5:$M$5,0)+1,FALSE),E2001)</f>
        <v>69.239999999999995</v>
      </c>
      <c r="F2002" s="6">
        <f>IFERROR(VLOOKUP($B2002,Platts!$E$5:$M$4994,MATCH(F$3,Platts!$F$5:$M$5,0)+1,FALSE),F2001)</f>
        <v>73.09</v>
      </c>
      <c r="G2002" s="6">
        <f>IFERROR(VLOOKUP($B2002,Platts!$E$5:$M$4994,MATCH(G$3,Platts!$F$5:$M$5,0)+1,FALSE),G2001)</f>
        <v>74.45</v>
      </c>
      <c r="H2002" s="6">
        <f>IFERROR(VLOOKUP($B2002,Platts!$E$5:$M$4994,MATCH(H$3,Platts!$F$5:$M$5,0)+1,FALSE),H2001)</f>
        <v>73.66</v>
      </c>
      <c r="I2002" s="6">
        <f>IFERROR(VLOOKUP($B2002,Platts!$E$5:$M$4994,MATCH(I$3,Platts!$F$5:$M$5,0)+1,FALSE),I2001)</f>
        <v>74.260000000000005</v>
      </c>
      <c r="J2002" s="6">
        <f t="shared" si="62"/>
        <v>4.6299999999999955</v>
      </c>
    </row>
    <row r="2003" spans="2:10" x14ac:dyDescent="0.25">
      <c r="B2003" s="5">
        <f t="shared" si="63"/>
        <v>44369</v>
      </c>
      <c r="C2003" s="6">
        <f>IFERROR(VLOOKUP($B2003,Platts!$E$5:$M$4994,MATCH(C$3,Platts!$F$5:$M$5,0)+1,FALSE),C2002)</f>
        <v>68.86</v>
      </c>
      <c r="D2003" s="6">
        <f>IFERROR(VLOOKUP($B2003,Platts!$E$5:$M$4994,MATCH(D$3,Platts!$F$5:$M$5,0)+1,FALSE),D2002)</f>
        <v>69.12</v>
      </c>
      <c r="E2003" s="6">
        <f>IFERROR(VLOOKUP($B2003,Platts!$E$5:$M$4994,MATCH(E$3,Platts!$F$5:$M$5,0)+1,FALSE),E2002)</f>
        <v>68.72</v>
      </c>
      <c r="F2003" s="6">
        <f>IFERROR(VLOOKUP($B2003,Platts!$E$5:$M$4994,MATCH(F$3,Platts!$F$5:$M$5,0)+1,FALSE),F2002)</f>
        <v>72.569999999999993</v>
      </c>
      <c r="G2003" s="6">
        <f>IFERROR(VLOOKUP($B2003,Platts!$E$5:$M$4994,MATCH(G$3,Platts!$F$5:$M$5,0)+1,FALSE),G2002)</f>
        <v>74.83</v>
      </c>
      <c r="H2003" s="6">
        <f>IFERROR(VLOOKUP($B2003,Platts!$E$5:$M$4994,MATCH(H$3,Platts!$F$5:$M$5,0)+1,FALSE),H2002)</f>
        <v>73.06</v>
      </c>
      <c r="I2003" s="6">
        <f>IFERROR(VLOOKUP($B2003,Platts!$E$5:$M$4994,MATCH(I$3,Platts!$F$5:$M$5,0)+1,FALSE),I2002)</f>
        <v>73.61</v>
      </c>
      <c r="J2003" s="6">
        <f t="shared" si="62"/>
        <v>4.2000000000000028</v>
      </c>
    </row>
    <row r="2004" spans="2:10" x14ac:dyDescent="0.25">
      <c r="B2004" s="5">
        <f t="shared" si="63"/>
        <v>44370</v>
      </c>
      <c r="C2004" s="6">
        <f>IFERROR(VLOOKUP($B2004,Platts!$E$5:$M$4994,MATCH(C$3,Platts!$F$5:$M$5,0)+1,FALSE),C2003)</f>
        <v>69.31</v>
      </c>
      <c r="D2004" s="6">
        <f>IFERROR(VLOOKUP($B2004,Platts!$E$5:$M$4994,MATCH(D$3,Platts!$F$5:$M$5,0)+1,FALSE),D2003)</f>
        <v>69.42</v>
      </c>
      <c r="E2004" s="6">
        <f>IFERROR(VLOOKUP($B2004,Platts!$E$5:$M$4994,MATCH(E$3,Platts!$F$5:$M$5,0)+1,FALSE),E2003)</f>
        <v>69.02</v>
      </c>
      <c r="F2004" s="6">
        <f>IFERROR(VLOOKUP($B2004,Platts!$E$5:$M$4994,MATCH(F$3,Platts!$F$5:$M$5,0)+1,FALSE),F2003)</f>
        <v>72.87</v>
      </c>
      <c r="G2004" s="6">
        <f>IFERROR(VLOOKUP($B2004,Platts!$E$5:$M$4994,MATCH(G$3,Platts!$F$5:$M$5,0)+1,FALSE),G2003)</f>
        <v>75.69</v>
      </c>
      <c r="H2004" s="6">
        <f>IFERROR(VLOOKUP($B2004,Platts!$E$5:$M$4994,MATCH(H$3,Platts!$F$5:$M$5,0)+1,FALSE),H2003)</f>
        <v>73.319999999999993</v>
      </c>
      <c r="I2004" s="6">
        <f>IFERROR(VLOOKUP($B2004,Platts!$E$5:$M$4994,MATCH(I$3,Platts!$F$5:$M$5,0)+1,FALSE),I2003)</f>
        <v>73.87</v>
      </c>
      <c r="J2004" s="6">
        <f t="shared" si="62"/>
        <v>4.0099999999999909</v>
      </c>
    </row>
    <row r="2005" spans="2:10" x14ac:dyDescent="0.25">
      <c r="B2005" s="5">
        <f t="shared" si="63"/>
        <v>44371</v>
      </c>
      <c r="C2005" s="6">
        <f>IFERROR(VLOOKUP($B2005,Platts!$E$5:$M$4994,MATCH(C$3,Platts!$F$5:$M$5,0)+1,FALSE),C2004)</f>
        <v>69.599999999999994</v>
      </c>
      <c r="D2005" s="6">
        <f>IFERROR(VLOOKUP($B2005,Platts!$E$5:$M$4994,MATCH(D$3,Platts!$F$5:$M$5,0)+1,FALSE),D2004)</f>
        <v>69.760000000000005</v>
      </c>
      <c r="E2005" s="6">
        <f>IFERROR(VLOOKUP($B2005,Platts!$E$5:$M$4994,MATCH(E$3,Platts!$F$5:$M$5,0)+1,FALSE),E2004)</f>
        <v>69.36</v>
      </c>
      <c r="F2005" s="6">
        <f>IFERROR(VLOOKUP($B2005,Platts!$E$5:$M$4994,MATCH(F$3,Platts!$F$5:$M$5,0)+1,FALSE),F2004)</f>
        <v>73.209999999999994</v>
      </c>
      <c r="G2005" s="6">
        <f>IFERROR(VLOOKUP($B2005,Platts!$E$5:$M$4994,MATCH(G$3,Platts!$F$5:$M$5,0)+1,FALSE),G2004)</f>
        <v>75.47</v>
      </c>
      <c r="H2005" s="6">
        <f>IFERROR(VLOOKUP($B2005,Platts!$E$5:$M$4994,MATCH(H$3,Platts!$F$5:$M$5,0)+1,FALSE),H2004)</f>
        <v>73.540000000000006</v>
      </c>
      <c r="I2005" s="6">
        <f>IFERROR(VLOOKUP($B2005,Platts!$E$5:$M$4994,MATCH(I$3,Platts!$F$5:$M$5,0)+1,FALSE),I2004)</f>
        <v>74.19</v>
      </c>
      <c r="J2005" s="6">
        <f t="shared" si="62"/>
        <v>3.9400000000000119</v>
      </c>
    </row>
    <row r="2006" spans="2:10" x14ac:dyDescent="0.25">
      <c r="B2006" s="5">
        <f t="shared" si="63"/>
        <v>44372</v>
      </c>
      <c r="C2006" s="6">
        <f>IFERROR(VLOOKUP($B2006,Platts!$E$5:$M$4994,MATCH(C$3,Platts!$F$5:$M$5,0)+1,FALSE),C2005)</f>
        <v>69.599999999999994</v>
      </c>
      <c r="D2006" s="6">
        <f>IFERROR(VLOOKUP($B2006,Platts!$E$5:$M$4994,MATCH(D$3,Platts!$F$5:$M$5,0)+1,FALSE),D2005)</f>
        <v>70.5</v>
      </c>
      <c r="E2006" s="6">
        <f>IFERROR(VLOOKUP($B2006,Platts!$E$5:$M$4994,MATCH(E$3,Platts!$F$5:$M$5,0)+1,FALSE),E2005)</f>
        <v>70.099999999999994</v>
      </c>
      <c r="F2006" s="6">
        <f>IFERROR(VLOOKUP($B2006,Platts!$E$5:$M$4994,MATCH(F$3,Platts!$F$5:$M$5,0)+1,FALSE),F2005)</f>
        <v>73.95</v>
      </c>
      <c r="G2006" s="6">
        <f>IFERROR(VLOOKUP($B2006,Platts!$E$5:$M$4994,MATCH(G$3,Platts!$F$5:$M$5,0)+1,FALSE),G2005)</f>
        <v>75.95</v>
      </c>
      <c r="H2006" s="6">
        <f>IFERROR(VLOOKUP($B2006,Platts!$E$5:$M$4994,MATCH(H$3,Platts!$F$5:$M$5,0)+1,FALSE),H2005)</f>
        <v>74.239999999999995</v>
      </c>
      <c r="I2006" s="6">
        <f>IFERROR(VLOOKUP($B2006,Platts!$E$5:$M$4994,MATCH(I$3,Platts!$F$5:$M$5,0)+1,FALSE),I2005)</f>
        <v>74.989999999999995</v>
      </c>
      <c r="J2006" s="6">
        <f t="shared" si="62"/>
        <v>4.6400000000000006</v>
      </c>
    </row>
    <row r="2007" spans="2:10" x14ac:dyDescent="0.25">
      <c r="B2007" s="5">
        <f t="shared" si="63"/>
        <v>44373</v>
      </c>
      <c r="C2007" s="6">
        <f>IFERROR(VLOOKUP($B2007,Platts!$E$5:$M$4994,MATCH(C$3,Platts!$F$5:$M$5,0)+1,FALSE),C2006)</f>
        <v>69.599999999999994</v>
      </c>
      <c r="D2007" s="6">
        <f>IFERROR(VLOOKUP($B2007,Platts!$E$5:$M$4994,MATCH(D$3,Platts!$F$5:$M$5,0)+1,FALSE),D2006)</f>
        <v>70.5</v>
      </c>
      <c r="E2007" s="6">
        <f>IFERROR(VLOOKUP($B2007,Platts!$E$5:$M$4994,MATCH(E$3,Platts!$F$5:$M$5,0)+1,FALSE),E2006)</f>
        <v>70.099999999999994</v>
      </c>
      <c r="F2007" s="6">
        <f>IFERROR(VLOOKUP($B2007,Platts!$E$5:$M$4994,MATCH(F$3,Platts!$F$5:$M$5,0)+1,FALSE),F2006)</f>
        <v>73.95</v>
      </c>
      <c r="G2007" s="6">
        <f>IFERROR(VLOOKUP($B2007,Platts!$E$5:$M$4994,MATCH(G$3,Platts!$F$5:$M$5,0)+1,FALSE),G2006)</f>
        <v>75.95</v>
      </c>
      <c r="H2007" s="6">
        <f>IFERROR(VLOOKUP($B2007,Platts!$E$5:$M$4994,MATCH(H$3,Platts!$F$5:$M$5,0)+1,FALSE),H2006)</f>
        <v>74.239999999999995</v>
      </c>
      <c r="I2007" s="6">
        <f>IFERROR(VLOOKUP($B2007,Platts!$E$5:$M$4994,MATCH(I$3,Platts!$F$5:$M$5,0)+1,FALSE),I2006)</f>
        <v>74.989999999999995</v>
      </c>
      <c r="J2007" s="6">
        <f t="shared" si="62"/>
        <v>4.6400000000000006</v>
      </c>
    </row>
    <row r="2008" spans="2:10" x14ac:dyDescent="0.25">
      <c r="B2008" s="5">
        <f t="shared" si="63"/>
        <v>44374</v>
      </c>
      <c r="C2008" s="6">
        <f>IFERROR(VLOOKUP($B2008,Platts!$E$5:$M$4994,MATCH(C$3,Platts!$F$5:$M$5,0)+1,FALSE),C2007)</f>
        <v>69.599999999999994</v>
      </c>
      <c r="D2008" s="6">
        <f>IFERROR(VLOOKUP($B2008,Platts!$E$5:$M$4994,MATCH(D$3,Platts!$F$5:$M$5,0)+1,FALSE),D2007)</f>
        <v>70.5</v>
      </c>
      <c r="E2008" s="6">
        <f>IFERROR(VLOOKUP($B2008,Platts!$E$5:$M$4994,MATCH(E$3,Platts!$F$5:$M$5,0)+1,FALSE),E2007)</f>
        <v>70.099999999999994</v>
      </c>
      <c r="F2008" s="6">
        <f>IFERROR(VLOOKUP($B2008,Platts!$E$5:$M$4994,MATCH(F$3,Platts!$F$5:$M$5,0)+1,FALSE),F2007)</f>
        <v>73.95</v>
      </c>
      <c r="G2008" s="6">
        <f>IFERROR(VLOOKUP($B2008,Platts!$E$5:$M$4994,MATCH(G$3,Platts!$F$5:$M$5,0)+1,FALSE),G2007)</f>
        <v>75.95</v>
      </c>
      <c r="H2008" s="6">
        <f>IFERROR(VLOOKUP($B2008,Platts!$E$5:$M$4994,MATCH(H$3,Platts!$F$5:$M$5,0)+1,FALSE),H2007)</f>
        <v>74.239999999999995</v>
      </c>
      <c r="I2008" s="6">
        <f>IFERROR(VLOOKUP($B2008,Platts!$E$5:$M$4994,MATCH(I$3,Platts!$F$5:$M$5,0)+1,FALSE),I2007)</f>
        <v>74.989999999999995</v>
      </c>
      <c r="J2008" s="6">
        <f t="shared" si="62"/>
        <v>4.6400000000000006</v>
      </c>
    </row>
    <row r="2009" spans="2:10" x14ac:dyDescent="0.25">
      <c r="B2009" s="5">
        <f t="shared" si="63"/>
        <v>44375</v>
      </c>
      <c r="C2009" s="6">
        <f>IFERROR(VLOOKUP($B2009,Platts!$E$5:$M$4994,MATCH(C$3,Platts!$F$5:$M$5,0)+1,FALSE),C2008)</f>
        <v>69.03</v>
      </c>
      <c r="D2009" s="6">
        <f>IFERROR(VLOOKUP($B2009,Platts!$E$5:$M$4994,MATCH(D$3,Platts!$F$5:$M$5,0)+1,FALSE),D2008)</f>
        <v>69.069999999999993</v>
      </c>
      <c r="E2009" s="6">
        <f>IFERROR(VLOOKUP($B2009,Platts!$E$5:$M$4994,MATCH(E$3,Platts!$F$5:$M$5,0)+1,FALSE),E2008)</f>
        <v>68.67</v>
      </c>
      <c r="F2009" s="6">
        <f>IFERROR(VLOOKUP($B2009,Platts!$E$5:$M$4994,MATCH(F$3,Platts!$F$5:$M$5,0)+1,FALSE),F2008)</f>
        <v>72.52</v>
      </c>
      <c r="G2009" s="6">
        <f>IFERROR(VLOOKUP($B2009,Platts!$E$5:$M$4994,MATCH(G$3,Platts!$F$5:$M$5,0)+1,FALSE),G2008)</f>
        <v>75.209999999999994</v>
      </c>
      <c r="H2009" s="6">
        <f>IFERROR(VLOOKUP($B2009,Platts!$E$5:$M$4994,MATCH(H$3,Platts!$F$5:$M$5,0)+1,FALSE),H2008)</f>
        <v>72.91</v>
      </c>
      <c r="I2009" s="6">
        <f>IFERROR(VLOOKUP($B2009,Platts!$E$5:$M$4994,MATCH(I$3,Platts!$F$5:$M$5,0)+1,FALSE),I2008)</f>
        <v>73.86</v>
      </c>
      <c r="J2009" s="6">
        <f t="shared" si="62"/>
        <v>3.8799999999999955</v>
      </c>
    </row>
    <row r="2010" spans="2:10" x14ac:dyDescent="0.25">
      <c r="B2010" s="5">
        <f t="shared" si="63"/>
        <v>44376</v>
      </c>
      <c r="C2010" s="6">
        <f>IFERROR(VLOOKUP($B2010,Platts!$E$5:$M$4994,MATCH(C$3,Platts!$F$5:$M$5,0)+1,FALSE),C2009)</f>
        <v>68.89</v>
      </c>
      <c r="D2010" s="6">
        <f>IFERROR(VLOOKUP($B2010,Platts!$E$5:$M$4994,MATCH(D$3,Platts!$F$5:$M$5,0)+1,FALSE),D2009)</f>
        <v>69.150000000000006</v>
      </c>
      <c r="E2010" s="6">
        <f>IFERROR(VLOOKUP($B2010,Platts!$E$5:$M$4994,MATCH(E$3,Platts!$F$5:$M$5,0)+1,FALSE),E2009)</f>
        <v>68.75</v>
      </c>
      <c r="F2010" s="6">
        <f>IFERROR(VLOOKUP($B2010,Platts!$E$5:$M$4994,MATCH(F$3,Platts!$F$5:$M$5,0)+1,FALSE),F2009)</f>
        <v>72.599999999999994</v>
      </c>
      <c r="G2010" s="6">
        <f>IFERROR(VLOOKUP($B2010,Platts!$E$5:$M$4994,MATCH(G$3,Platts!$F$5:$M$5,0)+1,FALSE),G2009)</f>
        <v>75.28</v>
      </c>
      <c r="H2010" s="6">
        <f>IFERROR(VLOOKUP($B2010,Platts!$E$5:$M$4994,MATCH(H$3,Platts!$F$5:$M$5,0)+1,FALSE),H2009)</f>
        <v>72.98</v>
      </c>
      <c r="I2010" s="6">
        <f>IFERROR(VLOOKUP($B2010,Platts!$E$5:$M$4994,MATCH(I$3,Platts!$F$5:$M$5,0)+1,FALSE),I2009)</f>
        <v>73.930000000000007</v>
      </c>
      <c r="J2010" s="6">
        <f t="shared" si="62"/>
        <v>4.0900000000000034</v>
      </c>
    </row>
    <row r="2011" spans="2:10" x14ac:dyDescent="0.25">
      <c r="B2011" s="5">
        <f t="shared" si="63"/>
        <v>44377</v>
      </c>
      <c r="C2011" s="6">
        <f>IFERROR(VLOOKUP($B2011,Platts!$E$5:$M$4994,MATCH(C$3,Platts!$F$5:$M$5,0)+1,FALSE),C2010)</f>
        <v>69.3</v>
      </c>
      <c r="D2011" s="6">
        <f>IFERROR(VLOOKUP($B2011,Platts!$E$5:$M$4994,MATCH(D$3,Platts!$F$5:$M$5,0)+1,FALSE),D2010)</f>
        <v>69.63</v>
      </c>
      <c r="E2011" s="6">
        <f>IFERROR(VLOOKUP($B2011,Platts!$E$5:$M$4994,MATCH(E$3,Platts!$F$5:$M$5,0)+1,FALSE),E2010)</f>
        <v>69.23</v>
      </c>
      <c r="F2011" s="6">
        <f>IFERROR(VLOOKUP($B2011,Platts!$E$5:$M$4994,MATCH(F$3,Platts!$F$5:$M$5,0)+1,FALSE),F2010)</f>
        <v>73.08</v>
      </c>
      <c r="G2011" s="6">
        <f>IFERROR(VLOOKUP($B2011,Platts!$E$5:$M$4994,MATCH(G$3,Platts!$F$5:$M$5,0)+1,FALSE),G2010)</f>
        <v>74.92</v>
      </c>
      <c r="H2011" s="6">
        <f>IFERROR(VLOOKUP($B2011,Platts!$E$5:$M$4994,MATCH(H$3,Platts!$F$5:$M$5,0)+1,FALSE),H2010)</f>
        <v>73.47</v>
      </c>
      <c r="I2011" s="6">
        <f>IFERROR(VLOOKUP($B2011,Platts!$E$5:$M$4994,MATCH(I$3,Platts!$F$5:$M$5,0)+1,FALSE),I2010)</f>
        <v>74.319999999999993</v>
      </c>
      <c r="J2011" s="6">
        <f t="shared" si="62"/>
        <v>4.1700000000000017</v>
      </c>
    </row>
    <row r="2012" spans="2:10" x14ac:dyDescent="0.25">
      <c r="B2012" s="5">
        <f t="shared" si="63"/>
        <v>44378</v>
      </c>
      <c r="C2012" s="6">
        <f>IFERROR(VLOOKUP($B2012,Platts!$E$5:$M$4994,MATCH(C$3,Platts!$F$5:$M$5,0)+1,FALSE),C2011)</f>
        <v>70.569999999999993</v>
      </c>
      <c r="D2012" s="6">
        <f>IFERROR(VLOOKUP($B2012,Platts!$E$5:$M$4994,MATCH(D$3,Platts!$F$5:$M$5,0)+1,FALSE),D2011)</f>
        <v>71.09</v>
      </c>
      <c r="E2012" s="6">
        <f>IFERROR(VLOOKUP($B2012,Platts!$E$5:$M$4994,MATCH(E$3,Platts!$F$5:$M$5,0)+1,FALSE),E2011)</f>
        <v>70.739999999999995</v>
      </c>
      <c r="F2012" s="6">
        <f>IFERROR(VLOOKUP($B2012,Platts!$E$5:$M$4994,MATCH(F$3,Platts!$F$5:$M$5,0)+1,FALSE),F2011)</f>
        <v>74.39</v>
      </c>
      <c r="G2012" s="6">
        <f>IFERROR(VLOOKUP($B2012,Platts!$E$5:$M$4994,MATCH(G$3,Platts!$F$5:$M$5,0)+1,FALSE),G2011)</f>
        <v>75.88</v>
      </c>
      <c r="H2012" s="6">
        <f>IFERROR(VLOOKUP($B2012,Platts!$E$5:$M$4994,MATCH(H$3,Platts!$F$5:$M$5,0)+1,FALSE),H2011)</f>
        <v>75.23</v>
      </c>
      <c r="I2012" s="6">
        <f>IFERROR(VLOOKUP($B2012,Platts!$E$5:$M$4994,MATCH(I$3,Platts!$F$5:$M$5,0)+1,FALSE),I2011)</f>
        <v>76.03</v>
      </c>
      <c r="J2012" s="6">
        <f t="shared" si="62"/>
        <v>4.6600000000000108</v>
      </c>
    </row>
    <row r="2013" spans="2:10" x14ac:dyDescent="0.25">
      <c r="B2013" s="5">
        <f t="shared" si="63"/>
        <v>44379</v>
      </c>
      <c r="C2013" s="6">
        <f>IFERROR(VLOOKUP($B2013,Platts!$E$5:$M$4994,MATCH(C$3,Platts!$F$5:$M$5,0)+1,FALSE),C2012)</f>
        <v>70.760000000000005</v>
      </c>
      <c r="D2013" s="6">
        <f>IFERROR(VLOOKUP($B2013,Platts!$E$5:$M$4994,MATCH(D$3,Platts!$F$5:$M$5,0)+1,FALSE),D2012)</f>
        <v>71.16</v>
      </c>
      <c r="E2013" s="6">
        <f>IFERROR(VLOOKUP($B2013,Platts!$E$5:$M$4994,MATCH(E$3,Platts!$F$5:$M$5,0)+1,FALSE),E2012)</f>
        <v>70.81</v>
      </c>
      <c r="F2013" s="6">
        <f>IFERROR(VLOOKUP($B2013,Platts!$E$5:$M$4994,MATCH(F$3,Platts!$F$5:$M$5,0)+1,FALSE),F2012)</f>
        <v>74.459999999999994</v>
      </c>
      <c r="G2013" s="6">
        <f>IFERROR(VLOOKUP($B2013,Platts!$E$5:$M$4994,MATCH(G$3,Platts!$F$5:$M$5,0)+1,FALSE),G2012)</f>
        <v>76.22</v>
      </c>
      <c r="H2013" s="6">
        <f>IFERROR(VLOOKUP($B2013,Platts!$E$5:$M$4994,MATCH(H$3,Platts!$F$5:$M$5,0)+1,FALSE),H2012)</f>
        <v>75.16</v>
      </c>
      <c r="I2013" s="6">
        <f>IFERROR(VLOOKUP($B2013,Platts!$E$5:$M$4994,MATCH(I$3,Platts!$F$5:$M$5,0)+1,FALSE),I2012)</f>
        <v>75.959999999999994</v>
      </c>
      <c r="J2013" s="6">
        <f t="shared" si="62"/>
        <v>4.3999999999999915</v>
      </c>
    </row>
    <row r="2014" spans="2:10" x14ac:dyDescent="0.25">
      <c r="B2014" s="5">
        <f t="shared" si="63"/>
        <v>44380</v>
      </c>
      <c r="C2014" s="6">
        <f>IFERROR(VLOOKUP($B2014,Platts!$E$5:$M$4994,MATCH(C$3,Platts!$F$5:$M$5,0)+1,FALSE),C2013)</f>
        <v>70.760000000000005</v>
      </c>
      <c r="D2014" s="6">
        <f>IFERROR(VLOOKUP($B2014,Platts!$E$5:$M$4994,MATCH(D$3,Platts!$F$5:$M$5,0)+1,FALSE),D2013)</f>
        <v>71.16</v>
      </c>
      <c r="E2014" s="6">
        <f>IFERROR(VLOOKUP($B2014,Platts!$E$5:$M$4994,MATCH(E$3,Platts!$F$5:$M$5,0)+1,FALSE),E2013)</f>
        <v>70.81</v>
      </c>
      <c r="F2014" s="6">
        <f>IFERROR(VLOOKUP($B2014,Platts!$E$5:$M$4994,MATCH(F$3,Platts!$F$5:$M$5,0)+1,FALSE),F2013)</f>
        <v>74.459999999999994</v>
      </c>
      <c r="G2014" s="6">
        <f>IFERROR(VLOOKUP($B2014,Platts!$E$5:$M$4994,MATCH(G$3,Platts!$F$5:$M$5,0)+1,FALSE),G2013)</f>
        <v>76.22</v>
      </c>
      <c r="H2014" s="6">
        <f>IFERROR(VLOOKUP($B2014,Platts!$E$5:$M$4994,MATCH(H$3,Platts!$F$5:$M$5,0)+1,FALSE),H2013)</f>
        <v>75.16</v>
      </c>
      <c r="I2014" s="6">
        <f>IFERROR(VLOOKUP($B2014,Platts!$E$5:$M$4994,MATCH(I$3,Platts!$F$5:$M$5,0)+1,FALSE),I2013)</f>
        <v>75.959999999999994</v>
      </c>
      <c r="J2014" s="6">
        <f t="shared" si="62"/>
        <v>4.3999999999999915</v>
      </c>
    </row>
    <row r="2015" spans="2:10" x14ac:dyDescent="0.25">
      <c r="B2015" s="5">
        <f t="shared" si="63"/>
        <v>44381</v>
      </c>
      <c r="C2015" s="6">
        <f>IFERROR(VLOOKUP($B2015,Platts!$E$5:$M$4994,MATCH(C$3,Platts!$F$5:$M$5,0)+1,FALSE),C2014)</f>
        <v>70.760000000000005</v>
      </c>
      <c r="D2015" s="6">
        <f>IFERROR(VLOOKUP($B2015,Platts!$E$5:$M$4994,MATCH(D$3,Platts!$F$5:$M$5,0)+1,FALSE),D2014)</f>
        <v>71.16</v>
      </c>
      <c r="E2015" s="6">
        <f>IFERROR(VLOOKUP($B2015,Platts!$E$5:$M$4994,MATCH(E$3,Platts!$F$5:$M$5,0)+1,FALSE),E2014)</f>
        <v>70.81</v>
      </c>
      <c r="F2015" s="6">
        <f>IFERROR(VLOOKUP($B2015,Platts!$E$5:$M$4994,MATCH(F$3,Platts!$F$5:$M$5,0)+1,FALSE),F2014)</f>
        <v>74.459999999999994</v>
      </c>
      <c r="G2015" s="6">
        <f>IFERROR(VLOOKUP($B2015,Platts!$E$5:$M$4994,MATCH(G$3,Platts!$F$5:$M$5,0)+1,FALSE),G2014)</f>
        <v>76.22</v>
      </c>
      <c r="H2015" s="6">
        <f>IFERROR(VLOOKUP($B2015,Platts!$E$5:$M$4994,MATCH(H$3,Platts!$F$5:$M$5,0)+1,FALSE),H2014)</f>
        <v>75.16</v>
      </c>
      <c r="I2015" s="6">
        <f>IFERROR(VLOOKUP($B2015,Platts!$E$5:$M$4994,MATCH(I$3,Platts!$F$5:$M$5,0)+1,FALSE),I2014)</f>
        <v>75.959999999999994</v>
      </c>
      <c r="J2015" s="6">
        <f t="shared" si="62"/>
        <v>4.3999999999999915</v>
      </c>
    </row>
    <row r="2016" spans="2:10" x14ac:dyDescent="0.25">
      <c r="B2016" s="5">
        <f t="shared" si="63"/>
        <v>44382</v>
      </c>
      <c r="C2016" s="6">
        <f>IFERROR(VLOOKUP($B2016,Platts!$E$5:$M$4994,MATCH(C$3,Platts!$F$5:$M$5,0)+1,FALSE),C2015)</f>
        <v>70.760000000000005</v>
      </c>
      <c r="D2016" s="6">
        <f>IFERROR(VLOOKUP($B2016,Platts!$E$5:$M$4994,MATCH(D$3,Platts!$F$5:$M$5,0)+1,FALSE),D2015)</f>
        <v>71.16</v>
      </c>
      <c r="E2016" s="6">
        <f>IFERROR(VLOOKUP($B2016,Platts!$E$5:$M$4994,MATCH(E$3,Platts!$F$5:$M$5,0)+1,FALSE),E2015)</f>
        <v>70.81</v>
      </c>
      <c r="F2016" s="6">
        <f>IFERROR(VLOOKUP($B2016,Platts!$E$5:$M$4994,MATCH(F$3,Platts!$F$5:$M$5,0)+1,FALSE),F2015)</f>
        <v>74.459999999999994</v>
      </c>
      <c r="G2016" s="6">
        <f>IFERROR(VLOOKUP($B2016,Platts!$E$5:$M$4994,MATCH(G$3,Platts!$F$5:$M$5,0)+1,FALSE),G2015)</f>
        <v>77.09</v>
      </c>
      <c r="H2016" s="6">
        <f>IFERROR(VLOOKUP($B2016,Platts!$E$5:$M$4994,MATCH(H$3,Platts!$F$5:$M$5,0)+1,FALSE),H2015)</f>
        <v>75.16</v>
      </c>
      <c r="I2016" s="6">
        <f>IFERROR(VLOOKUP($B2016,Platts!$E$5:$M$4994,MATCH(I$3,Platts!$F$5:$M$5,0)+1,FALSE),I2015)</f>
        <v>75.959999999999994</v>
      </c>
      <c r="J2016" s="6">
        <f t="shared" si="62"/>
        <v>4.3999999999999915</v>
      </c>
    </row>
    <row r="2017" spans="2:10" x14ac:dyDescent="0.25">
      <c r="B2017" s="5">
        <f t="shared" si="63"/>
        <v>44383</v>
      </c>
      <c r="C2017" s="6">
        <f>IFERROR(VLOOKUP($B2017,Platts!$E$5:$M$4994,MATCH(C$3,Platts!$F$5:$M$5,0)+1,FALSE),C2016)</f>
        <v>69.430000000000007</v>
      </c>
      <c r="D2017" s="6">
        <f>IFERROR(VLOOKUP($B2017,Platts!$E$5:$M$4994,MATCH(D$3,Platts!$F$5:$M$5,0)+1,FALSE),D2016)</f>
        <v>69.489999999999995</v>
      </c>
      <c r="E2017" s="6">
        <f>IFERROR(VLOOKUP($B2017,Platts!$E$5:$M$4994,MATCH(E$3,Platts!$F$5:$M$5,0)+1,FALSE),E2016)</f>
        <v>69.14</v>
      </c>
      <c r="F2017" s="6">
        <f>IFERROR(VLOOKUP($B2017,Platts!$E$5:$M$4994,MATCH(F$3,Platts!$F$5:$M$5,0)+1,FALSE),F2016)</f>
        <v>72.790000000000006</v>
      </c>
      <c r="G2017" s="6">
        <f>IFERROR(VLOOKUP($B2017,Platts!$E$5:$M$4994,MATCH(G$3,Platts!$F$5:$M$5,0)+1,FALSE),G2016)</f>
        <v>74.89</v>
      </c>
      <c r="H2017" s="6">
        <f>IFERROR(VLOOKUP($B2017,Platts!$E$5:$M$4994,MATCH(H$3,Platts!$F$5:$M$5,0)+1,FALSE),H2016)</f>
        <v>73.37</v>
      </c>
      <c r="I2017" s="6">
        <f>IFERROR(VLOOKUP($B2017,Platts!$E$5:$M$4994,MATCH(I$3,Platts!$F$5:$M$5,0)+1,FALSE),I2016)</f>
        <v>74.17</v>
      </c>
      <c r="J2017" s="6">
        <f t="shared" si="62"/>
        <v>3.9399999999999977</v>
      </c>
    </row>
    <row r="2018" spans="2:10" x14ac:dyDescent="0.25">
      <c r="B2018" s="5">
        <f t="shared" si="63"/>
        <v>44384</v>
      </c>
      <c r="C2018" s="6">
        <f>IFERROR(VLOOKUP($B2018,Platts!$E$5:$M$4994,MATCH(C$3,Platts!$F$5:$M$5,0)+1,FALSE),C2017)</f>
        <v>68.13</v>
      </c>
      <c r="D2018" s="6">
        <f>IFERROR(VLOOKUP($B2018,Platts!$E$5:$M$4994,MATCH(D$3,Platts!$F$5:$M$5,0)+1,FALSE),D2017)</f>
        <v>68.34</v>
      </c>
      <c r="E2018" s="6">
        <f>IFERROR(VLOOKUP($B2018,Platts!$E$5:$M$4994,MATCH(E$3,Platts!$F$5:$M$5,0)+1,FALSE),E2017)</f>
        <v>67.989999999999995</v>
      </c>
      <c r="F2018" s="6">
        <f>IFERROR(VLOOKUP($B2018,Platts!$E$5:$M$4994,MATCH(F$3,Platts!$F$5:$M$5,0)+1,FALSE),F2017)</f>
        <v>71.64</v>
      </c>
      <c r="G2018" s="6">
        <f>IFERROR(VLOOKUP($B2018,Platts!$E$5:$M$4994,MATCH(G$3,Platts!$F$5:$M$5,0)+1,FALSE),G2017)</f>
        <v>73.08</v>
      </c>
      <c r="H2018" s="6">
        <f>IFERROR(VLOOKUP($B2018,Platts!$E$5:$M$4994,MATCH(H$3,Platts!$F$5:$M$5,0)+1,FALSE),H2017)</f>
        <v>72.2</v>
      </c>
      <c r="I2018" s="6">
        <f>IFERROR(VLOOKUP($B2018,Platts!$E$5:$M$4994,MATCH(I$3,Platts!$F$5:$M$5,0)+1,FALSE),I2017)</f>
        <v>73</v>
      </c>
      <c r="J2018" s="6">
        <f t="shared" si="62"/>
        <v>4.0700000000000074</v>
      </c>
    </row>
    <row r="2019" spans="2:10" x14ac:dyDescent="0.25">
      <c r="B2019" s="5">
        <f t="shared" si="63"/>
        <v>44385</v>
      </c>
      <c r="C2019" s="6">
        <f>IFERROR(VLOOKUP($B2019,Platts!$E$5:$M$4994,MATCH(C$3,Platts!$F$5:$M$5,0)+1,FALSE),C2018)</f>
        <v>68.53</v>
      </c>
      <c r="D2019" s="6">
        <f>IFERROR(VLOOKUP($B2019,Platts!$E$5:$M$4994,MATCH(D$3,Platts!$F$5:$M$5,0)+1,FALSE),D2018)</f>
        <v>69.06</v>
      </c>
      <c r="E2019" s="6">
        <f>IFERROR(VLOOKUP($B2019,Platts!$E$5:$M$4994,MATCH(E$3,Platts!$F$5:$M$5,0)+1,FALSE),E2018)</f>
        <v>68.709999999999994</v>
      </c>
      <c r="F2019" s="6">
        <f>IFERROR(VLOOKUP($B2019,Platts!$E$5:$M$4994,MATCH(F$3,Platts!$F$5:$M$5,0)+1,FALSE),F2018)</f>
        <v>72.36</v>
      </c>
      <c r="G2019" s="6">
        <f>IFERROR(VLOOKUP($B2019,Platts!$E$5:$M$4994,MATCH(G$3,Platts!$F$5:$M$5,0)+1,FALSE),G2018)</f>
        <v>73.69</v>
      </c>
      <c r="H2019" s="6">
        <f>IFERROR(VLOOKUP($B2019,Platts!$E$5:$M$4994,MATCH(H$3,Platts!$F$5:$M$5,0)+1,FALSE),H2018)</f>
        <v>72.94</v>
      </c>
      <c r="I2019" s="6">
        <f>IFERROR(VLOOKUP($B2019,Platts!$E$5:$M$4994,MATCH(I$3,Platts!$F$5:$M$5,0)+1,FALSE),I2018)</f>
        <v>73.739999999999995</v>
      </c>
      <c r="J2019" s="6">
        <f t="shared" si="62"/>
        <v>4.4099999999999966</v>
      </c>
    </row>
    <row r="2020" spans="2:10" x14ac:dyDescent="0.25">
      <c r="B2020" s="5">
        <f t="shared" si="63"/>
        <v>44386</v>
      </c>
      <c r="C2020" s="6">
        <f>IFERROR(VLOOKUP($B2020,Platts!$E$5:$M$4994,MATCH(C$3,Platts!$F$5:$M$5,0)+1,FALSE),C2019)</f>
        <v>70.05</v>
      </c>
      <c r="D2020" s="6">
        <f>IFERROR(VLOOKUP($B2020,Platts!$E$5:$M$4994,MATCH(D$3,Platts!$F$5:$M$5,0)+1,FALSE),D2019)</f>
        <v>70.52</v>
      </c>
      <c r="E2020" s="6">
        <f>IFERROR(VLOOKUP($B2020,Platts!$E$5:$M$4994,MATCH(E$3,Platts!$F$5:$M$5,0)+1,FALSE),E2019)</f>
        <v>70.17</v>
      </c>
      <c r="F2020" s="6">
        <f>IFERROR(VLOOKUP($B2020,Platts!$E$5:$M$4994,MATCH(F$3,Platts!$F$5:$M$5,0)+1,FALSE),F2019)</f>
        <v>73.819999999999993</v>
      </c>
      <c r="G2020" s="6">
        <f>IFERROR(VLOOKUP($B2020,Platts!$E$5:$M$4994,MATCH(G$3,Platts!$F$5:$M$5,0)+1,FALSE),G2019)</f>
        <v>75.86</v>
      </c>
      <c r="H2020" s="6">
        <f>IFERROR(VLOOKUP($B2020,Platts!$E$5:$M$4994,MATCH(H$3,Platts!$F$5:$M$5,0)+1,FALSE),H2019)</f>
        <v>74.56</v>
      </c>
      <c r="I2020" s="6">
        <f>IFERROR(VLOOKUP($B2020,Platts!$E$5:$M$4994,MATCH(I$3,Platts!$F$5:$M$5,0)+1,FALSE),I2019)</f>
        <v>75.209999999999994</v>
      </c>
      <c r="J2020" s="6">
        <f t="shared" si="62"/>
        <v>4.5100000000000051</v>
      </c>
    </row>
    <row r="2021" spans="2:10" x14ac:dyDescent="0.25">
      <c r="B2021" s="5">
        <f t="shared" si="63"/>
        <v>44387</v>
      </c>
      <c r="C2021" s="6">
        <f>IFERROR(VLOOKUP($B2021,Platts!$E$5:$M$4994,MATCH(C$3,Platts!$F$5:$M$5,0)+1,FALSE),C2020)</f>
        <v>70.05</v>
      </c>
      <c r="D2021" s="6">
        <f>IFERROR(VLOOKUP($B2021,Platts!$E$5:$M$4994,MATCH(D$3,Platts!$F$5:$M$5,0)+1,FALSE),D2020)</f>
        <v>70.52</v>
      </c>
      <c r="E2021" s="6">
        <f>IFERROR(VLOOKUP($B2021,Platts!$E$5:$M$4994,MATCH(E$3,Platts!$F$5:$M$5,0)+1,FALSE),E2020)</f>
        <v>70.17</v>
      </c>
      <c r="F2021" s="6">
        <f>IFERROR(VLOOKUP($B2021,Platts!$E$5:$M$4994,MATCH(F$3,Platts!$F$5:$M$5,0)+1,FALSE),F2020)</f>
        <v>73.819999999999993</v>
      </c>
      <c r="G2021" s="6">
        <f>IFERROR(VLOOKUP($B2021,Platts!$E$5:$M$4994,MATCH(G$3,Platts!$F$5:$M$5,0)+1,FALSE),G2020)</f>
        <v>75.86</v>
      </c>
      <c r="H2021" s="6">
        <f>IFERROR(VLOOKUP($B2021,Platts!$E$5:$M$4994,MATCH(H$3,Platts!$F$5:$M$5,0)+1,FALSE),H2020)</f>
        <v>74.56</v>
      </c>
      <c r="I2021" s="6">
        <f>IFERROR(VLOOKUP($B2021,Platts!$E$5:$M$4994,MATCH(I$3,Platts!$F$5:$M$5,0)+1,FALSE),I2020)</f>
        <v>75.209999999999994</v>
      </c>
      <c r="J2021" s="6">
        <f t="shared" si="62"/>
        <v>4.5100000000000051</v>
      </c>
    </row>
    <row r="2022" spans="2:10" x14ac:dyDescent="0.25">
      <c r="B2022" s="5">
        <f t="shared" si="63"/>
        <v>44388</v>
      </c>
      <c r="C2022" s="6">
        <f>IFERROR(VLOOKUP($B2022,Platts!$E$5:$M$4994,MATCH(C$3,Platts!$F$5:$M$5,0)+1,FALSE),C2021)</f>
        <v>70.05</v>
      </c>
      <c r="D2022" s="6">
        <f>IFERROR(VLOOKUP($B2022,Platts!$E$5:$M$4994,MATCH(D$3,Platts!$F$5:$M$5,0)+1,FALSE),D2021)</f>
        <v>70.52</v>
      </c>
      <c r="E2022" s="6">
        <f>IFERROR(VLOOKUP($B2022,Platts!$E$5:$M$4994,MATCH(E$3,Platts!$F$5:$M$5,0)+1,FALSE),E2021)</f>
        <v>70.17</v>
      </c>
      <c r="F2022" s="6">
        <f>IFERROR(VLOOKUP($B2022,Platts!$E$5:$M$4994,MATCH(F$3,Platts!$F$5:$M$5,0)+1,FALSE),F2021)</f>
        <v>73.819999999999993</v>
      </c>
      <c r="G2022" s="6">
        <f>IFERROR(VLOOKUP($B2022,Platts!$E$5:$M$4994,MATCH(G$3,Platts!$F$5:$M$5,0)+1,FALSE),G2021)</f>
        <v>75.86</v>
      </c>
      <c r="H2022" s="6">
        <f>IFERROR(VLOOKUP($B2022,Platts!$E$5:$M$4994,MATCH(H$3,Platts!$F$5:$M$5,0)+1,FALSE),H2021)</f>
        <v>74.56</v>
      </c>
      <c r="I2022" s="6">
        <f>IFERROR(VLOOKUP($B2022,Platts!$E$5:$M$4994,MATCH(I$3,Platts!$F$5:$M$5,0)+1,FALSE),I2021)</f>
        <v>75.209999999999994</v>
      </c>
      <c r="J2022" s="6">
        <f t="shared" si="62"/>
        <v>4.5100000000000051</v>
      </c>
    </row>
    <row r="2023" spans="2:10" x14ac:dyDescent="0.25">
      <c r="B2023" s="5">
        <f t="shared" si="63"/>
        <v>44389</v>
      </c>
      <c r="C2023" s="6">
        <f>IFERROR(VLOOKUP($B2023,Platts!$E$5:$M$4994,MATCH(C$3,Platts!$F$5:$M$5,0)+1,FALSE),C2022)</f>
        <v>69.7</v>
      </c>
      <c r="D2023" s="6">
        <f>IFERROR(VLOOKUP($B2023,Platts!$E$5:$M$4994,MATCH(D$3,Platts!$F$5:$M$5,0)+1,FALSE),D2022)</f>
        <v>70.05</v>
      </c>
      <c r="E2023" s="6">
        <f>IFERROR(VLOOKUP($B2023,Platts!$E$5:$M$4994,MATCH(E$3,Platts!$F$5:$M$5,0)+1,FALSE),E2022)</f>
        <v>69.7</v>
      </c>
      <c r="F2023" s="6">
        <f>IFERROR(VLOOKUP($B2023,Platts!$E$5:$M$4994,MATCH(F$3,Platts!$F$5:$M$5,0)+1,FALSE),F2022)</f>
        <v>73.349999999999994</v>
      </c>
      <c r="G2023" s="6">
        <f>IFERROR(VLOOKUP($B2023,Platts!$E$5:$M$4994,MATCH(G$3,Platts!$F$5:$M$5,0)+1,FALSE),G2022)</f>
        <v>75.3</v>
      </c>
      <c r="H2023" s="6">
        <f>IFERROR(VLOOKUP($B2023,Platts!$E$5:$M$4994,MATCH(H$3,Platts!$F$5:$M$5,0)+1,FALSE),H2022)</f>
        <v>74.099999999999994</v>
      </c>
      <c r="I2023" s="6">
        <f>IFERROR(VLOOKUP($B2023,Platts!$E$5:$M$4994,MATCH(I$3,Platts!$F$5:$M$5,0)+1,FALSE),I2022)</f>
        <v>74.75</v>
      </c>
      <c r="J2023" s="6">
        <f t="shared" si="62"/>
        <v>4.3999999999999915</v>
      </c>
    </row>
    <row r="2024" spans="2:10" x14ac:dyDescent="0.25">
      <c r="B2024" s="5">
        <f t="shared" si="63"/>
        <v>44390</v>
      </c>
      <c r="C2024" s="6">
        <f>IFERROR(VLOOKUP($B2024,Platts!$E$5:$M$4994,MATCH(C$3,Platts!$F$5:$M$5,0)+1,FALSE),C2023)</f>
        <v>70.930000000000007</v>
      </c>
      <c r="D2024" s="6">
        <f>IFERROR(VLOOKUP($B2024,Platts!$E$5:$M$4994,MATCH(D$3,Platts!$F$5:$M$5,0)+1,FALSE),D2023)</f>
        <v>71.3</v>
      </c>
      <c r="E2024" s="6">
        <f>IFERROR(VLOOKUP($B2024,Platts!$E$5:$M$4994,MATCH(E$3,Platts!$F$5:$M$5,0)+1,FALSE),E2023)</f>
        <v>70.95</v>
      </c>
      <c r="F2024" s="6">
        <f>IFERROR(VLOOKUP($B2024,Platts!$E$5:$M$4994,MATCH(F$3,Platts!$F$5:$M$5,0)+1,FALSE),F2023)</f>
        <v>74.599999999999994</v>
      </c>
      <c r="G2024" s="6">
        <f>IFERROR(VLOOKUP($B2024,Platts!$E$5:$M$4994,MATCH(G$3,Platts!$F$5:$M$5,0)+1,FALSE),G2023)</f>
        <v>75.959999999999994</v>
      </c>
      <c r="H2024" s="6">
        <f>IFERROR(VLOOKUP($B2024,Platts!$E$5:$M$4994,MATCH(H$3,Platts!$F$5:$M$5,0)+1,FALSE),H2023)</f>
        <v>75.25</v>
      </c>
      <c r="I2024" s="6">
        <f>IFERROR(VLOOKUP($B2024,Platts!$E$5:$M$4994,MATCH(I$3,Platts!$F$5:$M$5,0)+1,FALSE),I2023)</f>
        <v>75.900000000000006</v>
      </c>
      <c r="J2024" s="6">
        <f t="shared" si="62"/>
        <v>4.3199999999999932</v>
      </c>
    </row>
    <row r="2025" spans="2:10" x14ac:dyDescent="0.25">
      <c r="B2025" s="5">
        <f t="shared" si="63"/>
        <v>44391</v>
      </c>
      <c r="C2025" s="6">
        <f>IFERROR(VLOOKUP($B2025,Platts!$E$5:$M$4994,MATCH(C$3,Platts!$F$5:$M$5,0)+1,FALSE),C2024)</f>
        <v>69.22</v>
      </c>
      <c r="D2025" s="6">
        <f>IFERROR(VLOOKUP($B2025,Platts!$E$5:$M$4994,MATCH(D$3,Platts!$F$5:$M$5,0)+1,FALSE),D2024)</f>
        <v>69.25</v>
      </c>
      <c r="E2025" s="6">
        <f>IFERROR(VLOOKUP($B2025,Platts!$E$5:$M$4994,MATCH(E$3,Platts!$F$5:$M$5,0)+1,FALSE),E2024)</f>
        <v>68.900000000000006</v>
      </c>
      <c r="F2025" s="6">
        <f>IFERROR(VLOOKUP($B2025,Platts!$E$5:$M$4994,MATCH(F$3,Platts!$F$5:$M$5,0)+1,FALSE),F2024)</f>
        <v>72.55</v>
      </c>
      <c r="G2025" s="6">
        <f>IFERROR(VLOOKUP($B2025,Platts!$E$5:$M$4994,MATCH(G$3,Platts!$F$5:$M$5,0)+1,FALSE),G2024)</f>
        <v>76.16</v>
      </c>
      <c r="H2025" s="6">
        <f>IFERROR(VLOOKUP($B2025,Platts!$E$5:$M$4994,MATCH(H$3,Platts!$F$5:$M$5,0)+1,FALSE),H2024)</f>
        <v>73.13</v>
      </c>
      <c r="I2025" s="6">
        <f>IFERROR(VLOOKUP($B2025,Platts!$E$5:$M$4994,MATCH(I$3,Platts!$F$5:$M$5,0)+1,FALSE),I2024)</f>
        <v>73.680000000000007</v>
      </c>
      <c r="J2025" s="6">
        <f t="shared" si="62"/>
        <v>3.9099999999999966</v>
      </c>
    </row>
    <row r="2026" spans="2:10" x14ac:dyDescent="0.25">
      <c r="B2026" s="5">
        <f t="shared" si="63"/>
        <v>44392</v>
      </c>
      <c r="C2026" s="6">
        <f>IFERROR(VLOOKUP($B2026,Platts!$E$5:$M$4994,MATCH(C$3,Platts!$F$5:$M$5,0)+1,FALSE),C2025)</f>
        <v>68.53</v>
      </c>
      <c r="D2026" s="6">
        <f>IFERROR(VLOOKUP($B2026,Platts!$E$5:$M$4994,MATCH(D$3,Platts!$F$5:$M$5,0)+1,FALSE),D2025)</f>
        <v>67.87</v>
      </c>
      <c r="E2026" s="6">
        <f>IFERROR(VLOOKUP($B2026,Platts!$E$5:$M$4994,MATCH(E$3,Platts!$F$5:$M$5,0)+1,FALSE),E2025)</f>
        <v>67.52</v>
      </c>
      <c r="F2026" s="6">
        <f>IFERROR(VLOOKUP($B2026,Platts!$E$5:$M$4994,MATCH(F$3,Platts!$F$5:$M$5,0)+1,FALSE),F2025)</f>
        <v>71.17</v>
      </c>
      <c r="G2026" s="6">
        <f>IFERROR(VLOOKUP($B2026,Platts!$E$5:$M$4994,MATCH(G$3,Platts!$F$5:$M$5,0)+1,FALSE),G2025)</f>
        <v>74.55</v>
      </c>
      <c r="H2026" s="6">
        <f>IFERROR(VLOOKUP($B2026,Platts!$E$5:$M$4994,MATCH(H$3,Platts!$F$5:$M$5,0)+1,FALSE),H2025)</f>
        <v>71.650000000000006</v>
      </c>
      <c r="I2026" s="6">
        <f>IFERROR(VLOOKUP($B2026,Platts!$E$5:$M$4994,MATCH(I$3,Platts!$F$5:$M$5,0)+1,FALSE),I2025)</f>
        <v>72.25</v>
      </c>
      <c r="J2026" s="6">
        <f t="shared" si="62"/>
        <v>3.1200000000000045</v>
      </c>
    </row>
    <row r="2027" spans="2:10" x14ac:dyDescent="0.25">
      <c r="B2027" s="5">
        <f t="shared" si="63"/>
        <v>44393</v>
      </c>
      <c r="C2027" s="6">
        <f>IFERROR(VLOOKUP($B2027,Platts!$E$5:$M$4994,MATCH(C$3,Platts!$F$5:$M$5,0)+1,FALSE),C2026)</f>
        <v>67.88</v>
      </c>
      <c r="D2027" s="6">
        <f>IFERROR(VLOOKUP($B2027,Platts!$E$5:$M$4994,MATCH(D$3,Platts!$F$5:$M$5,0)+1,FALSE),D2026)</f>
        <v>68.05</v>
      </c>
      <c r="E2027" s="6">
        <f>IFERROR(VLOOKUP($B2027,Platts!$E$5:$M$4994,MATCH(E$3,Platts!$F$5:$M$5,0)+1,FALSE),E2026)</f>
        <v>67.7</v>
      </c>
      <c r="F2027" s="6">
        <f>IFERROR(VLOOKUP($B2027,Platts!$E$5:$M$4994,MATCH(F$3,Platts!$F$5:$M$5,0)+1,FALSE),F2026)</f>
        <v>71.349999999999994</v>
      </c>
      <c r="G2027" s="6">
        <f>IFERROR(VLOOKUP($B2027,Platts!$E$5:$M$4994,MATCH(G$3,Platts!$F$5:$M$5,0)+1,FALSE),G2026)</f>
        <v>73.83</v>
      </c>
      <c r="H2027" s="6">
        <f>IFERROR(VLOOKUP($B2027,Platts!$E$5:$M$4994,MATCH(H$3,Platts!$F$5:$M$5,0)+1,FALSE),H2026)</f>
        <v>71.81</v>
      </c>
      <c r="I2027" s="6">
        <f>IFERROR(VLOOKUP($B2027,Platts!$E$5:$M$4994,MATCH(I$3,Platts!$F$5:$M$5,0)+1,FALSE),I2026)</f>
        <v>72.41</v>
      </c>
      <c r="J2027" s="6">
        <f t="shared" si="62"/>
        <v>3.9300000000000068</v>
      </c>
    </row>
    <row r="2028" spans="2:10" x14ac:dyDescent="0.25">
      <c r="B2028" s="5">
        <f t="shared" si="63"/>
        <v>44394</v>
      </c>
      <c r="C2028" s="6">
        <f>IFERROR(VLOOKUP($B2028,Platts!$E$5:$M$4994,MATCH(C$3,Platts!$F$5:$M$5,0)+1,FALSE),C2027)</f>
        <v>67.88</v>
      </c>
      <c r="D2028" s="6">
        <f>IFERROR(VLOOKUP($B2028,Platts!$E$5:$M$4994,MATCH(D$3,Platts!$F$5:$M$5,0)+1,FALSE),D2027)</f>
        <v>68.05</v>
      </c>
      <c r="E2028" s="6">
        <f>IFERROR(VLOOKUP($B2028,Platts!$E$5:$M$4994,MATCH(E$3,Platts!$F$5:$M$5,0)+1,FALSE),E2027)</f>
        <v>67.7</v>
      </c>
      <c r="F2028" s="6">
        <f>IFERROR(VLOOKUP($B2028,Platts!$E$5:$M$4994,MATCH(F$3,Platts!$F$5:$M$5,0)+1,FALSE),F2027)</f>
        <v>71.349999999999994</v>
      </c>
      <c r="G2028" s="6">
        <f>IFERROR(VLOOKUP($B2028,Platts!$E$5:$M$4994,MATCH(G$3,Platts!$F$5:$M$5,0)+1,FALSE),G2027)</f>
        <v>73.83</v>
      </c>
      <c r="H2028" s="6">
        <f>IFERROR(VLOOKUP($B2028,Platts!$E$5:$M$4994,MATCH(H$3,Platts!$F$5:$M$5,0)+1,FALSE),H2027)</f>
        <v>71.81</v>
      </c>
      <c r="I2028" s="6">
        <f>IFERROR(VLOOKUP($B2028,Platts!$E$5:$M$4994,MATCH(I$3,Platts!$F$5:$M$5,0)+1,FALSE),I2027)</f>
        <v>72.41</v>
      </c>
      <c r="J2028" s="6">
        <f t="shared" si="62"/>
        <v>3.9300000000000068</v>
      </c>
    </row>
    <row r="2029" spans="2:10" x14ac:dyDescent="0.25">
      <c r="B2029" s="5">
        <f t="shared" si="63"/>
        <v>44395</v>
      </c>
      <c r="C2029" s="6">
        <f>IFERROR(VLOOKUP($B2029,Platts!$E$5:$M$4994,MATCH(C$3,Platts!$F$5:$M$5,0)+1,FALSE),C2028)</f>
        <v>67.88</v>
      </c>
      <c r="D2029" s="6">
        <f>IFERROR(VLOOKUP($B2029,Platts!$E$5:$M$4994,MATCH(D$3,Platts!$F$5:$M$5,0)+1,FALSE),D2028)</f>
        <v>68.05</v>
      </c>
      <c r="E2029" s="6">
        <f>IFERROR(VLOOKUP($B2029,Platts!$E$5:$M$4994,MATCH(E$3,Platts!$F$5:$M$5,0)+1,FALSE),E2028)</f>
        <v>67.7</v>
      </c>
      <c r="F2029" s="6">
        <f>IFERROR(VLOOKUP($B2029,Platts!$E$5:$M$4994,MATCH(F$3,Platts!$F$5:$M$5,0)+1,FALSE),F2028)</f>
        <v>71.349999999999994</v>
      </c>
      <c r="G2029" s="6">
        <f>IFERROR(VLOOKUP($B2029,Platts!$E$5:$M$4994,MATCH(G$3,Platts!$F$5:$M$5,0)+1,FALSE),G2028)</f>
        <v>73.83</v>
      </c>
      <c r="H2029" s="6">
        <f>IFERROR(VLOOKUP($B2029,Platts!$E$5:$M$4994,MATCH(H$3,Platts!$F$5:$M$5,0)+1,FALSE),H2028)</f>
        <v>71.81</v>
      </c>
      <c r="I2029" s="6">
        <f>IFERROR(VLOOKUP($B2029,Platts!$E$5:$M$4994,MATCH(I$3,Platts!$F$5:$M$5,0)+1,FALSE),I2028)</f>
        <v>72.41</v>
      </c>
      <c r="J2029" s="6">
        <f t="shared" si="62"/>
        <v>3.9300000000000068</v>
      </c>
    </row>
    <row r="2030" spans="2:10" x14ac:dyDescent="0.25">
      <c r="B2030" s="5">
        <f t="shared" si="63"/>
        <v>44396</v>
      </c>
      <c r="C2030" s="6">
        <f>IFERROR(VLOOKUP($B2030,Platts!$E$5:$M$4994,MATCH(C$3,Platts!$F$5:$M$5,0)+1,FALSE),C2029)</f>
        <v>63.13</v>
      </c>
      <c r="D2030" s="6">
        <f>IFERROR(VLOOKUP($B2030,Platts!$E$5:$M$4994,MATCH(D$3,Platts!$F$5:$M$5,0)+1,FALSE),D2029)</f>
        <v>62.8</v>
      </c>
      <c r="E2030" s="6">
        <f>IFERROR(VLOOKUP($B2030,Platts!$E$5:$M$4994,MATCH(E$3,Platts!$F$5:$M$5,0)+1,FALSE),E2029)</f>
        <v>62.45</v>
      </c>
      <c r="F2030" s="6">
        <f>IFERROR(VLOOKUP($B2030,Platts!$E$5:$M$4994,MATCH(F$3,Platts!$F$5:$M$5,0)+1,FALSE),F2029)</f>
        <v>66.099999999999994</v>
      </c>
      <c r="G2030" s="6">
        <f>IFERROR(VLOOKUP($B2030,Platts!$E$5:$M$4994,MATCH(G$3,Platts!$F$5:$M$5,0)+1,FALSE),G2029)</f>
        <v>69.150000000000006</v>
      </c>
      <c r="H2030" s="6">
        <f>IFERROR(VLOOKUP($B2030,Platts!$E$5:$M$4994,MATCH(H$3,Platts!$F$5:$M$5,0)+1,FALSE),H2029)</f>
        <v>66.42</v>
      </c>
      <c r="I2030" s="6">
        <f>IFERROR(VLOOKUP($B2030,Platts!$E$5:$M$4994,MATCH(I$3,Platts!$F$5:$M$5,0)+1,FALSE),I2029)</f>
        <v>66.87</v>
      </c>
      <c r="J2030" s="6">
        <f t="shared" si="62"/>
        <v>3.2899999999999991</v>
      </c>
    </row>
    <row r="2031" spans="2:10" x14ac:dyDescent="0.25">
      <c r="B2031" s="5">
        <f t="shared" si="63"/>
        <v>44397</v>
      </c>
      <c r="C2031" s="6">
        <f>IFERROR(VLOOKUP($B2031,Platts!$E$5:$M$4994,MATCH(C$3,Platts!$F$5:$M$5,0)+1,FALSE),C2030)</f>
        <v>63.13</v>
      </c>
      <c r="D2031" s="6">
        <f>IFERROR(VLOOKUP($B2031,Platts!$E$5:$M$4994,MATCH(D$3,Platts!$F$5:$M$5,0)+1,FALSE),D2030)</f>
        <v>63.64</v>
      </c>
      <c r="E2031" s="6">
        <f>IFERROR(VLOOKUP($B2031,Platts!$E$5:$M$4994,MATCH(E$3,Platts!$F$5:$M$5,0)+1,FALSE),E2030)</f>
        <v>63.29</v>
      </c>
      <c r="F2031" s="6">
        <f>IFERROR(VLOOKUP($B2031,Platts!$E$5:$M$4994,MATCH(F$3,Platts!$F$5:$M$5,0)+1,FALSE),F2030)</f>
        <v>66.94</v>
      </c>
      <c r="G2031" s="6">
        <f>IFERROR(VLOOKUP($B2031,Platts!$E$5:$M$4994,MATCH(G$3,Platts!$F$5:$M$5,0)+1,FALSE),G2030)</f>
        <v>69.239999999999995</v>
      </c>
      <c r="H2031" s="6">
        <f>IFERROR(VLOOKUP($B2031,Platts!$E$5:$M$4994,MATCH(H$3,Platts!$F$5:$M$5,0)+1,FALSE),H2030)</f>
        <v>67.42</v>
      </c>
      <c r="I2031" s="6">
        <f>IFERROR(VLOOKUP($B2031,Platts!$E$5:$M$4994,MATCH(I$3,Platts!$F$5:$M$5,0)+1,FALSE),I2030)</f>
        <v>67.819999999999993</v>
      </c>
      <c r="J2031" s="6">
        <f t="shared" si="62"/>
        <v>4.2899999999999991</v>
      </c>
    </row>
    <row r="2032" spans="2:10" x14ac:dyDescent="0.25">
      <c r="B2032" s="5">
        <f t="shared" si="63"/>
        <v>44398</v>
      </c>
      <c r="C2032" s="6">
        <f>IFERROR(VLOOKUP($B2032,Platts!$E$5:$M$4994,MATCH(C$3,Platts!$F$5:$M$5,0)+1,FALSE),C2031)</f>
        <v>66.33</v>
      </c>
      <c r="D2032" s="6">
        <f>IFERROR(VLOOKUP($B2032,Platts!$E$5:$M$4994,MATCH(D$3,Platts!$F$5:$M$5,0)+1,FALSE),D2031)</f>
        <v>66.69</v>
      </c>
      <c r="E2032" s="6">
        <f>IFERROR(VLOOKUP($B2032,Platts!$E$5:$M$4994,MATCH(E$3,Platts!$F$5:$M$5,0)+1,FALSE),E2031)</f>
        <v>66.34</v>
      </c>
      <c r="F2032" s="6">
        <f>IFERROR(VLOOKUP($B2032,Platts!$E$5:$M$4994,MATCH(F$3,Platts!$F$5:$M$5,0)+1,FALSE),F2031)</f>
        <v>69.989999999999995</v>
      </c>
      <c r="G2032" s="6">
        <f>IFERROR(VLOOKUP($B2032,Platts!$E$5:$M$4994,MATCH(G$3,Platts!$F$5:$M$5,0)+1,FALSE),G2031)</f>
        <v>71.95</v>
      </c>
      <c r="H2032" s="6">
        <f>IFERROR(VLOOKUP($B2032,Platts!$E$5:$M$4994,MATCH(H$3,Platts!$F$5:$M$5,0)+1,FALSE),H2031)</f>
        <v>70.5</v>
      </c>
      <c r="I2032" s="6">
        <f>IFERROR(VLOOKUP($B2032,Platts!$E$5:$M$4994,MATCH(I$3,Platts!$F$5:$M$5,0)+1,FALSE),I2031)</f>
        <v>70.95</v>
      </c>
      <c r="J2032" s="6">
        <f t="shared" si="62"/>
        <v>4.1700000000000017</v>
      </c>
    </row>
    <row r="2033" spans="2:10" x14ac:dyDescent="0.25">
      <c r="B2033" s="5">
        <f t="shared" si="63"/>
        <v>44399</v>
      </c>
      <c r="C2033" s="6">
        <f>IFERROR(VLOOKUP($B2033,Platts!$E$5:$M$4994,MATCH(C$3,Platts!$F$5:$M$5,0)+1,FALSE),C2032)</f>
        <v>67.98</v>
      </c>
      <c r="D2033" s="6">
        <f>IFERROR(VLOOKUP($B2033,Platts!$E$5:$M$4994,MATCH(D$3,Platts!$F$5:$M$5,0)+1,FALSE),D2032)</f>
        <v>68.349999999999994</v>
      </c>
      <c r="E2033" s="6">
        <f>IFERROR(VLOOKUP($B2033,Platts!$E$5:$M$4994,MATCH(E$3,Platts!$F$5:$M$5,0)+1,FALSE),E2032)</f>
        <v>68</v>
      </c>
      <c r="F2033" s="6">
        <f>IFERROR(VLOOKUP($B2033,Platts!$E$5:$M$4994,MATCH(F$3,Platts!$F$5:$M$5,0)+1,FALSE),F2032)</f>
        <v>71.650000000000006</v>
      </c>
      <c r="G2033" s="6">
        <f>IFERROR(VLOOKUP($B2033,Platts!$E$5:$M$4994,MATCH(G$3,Platts!$F$5:$M$5,0)+1,FALSE),G2032)</f>
        <v>72.89</v>
      </c>
      <c r="H2033" s="6">
        <f>IFERROR(VLOOKUP($B2033,Platts!$E$5:$M$4994,MATCH(H$3,Platts!$F$5:$M$5,0)+1,FALSE),H2032)</f>
        <v>72.12</v>
      </c>
      <c r="I2033" s="6">
        <f>IFERROR(VLOOKUP($B2033,Platts!$E$5:$M$4994,MATCH(I$3,Platts!$F$5:$M$5,0)+1,FALSE),I2032)</f>
        <v>72.52</v>
      </c>
      <c r="J2033" s="6">
        <f t="shared" si="62"/>
        <v>4.1400000000000006</v>
      </c>
    </row>
    <row r="2034" spans="2:10" x14ac:dyDescent="0.25">
      <c r="B2034" s="5">
        <f t="shared" si="63"/>
        <v>44400</v>
      </c>
      <c r="C2034" s="6">
        <f>IFERROR(VLOOKUP($B2034,Platts!$E$5:$M$4994,MATCH(C$3,Platts!$F$5:$M$5,0)+1,FALSE),C2033)</f>
        <v>68.34</v>
      </c>
      <c r="D2034" s="6">
        <f>IFERROR(VLOOKUP($B2034,Platts!$E$5:$M$4994,MATCH(D$3,Platts!$F$5:$M$5,0)+1,FALSE),D2033)</f>
        <v>68.56</v>
      </c>
      <c r="E2034" s="6">
        <f>IFERROR(VLOOKUP($B2034,Platts!$E$5:$M$4994,MATCH(E$3,Platts!$F$5:$M$5,0)+1,FALSE),E2033)</f>
        <v>68.209999999999994</v>
      </c>
      <c r="F2034" s="6">
        <f>IFERROR(VLOOKUP($B2034,Platts!$E$5:$M$4994,MATCH(F$3,Platts!$F$5:$M$5,0)+1,FALSE),F2033)</f>
        <v>71.86</v>
      </c>
      <c r="G2034" s="6">
        <f>IFERROR(VLOOKUP($B2034,Platts!$E$5:$M$4994,MATCH(G$3,Platts!$F$5:$M$5,0)+1,FALSE),G2033)</f>
        <v>73.790000000000006</v>
      </c>
      <c r="H2034" s="6">
        <f>IFERROR(VLOOKUP($B2034,Platts!$E$5:$M$4994,MATCH(H$3,Platts!$F$5:$M$5,0)+1,FALSE),H2033)</f>
        <v>72.28</v>
      </c>
      <c r="I2034" s="6">
        <f>IFERROR(VLOOKUP($B2034,Platts!$E$5:$M$4994,MATCH(I$3,Platts!$F$5:$M$5,0)+1,FALSE),I2033)</f>
        <v>72.680000000000007</v>
      </c>
      <c r="J2034" s="6">
        <f t="shared" si="62"/>
        <v>3.9399999999999977</v>
      </c>
    </row>
    <row r="2035" spans="2:10" x14ac:dyDescent="0.25">
      <c r="B2035" s="5">
        <f t="shared" si="63"/>
        <v>44401</v>
      </c>
      <c r="C2035" s="6">
        <f>IFERROR(VLOOKUP($B2035,Platts!$E$5:$M$4994,MATCH(C$3,Platts!$F$5:$M$5,0)+1,FALSE),C2034)</f>
        <v>68.34</v>
      </c>
      <c r="D2035" s="6">
        <f>IFERROR(VLOOKUP($B2035,Platts!$E$5:$M$4994,MATCH(D$3,Platts!$F$5:$M$5,0)+1,FALSE),D2034)</f>
        <v>68.56</v>
      </c>
      <c r="E2035" s="6">
        <f>IFERROR(VLOOKUP($B2035,Platts!$E$5:$M$4994,MATCH(E$3,Platts!$F$5:$M$5,0)+1,FALSE),E2034)</f>
        <v>68.209999999999994</v>
      </c>
      <c r="F2035" s="6">
        <f>IFERROR(VLOOKUP($B2035,Platts!$E$5:$M$4994,MATCH(F$3,Platts!$F$5:$M$5,0)+1,FALSE),F2034)</f>
        <v>71.86</v>
      </c>
      <c r="G2035" s="6">
        <f>IFERROR(VLOOKUP($B2035,Platts!$E$5:$M$4994,MATCH(G$3,Platts!$F$5:$M$5,0)+1,FALSE),G2034)</f>
        <v>73.790000000000006</v>
      </c>
      <c r="H2035" s="6">
        <f>IFERROR(VLOOKUP($B2035,Platts!$E$5:$M$4994,MATCH(H$3,Platts!$F$5:$M$5,0)+1,FALSE),H2034)</f>
        <v>72.28</v>
      </c>
      <c r="I2035" s="6">
        <f>IFERROR(VLOOKUP($B2035,Platts!$E$5:$M$4994,MATCH(I$3,Platts!$F$5:$M$5,0)+1,FALSE),I2034)</f>
        <v>72.680000000000007</v>
      </c>
      <c r="J2035" s="6">
        <f t="shared" si="62"/>
        <v>3.9399999999999977</v>
      </c>
    </row>
    <row r="2036" spans="2:10" x14ac:dyDescent="0.25">
      <c r="B2036" s="5">
        <f t="shared" si="63"/>
        <v>44402</v>
      </c>
      <c r="C2036" s="6">
        <f>IFERROR(VLOOKUP($B2036,Platts!$E$5:$M$4994,MATCH(C$3,Platts!$F$5:$M$5,0)+1,FALSE),C2035)</f>
        <v>68.34</v>
      </c>
      <c r="D2036" s="6">
        <f>IFERROR(VLOOKUP($B2036,Platts!$E$5:$M$4994,MATCH(D$3,Platts!$F$5:$M$5,0)+1,FALSE),D2035)</f>
        <v>68.56</v>
      </c>
      <c r="E2036" s="6">
        <f>IFERROR(VLOOKUP($B2036,Platts!$E$5:$M$4994,MATCH(E$3,Platts!$F$5:$M$5,0)+1,FALSE),E2035)</f>
        <v>68.209999999999994</v>
      </c>
      <c r="F2036" s="6">
        <f>IFERROR(VLOOKUP($B2036,Platts!$E$5:$M$4994,MATCH(F$3,Platts!$F$5:$M$5,0)+1,FALSE),F2035)</f>
        <v>71.86</v>
      </c>
      <c r="G2036" s="6">
        <f>IFERROR(VLOOKUP($B2036,Platts!$E$5:$M$4994,MATCH(G$3,Platts!$F$5:$M$5,0)+1,FALSE),G2035)</f>
        <v>73.790000000000006</v>
      </c>
      <c r="H2036" s="6">
        <f>IFERROR(VLOOKUP($B2036,Platts!$E$5:$M$4994,MATCH(H$3,Platts!$F$5:$M$5,0)+1,FALSE),H2035)</f>
        <v>72.28</v>
      </c>
      <c r="I2036" s="6">
        <f>IFERROR(VLOOKUP($B2036,Platts!$E$5:$M$4994,MATCH(I$3,Platts!$F$5:$M$5,0)+1,FALSE),I2035)</f>
        <v>72.680000000000007</v>
      </c>
      <c r="J2036" s="6">
        <f t="shared" si="62"/>
        <v>3.9399999999999977</v>
      </c>
    </row>
    <row r="2037" spans="2:10" x14ac:dyDescent="0.25">
      <c r="B2037" s="5">
        <f t="shared" si="63"/>
        <v>44403</v>
      </c>
      <c r="C2037" s="6">
        <f>IFERROR(VLOOKUP($B2037,Platts!$E$5:$M$4994,MATCH(C$3,Platts!$F$5:$M$5,0)+1,FALSE),C2036)</f>
        <v>68.33</v>
      </c>
      <c r="D2037" s="6">
        <f>IFERROR(VLOOKUP($B2037,Platts!$E$5:$M$4994,MATCH(D$3,Platts!$F$5:$M$5,0)+1,FALSE),D2036)</f>
        <v>68.459999999999994</v>
      </c>
      <c r="E2037" s="6">
        <f>IFERROR(VLOOKUP($B2037,Platts!$E$5:$M$4994,MATCH(E$3,Platts!$F$5:$M$5,0)+1,FALSE),E2036)</f>
        <v>68.11</v>
      </c>
      <c r="F2037" s="6">
        <f>IFERROR(VLOOKUP($B2037,Platts!$E$5:$M$4994,MATCH(F$3,Platts!$F$5:$M$5,0)+1,FALSE),F2036)</f>
        <v>71.760000000000005</v>
      </c>
      <c r="G2037" s="6">
        <f>IFERROR(VLOOKUP($B2037,Platts!$E$5:$M$4994,MATCH(G$3,Platts!$F$5:$M$5,0)+1,FALSE),G2036)</f>
        <v>74.180000000000007</v>
      </c>
      <c r="H2037" s="6">
        <f>IFERROR(VLOOKUP($B2037,Platts!$E$5:$M$4994,MATCH(H$3,Platts!$F$5:$M$5,0)+1,FALSE),H2036)</f>
        <v>71.91</v>
      </c>
      <c r="I2037" s="6">
        <f>IFERROR(VLOOKUP($B2037,Platts!$E$5:$M$4994,MATCH(I$3,Platts!$F$5:$M$5,0)+1,FALSE),I2036)</f>
        <v>72.459999999999994</v>
      </c>
      <c r="J2037" s="6">
        <f t="shared" si="62"/>
        <v>3.5799999999999983</v>
      </c>
    </row>
    <row r="2038" spans="2:10" x14ac:dyDescent="0.25">
      <c r="B2038" s="5">
        <f t="shared" si="63"/>
        <v>44404</v>
      </c>
      <c r="C2038" s="6">
        <f>IFERROR(VLOOKUP($B2038,Platts!$E$5:$M$4994,MATCH(C$3,Platts!$F$5:$M$5,0)+1,FALSE),C2037)</f>
        <v>68.319999999999993</v>
      </c>
      <c r="D2038" s="6">
        <f>IFERROR(VLOOKUP($B2038,Platts!$E$5:$M$4994,MATCH(D$3,Platts!$F$5:$M$5,0)+1,FALSE),D2037)</f>
        <v>68.290000000000006</v>
      </c>
      <c r="E2038" s="6">
        <f>IFERROR(VLOOKUP($B2038,Platts!$E$5:$M$4994,MATCH(E$3,Platts!$F$5:$M$5,0)+1,FALSE),E2037)</f>
        <v>67.94</v>
      </c>
      <c r="F2038" s="6">
        <f>IFERROR(VLOOKUP($B2038,Platts!$E$5:$M$4994,MATCH(F$3,Platts!$F$5:$M$5,0)+1,FALSE),F2037)</f>
        <v>71.59</v>
      </c>
      <c r="G2038" s="6">
        <f>IFERROR(VLOOKUP($B2038,Platts!$E$5:$M$4994,MATCH(G$3,Platts!$F$5:$M$5,0)+1,FALSE),G2037)</f>
        <v>74.569999999999993</v>
      </c>
      <c r="H2038" s="6">
        <f>IFERROR(VLOOKUP($B2038,Platts!$E$5:$M$4994,MATCH(H$3,Platts!$F$5:$M$5,0)+1,FALSE),H2037)</f>
        <v>71.650000000000006</v>
      </c>
      <c r="I2038" s="6">
        <f>IFERROR(VLOOKUP($B2038,Platts!$E$5:$M$4994,MATCH(I$3,Platts!$F$5:$M$5,0)+1,FALSE),I2037)</f>
        <v>72.2</v>
      </c>
      <c r="J2038" s="6">
        <f t="shared" si="62"/>
        <v>3.3300000000000125</v>
      </c>
    </row>
    <row r="2039" spans="2:10" x14ac:dyDescent="0.25">
      <c r="B2039" s="5">
        <f t="shared" si="63"/>
        <v>44405</v>
      </c>
      <c r="C2039" s="6">
        <f>IFERROR(VLOOKUP($B2039,Platts!$E$5:$M$4994,MATCH(C$3,Platts!$F$5:$M$5,0)+1,FALSE),C2038)</f>
        <v>68.73</v>
      </c>
      <c r="D2039" s="6">
        <f>IFERROR(VLOOKUP($B2039,Platts!$E$5:$M$4994,MATCH(D$3,Platts!$F$5:$M$5,0)+1,FALSE),D2038)</f>
        <v>68.790000000000006</v>
      </c>
      <c r="E2039" s="6">
        <f>IFERROR(VLOOKUP($B2039,Platts!$E$5:$M$4994,MATCH(E$3,Platts!$F$5:$M$5,0)+1,FALSE),E2038)</f>
        <v>68.44</v>
      </c>
      <c r="F2039" s="6">
        <f>IFERROR(VLOOKUP($B2039,Platts!$E$5:$M$4994,MATCH(F$3,Platts!$F$5:$M$5,0)+1,FALSE),F2038)</f>
        <v>72.09</v>
      </c>
      <c r="G2039" s="6">
        <f>IFERROR(VLOOKUP($B2039,Platts!$E$5:$M$4994,MATCH(G$3,Platts!$F$5:$M$5,0)+1,FALSE),G2038)</f>
        <v>74.72</v>
      </c>
      <c r="H2039" s="6">
        <f>IFERROR(VLOOKUP($B2039,Platts!$E$5:$M$4994,MATCH(H$3,Platts!$F$5:$M$5,0)+1,FALSE),H2038)</f>
        <v>72.39</v>
      </c>
      <c r="I2039" s="6">
        <f>IFERROR(VLOOKUP($B2039,Platts!$E$5:$M$4994,MATCH(I$3,Platts!$F$5:$M$5,0)+1,FALSE),I2038)</f>
        <v>72.89</v>
      </c>
      <c r="J2039" s="6">
        <f t="shared" si="62"/>
        <v>3.6599999999999966</v>
      </c>
    </row>
    <row r="2040" spans="2:10" x14ac:dyDescent="0.25">
      <c r="B2040" s="5">
        <f t="shared" si="63"/>
        <v>44406</v>
      </c>
      <c r="C2040" s="6">
        <f>IFERROR(VLOOKUP($B2040,Platts!$E$5:$M$4994,MATCH(C$3,Platts!$F$5:$M$5,0)+1,FALSE),C2039)</f>
        <v>69.959999999999994</v>
      </c>
      <c r="D2040" s="6">
        <f>IFERROR(VLOOKUP($B2040,Platts!$E$5:$M$4994,MATCH(D$3,Platts!$F$5:$M$5,0)+1,FALSE),D2039)</f>
        <v>70.08</v>
      </c>
      <c r="E2040" s="6">
        <f>IFERROR(VLOOKUP($B2040,Platts!$E$5:$M$4994,MATCH(E$3,Platts!$F$5:$M$5,0)+1,FALSE),E2039)</f>
        <v>69.73</v>
      </c>
      <c r="F2040" s="6">
        <f>IFERROR(VLOOKUP($B2040,Platts!$E$5:$M$4994,MATCH(F$3,Platts!$F$5:$M$5,0)+1,FALSE),F2039)</f>
        <v>73.38</v>
      </c>
      <c r="G2040" s="6">
        <f>IFERROR(VLOOKUP($B2040,Platts!$E$5:$M$4994,MATCH(G$3,Platts!$F$5:$M$5,0)+1,FALSE),G2039)</f>
        <v>75.56</v>
      </c>
      <c r="H2040" s="6">
        <f>IFERROR(VLOOKUP($B2040,Platts!$E$5:$M$4994,MATCH(H$3,Platts!$F$5:$M$5,0)+1,FALSE),H2039)</f>
        <v>73.62</v>
      </c>
      <c r="I2040" s="6">
        <f>IFERROR(VLOOKUP($B2040,Platts!$E$5:$M$4994,MATCH(I$3,Platts!$F$5:$M$5,0)+1,FALSE),I2039)</f>
        <v>74.17</v>
      </c>
      <c r="J2040" s="6">
        <f t="shared" si="62"/>
        <v>3.6600000000000108</v>
      </c>
    </row>
    <row r="2041" spans="2:10" x14ac:dyDescent="0.25">
      <c r="B2041" s="5">
        <f t="shared" si="63"/>
        <v>44407</v>
      </c>
      <c r="C2041" s="6">
        <f>IFERROR(VLOOKUP($B2041,Platts!$E$5:$M$4994,MATCH(C$3,Platts!$F$5:$M$5,0)+1,FALSE),C2040)</f>
        <v>70.27</v>
      </c>
      <c r="D2041" s="6">
        <f>IFERROR(VLOOKUP($B2041,Platts!$E$5:$M$4994,MATCH(D$3,Platts!$F$5:$M$5,0)+1,FALSE),D2040)</f>
        <v>70.400000000000006</v>
      </c>
      <c r="E2041" s="6">
        <f>IFERROR(VLOOKUP($B2041,Platts!$E$5:$M$4994,MATCH(E$3,Platts!$F$5:$M$5,0)+1,FALSE),E2040)</f>
        <v>70.05</v>
      </c>
      <c r="F2041" s="6">
        <f>IFERROR(VLOOKUP($B2041,Platts!$E$5:$M$4994,MATCH(F$3,Platts!$F$5:$M$5,0)+1,FALSE),F2040)</f>
        <v>73.7</v>
      </c>
      <c r="G2041" s="6">
        <f>IFERROR(VLOOKUP($B2041,Platts!$E$5:$M$4994,MATCH(G$3,Platts!$F$5:$M$5,0)+1,FALSE),G2040)</f>
        <v>76.349999999999994</v>
      </c>
      <c r="H2041" s="6">
        <f>IFERROR(VLOOKUP($B2041,Platts!$E$5:$M$4994,MATCH(H$3,Platts!$F$5:$M$5,0)+1,FALSE),H2040)</f>
        <v>73.95</v>
      </c>
      <c r="I2041" s="6">
        <f>IFERROR(VLOOKUP($B2041,Platts!$E$5:$M$4994,MATCH(I$3,Platts!$F$5:$M$5,0)+1,FALSE),I2040)</f>
        <v>74.45</v>
      </c>
      <c r="J2041" s="6">
        <f t="shared" si="62"/>
        <v>3.6800000000000068</v>
      </c>
    </row>
    <row r="2042" spans="2:10" x14ac:dyDescent="0.25">
      <c r="B2042" s="5">
        <f t="shared" si="63"/>
        <v>44408</v>
      </c>
      <c r="C2042" s="6">
        <f>IFERROR(VLOOKUP($B2042,Platts!$E$5:$M$4994,MATCH(C$3,Platts!$F$5:$M$5,0)+1,FALSE),C2041)</f>
        <v>70.27</v>
      </c>
      <c r="D2042" s="6">
        <f>IFERROR(VLOOKUP($B2042,Platts!$E$5:$M$4994,MATCH(D$3,Platts!$F$5:$M$5,0)+1,FALSE),D2041)</f>
        <v>70.400000000000006</v>
      </c>
      <c r="E2042" s="6">
        <f>IFERROR(VLOOKUP($B2042,Platts!$E$5:$M$4994,MATCH(E$3,Platts!$F$5:$M$5,0)+1,FALSE),E2041)</f>
        <v>70.05</v>
      </c>
      <c r="F2042" s="6">
        <f>IFERROR(VLOOKUP($B2042,Platts!$E$5:$M$4994,MATCH(F$3,Platts!$F$5:$M$5,0)+1,FALSE),F2041)</f>
        <v>73.7</v>
      </c>
      <c r="G2042" s="6">
        <f>IFERROR(VLOOKUP($B2042,Platts!$E$5:$M$4994,MATCH(G$3,Platts!$F$5:$M$5,0)+1,FALSE),G2041)</f>
        <v>76.349999999999994</v>
      </c>
      <c r="H2042" s="6">
        <f>IFERROR(VLOOKUP($B2042,Platts!$E$5:$M$4994,MATCH(H$3,Platts!$F$5:$M$5,0)+1,FALSE),H2041)</f>
        <v>73.95</v>
      </c>
      <c r="I2042" s="6">
        <f>IFERROR(VLOOKUP($B2042,Platts!$E$5:$M$4994,MATCH(I$3,Platts!$F$5:$M$5,0)+1,FALSE),I2041)</f>
        <v>74.45</v>
      </c>
      <c r="J2042" s="6">
        <f t="shared" si="62"/>
        <v>3.6800000000000068</v>
      </c>
    </row>
    <row r="2043" spans="2:10" x14ac:dyDescent="0.25">
      <c r="B2043" s="5">
        <f t="shared" si="63"/>
        <v>44409</v>
      </c>
      <c r="C2043" s="6">
        <f>IFERROR(VLOOKUP($B2043,Platts!$E$5:$M$4994,MATCH(C$3,Platts!$F$5:$M$5,0)+1,FALSE),C2042)</f>
        <v>70.27</v>
      </c>
      <c r="D2043" s="6">
        <f>IFERROR(VLOOKUP($B2043,Platts!$E$5:$M$4994,MATCH(D$3,Platts!$F$5:$M$5,0)+1,FALSE),D2042)</f>
        <v>70.400000000000006</v>
      </c>
      <c r="E2043" s="6">
        <f>IFERROR(VLOOKUP($B2043,Platts!$E$5:$M$4994,MATCH(E$3,Platts!$F$5:$M$5,0)+1,FALSE),E2042)</f>
        <v>70.05</v>
      </c>
      <c r="F2043" s="6">
        <f>IFERROR(VLOOKUP($B2043,Platts!$E$5:$M$4994,MATCH(F$3,Platts!$F$5:$M$5,0)+1,FALSE),F2042)</f>
        <v>73.7</v>
      </c>
      <c r="G2043" s="6">
        <f>IFERROR(VLOOKUP($B2043,Platts!$E$5:$M$4994,MATCH(G$3,Platts!$F$5:$M$5,0)+1,FALSE),G2042)</f>
        <v>76.349999999999994</v>
      </c>
      <c r="H2043" s="6">
        <f>IFERROR(VLOOKUP($B2043,Platts!$E$5:$M$4994,MATCH(H$3,Platts!$F$5:$M$5,0)+1,FALSE),H2042)</f>
        <v>73.95</v>
      </c>
      <c r="I2043" s="6">
        <f>IFERROR(VLOOKUP($B2043,Platts!$E$5:$M$4994,MATCH(I$3,Platts!$F$5:$M$5,0)+1,FALSE),I2042)</f>
        <v>74.45</v>
      </c>
      <c r="J2043" s="6">
        <f t="shared" si="62"/>
        <v>3.6800000000000068</v>
      </c>
    </row>
    <row r="2044" spans="2:10" x14ac:dyDescent="0.25">
      <c r="B2044" s="5">
        <f t="shared" si="63"/>
        <v>44410</v>
      </c>
      <c r="C2044" s="6">
        <f>IFERROR(VLOOKUP($B2044,Platts!$E$5:$M$4994,MATCH(C$3,Platts!$F$5:$M$5,0)+1,FALSE),C2043)</f>
        <v>67.150000000000006</v>
      </c>
      <c r="D2044" s="6">
        <f>IFERROR(VLOOKUP($B2044,Platts!$E$5:$M$4994,MATCH(D$3,Platts!$F$5:$M$5,0)+1,FALSE),D2043)</f>
        <v>67.64</v>
      </c>
      <c r="E2044" s="6">
        <f>IFERROR(VLOOKUP($B2044,Platts!$E$5:$M$4994,MATCH(E$3,Platts!$F$5:$M$5,0)+1,FALSE),E2043)</f>
        <v>66.290000000000006</v>
      </c>
      <c r="F2044" s="6">
        <f>IFERROR(VLOOKUP($B2044,Platts!$E$5:$M$4994,MATCH(F$3,Platts!$F$5:$M$5,0)+1,FALSE),F2043)</f>
        <v>70.64</v>
      </c>
      <c r="G2044" s="6">
        <f>IFERROR(VLOOKUP($B2044,Platts!$E$5:$M$4994,MATCH(G$3,Platts!$F$5:$M$5,0)+1,FALSE),G2043)</f>
        <v>73.05</v>
      </c>
      <c r="H2044" s="6">
        <f>IFERROR(VLOOKUP($B2044,Platts!$E$5:$M$4994,MATCH(H$3,Platts!$F$5:$M$5,0)+1,FALSE),H2043)</f>
        <v>71.260000000000005</v>
      </c>
      <c r="I2044" s="6">
        <f>IFERROR(VLOOKUP($B2044,Platts!$E$5:$M$4994,MATCH(I$3,Platts!$F$5:$M$5,0)+1,FALSE),I2043)</f>
        <v>71.760000000000005</v>
      </c>
      <c r="J2044" s="6">
        <f t="shared" si="62"/>
        <v>4.1099999999999994</v>
      </c>
    </row>
    <row r="2045" spans="2:10" x14ac:dyDescent="0.25">
      <c r="B2045" s="5">
        <f t="shared" si="63"/>
        <v>44411</v>
      </c>
      <c r="C2045" s="6">
        <f>IFERROR(VLOOKUP($B2045,Platts!$E$5:$M$4994,MATCH(C$3,Platts!$F$5:$M$5,0)+1,FALSE),C2044)</f>
        <v>66.459999999999994</v>
      </c>
      <c r="D2045" s="6">
        <f>IFERROR(VLOOKUP($B2045,Platts!$E$5:$M$4994,MATCH(D$3,Platts!$F$5:$M$5,0)+1,FALSE),D2044)</f>
        <v>67.05</v>
      </c>
      <c r="E2045" s="6">
        <f>IFERROR(VLOOKUP($B2045,Platts!$E$5:$M$4994,MATCH(E$3,Platts!$F$5:$M$5,0)+1,FALSE),E2044)</f>
        <v>65.7</v>
      </c>
      <c r="F2045" s="6">
        <f>IFERROR(VLOOKUP($B2045,Platts!$E$5:$M$4994,MATCH(F$3,Platts!$F$5:$M$5,0)+1,FALSE),F2044)</f>
        <v>70.05</v>
      </c>
      <c r="G2045" s="6">
        <f>IFERROR(VLOOKUP($B2045,Platts!$E$5:$M$4994,MATCH(G$3,Platts!$F$5:$M$5,0)+1,FALSE),G2044)</f>
        <v>72.5</v>
      </c>
      <c r="H2045" s="6">
        <f>IFERROR(VLOOKUP($B2045,Platts!$E$5:$M$4994,MATCH(H$3,Platts!$F$5:$M$5,0)+1,FALSE),H2044)</f>
        <v>70.56</v>
      </c>
      <c r="I2045" s="6">
        <f>IFERROR(VLOOKUP($B2045,Platts!$E$5:$M$4994,MATCH(I$3,Platts!$F$5:$M$5,0)+1,FALSE),I2044)</f>
        <v>71.06</v>
      </c>
      <c r="J2045" s="6">
        <f t="shared" si="62"/>
        <v>4.1000000000000085</v>
      </c>
    </row>
    <row r="2046" spans="2:10" x14ac:dyDescent="0.25">
      <c r="B2046" s="5">
        <f t="shared" si="63"/>
        <v>44412</v>
      </c>
      <c r="C2046" s="6">
        <f>IFERROR(VLOOKUP($B2046,Platts!$E$5:$M$4994,MATCH(C$3,Platts!$F$5:$M$5,0)+1,FALSE),C2045)</f>
        <v>64.55</v>
      </c>
      <c r="D2046" s="6">
        <f>IFERROR(VLOOKUP($B2046,Platts!$E$5:$M$4994,MATCH(D$3,Platts!$F$5:$M$5,0)+1,FALSE),D2045)</f>
        <v>64.78</v>
      </c>
      <c r="E2046" s="6">
        <f>IFERROR(VLOOKUP($B2046,Platts!$E$5:$M$4994,MATCH(E$3,Platts!$F$5:$M$5,0)+1,FALSE),E2045)</f>
        <v>63.43</v>
      </c>
      <c r="F2046" s="6">
        <f>IFERROR(VLOOKUP($B2046,Platts!$E$5:$M$4994,MATCH(F$3,Platts!$F$5:$M$5,0)+1,FALSE),F2045)</f>
        <v>67.78</v>
      </c>
      <c r="G2046" s="6">
        <f>IFERROR(VLOOKUP($B2046,Platts!$E$5:$M$4994,MATCH(G$3,Platts!$F$5:$M$5,0)+1,FALSE),G2045)</f>
        <v>71.3</v>
      </c>
      <c r="H2046" s="6">
        <f>IFERROR(VLOOKUP($B2046,Platts!$E$5:$M$4994,MATCH(H$3,Platts!$F$5:$M$5,0)+1,FALSE),H2045)</f>
        <v>68.150000000000006</v>
      </c>
      <c r="I2046" s="6">
        <f>IFERROR(VLOOKUP($B2046,Platts!$E$5:$M$4994,MATCH(I$3,Platts!$F$5:$M$5,0)+1,FALSE),I2045)</f>
        <v>68.650000000000006</v>
      </c>
      <c r="J2046" s="6">
        <f t="shared" si="62"/>
        <v>3.6000000000000085</v>
      </c>
    </row>
    <row r="2047" spans="2:10" x14ac:dyDescent="0.25">
      <c r="B2047" s="5">
        <f t="shared" si="63"/>
        <v>44413</v>
      </c>
      <c r="C2047" s="6">
        <f>IFERROR(VLOOKUP($B2047,Platts!$E$5:$M$4994,MATCH(C$3,Platts!$F$5:$M$5,0)+1,FALSE),C2046)</f>
        <v>64.92</v>
      </c>
      <c r="D2047" s="6">
        <f>IFERROR(VLOOKUP($B2047,Platts!$E$5:$M$4994,MATCH(D$3,Platts!$F$5:$M$5,0)+1,FALSE),D2046)</f>
        <v>65.739999999999995</v>
      </c>
      <c r="E2047" s="6">
        <f>IFERROR(VLOOKUP($B2047,Platts!$E$5:$M$4994,MATCH(E$3,Platts!$F$5:$M$5,0)+1,FALSE),E2046)</f>
        <v>64.39</v>
      </c>
      <c r="F2047" s="6">
        <f>IFERROR(VLOOKUP($B2047,Platts!$E$5:$M$4994,MATCH(F$3,Platts!$F$5:$M$5,0)+1,FALSE),F2046)</f>
        <v>68.739999999999995</v>
      </c>
      <c r="G2047" s="6">
        <f>IFERROR(VLOOKUP($B2047,Platts!$E$5:$M$4994,MATCH(G$3,Platts!$F$5:$M$5,0)+1,FALSE),G2046)</f>
        <v>71.56</v>
      </c>
      <c r="H2047" s="6">
        <f>IFERROR(VLOOKUP($B2047,Platts!$E$5:$M$4994,MATCH(H$3,Platts!$F$5:$M$5,0)+1,FALSE),H2046)</f>
        <v>69.09</v>
      </c>
      <c r="I2047" s="6">
        <f>IFERROR(VLOOKUP($B2047,Platts!$E$5:$M$4994,MATCH(I$3,Platts!$F$5:$M$5,0)+1,FALSE),I2046)</f>
        <v>69.64</v>
      </c>
      <c r="J2047" s="6">
        <f t="shared" si="62"/>
        <v>4.1700000000000017</v>
      </c>
    </row>
    <row r="2048" spans="2:10" x14ac:dyDescent="0.25">
      <c r="B2048" s="5">
        <f t="shared" si="63"/>
        <v>44414</v>
      </c>
      <c r="C2048" s="6">
        <f>IFERROR(VLOOKUP($B2048,Platts!$E$5:$M$4994,MATCH(C$3,Platts!$F$5:$M$5,0)+1,FALSE),C2047)</f>
        <v>64.67</v>
      </c>
      <c r="D2048" s="6">
        <f>IFERROR(VLOOKUP($B2048,Platts!$E$5:$M$4994,MATCH(D$3,Platts!$F$5:$M$5,0)+1,FALSE),D2047)</f>
        <v>65.069999999999993</v>
      </c>
      <c r="E2048" s="6">
        <f>IFERROR(VLOOKUP($B2048,Platts!$E$5:$M$4994,MATCH(E$3,Platts!$F$5:$M$5,0)+1,FALSE),E2047)</f>
        <v>63.72</v>
      </c>
      <c r="F2048" s="6">
        <f>IFERROR(VLOOKUP($B2048,Platts!$E$5:$M$4994,MATCH(F$3,Platts!$F$5:$M$5,0)+1,FALSE),F2047)</f>
        <v>68.069999999999993</v>
      </c>
      <c r="G2048" s="6">
        <f>IFERROR(VLOOKUP($B2048,Platts!$E$5:$M$4994,MATCH(G$3,Platts!$F$5:$M$5,0)+1,FALSE),G2047)</f>
        <v>71.03</v>
      </c>
      <c r="H2048" s="6">
        <f>IFERROR(VLOOKUP($B2048,Platts!$E$5:$M$4994,MATCH(H$3,Platts!$F$5:$M$5,0)+1,FALSE),H2047)</f>
        <v>68.28</v>
      </c>
      <c r="I2048" s="6">
        <f>IFERROR(VLOOKUP($B2048,Platts!$E$5:$M$4994,MATCH(I$3,Platts!$F$5:$M$5,0)+1,FALSE),I2047)</f>
        <v>68.930000000000007</v>
      </c>
      <c r="J2048" s="6">
        <f t="shared" si="62"/>
        <v>3.6099999999999994</v>
      </c>
    </row>
    <row r="2049" spans="2:10" x14ac:dyDescent="0.25">
      <c r="B2049" s="5">
        <f t="shared" si="63"/>
        <v>44415</v>
      </c>
      <c r="C2049" s="6">
        <f>IFERROR(VLOOKUP($B2049,Platts!$E$5:$M$4994,MATCH(C$3,Platts!$F$5:$M$5,0)+1,FALSE),C2048)</f>
        <v>64.67</v>
      </c>
      <c r="D2049" s="6">
        <f>IFERROR(VLOOKUP($B2049,Platts!$E$5:$M$4994,MATCH(D$3,Platts!$F$5:$M$5,0)+1,FALSE),D2048)</f>
        <v>65.069999999999993</v>
      </c>
      <c r="E2049" s="6">
        <f>IFERROR(VLOOKUP($B2049,Platts!$E$5:$M$4994,MATCH(E$3,Platts!$F$5:$M$5,0)+1,FALSE),E2048)</f>
        <v>63.72</v>
      </c>
      <c r="F2049" s="6">
        <f>IFERROR(VLOOKUP($B2049,Platts!$E$5:$M$4994,MATCH(F$3,Platts!$F$5:$M$5,0)+1,FALSE),F2048)</f>
        <v>68.069999999999993</v>
      </c>
      <c r="G2049" s="6">
        <f>IFERROR(VLOOKUP($B2049,Platts!$E$5:$M$4994,MATCH(G$3,Platts!$F$5:$M$5,0)+1,FALSE),G2048)</f>
        <v>71.03</v>
      </c>
      <c r="H2049" s="6">
        <f>IFERROR(VLOOKUP($B2049,Platts!$E$5:$M$4994,MATCH(H$3,Platts!$F$5:$M$5,0)+1,FALSE),H2048)</f>
        <v>68.28</v>
      </c>
      <c r="I2049" s="6">
        <f>IFERROR(VLOOKUP($B2049,Platts!$E$5:$M$4994,MATCH(I$3,Platts!$F$5:$M$5,0)+1,FALSE),I2048)</f>
        <v>68.930000000000007</v>
      </c>
      <c r="J2049" s="6">
        <f t="shared" si="62"/>
        <v>3.6099999999999994</v>
      </c>
    </row>
    <row r="2050" spans="2:10" x14ac:dyDescent="0.25">
      <c r="B2050" s="5">
        <f t="shared" si="63"/>
        <v>44416</v>
      </c>
      <c r="C2050" s="6">
        <f>IFERROR(VLOOKUP($B2050,Platts!$E$5:$M$4994,MATCH(C$3,Platts!$F$5:$M$5,0)+1,FALSE),C2049)</f>
        <v>64.67</v>
      </c>
      <c r="D2050" s="6">
        <f>IFERROR(VLOOKUP($B2050,Platts!$E$5:$M$4994,MATCH(D$3,Platts!$F$5:$M$5,0)+1,FALSE),D2049)</f>
        <v>65.069999999999993</v>
      </c>
      <c r="E2050" s="6">
        <f>IFERROR(VLOOKUP($B2050,Platts!$E$5:$M$4994,MATCH(E$3,Platts!$F$5:$M$5,0)+1,FALSE),E2049)</f>
        <v>63.72</v>
      </c>
      <c r="F2050" s="6">
        <f>IFERROR(VLOOKUP($B2050,Platts!$E$5:$M$4994,MATCH(F$3,Platts!$F$5:$M$5,0)+1,FALSE),F2049)</f>
        <v>68.069999999999993</v>
      </c>
      <c r="G2050" s="6">
        <f>IFERROR(VLOOKUP($B2050,Platts!$E$5:$M$4994,MATCH(G$3,Platts!$F$5:$M$5,0)+1,FALSE),G2049)</f>
        <v>71.03</v>
      </c>
      <c r="H2050" s="6">
        <f>IFERROR(VLOOKUP($B2050,Platts!$E$5:$M$4994,MATCH(H$3,Platts!$F$5:$M$5,0)+1,FALSE),H2049)</f>
        <v>68.28</v>
      </c>
      <c r="I2050" s="6">
        <f>IFERROR(VLOOKUP($B2050,Platts!$E$5:$M$4994,MATCH(I$3,Platts!$F$5:$M$5,0)+1,FALSE),I2049)</f>
        <v>68.930000000000007</v>
      </c>
      <c r="J2050" s="6">
        <f t="shared" si="62"/>
        <v>3.6099999999999994</v>
      </c>
    </row>
    <row r="2051" spans="2:10" x14ac:dyDescent="0.25">
      <c r="B2051" s="5">
        <f t="shared" si="63"/>
        <v>44417</v>
      </c>
      <c r="C2051" s="6">
        <f>IFERROR(VLOOKUP($B2051,Platts!$E$5:$M$4994,MATCH(C$3,Platts!$F$5:$M$5,0)+1,FALSE),C2050)</f>
        <v>64.67</v>
      </c>
      <c r="D2051" s="6">
        <f>IFERROR(VLOOKUP($B2051,Platts!$E$5:$M$4994,MATCH(D$3,Platts!$F$5:$M$5,0)+1,FALSE),D2050)</f>
        <v>63.35</v>
      </c>
      <c r="E2051" s="6">
        <f>IFERROR(VLOOKUP($B2051,Platts!$E$5:$M$4994,MATCH(E$3,Platts!$F$5:$M$5,0)+1,FALSE),E2050)</f>
        <v>62</v>
      </c>
      <c r="F2051" s="6">
        <f>IFERROR(VLOOKUP($B2051,Platts!$E$5:$M$4994,MATCH(F$3,Platts!$F$5:$M$5,0)+1,FALSE),F2050)</f>
        <v>66.349999999999994</v>
      </c>
      <c r="G2051" s="6">
        <f>IFERROR(VLOOKUP($B2051,Platts!$E$5:$M$4994,MATCH(G$3,Platts!$F$5:$M$5,0)+1,FALSE),G2050)</f>
        <v>68.98</v>
      </c>
      <c r="H2051" s="6">
        <f>IFERROR(VLOOKUP($B2051,Platts!$E$5:$M$4994,MATCH(H$3,Platts!$F$5:$M$5,0)+1,FALSE),H2050)</f>
        <v>66.48</v>
      </c>
      <c r="I2051" s="6">
        <f>IFERROR(VLOOKUP($B2051,Platts!$E$5:$M$4994,MATCH(I$3,Platts!$F$5:$M$5,0)+1,FALSE),I2050)</f>
        <v>67.13</v>
      </c>
      <c r="J2051" s="6">
        <f t="shared" si="62"/>
        <v>1.8100000000000023</v>
      </c>
    </row>
    <row r="2052" spans="2:10" x14ac:dyDescent="0.25">
      <c r="B2052" s="5">
        <f t="shared" si="63"/>
        <v>44418</v>
      </c>
      <c r="C2052" s="6">
        <f>IFERROR(VLOOKUP($B2052,Platts!$E$5:$M$4994,MATCH(C$3,Platts!$F$5:$M$5,0)+1,FALSE),C2051)</f>
        <v>64.349999999999994</v>
      </c>
      <c r="D2052" s="6">
        <f>IFERROR(VLOOKUP($B2052,Platts!$E$5:$M$4994,MATCH(D$3,Platts!$F$5:$M$5,0)+1,FALSE),D2051)</f>
        <v>65.05</v>
      </c>
      <c r="E2052" s="6">
        <f>IFERROR(VLOOKUP($B2052,Platts!$E$5:$M$4994,MATCH(E$3,Platts!$F$5:$M$5,0)+1,FALSE),E2051)</f>
        <v>63.7</v>
      </c>
      <c r="F2052" s="6">
        <f>IFERROR(VLOOKUP($B2052,Platts!$E$5:$M$4994,MATCH(F$3,Platts!$F$5:$M$5,0)+1,FALSE),F2051)</f>
        <v>68.05</v>
      </c>
      <c r="G2052" s="6">
        <f>IFERROR(VLOOKUP($B2052,Platts!$E$5:$M$4994,MATCH(G$3,Platts!$F$5:$M$5,0)+1,FALSE),G2051)</f>
        <v>71.05</v>
      </c>
      <c r="H2052" s="6">
        <f>IFERROR(VLOOKUP($B2052,Platts!$E$5:$M$4994,MATCH(H$3,Platts!$F$5:$M$5,0)+1,FALSE),H2051)</f>
        <v>68.290000000000006</v>
      </c>
      <c r="I2052" s="6">
        <f>IFERROR(VLOOKUP($B2052,Platts!$E$5:$M$4994,MATCH(I$3,Platts!$F$5:$M$5,0)+1,FALSE),I2051)</f>
        <v>69.040000000000006</v>
      </c>
      <c r="J2052" s="6">
        <f t="shared" ref="J2052:J2115" si="64">H2052-C2052</f>
        <v>3.9400000000000119</v>
      </c>
    </row>
    <row r="2053" spans="2:10" x14ac:dyDescent="0.25">
      <c r="B2053" s="5">
        <f t="shared" si="63"/>
        <v>44419</v>
      </c>
      <c r="C2053" s="6">
        <f>IFERROR(VLOOKUP($B2053,Platts!$E$5:$M$4994,MATCH(C$3,Platts!$F$5:$M$5,0)+1,FALSE),C2052)</f>
        <v>65.239999999999995</v>
      </c>
      <c r="D2053" s="6">
        <f>IFERROR(VLOOKUP($B2053,Platts!$E$5:$M$4994,MATCH(D$3,Platts!$F$5:$M$5,0)+1,FALSE),D2052)</f>
        <v>65.959999999999994</v>
      </c>
      <c r="E2053" s="6">
        <f>IFERROR(VLOOKUP($B2053,Platts!$E$5:$M$4994,MATCH(E$3,Platts!$F$5:$M$5,0)+1,FALSE),E2052)</f>
        <v>64.61</v>
      </c>
      <c r="F2053" s="6">
        <f>IFERROR(VLOOKUP($B2053,Platts!$E$5:$M$4994,MATCH(F$3,Platts!$F$5:$M$5,0)+1,FALSE),F2052)</f>
        <v>68.959999999999994</v>
      </c>
      <c r="G2053" s="6">
        <f>IFERROR(VLOOKUP($B2053,Platts!$E$5:$M$4994,MATCH(G$3,Platts!$F$5:$M$5,0)+1,FALSE),G2052)</f>
        <v>70.33</v>
      </c>
      <c r="H2053" s="6">
        <f>IFERROR(VLOOKUP($B2053,Platts!$E$5:$M$4994,MATCH(H$3,Platts!$F$5:$M$5,0)+1,FALSE),H2052)</f>
        <v>69.25</v>
      </c>
      <c r="I2053" s="6">
        <f>IFERROR(VLOOKUP($B2053,Platts!$E$5:$M$4994,MATCH(I$3,Platts!$F$5:$M$5,0)+1,FALSE),I2052)</f>
        <v>70</v>
      </c>
      <c r="J2053" s="6">
        <f t="shared" si="64"/>
        <v>4.0100000000000051</v>
      </c>
    </row>
    <row r="2054" spans="2:10" x14ac:dyDescent="0.25">
      <c r="B2054" s="5">
        <f t="shared" ref="B2054:B2117" si="65">B2053+1</f>
        <v>44420</v>
      </c>
      <c r="C2054" s="6">
        <f>IFERROR(VLOOKUP($B2054,Platts!$E$5:$M$4994,MATCH(C$3,Platts!$F$5:$M$5,0)+1,FALSE),C2053)</f>
        <v>65.22</v>
      </c>
      <c r="D2054" s="6">
        <f>IFERROR(VLOOKUP($B2054,Platts!$E$5:$M$4994,MATCH(D$3,Platts!$F$5:$M$5,0)+1,FALSE),D2053)</f>
        <v>65.81</v>
      </c>
      <c r="E2054" s="6">
        <f>IFERROR(VLOOKUP($B2054,Platts!$E$5:$M$4994,MATCH(E$3,Platts!$F$5:$M$5,0)+1,FALSE),E2053)</f>
        <v>64.459999999999994</v>
      </c>
      <c r="F2054" s="6">
        <f>IFERROR(VLOOKUP($B2054,Platts!$E$5:$M$4994,MATCH(F$3,Platts!$F$5:$M$5,0)+1,FALSE),F2053)</f>
        <v>68.81</v>
      </c>
      <c r="G2054" s="6">
        <f>IFERROR(VLOOKUP($B2054,Platts!$E$5:$M$4994,MATCH(G$3,Platts!$F$5:$M$5,0)+1,FALSE),G2053)</f>
        <v>71.319999999999993</v>
      </c>
      <c r="H2054" s="6">
        <f>IFERROR(VLOOKUP($B2054,Platts!$E$5:$M$4994,MATCH(H$3,Platts!$F$5:$M$5,0)+1,FALSE),H2053)</f>
        <v>69.09</v>
      </c>
      <c r="I2054" s="6">
        <f>IFERROR(VLOOKUP($B2054,Platts!$E$5:$M$4994,MATCH(I$3,Platts!$F$5:$M$5,0)+1,FALSE),I2053)</f>
        <v>69.84</v>
      </c>
      <c r="J2054" s="6">
        <f t="shared" si="64"/>
        <v>3.8700000000000045</v>
      </c>
    </row>
    <row r="2055" spans="2:10" x14ac:dyDescent="0.25">
      <c r="B2055" s="5">
        <f t="shared" si="65"/>
        <v>44421</v>
      </c>
      <c r="C2055" s="6">
        <f>IFERROR(VLOOKUP($B2055,Platts!$E$5:$M$4994,MATCH(C$3,Platts!$F$5:$M$5,0)+1,FALSE),C2054)</f>
        <v>64.59</v>
      </c>
      <c r="D2055" s="6">
        <f>IFERROR(VLOOKUP($B2055,Platts!$E$5:$M$4994,MATCH(D$3,Platts!$F$5:$M$5,0)+1,FALSE),D2054)</f>
        <v>65.14</v>
      </c>
      <c r="E2055" s="6">
        <f>IFERROR(VLOOKUP($B2055,Platts!$E$5:$M$4994,MATCH(E$3,Platts!$F$5:$M$5,0)+1,FALSE),E2054)</f>
        <v>63.79</v>
      </c>
      <c r="F2055" s="6">
        <f>IFERROR(VLOOKUP($B2055,Platts!$E$5:$M$4994,MATCH(F$3,Platts!$F$5:$M$5,0)+1,FALSE),F2054)</f>
        <v>68.14</v>
      </c>
      <c r="G2055" s="6">
        <f>IFERROR(VLOOKUP($B2055,Platts!$E$5:$M$4994,MATCH(G$3,Platts!$F$5:$M$5,0)+1,FALSE),G2054)</f>
        <v>71.19</v>
      </c>
      <c r="H2055" s="6">
        <f>IFERROR(VLOOKUP($B2055,Platts!$E$5:$M$4994,MATCH(H$3,Platts!$F$5:$M$5,0)+1,FALSE),H2054)</f>
        <v>68.44</v>
      </c>
      <c r="I2055" s="6">
        <f>IFERROR(VLOOKUP($B2055,Platts!$E$5:$M$4994,MATCH(I$3,Platts!$F$5:$M$5,0)+1,FALSE),I2054)</f>
        <v>69.19</v>
      </c>
      <c r="J2055" s="6">
        <f t="shared" si="64"/>
        <v>3.8499999999999943</v>
      </c>
    </row>
    <row r="2056" spans="2:10" x14ac:dyDescent="0.25">
      <c r="B2056" s="5">
        <f t="shared" si="65"/>
        <v>44422</v>
      </c>
      <c r="C2056" s="6">
        <f>IFERROR(VLOOKUP($B2056,Platts!$E$5:$M$4994,MATCH(C$3,Platts!$F$5:$M$5,0)+1,FALSE),C2055)</f>
        <v>64.59</v>
      </c>
      <c r="D2056" s="6">
        <f>IFERROR(VLOOKUP($B2056,Platts!$E$5:$M$4994,MATCH(D$3,Platts!$F$5:$M$5,0)+1,FALSE),D2055)</f>
        <v>65.14</v>
      </c>
      <c r="E2056" s="6">
        <f>IFERROR(VLOOKUP($B2056,Platts!$E$5:$M$4994,MATCH(E$3,Platts!$F$5:$M$5,0)+1,FALSE),E2055)</f>
        <v>63.79</v>
      </c>
      <c r="F2056" s="6">
        <f>IFERROR(VLOOKUP($B2056,Platts!$E$5:$M$4994,MATCH(F$3,Platts!$F$5:$M$5,0)+1,FALSE),F2055)</f>
        <v>68.14</v>
      </c>
      <c r="G2056" s="6">
        <f>IFERROR(VLOOKUP($B2056,Platts!$E$5:$M$4994,MATCH(G$3,Platts!$F$5:$M$5,0)+1,FALSE),G2055)</f>
        <v>71.19</v>
      </c>
      <c r="H2056" s="6">
        <f>IFERROR(VLOOKUP($B2056,Platts!$E$5:$M$4994,MATCH(H$3,Platts!$F$5:$M$5,0)+1,FALSE),H2055)</f>
        <v>68.44</v>
      </c>
      <c r="I2056" s="6">
        <f>IFERROR(VLOOKUP($B2056,Platts!$E$5:$M$4994,MATCH(I$3,Platts!$F$5:$M$5,0)+1,FALSE),I2055)</f>
        <v>69.19</v>
      </c>
      <c r="J2056" s="6">
        <f t="shared" si="64"/>
        <v>3.8499999999999943</v>
      </c>
    </row>
    <row r="2057" spans="2:10" x14ac:dyDescent="0.25">
      <c r="B2057" s="5">
        <f t="shared" si="65"/>
        <v>44423</v>
      </c>
      <c r="C2057" s="6">
        <f>IFERROR(VLOOKUP($B2057,Platts!$E$5:$M$4994,MATCH(C$3,Platts!$F$5:$M$5,0)+1,FALSE),C2056)</f>
        <v>64.59</v>
      </c>
      <c r="D2057" s="6">
        <f>IFERROR(VLOOKUP($B2057,Platts!$E$5:$M$4994,MATCH(D$3,Platts!$F$5:$M$5,0)+1,FALSE),D2056)</f>
        <v>65.14</v>
      </c>
      <c r="E2057" s="6">
        <f>IFERROR(VLOOKUP($B2057,Platts!$E$5:$M$4994,MATCH(E$3,Platts!$F$5:$M$5,0)+1,FALSE),E2056)</f>
        <v>63.79</v>
      </c>
      <c r="F2057" s="6">
        <f>IFERROR(VLOOKUP($B2057,Platts!$E$5:$M$4994,MATCH(F$3,Platts!$F$5:$M$5,0)+1,FALSE),F2056)</f>
        <v>68.14</v>
      </c>
      <c r="G2057" s="6">
        <f>IFERROR(VLOOKUP($B2057,Platts!$E$5:$M$4994,MATCH(G$3,Platts!$F$5:$M$5,0)+1,FALSE),G2056)</f>
        <v>71.19</v>
      </c>
      <c r="H2057" s="6">
        <f>IFERROR(VLOOKUP($B2057,Platts!$E$5:$M$4994,MATCH(H$3,Platts!$F$5:$M$5,0)+1,FALSE),H2056)</f>
        <v>68.44</v>
      </c>
      <c r="I2057" s="6">
        <f>IFERROR(VLOOKUP($B2057,Platts!$E$5:$M$4994,MATCH(I$3,Platts!$F$5:$M$5,0)+1,FALSE),I2056)</f>
        <v>69.19</v>
      </c>
      <c r="J2057" s="6">
        <f t="shared" si="64"/>
        <v>3.8499999999999943</v>
      </c>
    </row>
    <row r="2058" spans="2:10" x14ac:dyDescent="0.25">
      <c r="B2058" s="5">
        <f t="shared" si="65"/>
        <v>44424</v>
      </c>
      <c r="C2058" s="6">
        <f>IFERROR(VLOOKUP($B2058,Platts!$E$5:$M$4994,MATCH(C$3,Platts!$F$5:$M$5,0)+1,FALSE),C2057)</f>
        <v>63.49</v>
      </c>
      <c r="D2058" s="6">
        <f>IFERROR(VLOOKUP($B2058,Platts!$E$5:$M$4994,MATCH(D$3,Platts!$F$5:$M$5,0)+1,FALSE),D2057)</f>
        <v>64.069999999999993</v>
      </c>
      <c r="E2058" s="6">
        <f>IFERROR(VLOOKUP($B2058,Platts!$E$5:$M$4994,MATCH(E$3,Platts!$F$5:$M$5,0)+1,FALSE),E2057)</f>
        <v>62.72</v>
      </c>
      <c r="F2058" s="6">
        <f>IFERROR(VLOOKUP($B2058,Platts!$E$5:$M$4994,MATCH(F$3,Platts!$F$5:$M$5,0)+1,FALSE),F2057)</f>
        <v>67.069999999999993</v>
      </c>
      <c r="G2058" s="6">
        <f>IFERROR(VLOOKUP($B2058,Platts!$E$5:$M$4994,MATCH(G$3,Platts!$F$5:$M$5,0)+1,FALSE),G2057)</f>
        <v>69.7</v>
      </c>
      <c r="H2058" s="6">
        <f>IFERROR(VLOOKUP($B2058,Platts!$E$5:$M$4994,MATCH(H$3,Platts!$F$5:$M$5,0)+1,FALSE),H2057)</f>
        <v>67.290000000000006</v>
      </c>
      <c r="I2058" s="6">
        <f>IFERROR(VLOOKUP($B2058,Platts!$E$5:$M$4994,MATCH(I$3,Platts!$F$5:$M$5,0)+1,FALSE),I2057)</f>
        <v>68.040000000000006</v>
      </c>
      <c r="J2058" s="6">
        <f t="shared" si="64"/>
        <v>3.8000000000000043</v>
      </c>
    </row>
    <row r="2059" spans="2:10" x14ac:dyDescent="0.25">
      <c r="B2059" s="5">
        <f t="shared" si="65"/>
        <v>44425</v>
      </c>
      <c r="C2059" s="6">
        <f>IFERROR(VLOOKUP($B2059,Platts!$E$5:$M$4994,MATCH(C$3,Platts!$F$5:$M$5,0)+1,FALSE),C2058)</f>
        <v>62.93</v>
      </c>
      <c r="D2059" s="6">
        <f>IFERROR(VLOOKUP($B2059,Platts!$E$5:$M$4994,MATCH(D$3,Platts!$F$5:$M$5,0)+1,FALSE),D2058)</f>
        <v>63.45</v>
      </c>
      <c r="E2059" s="6">
        <f>IFERROR(VLOOKUP($B2059,Platts!$E$5:$M$4994,MATCH(E$3,Platts!$F$5:$M$5,0)+1,FALSE),E2058)</f>
        <v>62.1</v>
      </c>
      <c r="F2059" s="6">
        <f>IFERROR(VLOOKUP($B2059,Platts!$E$5:$M$4994,MATCH(F$3,Platts!$F$5:$M$5,0)+1,FALSE),F2058)</f>
        <v>66.45</v>
      </c>
      <c r="G2059" s="6">
        <f>IFERROR(VLOOKUP($B2059,Platts!$E$5:$M$4994,MATCH(G$3,Platts!$F$5:$M$5,0)+1,FALSE),G2058)</f>
        <v>70.02</v>
      </c>
      <c r="H2059" s="6">
        <f>IFERROR(VLOOKUP($B2059,Platts!$E$5:$M$4994,MATCH(H$3,Platts!$F$5:$M$5,0)+1,FALSE),H2058)</f>
        <v>66.59</v>
      </c>
      <c r="I2059" s="6">
        <f>IFERROR(VLOOKUP($B2059,Platts!$E$5:$M$4994,MATCH(I$3,Platts!$F$5:$M$5,0)+1,FALSE),I2058)</f>
        <v>67.34</v>
      </c>
      <c r="J2059" s="6">
        <f t="shared" si="64"/>
        <v>3.6600000000000037</v>
      </c>
    </row>
    <row r="2060" spans="2:10" x14ac:dyDescent="0.25">
      <c r="B2060" s="5">
        <f t="shared" si="65"/>
        <v>44426</v>
      </c>
      <c r="C2060" s="6">
        <f>IFERROR(VLOOKUP($B2060,Platts!$E$5:$M$4994,MATCH(C$3,Platts!$F$5:$M$5,0)+1,FALSE),C2059)</f>
        <v>62.2</v>
      </c>
      <c r="D2060" s="6">
        <f>IFERROR(VLOOKUP($B2060,Platts!$E$5:$M$4994,MATCH(D$3,Platts!$F$5:$M$5,0)+1,FALSE),D2059)</f>
        <v>62.44</v>
      </c>
      <c r="E2060" s="6">
        <f>IFERROR(VLOOKUP($B2060,Platts!$E$5:$M$4994,MATCH(E$3,Platts!$F$5:$M$5,0)+1,FALSE),E2059)</f>
        <v>61.09</v>
      </c>
      <c r="F2060" s="6">
        <f>IFERROR(VLOOKUP($B2060,Platts!$E$5:$M$4994,MATCH(F$3,Platts!$F$5:$M$5,0)+1,FALSE),F2059)</f>
        <v>65.44</v>
      </c>
      <c r="G2060" s="6">
        <f>IFERROR(VLOOKUP($B2060,Platts!$E$5:$M$4994,MATCH(G$3,Platts!$F$5:$M$5,0)+1,FALSE),G2059)</f>
        <v>69.42</v>
      </c>
      <c r="H2060" s="6">
        <f>IFERROR(VLOOKUP($B2060,Platts!$E$5:$M$4994,MATCH(H$3,Platts!$F$5:$M$5,0)+1,FALSE),H2059)</f>
        <v>65.459999999999994</v>
      </c>
      <c r="I2060" s="6">
        <f>IFERROR(VLOOKUP($B2060,Platts!$E$5:$M$4994,MATCH(I$3,Platts!$F$5:$M$5,0)+1,FALSE),I2059)</f>
        <v>66.209999999999994</v>
      </c>
      <c r="J2060" s="6">
        <f t="shared" si="64"/>
        <v>3.2599999999999909</v>
      </c>
    </row>
    <row r="2061" spans="2:10" x14ac:dyDescent="0.25">
      <c r="B2061" s="5">
        <f t="shared" si="65"/>
        <v>44427</v>
      </c>
      <c r="C2061" s="6">
        <f>IFERROR(VLOOKUP($B2061,Platts!$E$5:$M$4994,MATCH(C$3,Platts!$F$5:$M$5,0)+1,FALSE),C2060)</f>
        <v>60.25</v>
      </c>
      <c r="D2061" s="6">
        <f>IFERROR(VLOOKUP($B2061,Platts!$E$5:$M$4994,MATCH(D$3,Platts!$F$5:$M$5,0)+1,FALSE),D2060)</f>
        <v>60.79</v>
      </c>
      <c r="E2061" s="6">
        <f>IFERROR(VLOOKUP($B2061,Platts!$E$5:$M$4994,MATCH(E$3,Platts!$F$5:$M$5,0)+1,FALSE),E2060)</f>
        <v>59.44</v>
      </c>
      <c r="F2061" s="6">
        <f>IFERROR(VLOOKUP($B2061,Platts!$E$5:$M$4994,MATCH(F$3,Platts!$F$5:$M$5,0)+1,FALSE),F2060)</f>
        <v>63.79</v>
      </c>
      <c r="G2061" s="6">
        <f>IFERROR(VLOOKUP($B2061,Platts!$E$5:$M$4994,MATCH(G$3,Platts!$F$5:$M$5,0)+1,FALSE),G2060)</f>
        <v>65.87</v>
      </c>
      <c r="H2061" s="6">
        <f>IFERROR(VLOOKUP($B2061,Platts!$E$5:$M$4994,MATCH(H$3,Platts!$F$5:$M$5,0)+1,FALSE),H2060)</f>
        <v>63.69</v>
      </c>
      <c r="I2061" s="6">
        <f>IFERROR(VLOOKUP($B2061,Platts!$E$5:$M$4994,MATCH(I$3,Platts!$F$5:$M$5,0)+1,FALSE),I2060)</f>
        <v>64.489999999999995</v>
      </c>
      <c r="J2061" s="6">
        <f t="shared" si="64"/>
        <v>3.4399999999999977</v>
      </c>
    </row>
    <row r="2062" spans="2:10" x14ac:dyDescent="0.25">
      <c r="B2062" s="5">
        <f t="shared" si="65"/>
        <v>44428</v>
      </c>
      <c r="C2062" s="6">
        <f>IFERROR(VLOOKUP($B2062,Platts!$E$5:$M$4994,MATCH(C$3,Platts!$F$5:$M$5,0)+1,FALSE),C2061)</f>
        <v>59.16</v>
      </c>
      <c r="D2062" s="6">
        <f>IFERROR(VLOOKUP($B2062,Platts!$E$5:$M$4994,MATCH(D$3,Platts!$F$5:$M$5,0)+1,FALSE),D2061)</f>
        <v>59.46</v>
      </c>
      <c r="E2062" s="6">
        <f>IFERROR(VLOOKUP($B2062,Platts!$E$5:$M$4994,MATCH(E$3,Platts!$F$5:$M$5,0)+1,FALSE),E2061)</f>
        <v>58.11</v>
      </c>
      <c r="F2062" s="6">
        <f>IFERROR(VLOOKUP($B2062,Platts!$E$5:$M$4994,MATCH(F$3,Platts!$F$5:$M$5,0)+1,FALSE),F2061)</f>
        <v>62.46</v>
      </c>
      <c r="G2062" s="6">
        <f>IFERROR(VLOOKUP($B2062,Platts!$E$5:$M$4994,MATCH(G$3,Platts!$F$5:$M$5,0)+1,FALSE),G2061)</f>
        <v>66.180000000000007</v>
      </c>
      <c r="H2062" s="6">
        <f>IFERROR(VLOOKUP($B2062,Platts!$E$5:$M$4994,MATCH(H$3,Platts!$F$5:$M$5,0)+1,FALSE),H2061)</f>
        <v>62.32</v>
      </c>
      <c r="I2062" s="6">
        <f>IFERROR(VLOOKUP($B2062,Platts!$E$5:$M$4994,MATCH(I$3,Platts!$F$5:$M$5,0)+1,FALSE),I2061)</f>
        <v>63.12</v>
      </c>
      <c r="J2062" s="6">
        <f t="shared" si="64"/>
        <v>3.1600000000000037</v>
      </c>
    </row>
    <row r="2063" spans="2:10" x14ac:dyDescent="0.25">
      <c r="B2063" s="5">
        <f t="shared" si="65"/>
        <v>44429</v>
      </c>
      <c r="C2063" s="6">
        <f>IFERROR(VLOOKUP($B2063,Platts!$E$5:$M$4994,MATCH(C$3,Platts!$F$5:$M$5,0)+1,FALSE),C2062)</f>
        <v>59.16</v>
      </c>
      <c r="D2063" s="6">
        <f>IFERROR(VLOOKUP($B2063,Platts!$E$5:$M$4994,MATCH(D$3,Platts!$F$5:$M$5,0)+1,FALSE),D2062)</f>
        <v>59.46</v>
      </c>
      <c r="E2063" s="6">
        <f>IFERROR(VLOOKUP($B2063,Platts!$E$5:$M$4994,MATCH(E$3,Platts!$F$5:$M$5,0)+1,FALSE),E2062)</f>
        <v>58.11</v>
      </c>
      <c r="F2063" s="6">
        <f>IFERROR(VLOOKUP($B2063,Platts!$E$5:$M$4994,MATCH(F$3,Platts!$F$5:$M$5,0)+1,FALSE),F2062)</f>
        <v>62.46</v>
      </c>
      <c r="G2063" s="6">
        <f>IFERROR(VLOOKUP($B2063,Platts!$E$5:$M$4994,MATCH(G$3,Platts!$F$5:$M$5,0)+1,FALSE),G2062)</f>
        <v>66.180000000000007</v>
      </c>
      <c r="H2063" s="6">
        <f>IFERROR(VLOOKUP($B2063,Platts!$E$5:$M$4994,MATCH(H$3,Platts!$F$5:$M$5,0)+1,FALSE),H2062)</f>
        <v>62.32</v>
      </c>
      <c r="I2063" s="6">
        <f>IFERROR(VLOOKUP($B2063,Platts!$E$5:$M$4994,MATCH(I$3,Platts!$F$5:$M$5,0)+1,FALSE),I2062)</f>
        <v>63.12</v>
      </c>
      <c r="J2063" s="6">
        <f t="shared" si="64"/>
        <v>3.1600000000000037</v>
      </c>
    </row>
    <row r="2064" spans="2:10" x14ac:dyDescent="0.25">
      <c r="B2064" s="5">
        <f t="shared" si="65"/>
        <v>44430</v>
      </c>
      <c r="C2064" s="6">
        <f>IFERROR(VLOOKUP($B2064,Platts!$E$5:$M$4994,MATCH(C$3,Platts!$F$5:$M$5,0)+1,FALSE),C2063)</f>
        <v>59.16</v>
      </c>
      <c r="D2064" s="6">
        <f>IFERROR(VLOOKUP($B2064,Platts!$E$5:$M$4994,MATCH(D$3,Platts!$F$5:$M$5,0)+1,FALSE),D2063)</f>
        <v>59.46</v>
      </c>
      <c r="E2064" s="6">
        <f>IFERROR(VLOOKUP($B2064,Platts!$E$5:$M$4994,MATCH(E$3,Platts!$F$5:$M$5,0)+1,FALSE),E2063)</f>
        <v>58.11</v>
      </c>
      <c r="F2064" s="6">
        <f>IFERROR(VLOOKUP($B2064,Platts!$E$5:$M$4994,MATCH(F$3,Platts!$F$5:$M$5,0)+1,FALSE),F2063)</f>
        <v>62.46</v>
      </c>
      <c r="G2064" s="6">
        <f>IFERROR(VLOOKUP($B2064,Platts!$E$5:$M$4994,MATCH(G$3,Platts!$F$5:$M$5,0)+1,FALSE),G2063)</f>
        <v>66.180000000000007</v>
      </c>
      <c r="H2064" s="6">
        <f>IFERROR(VLOOKUP($B2064,Platts!$E$5:$M$4994,MATCH(H$3,Platts!$F$5:$M$5,0)+1,FALSE),H2063)</f>
        <v>62.32</v>
      </c>
      <c r="I2064" s="6">
        <f>IFERROR(VLOOKUP($B2064,Platts!$E$5:$M$4994,MATCH(I$3,Platts!$F$5:$M$5,0)+1,FALSE),I2063)</f>
        <v>63.12</v>
      </c>
      <c r="J2064" s="6">
        <f t="shared" si="64"/>
        <v>3.1600000000000037</v>
      </c>
    </row>
    <row r="2065" spans="2:10" x14ac:dyDescent="0.25">
      <c r="B2065" s="5">
        <f t="shared" si="65"/>
        <v>44431</v>
      </c>
      <c r="C2065" s="6">
        <f>IFERROR(VLOOKUP($B2065,Platts!$E$5:$M$4994,MATCH(C$3,Platts!$F$5:$M$5,0)+1,FALSE),C2064)</f>
        <v>62.22</v>
      </c>
      <c r="D2065" s="6">
        <f>IFERROR(VLOOKUP($B2065,Platts!$E$5:$M$4994,MATCH(D$3,Platts!$F$5:$M$5,0)+1,FALSE),D2064)</f>
        <v>62.98</v>
      </c>
      <c r="E2065" s="6">
        <f>IFERROR(VLOOKUP($B2065,Platts!$E$5:$M$4994,MATCH(E$3,Platts!$F$5:$M$5,0)+1,FALSE),E2064)</f>
        <v>61.63</v>
      </c>
      <c r="F2065" s="6">
        <f>IFERROR(VLOOKUP($B2065,Platts!$E$5:$M$4994,MATCH(F$3,Platts!$F$5:$M$5,0)+1,FALSE),F2064)</f>
        <v>65.98</v>
      </c>
      <c r="G2065" s="6">
        <f>IFERROR(VLOOKUP($B2065,Platts!$E$5:$M$4994,MATCH(G$3,Platts!$F$5:$M$5,0)+1,FALSE),G2064)</f>
        <v>68.83</v>
      </c>
      <c r="H2065" s="6">
        <f>IFERROR(VLOOKUP($B2065,Platts!$E$5:$M$4994,MATCH(H$3,Platts!$F$5:$M$5,0)+1,FALSE),H2064)</f>
        <v>65.819999999999993</v>
      </c>
      <c r="I2065" s="6">
        <f>IFERROR(VLOOKUP($B2065,Platts!$E$5:$M$4994,MATCH(I$3,Platts!$F$5:$M$5,0)+1,FALSE),I2064)</f>
        <v>66.62</v>
      </c>
      <c r="J2065" s="6">
        <f t="shared" si="64"/>
        <v>3.5999999999999943</v>
      </c>
    </row>
    <row r="2066" spans="2:10" x14ac:dyDescent="0.25">
      <c r="B2066" s="5">
        <f t="shared" si="65"/>
        <v>44432</v>
      </c>
      <c r="C2066" s="6">
        <f>IFERROR(VLOOKUP($B2066,Platts!$E$5:$M$4994,MATCH(C$3,Platts!$F$5:$M$5,0)+1,FALSE),C2065)</f>
        <v>64.400000000000006</v>
      </c>
      <c r="D2066" s="6">
        <f>IFERROR(VLOOKUP($B2066,Platts!$E$5:$M$4994,MATCH(D$3,Platts!$F$5:$M$5,0)+1,FALSE),D2065)</f>
        <v>65</v>
      </c>
      <c r="E2066" s="6">
        <f>IFERROR(VLOOKUP($B2066,Platts!$E$5:$M$4994,MATCH(E$3,Platts!$F$5:$M$5,0)+1,FALSE),E2065)</f>
        <v>63.65</v>
      </c>
      <c r="F2066" s="6">
        <f>IFERROR(VLOOKUP($B2066,Platts!$E$5:$M$4994,MATCH(F$3,Platts!$F$5:$M$5,0)+1,FALSE),F2065)</f>
        <v>68</v>
      </c>
      <c r="G2066" s="6">
        <f>IFERROR(VLOOKUP($B2066,Platts!$E$5:$M$4994,MATCH(G$3,Platts!$F$5:$M$5,0)+1,FALSE),G2065)</f>
        <v>70.959999999999994</v>
      </c>
      <c r="H2066" s="6">
        <f>IFERROR(VLOOKUP($B2066,Platts!$E$5:$M$4994,MATCH(H$3,Platts!$F$5:$M$5,0)+1,FALSE),H2065)</f>
        <v>67.680000000000007</v>
      </c>
      <c r="I2066" s="6">
        <f>IFERROR(VLOOKUP($B2066,Platts!$E$5:$M$4994,MATCH(I$3,Platts!$F$5:$M$5,0)+1,FALSE),I2065)</f>
        <v>68.48</v>
      </c>
      <c r="J2066" s="6">
        <f t="shared" si="64"/>
        <v>3.2800000000000011</v>
      </c>
    </row>
    <row r="2067" spans="2:10" x14ac:dyDescent="0.25">
      <c r="B2067" s="5">
        <f t="shared" si="65"/>
        <v>44433</v>
      </c>
      <c r="C2067" s="6">
        <f>IFERROR(VLOOKUP($B2067,Platts!$E$5:$M$4994,MATCH(C$3,Platts!$F$5:$M$5,0)+1,FALSE),C2066)</f>
        <v>65.430000000000007</v>
      </c>
      <c r="D2067" s="6">
        <f>IFERROR(VLOOKUP($B2067,Platts!$E$5:$M$4994,MATCH(D$3,Platts!$F$5:$M$5,0)+1,FALSE),D2066)</f>
        <v>65.959999999999994</v>
      </c>
      <c r="E2067" s="6">
        <f>IFERROR(VLOOKUP($B2067,Platts!$E$5:$M$4994,MATCH(E$3,Platts!$F$5:$M$5,0)+1,FALSE),E2066)</f>
        <v>64.61</v>
      </c>
      <c r="F2067" s="6">
        <f>IFERROR(VLOOKUP($B2067,Platts!$E$5:$M$4994,MATCH(F$3,Platts!$F$5:$M$5,0)+1,FALSE),F2066)</f>
        <v>68.959999999999994</v>
      </c>
      <c r="G2067" s="6">
        <f>IFERROR(VLOOKUP($B2067,Platts!$E$5:$M$4994,MATCH(G$3,Platts!$F$5:$M$5,0)+1,FALSE),G2066)</f>
        <v>71.75</v>
      </c>
      <c r="H2067" s="6">
        <f>IFERROR(VLOOKUP($B2067,Platts!$E$5:$M$4994,MATCH(H$3,Platts!$F$5:$M$5,0)+1,FALSE),H2066)</f>
        <v>68.41</v>
      </c>
      <c r="I2067" s="6">
        <f>IFERROR(VLOOKUP($B2067,Platts!$E$5:$M$4994,MATCH(I$3,Platts!$F$5:$M$5,0)+1,FALSE),I2066)</f>
        <v>69.260000000000005</v>
      </c>
      <c r="J2067" s="6">
        <f t="shared" si="64"/>
        <v>2.9799999999999898</v>
      </c>
    </row>
    <row r="2068" spans="2:10" x14ac:dyDescent="0.25">
      <c r="B2068" s="5">
        <f t="shared" si="65"/>
        <v>44434</v>
      </c>
      <c r="C2068" s="6">
        <f>IFERROR(VLOOKUP($B2068,Platts!$E$5:$M$4994,MATCH(C$3,Platts!$F$5:$M$5,0)+1,FALSE),C2067)</f>
        <v>64.569999999999993</v>
      </c>
      <c r="D2068" s="6">
        <f>IFERROR(VLOOKUP($B2068,Platts!$E$5:$M$4994,MATCH(D$3,Platts!$F$5:$M$5,0)+1,FALSE),D2067)</f>
        <v>64.87</v>
      </c>
      <c r="E2068" s="6">
        <f>IFERROR(VLOOKUP($B2068,Platts!$E$5:$M$4994,MATCH(E$3,Platts!$F$5:$M$5,0)+1,FALSE),E2067)</f>
        <v>63.52</v>
      </c>
      <c r="F2068" s="6">
        <f>IFERROR(VLOOKUP($B2068,Platts!$E$5:$M$4994,MATCH(F$3,Platts!$F$5:$M$5,0)+1,FALSE),F2067)</f>
        <v>67.87</v>
      </c>
      <c r="G2068" s="6">
        <f>IFERROR(VLOOKUP($B2068,Platts!$E$5:$M$4994,MATCH(G$3,Platts!$F$5:$M$5,0)+1,FALSE),G2067)</f>
        <v>71.63</v>
      </c>
      <c r="H2068" s="6">
        <f>IFERROR(VLOOKUP($B2068,Platts!$E$5:$M$4994,MATCH(H$3,Platts!$F$5:$M$5,0)+1,FALSE),H2067)</f>
        <v>67.42</v>
      </c>
      <c r="I2068" s="6">
        <f>IFERROR(VLOOKUP($B2068,Platts!$E$5:$M$4994,MATCH(I$3,Platts!$F$5:$M$5,0)+1,FALSE),I2067)</f>
        <v>68.319999999999993</v>
      </c>
      <c r="J2068" s="6">
        <f t="shared" si="64"/>
        <v>2.8500000000000085</v>
      </c>
    </row>
    <row r="2069" spans="2:10" x14ac:dyDescent="0.25">
      <c r="B2069" s="5">
        <f t="shared" si="65"/>
        <v>44435</v>
      </c>
      <c r="C2069" s="6">
        <f>IFERROR(VLOOKUP($B2069,Platts!$E$5:$M$4994,MATCH(C$3,Platts!$F$5:$M$5,0)+1,FALSE),C2068)</f>
        <v>65.88</v>
      </c>
      <c r="D2069" s="6">
        <f>IFERROR(VLOOKUP($B2069,Platts!$E$5:$M$4994,MATCH(D$3,Platts!$F$5:$M$5,0)+1,FALSE),D2068)</f>
        <v>66.23</v>
      </c>
      <c r="E2069" s="6">
        <f>IFERROR(VLOOKUP($B2069,Platts!$E$5:$M$4994,MATCH(E$3,Platts!$F$5:$M$5,0)+1,FALSE),E2068)</f>
        <v>64.88</v>
      </c>
      <c r="F2069" s="6">
        <f>IFERROR(VLOOKUP($B2069,Platts!$E$5:$M$4994,MATCH(F$3,Platts!$F$5:$M$5,0)+1,FALSE),F2068)</f>
        <v>69.23</v>
      </c>
      <c r="G2069" s="6">
        <f>IFERROR(VLOOKUP($B2069,Platts!$E$5:$M$4994,MATCH(G$3,Platts!$F$5:$M$5,0)+1,FALSE),G2068)</f>
        <v>72.42</v>
      </c>
      <c r="H2069" s="6">
        <f>IFERROR(VLOOKUP($B2069,Platts!$E$5:$M$4994,MATCH(H$3,Platts!$F$5:$M$5,0)+1,FALSE),H2068)</f>
        <v>68.739999999999995</v>
      </c>
      <c r="I2069" s="6">
        <f>IFERROR(VLOOKUP($B2069,Platts!$E$5:$M$4994,MATCH(I$3,Platts!$F$5:$M$5,0)+1,FALSE),I2068)</f>
        <v>69.790000000000006</v>
      </c>
      <c r="J2069" s="6">
        <f t="shared" si="64"/>
        <v>2.8599999999999994</v>
      </c>
    </row>
    <row r="2070" spans="2:10" x14ac:dyDescent="0.25">
      <c r="B2070" s="5">
        <f t="shared" si="65"/>
        <v>44436</v>
      </c>
      <c r="C2070" s="6">
        <f>IFERROR(VLOOKUP($B2070,Platts!$E$5:$M$4994,MATCH(C$3,Platts!$F$5:$M$5,0)+1,FALSE),C2069)</f>
        <v>65.88</v>
      </c>
      <c r="D2070" s="6">
        <f>IFERROR(VLOOKUP($B2070,Platts!$E$5:$M$4994,MATCH(D$3,Platts!$F$5:$M$5,0)+1,FALSE),D2069)</f>
        <v>66.23</v>
      </c>
      <c r="E2070" s="6">
        <f>IFERROR(VLOOKUP($B2070,Platts!$E$5:$M$4994,MATCH(E$3,Platts!$F$5:$M$5,0)+1,FALSE),E2069)</f>
        <v>64.88</v>
      </c>
      <c r="F2070" s="6">
        <f>IFERROR(VLOOKUP($B2070,Platts!$E$5:$M$4994,MATCH(F$3,Platts!$F$5:$M$5,0)+1,FALSE),F2069)</f>
        <v>69.23</v>
      </c>
      <c r="G2070" s="6">
        <f>IFERROR(VLOOKUP($B2070,Platts!$E$5:$M$4994,MATCH(G$3,Platts!$F$5:$M$5,0)+1,FALSE),G2069)</f>
        <v>72.42</v>
      </c>
      <c r="H2070" s="6">
        <f>IFERROR(VLOOKUP($B2070,Platts!$E$5:$M$4994,MATCH(H$3,Platts!$F$5:$M$5,0)+1,FALSE),H2069)</f>
        <v>68.739999999999995</v>
      </c>
      <c r="I2070" s="6">
        <f>IFERROR(VLOOKUP($B2070,Platts!$E$5:$M$4994,MATCH(I$3,Platts!$F$5:$M$5,0)+1,FALSE),I2069)</f>
        <v>69.790000000000006</v>
      </c>
      <c r="J2070" s="6">
        <f t="shared" si="64"/>
        <v>2.8599999999999994</v>
      </c>
    </row>
    <row r="2071" spans="2:10" x14ac:dyDescent="0.25">
      <c r="B2071" s="5">
        <f t="shared" si="65"/>
        <v>44437</v>
      </c>
      <c r="C2071" s="6">
        <f>IFERROR(VLOOKUP($B2071,Platts!$E$5:$M$4994,MATCH(C$3,Platts!$F$5:$M$5,0)+1,FALSE),C2070)</f>
        <v>65.88</v>
      </c>
      <c r="D2071" s="6">
        <f>IFERROR(VLOOKUP($B2071,Platts!$E$5:$M$4994,MATCH(D$3,Platts!$F$5:$M$5,0)+1,FALSE),D2070)</f>
        <v>66.23</v>
      </c>
      <c r="E2071" s="6">
        <f>IFERROR(VLOOKUP($B2071,Platts!$E$5:$M$4994,MATCH(E$3,Platts!$F$5:$M$5,0)+1,FALSE),E2070)</f>
        <v>64.88</v>
      </c>
      <c r="F2071" s="6">
        <f>IFERROR(VLOOKUP($B2071,Platts!$E$5:$M$4994,MATCH(F$3,Platts!$F$5:$M$5,0)+1,FALSE),F2070)</f>
        <v>69.23</v>
      </c>
      <c r="G2071" s="6">
        <f>IFERROR(VLOOKUP($B2071,Platts!$E$5:$M$4994,MATCH(G$3,Platts!$F$5:$M$5,0)+1,FALSE),G2070)</f>
        <v>72.42</v>
      </c>
      <c r="H2071" s="6">
        <f>IFERROR(VLOOKUP($B2071,Platts!$E$5:$M$4994,MATCH(H$3,Platts!$F$5:$M$5,0)+1,FALSE),H2070)</f>
        <v>68.739999999999995</v>
      </c>
      <c r="I2071" s="6">
        <f>IFERROR(VLOOKUP($B2071,Platts!$E$5:$M$4994,MATCH(I$3,Platts!$F$5:$M$5,0)+1,FALSE),I2070)</f>
        <v>69.790000000000006</v>
      </c>
      <c r="J2071" s="6">
        <f t="shared" si="64"/>
        <v>2.8599999999999994</v>
      </c>
    </row>
    <row r="2072" spans="2:10" x14ac:dyDescent="0.25">
      <c r="B2072" s="5">
        <f t="shared" si="65"/>
        <v>44438</v>
      </c>
      <c r="C2072" s="6">
        <f>IFERROR(VLOOKUP($B2072,Platts!$E$5:$M$4994,MATCH(C$3,Platts!$F$5:$M$5,0)+1,FALSE),C2071)</f>
        <v>66.47</v>
      </c>
      <c r="D2072" s="6">
        <f>IFERROR(VLOOKUP($B2072,Platts!$E$5:$M$4994,MATCH(D$3,Platts!$F$5:$M$5,0)+1,FALSE),D2071)</f>
        <v>66.88</v>
      </c>
      <c r="E2072" s="6">
        <f>IFERROR(VLOOKUP($B2072,Platts!$E$5:$M$4994,MATCH(E$3,Platts!$F$5:$M$5,0)+1,FALSE),E2071)</f>
        <v>65.53</v>
      </c>
      <c r="F2072" s="6">
        <f>IFERROR(VLOOKUP($B2072,Platts!$E$5:$M$4994,MATCH(F$3,Platts!$F$5:$M$5,0)+1,FALSE),F2071)</f>
        <v>69.88</v>
      </c>
      <c r="G2072" s="6">
        <f>IFERROR(VLOOKUP($B2072,Platts!$E$5:$M$4994,MATCH(G$3,Platts!$F$5:$M$5,0)+1,FALSE),G2071)</f>
        <v>72.42</v>
      </c>
      <c r="H2072" s="6">
        <f>IFERROR(VLOOKUP($B2072,Platts!$E$5:$M$4994,MATCH(H$3,Platts!$F$5:$M$5,0)+1,FALSE),H2071)</f>
        <v>69.209999999999994</v>
      </c>
      <c r="I2072" s="6">
        <f>IFERROR(VLOOKUP($B2072,Platts!$E$5:$M$4994,MATCH(I$3,Platts!$F$5:$M$5,0)+1,FALSE),I2071)</f>
        <v>70.41</v>
      </c>
      <c r="J2072" s="6">
        <f t="shared" si="64"/>
        <v>2.7399999999999949</v>
      </c>
    </row>
    <row r="2073" spans="2:10" x14ac:dyDescent="0.25">
      <c r="B2073" s="5">
        <f t="shared" si="65"/>
        <v>44439</v>
      </c>
      <c r="C2073" s="6">
        <f>IFERROR(VLOOKUP($B2073,Platts!$E$5:$M$4994,MATCH(C$3,Platts!$F$5:$M$5,0)+1,FALSE),C2072)</f>
        <v>66.02</v>
      </c>
      <c r="D2073" s="6">
        <f>IFERROR(VLOOKUP($B2073,Platts!$E$5:$M$4994,MATCH(D$3,Platts!$F$5:$M$5,0)+1,FALSE),D2072)</f>
        <v>66.27</v>
      </c>
      <c r="E2073" s="6">
        <f>IFERROR(VLOOKUP($B2073,Platts!$E$5:$M$4994,MATCH(E$3,Platts!$F$5:$M$5,0)+1,FALSE),E2072)</f>
        <v>64.92</v>
      </c>
      <c r="F2073" s="6">
        <f>IFERROR(VLOOKUP($B2073,Platts!$E$5:$M$4994,MATCH(F$3,Platts!$F$5:$M$5,0)+1,FALSE),F2072)</f>
        <v>69.27</v>
      </c>
      <c r="G2073" s="6">
        <f>IFERROR(VLOOKUP($B2073,Platts!$E$5:$M$4994,MATCH(G$3,Platts!$F$5:$M$5,0)+1,FALSE),G2072)</f>
        <v>73.180000000000007</v>
      </c>
      <c r="H2073" s="6">
        <f>IFERROR(VLOOKUP($B2073,Platts!$E$5:$M$4994,MATCH(H$3,Platts!$F$5:$M$5,0)+1,FALSE),H2072)</f>
        <v>68.5</v>
      </c>
      <c r="I2073" s="6">
        <f>IFERROR(VLOOKUP($B2073,Platts!$E$5:$M$4994,MATCH(I$3,Platts!$F$5:$M$5,0)+1,FALSE),I2072)</f>
        <v>69.95</v>
      </c>
      <c r="J2073" s="6">
        <f t="shared" si="64"/>
        <v>2.480000000000004</v>
      </c>
    </row>
    <row r="2074" spans="2:10" x14ac:dyDescent="0.25">
      <c r="B2074" s="5">
        <f t="shared" si="65"/>
        <v>44440</v>
      </c>
      <c r="C2074" s="6">
        <f>IFERROR(VLOOKUP($B2074,Platts!$E$5:$M$4994,MATCH(C$3,Platts!$F$5:$M$5,0)+1,FALSE),C2073)</f>
        <v>64.52</v>
      </c>
      <c r="D2074" s="6">
        <f>IFERROR(VLOOKUP($B2074,Platts!$E$5:$M$4994,MATCH(D$3,Platts!$F$5:$M$5,0)+1,FALSE),D2073)</f>
        <v>65.290000000000006</v>
      </c>
      <c r="E2074" s="6">
        <f>IFERROR(VLOOKUP($B2074,Platts!$E$5:$M$4994,MATCH(E$3,Platts!$F$5:$M$5,0)+1,FALSE),E2073)</f>
        <v>63.69</v>
      </c>
      <c r="F2074" s="6">
        <f>IFERROR(VLOOKUP($B2074,Platts!$E$5:$M$4994,MATCH(F$3,Platts!$F$5:$M$5,0)+1,FALSE),F2073)</f>
        <v>66.94</v>
      </c>
      <c r="G2074" s="6">
        <f>IFERROR(VLOOKUP($B2074,Platts!$E$5:$M$4994,MATCH(G$3,Platts!$F$5:$M$5,0)+1,FALSE),G2073)</f>
        <v>70.98</v>
      </c>
      <c r="H2074" s="6">
        <f>IFERROR(VLOOKUP($B2074,Platts!$E$5:$M$4994,MATCH(H$3,Platts!$F$5:$M$5,0)+1,FALSE),H2073)</f>
        <v>68.59</v>
      </c>
      <c r="I2074" s="6">
        <f>IFERROR(VLOOKUP($B2074,Platts!$E$5:$M$4994,MATCH(I$3,Platts!$F$5:$M$5,0)+1,FALSE),I2073)</f>
        <v>70.540000000000006</v>
      </c>
      <c r="J2074" s="6">
        <f t="shared" si="64"/>
        <v>4.0700000000000074</v>
      </c>
    </row>
    <row r="2075" spans="2:10" x14ac:dyDescent="0.25">
      <c r="B2075" s="5">
        <f t="shared" si="65"/>
        <v>44441</v>
      </c>
      <c r="C2075" s="6">
        <f>IFERROR(VLOOKUP($B2075,Platts!$E$5:$M$4994,MATCH(C$3,Platts!$F$5:$M$5,0)+1,FALSE),C2074)</f>
        <v>65.66</v>
      </c>
      <c r="D2075" s="6">
        <f>IFERROR(VLOOKUP($B2075,Platts!$E$5:$M$4994,MATCH(D$3,Platts!$F$5:$M$5,0)+1,FALSE),D2074)</f>
        <v>66.67</v>
      </c>
      <c r="E2075" s="6">
        <f>IFERROR(VLOOKUP($B2075,Platts!$E$5:$M$4994,MATCH(E$3,Platts!$F$5:$M$5,0)+1,FALSE),E2074)</f>
        <v>65.069999999999993</v>
      </c>
      <c r="F2075" s="6">
        <f>IFERROR(VLOOKUP($B2075,Platts!$E$5:$M$4994,MATCH(F$3,Platts!$F$5:$M$5,0)+1,FALSE),F2074)</f>
        <v>68.319999999999993</v>
      </c>
      <c r="G2075" s="6">
        <f>IFERROR(VLOOKUP($B2075,Platts!$E$5:$M$4994,MATCH(G$3,Platts!$F$5:$M$5,0)+1,FALSE),G2074)</f>
        <v>73.55</v>
      </c>
      <c r="H2075" s="6">
        <f>IFERROR(VLOOKUP($B2075,Platts!$E$5:$M$4994,MATCH(H$3,Platts!$F$5:$M$5,0)+1,FALSE),H2074)</f>
        <v>69.989999999999995</v>
      </c>
      <c r="I2075" s="6">
        <f>IFERROR(VLOOKUP($B2075,Platts!$E$5:$M$4994,MATCH(I$3,Platts!$F$5:$M$5,0)+1,FALSE),I2074)</f>
        <v>71.94</v>
      </c>
      <c r="J2075" s="6">
        <f t="shared" si="64"/>
        <v>4.3299999999999983</v>
      </c>
    </row>
    <row r="2076" spans="2:10" x14ac:dyDescent="0.25">
      <c r="B2076" s="5">
        <f t="shared" si="65"/>
        <v>44442</v>
      </c>
      <c r="C2076" s="6">
        <f>IFERROR(VLOOKUP($B2076,Platts!$E$5:$M$4994,MATCH(C$3,Platts!$F$5:$M$5,0)+1,FALSE),C2075)</f>
        <v>65.39</v>
      </c>
      <c r="D2076" s="6">
        <f>IFERROR(VLOOKUP($B2076,Platts!$E$5:$M$4994,MATCH(D$3,Platts!$F$5:$M$5,0)+1,FALSE),D2075)</f>
        <v>66.069999999999993</v>
      </c>
      <c r="E2076" s="6">
        <f>IFERROR(VLOOKUP($B2076,Platts!$E$5:$M$4994,MATCH(E$3,Platts!$F$5:$M$5,0)+1,FALSE),E2075)</f>
        <v>64.47</v>
      </c>
      <c r="F2076" s="6">
        <f>IFERROR(VLOOKUP($B2076,Platts!$E$5:$M$4994,MATCH(F$3,Platts!$F$5:$M$5,0)+1,FALSE),F2075)</f>
        <v>67.72</v>
      </c>
      <c r="G2076" s="6">
        <f>IFERROR(VLOOKUP($B2076,Platts!$E$5:$M$4994,MATCH(G$3,Platts!$F$5:$M$5,0)+1,FALSE),G2075)</f>
        <v>73.099999999999994</v>
      </c>
      <c r="H2076" s="6">
        <f>IFERROR(VLOOKUP($B2076,Platts!$E$5:$M$4994,MATCH(H$3,Platts!$F$5:$M$5,0)+1,FALSE),H2075)</f>
        <v>69.290000000000006</v>
      </c>
      <c r="I2076" s="6">
        <f>IFERROR(VLOOKUP($B2076,Platts!$E$5:$M$4994,MATCH(I$3,Platts!$F$5:$M$5,0)+1,FALSE),I2075)</f>
        <v>71.34</v>
      </c>
      <c r="J2076" s="6">
        <f t="shared" si="64"/>
        <v>3.9000000000000057</v>
      </c>
    </row>
    <row r="2077" spans="2:10" x14ac:dyDescent="0.25">
      <c r="B2077" s="5">
        <f t="shared" si="65"/>
        <v>44443</v>
      </c>
      <c r="C2077" s="6">
        <f>IFERROR(VLOOKUP($B2077,Platts!$E$5:$M$4994,MATCH(C$3,Platts!$F$5:$M$5,0)+1,FALSE),C2076)</f>
        <v>65.39</v>
      </c>
      <c r="D2077" s="6">
        <f>IFERROR(VLOOKUP($B2077,Platts!$E$5:$M$4994,MATCH(D$3,Platts!$F$5:$M$5,0)+1,FALSE),D2076)</f>
        <v>66.069999999999993</v>
      </c>
      <c r="E2077" s="6">
        <f>IFERROR(VLOOKUP($B2077,Platts!$E$5:$M$4994,MATCH(E$3,Platts!$F$5:$M$5,0)+1,FALSE),E2076)</f>
        <v>64.47</v>
      </c>
      <c r="F2077" s="6">
        <f>IFERROR(VLOOKUP($B2077,Platts!$E$5:$M$4994,MATCH(F$3,Platts!$F$5:$M$5,0)+1,FALSE),F2076)</f>
        <v>67.72</v>
      </c>
      <c r="G2077" s="6">
        <f>IFERROR(VLOOKUP($B2077,Platts!$E$5:$M$4994,MATCH(G$3,Platts!$F$5:$M$5,0)+1,FALSE),G2076)</f>
        <v>73.099999999999994</v>
      </c>
      <c r="H2077" s="6">
        <f>IFERROR(VLOOKUP($B2077,Platts!$E$5:$M$4994,MATCH(H$3,Platts!$F$5:$M$5,0)+1,FALSE),H2076)</f>
        <v>69.290000000000006</v>
      </c>
      <c r="I2077" s="6">
        <f>IFERROR(VLOOKUP($B2077,Platts!$E$5:$M$4994,MATCH(I$3,Platts!$F$5:$M$5,0)+1,FALSE),I2076)</f>
        <v>71.34</v>
      </c>
      <c r="J2077" s="6">
        <f t="shared" si="64"/>
        <v>3.9000000000000057</v>
      </c>
    </row>
    <row r="2078" spans="2:10" x14ac:dyDescent="0.25">
      <c r="B2078" s="5">
        <f t="shared" si="65"/>
        <v>44444</v>
      </c>
      <c r="C2078" s="6">
        <f>IFERROR(VLOOKUP($B2078,Platts!$E$5:$M$4994,MATCH(C$3,Platts!$F$5:$M$5,0)+1,FALSE),C2077)</f>
        <v>65.39</v>
      </c>
      <c r="D2078" s="6">
        <f>IFERROR(VLOOKUP($B2078,Platts!$E$5:$M$4994,MATCH(D$3,Platts!$F$5:$M$5,0)+1,FALSE),D2077)</f>
        <v>66.069999999999993</v>
      </c>
      <c r="E2078" s="6">
        <f>IFERROR(VLOOKUP($B2078,Platts!$E$5:$M$4994,MATCH(E$3,Platts!$F$5:$M$5,0)+1,FALSE),E2077)</f>
        <v>64.47</v>
      </c>
      <c r="F2078" s="6">
        <f>IFERROR(VLOOKUP($B2078,Platts!$E$5:$M$4994,MATCH(F$3,Platts!$F$5:$M$5,0)+1,FALSE),F2077)</f>
        <v>67.72</v>
      </c>
      <c r="G2078" s="6">
        <f>IFERROR(VLOOKUP($B2078,Platts!$E$5:$M$4994,MATCH(G$3,Platts!$F$5:$M$5,0)+1,FALSE),G2077)</f>
        <v>73.099999999999994</v>
      </c>
      <c r="H2078" s="6">
        <f>IFERROR(VLOOKUP($B2078,Platts!$E$5:$M$4994,MATCH(H$3,Platts!$F$5:$M$5,0)+1,FALSE),H2077)</f>
        <v>69.290000000000006</v>
      </c>
      <c r="I2078" s="6">
        <f>IFERROR(VLOOKUP($B2078,Platts!$E$5:$M$4994,MATCH(I$3,Platts!$F$5:$M$5,0)+1,FALSE),I2077)</f>
        <v>71.34</v>
      </c>
      <c r="J2078" s="6">
        <f t="shared" si="64"/>
        <v>3.9000000000000057</v>
      </c>
    </row>
    <row r="2079" spans="2:10" x14ac:dyDescent="0.25">
      <c r="B2079" s="5">
        <f t="shared" si="65"/>
        <v>44445</v>
      </c>
      <c r="C2079" s="6">
        <f>IFERROR(VLOOKUP($B2079,Platts!$E$5:$M$4994,MATCH(C$3,Platts!$F$5:$M$5,0)+1,FALSE),C2078)</f>
        <v>65.39</v>
      </c>
      <c r="D2079" s="6">
        <f>IFERROR(VLOOKUP($B2079,Platts!$E$5:$M$4994,MATCH(D$3,Platts!$F$5:$M$5,0)+1,FALSE),D2078)</f>
        <v>66.069999999999993</v>
      </c>
      <c r="E2079" s="6">
        <f>IFERROR(VLOOKUP($B2079,Platts!$E$5:$M$4994,MATCH(E$3,Platts!$F$5:$M$5,0)+1,FALSE),E2078)</f>
        <v>64.47</v>
      </c>
      <c r="F2079" s="6">
        <f>IFERROR(VLOOKUP($B2079,Platts!$E$5:$M$4994,MATCH(F$3,Platts!$F$5:$M$5,0)+1,FALSE),F2078)</f>
        <v>67.72</v>
      </c>
      <c r="G2079" s="6">
        <f>IFERROR(VLOOKUP($B2079,Platts!$E$5:$M$4994,MATCH(G$3,Platts!$F$5:$M$5,0)+1,FALSE),G2078)</f>
        <v>72.23</v>
      </c>
      <c r="H2079" s="6">
        <f>IFERROR(VLOOKUP($B2079,Platts!$E$5:$M$4994,MATCH(H$3,Platts!$F$5:$M$5,0)+1,FALSE),H2078)</f>
        <v>69.290000000000006</v>
      </c>
      <c r="I2079" s="6">
        <f>IFERROR(VLOOKUP($B2079,Platts!$E$5:$M$4994,MATCH(I$3,Platts!$F$5:$M$5,0)+1,FALSE),I2078)</f>
        <v>71.34</v>
      </c>
      <c r="J2079" s="6">
        <f t="shared" si="64"/>
        <v>3.9000000000000057</v>
      </c>
    </row>
    <row r="2080" spans="2:10" x14ac:dyDescent="0.25">
      <c r="B2080" s="5">
        <f t="shared" si="65"/>
        <v>44446</v>
      </c>
      <c r="C2080" s="6">
        <f>IFERROR(VLOOKUP($B2080,Platts!$E$5:$M$4994,MATCH(C$3,Platts!$F$5:$M$5,0)+1,FALSE),C2079)</f>
        <v>64.459999999999994</v>
      </c>
      <c r="D2080" s="6">
        <f>IFERROR(VLOOKUP($B2080,Platts!$E$5:$M$4994,MATCH(D$3,Platts!$F$5:$M$5,0)+1,FALSE),D2079)</f>
        <v>65.17</v>
      </c>
      <c r="E2080" s="6">
        <f>IFERROR(VLOOKUP($B2080,Platts!$E$5:$M$4994,MATCH(E$3,Platts!$F$5:$M$5,0)+1,FALSE),E2079)</f>
        <v>63.57</v>
      </c>
      <c r="F2080" s="6">
        <f>IFERROR(VLOOKUP($B2080,Platts!$E$5:$M$4994,MATCH(F$3,Platts!$F$5:$M$5,0)+1,FALSE),F2079)</f>
        <v>66.819999999999993</v>
      </c>
      <c r="G2080" s="6">
        <f>IFERROR(VLOOKUP($B2080,Platts!$E$5:$M$4994,MATCH(G$3,Platts!$F$5:$M$5,0)+1,FALSE),G2079)</f>
        <v>71.97</v>
      </c>
      <c r="H2080" s="6">
        <f>IFERROR(VLOOKUP($B2080,Platts!$E$5:$M$4994,MATCH(H$3,Platts!$F$5:$M$5,0)+1,FALSE),H2079)</f>
        <v>68.349999999999994</v>
      </c>
      <c r="I2080" s="6">
        <f>IFERROR(VLOOKUP($B2080,Platts!$E$5:$M$4994,MATCH(I$3,Platts!$F$5:$M$5,0)+1,FALSE),I2079)</f>
        <v>70.5</v>
      </c>
      <c r="J2080" s="6">
        <f t="shared" si="64"/>
        <v>3.8900000000000006</v>
      </c>
    </row>
    <row r="2081" spans="2:10" x14ac:dyDescent="0.25">
      <c r="B2081" s="5">
        <f t="shared" si="65"/>
        <v>44447</v>
      </c>
      <c r="C2081" s="6">
        <f>IFERROR(VLOOKUP($B2081,Platts!$E$5:$M$4994,MATCH(C$3,Platts!$F$5:$M$5,0)+1,FALSE),C2080)</f>
        <v>65.22</v>
      </c>
      <c r="D2081" s="6">
        <f>IFERROR(VLOOKUP($B2081,Platts!$E$5:$M$4994,MATCH(D$3,Platts!$F$5:$M$5,0)+1,FALSE),D2080)</f>
        <v>66.11</v>
      </c>
      <c r="E2081" s="6">
        <f>IFERROR(VLOOKUP($B2081,Platts!$E$5:$M$4994,MATCH(E$3,Platts!$F$5:$M$5,0)+1,FALSE),E2080)</f>
        <v>64.510000000000005</v>
      </c>
      <c r="F2081" s="6">
        <f>IFERROR(VLOOKUP($B2081,Platts!$E$5:$M$4994,MATCH(F$3,Platts!$F$5:$M$5,0)+1,FALSE),F2080)</f>
        <v>67.760000000000005</v>
      </c>
      <c r="G2081" s="6">
        <f>IFERROR(VLOOKUP($B2081,Platts!$E$5:$M$4994,MATCH(G$3,Platts!$F$5:$M$5,0)+1,FALSE),G2080)</f>
        <v>72.66</v>
      </c>
      <c r="H2081" s="6">
        <f>IFERROR(VLOOKUP($B2081,Platts!$E$5:$M$4994,MATCH(H$3,Platts!$F$5:$M$5,0)+1,FALSE),H2080)</f>
        <v>69.3</v>
      </c>
      <c r="I2081" s="6">
        <f>IFERROR(VLOOKUP($B2081,Platts!$E$5:$M$4994,MATCH(I$3,Platts!$F$5:$M$5,0)+1,FALSE),I2080)</f>
        <v>71.650000000000006</v>
      </c>
      <c r="J2081" s="6">
        <f t="shared" si="64"/>
        <v>4.0799999999999983</v>
      </c>
    </row>
    <row r="2082" spans="2:10" x14ac:dyDescent="0.25">
      <c r="B2082" s="5">
        <f t="shared" si="65"/>
        <v>44448</v>
      </c>
      <c r="C2082" s="6">
        <f>IFERROR(VLOOKUP($B2082,Platts!$E$5:$M$4994,MATCH(C$3,Platts!$F$5:$M$5,0)+1,FALSE),C2081)</f>
        <v>64.38</v>
      </c>
      <c r="D2082" s="6">
        <f>IFERROR(VLOOKUP($B2082,Platts!$E$5:$M$4994,MATCH(D$3,Platts!$F$5:$M$5,0)+1,FALSE),D2081)</f>
        <v>65.05</v>
      </c>
      <c r="E2082" s="6">
        <f>IFERROR(VLOOKUP($B2082,Platts!$E$5:$M$4994,MATCH(E$3,Platts!$F$5:$M$5,0)+1,FALSE),E2081)</f>
        <v>63.45</v>
      </c>
      <c r="F2082" s="6">
        <f>IFERROR(VLOOKUP($B2082,Platts!$E$5:$M$4994,MATCH(F$3,Platts!$F$5:$M$5,0)+1,FALSE),F2081)</f>
        <v>66.7</v>
      </c>
      <c r="G2082" s="6">
        <f>IFERROR(VLOOKUP($B2082,Platts!$E$5:$M$4994,MATCH(G$3,Platts!$F$5:$M$5,0)+1,FALSE),G2081)</f>
        <v>72.86</v>
      </c>
      <c r="H2082" s="6">
        <f>IFERROR(VLOOKUP($B2082,Platts!$E$5:$M$4994,MATCH(H$3,Platts!$F$5:$M$5,0)+1,FALSE),H2081)</f>
        <v>68.14</v>
      </c>
      <c r="I2082" s="6">
        <f>IFERROR(VLOOKUP($B2082,Platts!$E$5:$M$4994,MATCH(I$3,Platts!$F$5:$M$5,0)+1,FALSE),I2081)</f>
        <v>70.14</v>
      </c>
      <c r="J2082" s="6">
        <f t="shared" si="64"/>
        <v>3.7600000000000051</v>
      </c>
    </row>
    <row r="2083" spans="2:10" x14ac:dyDescent="0.25">
      <c r="B2083" s="5">
        <f t="shared" si="65"/>
        <v>44449</v>
      </c>
      <c r="C2083" s="6">
        <f>IFERROR(VLOOKUP($B2083,Platts!$E$5:$M$4994,MATCH(C$3,Platts!$F$5:$M$5,0)+1,FALSE),C2082)</f>
        <v>65.739999999999995</v>
      </c>
      <c r="D2083" s="6">
        <f>IFERROR(VLOOKUP($B2083,Platts!$E$5:$M$4994,MATCH(D$3,Platts!$F$5:$M$5,0)+1,FALSE),D2082)</f>
        <v>66.62</v>
      </c>
      <c r="E2083" s="6">
        <f>IFERROR(VLOOKUP($B2083,Platts!$E$5:$M$4994,MATCH(E$3,Platts!$F$5:$M$5,0)+1,FALSE),E2082)</f>
        <v>65.02</v>
      </c>
      <c r="F2083" s="6">
        <f>IFERROR(VLOOKUP($B2083,Platts!$E$5:$M$4994,MATCH(F$3,Platts!$F$5:$M$5,0)+1,FALSE),F2082)</f>
        <v>68.27</v>
      </c>
      <c r="G2083" s="6">
        <f>IFERROR(VLOOKUP($B2083,Platts!$E$5:$M$4994,MATCH(G$3,Platts!$F$5:$M$5,0)+1,FALSE),G2082)</f>
        <v>72.92</v>
      </c>
      <c r="H2083" s="6">
        <f>IFERROR(VLOOKUP($B2083,Platts!$E$5:$M$4994,MATCH(H$3,Platts!$F$5:$M$5,0)+1,FALSE),H2082)</f>
        <v>69.72</v>
      </c>
      <c r="I2083" s="6">
        <f>IFERROR(VLOOKUP($B2083,Platts!$E$5:$M$4994,MATCH(I$3,Platts!$F$5:$M$5,0)+1,FALSE),I2082)</f>
        <v>71.47</v>
      </c>
      <c r="J2083" s="6">
        <f t="shared" si="64"/>
        <v>3.980000000000004</v>
      </c>
    </row>
    <row r="2084" spans="2:10" x14ac:dyDescent="0.25">
      <c r="B2084" s="5">
        <f t="shared" si="65"/>
        <v>44450</v>
      </c>
      <c r="C2084" s="6">
        <f>IFERROR(VLOOKUP($B2084,Platts!$E$5:$M$4994,MATCH(C$3,Platts!$F$5:$M$5,0)+1,FALSE),C2083)</f>
        <v>65.739999999999995</v>
      </c>
      <c r="D2084" s="6">
        <f>IFERROR(VLOOKUP($B2084,Platts!$E$5:$M$4994,MATCH(D$3,Platts!$F$5:$M$5,0)+1,FALSE),D2083)</f>
        <v>66.62</v>
      </c>
      <c r="E2084" s="6">
        <f>IFERROR(VLOOKUP($B2084,Platts!$E$5:$M$4994,MATCH(E$3,Platts!$F$5:$M$5,0)+1,FALSE),E2083)</f>
        <v>65.02</v>
      </c>
      <c r="F2084" s="6">
        <f>IFERROR(VLOOKUP($B2084,Platts!$E$5:$M$4994,MATCH(F$3,Platts!$F$5:$M$5,0)+1,FALSE),F2083)</f>
        <v>68.27</v>
      </c>
      <c r="G2084" s="6">
        <f>IFERROR(VLOOKUP($B2084,Platts!$E$5:$M$4994,MATCH(G$3,Platts!$F$5:$M$5,0)+1,FALSE),G2083)</f>
        <v>72.92</v>
      </c>
      <c r="H2084" s="6">
        <f>IFERROR(VLOOKUP($B2084,Platts!$E$5:$M$4994,MATCH(H$3,Platts!$F$5:$M$5,0)+1,FALSE),H2083)</f>
        <v>69.72</v>
      </c>
      <c r="I2084" s="6">
        <f>IFERROR(VLOOKUP($B2084,Platts!$E$5:$M$4994,MATCH(I$3,Platts!$F$5:$M$5,0)+1,FALSE),I2083)</f>
        <v>71.47</v>
      </c>
      <c r="J2084" s="6">
        <f t="shared" si="64"/>
        <v>3.980000000000004</v>
      </c>
    </row>
    <row r="2085" spans="2:10" x14ac:dyDescent="0.25">
      <c r="B2085" s="5">
        <f t="shared" si="65"/>
        <v>44451</v>
      </c>
      <c r="C2085" s="6">
        <f>IFERROR(VLOOKUP($B2085,Platts!$E$5:$M$4994,MATCH(C$3,Platts!$F$5:$M$5,0)+1,FALSE),C2084)</f>
        <v>65.739999999999995</v>
      </c>
      <c r="D2085" s="6">
        <f>IFERROR(VLOOKUP($B2085,Platts!$E$5:$M$4994,MATCH(D$3,Platts!$F$5:$M$5,0)+1,FALSE),D2084)</f>
        <v>66.62</v>
      </c>
      <c r="E2085" s="6">
        <f>IFERROR(VLOOKUP($B2085,Platts!$E$5:$M$4994,MATCH(E$3,Platts!$F$5:$M$5,0)+1,FALSE),E2084)</f>
        <v>65.02</v>
      </c>
      <c r="F2085" s="6">
        <f>IFERROR(VLOOKUP($B2085,Platts!$E$5:$M$4994,MATCH(F$3,Platts!$F$5:$M$5,0)+1,FALSE),F2084)</f>
        <v>68.27</v>
      </c>
      <c r="G2085" s="6">
        <f>IFERROR(VLOOKUP($B2085,Platts!$E$5:$M$4994,MATCH(G$3,Platts!$F$5:$M$5,0)+1,FALSE),G2084)</f>
        <v>72.92</v>
      </c>
      <c r="H2085" s="6">
        <f>IFERROR(VLOOKUP($B2085,Platts!$E$5:$M$4994,MATCH(H$3,Platts!$F$5:$M$5,0)+1,FALSE),H2084)</f>
        <v>69.72</v>
      </c>
      <c r="I2085" s="6">
        <f>IFERROR(VLOOKUP($B2085,Platts!$E$5:$M$4994,MATCH(I$3,Platts!$F$5:$M$5,0)+1,FALSE),I2084)</f>
        <v>71.47</v>
      </c>
      <c r="J2085" s="6">
        <f t="shared" si="64"/>
        <v>3.980000000000004</v>
      </c>
    </row>
    <row r="2086" spans="2:10" x14ac:dyDescent="0.25">
      <c r="B2086" s="5">
        <f t="shared" si="65"/>
        <v>44452</v>
      </c>
      <c r="C2086" s="6">
        <f>IFERROR(VLOOKUP($B2086,Platts!$E$5:$M$4994,MATCH(C$3,Platts!$F$5:$M$5,0)+1,FALSE),C2085)</f>
        <v>66.42</v>
      </c>
      <c r="D2086" s="6">
        <f>IFERROR(VLOOKUP($B2086,Platts!$E$5:$M$4994,MATCH(D$3,Platts!$F$5:$M$5,0)+1,FALSE),D2085)</f>
        <v>67.27</v>
      </c>
      <c r="E2086" s="6">
        <f>IFERROR(VLOOKUP($B2086,Platts!$E$5:$M$4994,MATCH(E$3,Platts!$F$5:$M$5,0)+1,FALSE),E2085)</f>
        <v>65.67</v>
      </c>
      <c r="F2086" s="6">
        <f>IFERROR(VLOOKUP($B2086,Platts!$E$5:$M$4994,MATCH(F$3,Platts!$F$5:$M$5,0)+1,FALSE),F2085)</f>
        <v>68.92</v>
      </c>
      <c r="G2086" s="6">
        <f>IFERROR(VLOOKUP($B2086,Platts!$E$5:$M$4994,MATCH(G$3,Platts!$F$5:$M$5,0)+1,FALSE),G2085)</f>
        <v>73.55</v>
      </c>
      <c r="H2086" s="6">
        <f>IFERROR(VLOOKUP($B2086,Platts!$E$5:$M$4994,MATCH(H$3,Platts!$F$5:$M$5,0)+1,FALSE),H2085)</f>
        <v>70.45</v>
      </c>
      <c r="I2086" s="6">
        <f>IFERROR(VLOOKUP($B2086,Platts!$E$5:$M$4994,MATCH(I$3,Platts!$F$5:$M$5,0)+1,FALSE),I2085)</f>
        <v>72.150000000000006</v>
      </c>
      <c r="J2086" s="6">
        <f t="shared" si="64"/>
        <v>4.0300000000000011</v>
      </c>
    </row>
    <row r="2087" spans="2:10" x14ac:dyDescent="0.25">
      <c r="B2087" s="5">
        <f t="shared" si="65"/>
        <v>44453</v>
      </c>
      <c r="C2087" s="6">
        <f>IFERROR(VLOOKUP($B2087,Platts!$E$5:$M$4994,MATCH(C$3,Platts!$F$5:$M$5,0)+1,FALSE),C2086)</f>
        <v>66.61</v>
      </c>
      <c r="D2087" s="6">
        <f>IFERROR(VLOOKUP($B2087,Platts!$E$5:$M$4994,MATCH(D$3,Platts!$F$5:$M$5,0)+1,FALSE),D2086)</f>
        <v>67.41</v>
      </c>
      <c r="E2087" s="6">
        <f>IFERROR(VLOOKUP($B2087,Platts!$E$5:$M$4994,MATCH(E$3,Platts!$F$5:$M$5,0)+1,FALSE),E2086)</f>
        <v>65.81</v>
      </c>
      <c r="F2087" s="6">
        <f>IFERROR(VLOOKUP($B2087,Platts!$E$5:$M$4994,MATCH(F$3,Platts!$F$5:$M$5,0)+1,FALSE),F2086)</f>
        <v>69.06</v>
      </c>
      <c r="G2087" s="6">
        <f>IFERROR(VLOOKUP($B2087,Platts!$E$5:$M$4994,MATCH(G$3,Platts!$F$5:$M$5,0)+1,FALSE),G2086)</f>
        <v>73.73</v>
      </c>
      <c r="H2087" s="6">
        <f>IFERROR(VLOOKUP($B2087,Platts!$E$5:$M$4994,MATCH(H$3,Platts!$F$5:$M$5,0)+1,FALSE),H2086)</f>
        <v>70.459999999999994</v>
      </c>
      <c r="I2087" s="6">
        <f>IFERROR(VLOOKUP($B2087,Platts!$E$5:$M$4994,MATCH(I$3,Platts!$F$5:$M$5,0)+1,FALSE),I2086)</f>
        <v>72.11</v>
      </c>
      <c r="J2087" s="6">
        <f t="shared" si="64"/>
        <v>3.8499999999999943</v>
      </c>
    </row>
    <row r="2088" spans="2:10" x14ac:dyDescent="0.25">
      <c r="B2088" s="5">
        <f t="shared" si="65"/>
        <v>44454</v>
      </c>
      <c r="C2088" s="6">
        <f>IFERROR(VLOOKUP($B2088,Platts!$E$5:$M$4994,MATCH(C$3,Platts!$F$5:$M$5,0)+1,FALSE),C2087)</f>
        <v>68.31</v>
      </c>
      <c r="D2088" s="6">
        <f>IFERROR(VLOOKUP($B2088,Platts!$E$5:$M$4994,MATCH(D$3,Platts!$F$5:$M$5,0)+1,FALSE),D2087)</f>
        <v>69.42</v>
      </c>
      <c r="E2088" s="6">
        <f>IFERROR(VLOOKUP($B2088,Platts!$E$5:$M$4994,MATCH(E$3,Platts!$F$5:$M$5,0)+1,FALSE),E2087)</f>
        <v>67.819999999999993</v>
      </c>
      <c r="F2088" s="6">
        <f>IFERROR(VLOOKUP($B2088,Platts!$E$5:$M$4994,MATCH(F$3,Platts!$F$5:$M$5,0)+1,FALSE),F2087)</f>
        <v>71.069999999999993</v>
      </c>
      <c r="G2088" s="6">
        <f>IFERROR(VLOOKUP($B2088,Platts!$E$5:$M$4994,MATCH(G$3,Platts!$F$5:$M$5,0)+1,FALSE),G2087)</f>
        <v>75.95</v>
      </c>
      <c r="H2088" s="6">
        <f>IFERROR(VLOOKUP($B2088,Platts!$E$5:$M$4994,MATCH(H$3,Platts!$F$5:$M$5,0)+1,FALSE),H2087)</f>
        <v>72.61</v>
      </c>
      <c r="I2088" s="6">
        <f>IFERROR(VLOOKUP($B2088,Platts!$E$5:$M$4994,MATCH(I$3,Platts!$F$5:$M$5,0)+1,FALSE),I2087)</f>
        <v>74.11</v>
      </c>
      <c r="J2088" s="6">
        <f t="shared" si="64"/>
        <v>4.2999999999999972</v>
      </c>
    </row>
    <row r="2089" spans="2:10" x14ac:dyDescent="0.25">
      <c r="B2089" s="5">
        <f t="shared" si="65"/>
        <v>44455</v>
      </c>
      <c r="C2089" s="6">
        <f>IFERROR(VLOOKUP($B2089,Platts!$E$5:$M$4994,MATCH(C$3,Platts!$F$5:$M$5,0)+1,FALSE),C2088)</f>
        <v>68.31</v>
      </c>
      <c r="D2089" s="6">
        <f>IFERROR(VLOOKUP($B2089,Platts!$E$5:$M$4994,MATCH(D$3,Platts!$F$5:$M$5,0)+1,FALSE),D2088)</f>
        <v>69.33</v>
      </c>
      <c r="E2089" s="6">
        <f>IFERROR(VLOOKUP($B2089,Platts!$E$5:$M$4994,MATCH(E$3,Platts!$F$5:$M$5,0)+1,FALSE),E2088)</f>
        <v>67.73</v>
      </c>
      <c r="F2089" s="6">
        <f>IFERROR(VLOOKUP($B2089,Platts!$E$5:$M$4994,MATCH(F$3,Platts!$F$5:$M$5,0)+1,FALSE),F2088)</f>
        <v>70.98</v>
      </c>
      <c r="G2089" s="6">
        <f>IFERROR(VLOOKUP($B2089,Platts!$E$5:$M$4994,MATCH(G$3,Platts!$F$5:$M$5,0)+1,FALSE),G2088)</f>
        <v>75.010000000000005</v>
      </c>
      <c r="H2089" s="6">
        <f>IFERROR(VLOOKUP($B2089,Platts!$E$5:$M$4994,MATCH(H$3,Platts!$F$5:$M$5,0)+1,FALSE),H2088)</f>
        <v>72.61</v>
      </c>
      <c r="I2089" s="6">
        <f>IFERROR(VLOOKUP($B2089,Platts!$E$5:$M$4994,MATCH(I$3,Platts!$F$5:$M$5,0)+1,FALSE),I2088)</f>
        <v>73.31</v>
      </c>
      <c r="J2089" s="6">
        <f t="shared" si="64"/>
        <v>4.2999999999999972</v>
      </c>
    </row>
    <row r="2090" spans="2:10" x14ac:dyDescent="0.25">
      <c r="B2090" s="5">
        <f t="shared" si="65"/>
        <v>44456</v>
      </c>
      <c r="C2090" s="6">
        <f>IFERROR(VLOOKUP($B2090,Platts!$E$5:$M$4994,MATCH(C$3,Platts!$F$5:$M$5,0)+1,FALSE),C2089)</f>
        <v>68.05</v>
      </c>
      <c r="D2090" s="6">
        <f>IFERROR(VLOOKUP($B2090,Platts!$E$5:$M$4994,MATCH(D$3,Platts!$F$5:$M$5,0)+1,FALSE),D2089)</f>
        <v>68.87</v>
      </c>
      <c r="E2090" s="6">
        <f>IFERROR(VLOOKUP($B2090,Platts!$E$5:$M$4994,MATCH(E$3,Platts!$F$5:$M$5,0)+1,FALSE),E2089)</f>
        <v>67.27</v>
      </c>
      <c r="F2090" s="6">
        <f>IFERROR(VLOOKUP($B2090,Platts!$E$5:$M$4994,MATCH(F$3,Platts!$F$5:$M$5,0)+1,FALSE),F2089)</f>
        <v>70.52</v>
      </c>
      <c r="G2090" s="6">
        <f>IFERROR(VLOOKUP($B2090,Platts!$E$5:$M$4994,MATCH(G$3,Platts!$F$5:$M$5,0)+1,FALSE),G2089)</f>
        <v>75.16</v>
      </c>
      <c r="H2090" s="6">
        <f>IFERROR(VLOOKUP($B2090,Platts!$E$5:$M$4994,MATCH(H$3,Platts!$F$5:$M$5,0)+1,FALSE),H2089)</f>
        <v>71.97</v>
      </c>
      <c r="I2090" s="6">
        <f>IFERROR(VLOOKUP($B2090,Platts!$E$5:$M$4994,MATCH(I$3,Platts!$F$5:$M$5,0)+1,FALSE),I2089)</f>
        <v>72.67</v>
      </c>
      <c r="J2090" s="6">
        <f t="shared" si="64"/>
        <v>3.9200000000000017</v>
      </c>
    </row>
    <row r="2091" spans="2:10" x14ac:dyDescent="0.25">
      <c r="B2091" s="5">
        <f t="shared" si="65"/>
        <v>44457</v>
      </c>
      <c r="C2091" s="6">
        <f>IFERROR(VLOOKUP($B2091,Platts!$E$5:$M$4994,MATCH(C$3,Platts!$F$5:$M$5,0)+1,FALSE),C2090)</f>
        <v>68.05</v>
      </c>
      <c r="D2091" s="6">
        <f>IFERROR(VLOOKUP($B2091,Platts!$E$5:$M$4994,MATCH(D$3,Platts!$F$5:$M$5,0)+1,FALSE),D2090)</f>
        <v>68.87</v>
      </c>
      <c r="E2091" s="6">
        <f>IFERROR(VLOOKUP($B2091,Platts!$E$5:$M$4994,MATCH(E$3,Platts!$F$5:$M$5,0)+1,FALSE),E2090)</f>
        <v>67.27</v>
      </c>
      <c r="F2091" s="6">
        <f>IFERROR(VLOOKUP($B2091,Platts!$E$5:$M$4994,MATCH(F$3,Platts!$F$5:$M$5,0)+1,FALSE),F2090)</f>
        <v>70.52</v>
      </c>
      <c r="G2091" s="6">
        <f>IFERROR(VLOOKUP($B2091,Platts!$E$5:$M$4994,MATCH(G$3,Platts!$F$5:$M$5,0)+1,FALSE),G2090)</f>
        <v>75.16</v>
      </c>
      <c r="H2091" s="6">
        <f>IFERROR(VLOOKUP($B2091,Platts!$E$5:$M$4994,MATCH(H$3,Platts!$F$5:$M$5,0)+1,FALSE),H2090)</f>
        <v>71.97</v>
      </c>
      <c r="I2091" s="6">
        <f>IFERROR(VLOOKUP($B2091,Platts!$E$5:$M$4994,MATCH(I$3,Platts!$F$5:$M$5,0)+1,FALSE),I2090)</f>
        <v>72.67</v>
      </c>
      <c r="J2091" s="6">
        <f t="shared" si="64"/>
        <v>3.9200000000000017</v>
      </c>
    </row>
    <row r="2092" spans="2:10" x14ac:dyDescent="0.25">
      <c r="B2092" s="5">
        <f t="shared" si="65"/>
        <v>44458</v>
      </c>
      <c r="C2092" s="6">
        <f>IFERROR(VLOOKUP($B2092,Platts!$E$5:$M$4994,MATCH(C$3,Platts!$F$5:$M$5,0)+1,FALSE),C2091)</f>
        <v>68.05</v>
      </c>
      <c r="D2092" s="6">
        <f>IFERROR(VLOOKUP($B2092,Platts!$E$5:$M$4994,MATCH(D$3,Platts!$F$5:$M$5,0)+1,FALSE),D2091)</f>
        <v>68.87</v>
      </c>
      <c r="E2092" s="6">
        <f>IFERROR(VLOOKUP($B2092,Platts!$E$5:$M$4994,MATCH(E$3,Platts!$F$5:$M$5,0)+1,FALSE),E2091)</f>
        <v>67.27</v>
      </c>
      <c r="F2092" s="6">
        <f>IFERROR(VLOOKUP($B2092,Platts!$E$5:$M$4994,MATCH(F$3,Platts!$F$5:$M$5,0)+1,FALSE),F2091)</f>
        <v>70.52</v>
      </c>
      <c r="G2092" s="6">
        <f>IFERROR(VLOOKUP($B2092,Platts!$E$5:$M$4994,MATCH(G$3,Platts!$F$5:$M$5,0)+1,FALSE),G2091)</f>
        <v>75.16</v>
      </c>
      <c r="H2092" s="6">
        <f>IFERROR(VLOOKUP($B2092,Platts!$E$5:$M$4994,MATCH(H$3,Platts!$F$5:$M$5,0)+1,FALSE),H2091)</f>
        <v>71.97</v>
      </c>
      <c r="I2092" s="6">
        <f>IFERROR(VLOOKUP($B2092,Platts!$E$5:$M$4994,MATCH(I$3,Platts!$F$5:$M$5,0)+1,FALSE),I2091)</f>
        <v>72.67</v>
      </c>
      <c r="J2092" s="6">
        <f t="shared" si="64"/>
        <v>3.9200000000000017</v>
      </c>
    </row>
    <row r="2093" spans="2:10" x14ac:dyDescent="0.25">
      <c r="B2093" s="5">
        <f t="shared" si="65"/>
        <v>44459</v>
      </c>
      <c r="C2093" s="6">
        <f>IFERROR(VLOOKUP($B2093,Platts!$E$5:$M$4994,MATCH(C$3,Platts!$F$5:$M$5,0)+1,FALSE),C2092)</f>
        <v>66.599999999999994</v>
      </c>
      <c r="D2093" s="6">
        <f>IFERROR(VLOOKUP($B2093,Platts!$E$5:$M$4994,MATCH(D$3,Platts!$F$5:$M$5,0)+1,FALSE),D2092)</f>
        <v>67.28</v>
      </c>
      <c r="E2093" s="6">
        <f>IFERROR(VLOOKUP($B2093,Platts!$E$5:$M$4994,MATCH(E$3,Platts!$F$5:$M$5,0)+1,FALSE),E2092)</f>
        <v>65.680000000000007</v>
      </c>
      <c r="F2093" s="6">
        <f>IFERROR(VLOOKUP($B2093,Platts!$E$5:$M$4994,MATCH(F$3,Platts!$F$5:$M$5,0)+1,FALSE),F2092)</f>
        <v>68.930000000000007</v>
      </c>
      <c r="G2093" s="6">
        <f>IFERROR(VLOOKUP($B2093,Platts!$E$5:$M$4994,MATCH(G$3,Platts!$F$5:$M$5,0)+1,FALSE),G2092)</f>
        <v>74.650000000000006</v>
      </c>
      <c r="H2093" s="6">
        <f>IFERROR(VLOOKUP($B2093,Platts!$E$5:$M$4994,MATCH(H$3,Platts!$F$5:$M$5,0)+1,FALSE),H2092)</f>
        <v>70.290000000000006</v>
      </c>
      <c r="I2093" s="6">
        <f>IFERROR(VLOOKUP($B2093,Platts!$E$5:$M$4994,MATCH(I$3,Platts!$F$5:$M$5,0)+1,FALSE),I2092)</f>
        <v>70.989999999999995</v>
      </c>
      <c r="J2093" s="6">
        <f t="shared" si="64"/>
        <v>3.6900000000000119</v>
      </c>
    </row>
    <row r="2094" spans="2:10" x14ac:dyDescent="0.25">
      <c r="B2094" s="5">
        <f t="shared" si="65"/>
        <v>44460</v>
      </c>
      <c r="C2094" s="6">
        <f>IFERROR(VLOOKUP($B2094,Platts!$E$5:$M$4994,MATCH(C$3,Platts!$F$5:$M$5,0)+1,FALSE),C2093)</f>
        <v>66.599999999999994</v>
      </c>
      <c r="D2094" s="6">
        <f>IFERROR(VLOOKUP($B2094,Platts!$E$5:$M$4994,MATCH(D$3,Platts!$F$5:$M$5,0)+1,FALSE),D2093)</f>
        <v>67.61</v>
      </c>
      <c r="E2094" s="6">
        <f>IFERROR(VLOOKUP($B2094,Platts!$E$5:$M$4994,MATCH(E$3,Platts!$F$5:$M$5,0)+1,FALSE),E2093)</f>
        <v>66.010000000000005</v>
      </c>
      <c r="F2094" s="6">
        <f>IFERROR(VLOOKUP($B2094,Platts!$E$5:$M$4994,MATCH(F$3,Platts!$F$5:$M$5,0)+1,FALSE),F2093)</f>
        <v>69.260000000000005</v>
      </c>
      <c r="G2094" s="6">
        <f>IFERROR(VLOOKUP($B2094,Platts!$E$5:$M$4994,MATCH(G$3,Platts!$F$5:$M$5,0)+1,FALSE),G2093)</f>
        <v>73.94</v>
      </c>
      <c r="H2094" s="6">
        <f>IFERROR(VLOOKUP($B2094,Platts!$E$5:$M$4994,MATCH(H$3,Platts!$F$5:$M$5,0)+1,FALSE),H2093)</f>
        <v>70.56</v>
      </c>
      <c r="I2094" s="6">
        <f>IFERROR(VLOOKUP($B2094,Platts!$E$5:$M$4994,MATCH(I$3,Platts!$F$5:$M$5,0)+1,FALSE),I2093)</f>
        <v>71.260000000000005</v>
      </c>
      <c r="J2094" s="6">
        <f t="shared" si="64"/>
        <v>3.960000000000008</v>
      </c>
    </row>
    <row r="2095" spans="2:10" x14ac:dyDescent="0.25">
      <c r="B2095" s="5">
        <f t="shared" si="65"/>
        <v>44461</v>
      </c>
      <c r="C2095" s="6">
        <f>IFERROR(VLOOKUP($B2095,Platts!$E$5:$M$4994,MATCH(C$3,Platts!$F$5:$M$5,0)+1,FALSE),C2094)</f>
        <v>66.680000000000007</v>
      </c>
      <c r="D2095" s="6">
        <f>IFERROR(VLOOKUP($B2095,Platts!$E$5:$M$4994,MATCH(D$3,Platts!$F$5:$M$5,0)+1,FALSE),D2094)</f>
        <v>69.5</v>
      </c>
      <c r="E2095" s="6">
        <f>IFERROR(VLOOKUP($B2095,Platts!$E$5:$M$4994,MATCH(E$3,Platts!$F$5:$M$5,0)+1,FALSE),E2094)</f>
        <v>67.900000000000006</v>
      </c>
      <c r="F2095" s="6">
        <f>IFERROR(VLOOKUP($B2095,Platts!$E$5:$M$4994,MATCH(F$3,Platts!$F$5:$M$5,0)+1,FALSE),F2094)</f>
        <v>71.150000000000006</v>
      </c>
      <c r="G2095" s="6">
        <f>IFERROR(VLOOKUP($B2095,Platts!$E$5:$M$4994,MATCH(G$3,Platts!$F$5:$M$5,0)+1,FALSE),G2094)</f>
        <v>75.67</v>
      </c>
      <c r="H2095" s="6">
        <f>IFERROR(VLOOKUP($B2095,Platts!$E$5:$M$4994,MATCH(H$3,Platts!$F$5:$M$5,0)+1,FALSE),H2094)</f>
        <v>72.34</v>
      </c>
      <c r="I2095" s="6">
        <f>IFERROR(VLOOKUP($B2095,Platts!$E$5:$M$4994,MATCH(I$3,Platts!$F$5:$M$5,0)+1,FALSE),I2094)</f>
        <v>73.19</v>
      </c>
      <c r="J2095" s="6">
        <f t="shared" si="64"/>
        <v>5.6599999999999966</v>
      </c>
    </row>
    <row r="2096" spans="2:10" x14ac:dyDescent="0.25">
      <c r="B2096" s="5">
        <f t="shared" si="65"/>
        <v>44462</v>
      </c>
      <c r="C2096" s="6">
        <f>IFERROR(VLOOKUP($B2096,Platts!$E$5:$M$4994,MATCH(C$3,Platts!$F$5:$M$5,0)+1,FALSE),C2095)</f>
        <v>69.760000000000005</v>
      </c>
      <c r="D2096" s="6">
        <f>IFERROR(VLOOKUP($B2096,Platts!$E$5:$M$4994,MATCH(D$3,Platts!$F$5:$M$5,0)+1,FALSE),D2095)</f>
        <v>70.78</v>
      </c>
      <c r="E2096" s="6">
        <f>IFERROR(VLOOKUP($B2096,Platts!$E$5:$M$4994,MATCH(E$3,Platts!$F$5:$M$5,0)+1,FALSE),E2095)</f>
        <v>69.180000000000007</v>
      </c>
      <c r="F2096" s="6">
        <f>IFERROR(VLOOKUP($B2096,Platts!$E$5:$M$4994,MATCH(F$3,Platts!$F$5:$M$5,0)+1,FALSE),F2095)</f>
        <v>72.430000000000007</v>
      </c>
      <c r="G2096" s="6">
        <f>IFERROR(VLOOKUP($B2096,Platts!$E$5:$M$4994,MATCH(G$3,Platts!$F$5:$M$5,0)+1,FALSE),G2095)</f>
        <v>77.290000000000006</v>
      </c>
      <c r="H2096" s="6">
        <f>IFERROR(VLOOKUP($B2096,Platts!$E$5:$M$4994,MATCH(H$3,Platts!$F$5:$M$5,0)+1,FALSE),H2095)</f>
        <v>73.44</v>
      </c>
      <c r="I2096" s="6">
        <f>IFERROR(VLOOKUP($B2096,Platts!$E$5:$M$4994,MATCH(I$3,Platts!$F$5:$M$5,0)+1,FALSE),I2095)</f>
        <v>74.59</v>
      </c>
      <c r="J2096" s="6">
        <f t="shared" si="64"/>
        <v>3.6799999999999926</v>
      </c>
    </row>
    <row r="2097" spans="2:10" x14ac:dyDescent="0.25">
      <c r="B2097" s="5">
        <f t="shared" si="65"/>
        <v>44463</v>
      </c>
      <c r="C2097" s="6">
        <f>IFERROR(VLOOKUP($B2097,Platts!$E$5:$M$4994,MATCH(C$3,Platts!$F$5:$M$5,0)+1,FALSE),C2096)</f>
        <v>70.59</v>
      </c>
      <c r="D2097" s="6">
        <f>IFERROR(VLOOKUP($B2097,Platts!$E$5:$M$4994,MATCH(D$3,Platts!$F$5:$M$5,0)+1,FALSE),D2096)</f>
        <v>71.55</v>
      </c>
      <c r="E2097" s="6">
        <f>IFERROR(VLOOKUP($B2097,Platts!$E$5:$M$4994,MATCH(E$3,Platts!$F$5:$M$5,0)+1,FALSE),E2096)</f>
        <v>69.95</v>
      </c>
      <c r="F2097" s="6">
        <f>IFERROR(VLOOKUP($B2097,Platts!$E$5:$M$4994,MATCH(F$3,Platts!$F$5:$M$5,0)+1,FALSE),F2096)</f>
        <v>73.2</v>
      </c>
      <c r="G2097" s="6">
        <f>IFERROR(VLOOKUP($B2097,Platts!$E$5:$M$4994,MATCH(G$3,Platts!$F$5:$M$5,0)+1,FALSE),G2096)</f>
        <v>77.900000000000006</v>
      </c>
      <c r="H2097" s="6">
        <f>IFERROR(VLOOKUP($B2097,Platts!$E$5:$M$4994,MATCH(H$3,Platts!$F$5:$M$5,0)+1,FALSE),H2096)</f>
        <v>74.12</v>
      </c>
      <c r="I2097" s="6">
        <f>IFERROR(VLOOKUP($B2097,Platts!$E$5:$M$4994,MATCH(I$3,Platts!$F$5:$M$5,0)+1,FALSE),I2096)</f>
        <v>74.819999999999993</v>
      </c>
      <c r="J2097" s="6">
        <f t="shared" si="64"/>
        <v>3.5300000000000011</v>
      </c>
    </row>
    <row r="2098" spans="2:10" x14ac:dyDescent="0.25">
      <c r="B2098" s="5">
        <f t="shared" si="65"/>
        <v>44464</v>
      </c>
      <c r="C2098" s="6">
        <f>IFERROR(VLOOKUP($B2098,Platts!$E$5:$M$4994,MATCH(C$3,Platts!$F$5:$M$5,0)+1,FALSE),C2097)</f>
        <v>70.59</v>
      </c>
      <c r="D2098" s="6">
        <f>IFERROR(VLOOKUP($B2098,Platts!$E$5:$M$4994,MATCH(D$3,Platts!$F$5:$M$5,0)+1,FALSE),D2097)</f>
        <v>71.55</v>
      </c>
      <c r="E2098" s="6">
        <f>IFERROR(VLOOKUP($B2098,Platts!$E$5:$M$4994,MATCH(E$3,Platts!$F$5:$M$5,0)+1,FALSE),E2097)</f>
        <v>69.95</v>
      </c>
      <c r="F2098" s="6">
        <f>IFERROR(VLOOKUP($B2098,Platts!$E$5:$M$4994,MATCH(F$3,Platts!$F$5:$M$5,0)+1,FALSE),F2097)</f>
        <v>73.2</v>
      </c>
      <c r="G2098" s="6">
        <f>IFERROR(VLOOKUP($B2098,Platts!$E$5:$M$4994,MATCH(G$3,Platts!$F$5:$M$5,0)+1,FALSE),G2097)</f>
        <v>77.900000000000006</v>
      </c>
      <c r="H2098" s="6">
        <f>IFERROR(VLOOKUP($B2098,Platts!$E$5:$M$4994,MATCH(H$3,Platts!$F$5:$M$5,0)+1,FALSE),H2097)</f>
        <v>74.12</v>
      </c>
      <c r="I2098" s="6">
        <f>IFERROR(VLOOKUP($B2098,Platts!$E$5:$M$4994,MATCH(I$3,Platts!$F$5:$M$5,0)+1,FALSE),I2097)</f>
        <v>74.819999999999993</v>
      </c>
      <c r="J2098" s="6">
        <f t="shared" si="64"/>
        <v>3.5300000000000011</v>
      </c>
    </row>
    <row r="2099" spans="2:10" x14ac:dyDescent="0.25">
      <c r="B2099" s="5">
        <f t="shared" si="65"/>
        <v>44465</v>
      </c>
      <c r="C2099" s="6">
        <f>IFERROR(VLOOKUP($B2099,Platts!$E$5:$M$4994,MATCH(C$3,Platts!$F$5:$M$5,0)+1,FALSE),C2098)</f>
        <v>70.59</v>
      </c>
      <c r="D2099" s="6">
        <f>IFERROR(VLOOKUP($B2099,Platts!$E$5:$M$4994,MATCH(D$3,Platts!$F$5:$M$5,0)+1,FALSE),D2098)</f>
        <v>71.55</v>
      </c>
      <c r="E2099" s="6">
        <f>IFERROR(VLOOKUP($B2099,Platts!$E$5:$M$4994,MATCH(E$3,Platts!$F$5:$M$5,0)+1,FALSE),E2098)</f>
        <v>69.95</v>
      </c>
      <c r="F2099" s="6">
        <f>IFERROR(VLOOKUP($B2099,Platts!$E$5:$M$4994,MATCH(F$3,Platts!$F$5:$M$5,0)+1,FALSE),F2098)</f>
        <v>73.2</v>
      </c>
      <c r="G2099" s="6">
        <f>IFERROR(VLOOKUP($B2099,Platts!$E$5:$M$4994,MATCH(G$3,Platts!$F$5:$M$5,0)+1,FALSE),G2098)</f>
        <v>77.900000000000006</v>
      </c>
      <c r="H2099" s="6">
        <f>IFERROR(VLOOKUP($B2099,Platts!$E$5:$M$4994,MATCH(H$3,Platts!$F$5:$M$5,0)+1,FALSE),H2098)</f>
        <v>74.12</v>
      </c>
      <c r="I2099" s="6">
        <f>IFERROR(VLOOKUP($B2099,Platts!$E$5:$M$4994,MATCH(I$3,Platts!$F$5:$M$5,0)+1,FALSE),I2098)</f>
        <v>74.819999999999993</v>
      </c>
      <c r="J2099" s="6">
        <f t="shared" si="64"/>
        <v>3.5300000000000011</v>
      </c>
    </row>
    <row r="2100" spans="2:10" x14ac:dyDescent="0.25">
      <c r="B2100" s="5">
        <f t="shared" si="65"/>
        <v>44466</v>
      </c>
      <c r="C2100" s="6">
        <f>IFERROR(VLOOKUP($B2100,Platts!$E$5:$M$4994,MATCH(C$3,Platts!$F$5:$M$5,0)+1,FALSE),C2099)</f>
        <v>71.89</v>
      </c>
      <c r="D2100" s="6">
        <f>IFERROR(VLOOKUP($B2100,Platts!$E$5:$M$4994,MATCH(D$3,Platts!$F$5:$M$5,0)+1,FALSE),D2099)</f>
        <v>72.760000000000005</v>
      </c>
      <c r="E2100" s="6">
        <f>IFERROR(VLOOKUP($B2100,Platts!$E$5:$M$4994,MATCH(E$3,Platts!$F$5:$M$5,0)+1,FALSE),E2099)</f>
        <v>71.16</v>
      </c>
      <c r="F2100" s="6">
        <f>IFERROR(VLOOKUP($B2100,Platts!$E$5:$M$4994,MATCH(F$3,Platts!$F$5:$M$5,0)+1,FALSE),F2099)</f>
        <v>74.41</v>
      </c>
      <c r="G2100" s="6">
        <f>IFERROR(VLOOKUP($B2100,Platts!$E$5:$M$4994,MATCH(G$3,Platts!$F$5:$M$5,0)+1,FALSE),G2099)</f>
        <v>79.77</v>
      </c>
      <c r="H2100" s="6">
        <f>IFERROR(VLOOKUP($B2100,Platts!$E$5:$M$4994,MATCH(H$3,Platts!$F$5:$M$5,0)+1,FALSE),H2099)</f>
        <v>75.45</v>
      </c>
      <c r="I2100" s="6">
        <f>IFERROR(VLOOKUP($B2100,Platts!$E$5:$M$4994,MATCH(I$3,Platts!$F$5:$M$5,0)+1,FALSE),I2099)</f>
        <v>76.3</v>
      </c>
      <c r="J2100" s="6">
        <f t="shared" si="64"/>
        <v>3.5600000000000023</v>
      </c>
    </row>
    <row r="2101" spans="2:10" x14ac:dyDescent="0.25">
      <c r="B2101" s="5">
        <f t="shared" si="65"/>
        <v>44467</v>
      </c>
      <c r="C2101" s="6">
        <f>IFERROR(VLOOKUP($B2101,Platts!$E$5:$M$4994,MATCH(C$3,Platts!$F$5:$M$5,0)+1,FALSE),C2100)</f>
        <v>71.760000000000005</v>
      </c>
      <c r="D2101" s="6">
        <f>IFERROR(VLOOKUP($B2101,Platts!$E$5:$M$4994,MATCH(D$3,Platts!$F$5:$M$5,0)+1,FALSE),D2100)</f>
        <v>72.47</v>
      </c>
      <c r="E2101" s="6">
        <f>IFERROR(VLOOKUP($B2101,Platts!$E$5:$M$4994,MATCH(E$3,Platts!$F$5:$M$5,0)+1,FALSE),E2100)</f>
        <v>70.87</v>
      </c>
      <c r="F2101" s="6">
        <f>IFERROR(VLOOKUP($B2101,Platts!$E$5:$M$4994,MATCH(F$3,Platts!$F$5:$M$5,0)+1,FALSE),F2100)</f>
        <v>74.12</v>
      </c>
      <c r="G2101" s="6">
        <f>IFERROR(VLOOKUP($B2101,Platts!$E$5:$M$4994,MATCH(G$3,Platts!$F$5:$M$5,0)+1,FALSE),G2100)</f>
        <v>79.180000000000007</v>
      </c>
      <c r="H2101" s="6">
        <f>IFERROR(VLOOKUP($B2101,Platts!$E$5:$M$4994,MATCH(H$3,Platts!$F$5:$M$5,0)+1,FALSE),H2100)</f>
        <v>75.290000000000006</v>
      </c>
      <c r="I2101" s="6">
        <f>IFERROR(VLOOKUP($B2101,Platts!$E$5:$M$4994,MATCH(I$3,Platts!$F$5:$M$5,0)+1,FALSE),I2100)</f>
        <v>76.489999999999995</v>
      </c>
      <c r="J2101" s="6">
        <f t="shared" si="64"/>
        <v>3.5300000000000011</v>
      </c>
    </row>
    <row r="2102" spans="2:10" x14ac:dyDescent="0.25">
      <c r="B2102" s="5">
        <f t="shared" si="65"/>
        <v>44468</v>
      </c>
      <c r="C2102" s="6">
        <f>IFERROR(VLOOKUP($B2102,Platts!$E$5:$M$4994,MATCH(C$3,Platts!$F$5:$M$5,0)+1,FALSE),C2101)</f>
        <v>71.13</v>
      </c>
      <c r="D2102" s="6">
        <f>IFERROR(VLOOKUP($B2102,Platts!$E$5:$M$4994,MATCH(D$3,Platts!$F$5:$M$5,0)+1,FALSE),D2101)</f>
        <v>71.95</v>
      </c>
      <c r="E2102" s="6">
        <f>IFERROR(VLOOKUP($B2102,Platts!$E$5:$M$4994,MATCH(E$3,Platts!$F$5:$M$5,0)+1,FALSE),E2101)</f>
        <v>70.349999999999994</v>
      </c>
      <c r="F2102" s="6">
        <f>IFERROR(VLOOKUP($B2102,Platts!$E$5:$M$4994,MATCH(F$3,Platts!$F$5:$M$5,0)+1,FALSE),F2101)</f>
        <v>73.599999999999994</v>
      </c>
      <c r="G2102" s="6">
        <f>IFERROR(VLOOKUP($B2102,Platts!$E$5:$M$4994,MATCH(G$3,Platts!$F$5:$M$5,0)+1,FALSE),G2101)</f>
        <v>78.930000000000007</v>
      </c>
      <c r="H2102" s="6">
        <f>IFERROR(VLOOKUP($B2102,Platts!$E$5:$M$4994,MATCH(H$3,Platts!$F$5:$M$5,0)+1,FALSE),H2101)</f>
        <v>74.83</v>
      </c>
      <c r="I2102" s="6">
        <f>IFERROR(VLOOKUP($B2102,Platts!$E$5:$M$4994,MATCH(I$3,Platts!$F$5:$M$5,0)+1,FALSE),I2101)</f>
        <v>76.03</v>
      </c>
      <c r="J2102" s="6">
        <f t="shared" si="64"/>
        <v>3.7000000000000028</v>
      </c>
    </row>
    <row r="2103" spans="2:10" x14ac:dyDescent="0.25">
      <c r="B2103" s="5">
        <f t="shared" si="65"/>
        <v>44469</v>
      </c>
      <c r="C2103" s="6">
        <f>IFERROR(VLOOKUP($B2103,Platts!$E$5:$M$4994,MATCH(C$3,Platts!$F$5:$M$5,0)+1,FALSE),C2102)</f>
        <v>71.25</v>
      </c>
      <c r="D2103" s="6">
        <f>IFERROR(VLOOKUP($B2103,Platts!$E$5:$M$4994,MATCH(D$3,Platts!$F$5:$M$5,0)+1,FALSE),D2102)</f>
        <v>72.13</v>
      </c>
      <c r="E2103" s="6">
        <f>IFERROR(VLOOKUP($B2103,Platts!$E$5:$M$4994,MATCH(E$3,Platts!$F$5:$M$5,0)+1,FALSE),E2102)</f>
        <v>70.53</v>
      </c>
      <c r="F2103" s="6">
        <f>IFERROR(VLOOKUP($B2103,Platts!$E$5:$M$4994,MATCH(F$3,Platts!$F$5:$M$5,0)+1,FALSE),F2102)</f>
        <v>73.78</v>
      </c>
      <c r="G2103" s="6">
        <f>IFERROR(VLOOKUP($B2103,Platts!$E$5:$M$4994,MATCH(G$3,Platts!$F$5:$M$5,0)+1,FALSE),G2102)</f>
        <v>79.12</v>
      </c>
      <c r="H2103" s="6">
        <f>IFERROR(VLOOKUP($B2103,Platts!$E$5:$M$4994,MATCH(H$3,Platts!$F$5:$M$5,0)+1,FALSE),H2102)</f>
        <v>75.03</v>
      </c>
      <c r="I2103" s="6">
        <f>IFERROR(VLOOKUP($B2103,Platts!$E$5:$M$4994,MATCH(I$3,Platts!$F$5:$M$5,0)+1,FALSE),I2102)</f>
        <v>76.28</v>
      </c>
      <c r="J2103" s="6">
        <f t="shared" si="64"/>
        <v>3.7800000000000011</v>
      </c>
    </row>
    <row r="2104" spans="2:10" x14ac:dyDescent="0.25">
      <c r="B2104" s="5">
        <f t="shared" si="65"/>
        <v>44470</v>
      </c>
      <c r="C2104" s="6">
        <f>IFERROR(VLOOKUP($B2104,Platts!$E$5:$M$4994,MATCH(C$3,Platts!$F$5:$M$5,0)+1,FALSE),C2103)</f>
        <v>71.64</v>
      </c>
      <c r="D2104" s="6">
        <f>IFERROR(VLOOKUP($B2104,Platts!$E$5:$M$4994,MATCH(D$3,Platts!$F$5:$M$5,0)+1,FALSE),D2103)</f>
        <v>73.150000000000006</v>
      </c>
      <c r="E2104" s="6">
        <f>IFERROR(VLOOKUP($B2104,Platts!$E$5:$M$4994,MATCH(E$3,Platts!$F$5:$M$5,0)+1,FALSE),E2103)</f>
        <v>71.45</v>
      </c>
      <c r="F2104" s="6">
        <f>IFERROR(VLOOKUP($B2104,Platts!$E$5:$M$4994,MATCH(F$3,Platts!$F$5:$M$5,0)+1,FALSE),F2103)</f>
        <v>74.25</v>
      </c>
      <c r="G2104" s="6">
        <f>IFERROR(VLOOKUP($B2104,Platts!$E$5:$M$4994,MATCH(G$3,Platts!$F$5:$M$5,0)+1,FALSE),G2103)</f>
        <v>78.64</v>
      </c>
      <c r="H2104" s="6">
        <f>IFERROR(VLOOKUP($B2104,Platts!$E$5:$M$4994,MATCH(H$3,Platts!$F$5:$M$5,0)+1,FALSE),H2103)</f>
        <v>75.88</v>
      </c>
      <c r="I2104" s="6">
        <f>IFERROR(VLOOKUP($B2104,Platts!$E$5:$M$4994,MATCH(I$3,Platts!$F$5:$M$5,0)+1,FALSE),I2103)</f>
        <v>77.180000000000007</v>
      </c>
      <c r="J2104" s="6">
        <f t="shared" si="64"/>
        <v>4.2399999999999949</v>
      </c>
    </row>
    <row r="2105" spans="2:10" x14ac:dyDescent="0.25">
      <c r="B2105" s="5">
        <f t="shared" si="65"/>
        <v>44471</v>
      </c>
      <c r="C2105" s="6">
        <f>IFERROR(VLOOKUP($B2105,Platts!$E$5:$M$4994,MATCH(C$3,Platts!$F$5:$M$5,0)+1,FALSE),C2104)</f>
        <v>71.64</v>
      </c>
      <c r="D2105" s="6">
        <f>IFERROR(VLOOKUP($B2105,Platts!$E$5:$M$4994,MATCH(D$3,Platts!$F$5:$M$5,0)+1,FALSE),D2104)</f>
        <v>73.150000000000006</v>
      </c>
      <c r="E2105" s="6">
        <f>IFERROR(VLOOKUP($B2105,Platts!$E$5:$M$4994,MATCH(E$3,Platts!$F$5:$M$5,0)+1,FALSE),E2104)</f>
        <v>71.45</v>
      </c>
      <c r="F2105" s="6">
        <f>IFERROR(VLOOKUP($B2105,Platts!$E$5:$M$4994,MATCH(F$3,Platts!$F$5:$M$5,0)+1,FALSE),F2104)</f>
        <v>74.25</v>
      </c>
      <c r="G2105" s="6">
        <f>IFERROR(VLOOKUP($B2105,Platts!$E$5:$M$4994,MATCH(G$3,Platts!$F$5:$M$5,0)+1,FALSE),G2104)</f>
        <v>78.64</v>
      </c>
      <c r="H2105" s="6">
        <f>IFERROR(VLOOKUP($B2105,Platts!$E$5:$M$4994,MATCH(H$3,Platts!$F$5:$M$5,0)+1,FALSE),H2104)</f>
        <v>75.88</v>
      </c>
      <c r="I2105" s="6">
        <f>IFERROR(VLOOKUP($B2105,Platts!$E$5:$M$4994,MATCH(I$3,Platts!$F$5:$M$5,0)+1,FALSE),I2104)</f>
        <v>77.180000000000007</v>
      </c>
      <c r="J2105" s="6">
        <f t="shared" si="64"/>
        <v>4.2399999999999949</v>
      </c>
    </row>
    <row r="2106" spans="2:10" x14ac:dyDescent="0.25">
      <c r="B2106" s="5">
        <f t="shared" si="65"/>
        <v>44472</v>
      </c>
      <c r="C2106" s="6">
        <f>IFERROR(VLOOKUP($B2106,Platts!$E$5:$M$4994,MATCH(C$3,Platts!$F$5:$M$5,0)+1,FALSE),C2105)</f>
        <v>71.64</v>
      </c>
      <c r="D2106" s="6">
        <f>IFERROR(VLOOKUP($B2106,Platts!$E$5:$M$4994,MATCH(D$3,Platts!$F$5:$M$5,0)+1,FALSE),D2105)</f>
        <v>73.150000000000006</v>
      </c>
      <c r="E2106" s="6">
        <f>IFERROR(VLOOKUP($B2106,Platts!$E$5:$M$4994,MATCH(E$3,Platts!$F$5:$M$5,0)+1,FALSE),E2105)</f>
        <v>71.45</v>
      </c>
      <c r="F2106" s="6">
        <f>IFERROR(VLOOKUP($B2106,Platts!$E$5:$M$4994,MATCH(F$3,Platts!$F$5:$M$5,0)+1,FALSE),F2105)</f>
        <v>74.25</v>
      </c>
      <c r="G2106" s="6">
        <f>IFERROR(VLOOKUP($B2106,Platts!$E$5:$M$4994,MATCH(G$3,Platts!$F$5:$M$5,0)+1,FALSE),G2105)</f>
        <v>78.64</v>
      </c>
      <c r="H2106" s="6">
        <f>IFERROR(VLOOKUP($B2106,Platts!$E$5:$M$4994,MATCH(H$3,Platts!$F$5:$M$5,0)+1,FALSE),H2105)</f>
        <v>75.88</v>
      </c>
      <c r="I2106" s="6">
        <f>IFERROR(VLOOKUP($B2106,Platts!$E$5:$M$4994,MATCH(I$3,Platts!$F$5:$M$5,0)+1,FALSE),I2105)</f>
        <v>77.180000000000007</v>
      </c>
      <c r="J2106" s="6">
        <f t="shared" si="64"/>
        <v>4.2399999999999949</v>
      </c>
    </row>
    <row r="2107" spans="2:10" x14ac:dyDescent="0.25">
      <c r="B2107" s="5">
        <f t="shared" si="65"/>
        <v>44473</v>
      </c>
      <c r="C2107" s="6">
        <f>IFERROR(VLOOKUP($B2107,Platts!$E$5:$M$4994,MATCH(C$3,Platts!$F$5:$M$5,0)+1,FALSE),C2106)</f>
        <v>73.52</v>
      </c>
      <c r="D2107" s="6">
        <f>IFERROR(VLOOKUP($B2107,Platts!$E$5:$M$4994,MATCH(D$3,Platts!$F$5:$M$5,0)+1,FALSE),D2106)</f>
        <v>75.069999999999993</v>
      </c>
      <c r="E2107" s="6">
        <f>IFERROR(VLOOKUP($B2107,Platts!$E$5:$M$4994,MATCH(E$3,Platts!$F$5:$M$5,0)+1,FALSE),E2106)</f>
        <v>73.37</v>
      </c>
      <c r="F2107" s="6">
        <f>IFERROR(VLOOKUP($B2107,Platts!$E$5:$M$4994,MATCH(F$3,Platts!$F$5:$M$5,0)+1,FALSE),F2106)</f>
        <v>76.17</v>
      </c>
      <c r="G2107" s="6">
        <f>IFERROR(VLOOKUP($B2107,Platts!$E$5:$M$4994,MATCH(G$3,Platts!$F$5:$M$5,0)+1,FALSE),G2106)</f>
        <v>81.7</v>
      </c>
      <c r="H2107" s="6">
        <f>IFERROR(VLOOKUP($B2107,Platts!$E$5:$M$4994,MATCH(H$3,Platts!$F$5:$M$5,0)+1,FALSE),H2106)</f>
        <v>77.62</v>
      </c>
      <c r="I2107" s="6">
        <f>IFERROR(VLOOKUP($B2107,Platts!$E$5:$M$4994,MATCH(I$3,Platts!$F$5:$M$5,0)+1,FALSE),I2106)</f>
        <v>79.069999999999993</v>
      </c>
      <c r="J2107" s="6">
        <f t="shared" si="64"/>
        <v>4.1000000000000085</v>
      </c>
    </row>
    <row r="2108" spans="2:10" x14ac:dyDescent="0.25">
      <c r="B2108" s="5">
        <f t="shared" si="65"/>
        <v>44474</v>
      </c>
      <c r="C2108" s="6">
        <f>IFERROR(VLOOKUP($B2108,Platts!$E$5:$M$4994,MATCH(C$3,Platts!$F$5:$M$5,0)+1,FALSE),C2107)</f>
        <v>75.02</v>
      </c>
      <c r="D2108" s="6">
        <f>IFERROR(VLOOKUP($B2108,Platts!$E$5:$M$4994,MATCH(D$3,Platts!$F$5:$M$5,0)+1,FALSE),D2107)</f>
        <v>76.41</v>
      </c>
      <c r="E2108" s="6">
        <f>IFERROR(VLOOKUP($B2108,Platts!$E$5:$M$4994,MATCH(E$3,Platts!$F$5:$M$5,0)+1,FALSE),E2107)</f>
        <v>74.709999999999994</v>
      </c>
      <c r="F2108" s="6">
        <f>IFERROR(VLOOKUP($B2108,Platts!$E$5:$M$4994,MATCH(F$3,Platts!$F$5:$M$5,0)+1,FALSE),F2107)</f>
        <v>77.510000000000005</v>
      </c>
      <c r="G2108" s="6">
        <f>IFERROR(VLOOKUP($B2108,Platts!$E$5:$M$4994,MATCH(G$3,Platts!$F$5:$M$5,0)+1,FALSE),G2107)</f>
        <v>83.25</v>
      </c>
      <c r="H2108" s="6">
        <f>IFERROR(VLOOKUP($B2108,Platts!$E$5:$M$4994,MATCH(H$3,Platts!$F$5:$M$5,0)+1,FALSE),H2107)</f>
        <v>78.930000000000007</v>
      </c>
      <c r="I2108" s="6">
        <f>IFERROR(VLOOKUP($B2108,Platts!$E$5:$M$4994,MATCH(I$3,Platts!$F$5:$M$5,0)+1,FALSE),I2107)</f>
        <v>80.33</v>
      </c>
      <c r="J2108" s="6">
        <f t="shared" si="64"/>
        <v>3.9100000000000108</v>
      </c>
    </row>
    <row r="2109" spans="2:10" x14ac:dyDescent="0.25">
      <c r="B2109" s="5">
        <f t="shared" si="65"/>
        <v>44475</v>
      </c>
      <c r="C2109" s="6">
        <f>IFERROR(VLOOKUP($B2109,Platts!$E$5:$M$4994,MATCH(C$3,Platts!$F$5:$M$5,0)+1,FALSE),C2108)</f>
        <v>73.84</v>
      </c>
      <c r="D2109" s="6">
        <f>IFERROR(VLOOKUP($B2109,Platts!$E$5:$M$4994,MATCH(D$3,Platts!$F$5:$M$5,0)+1,FALSE),D2108)</f>
        <v>74.98</v>
      </c>
      <c r="E2109" s="6">
        <f>IFERROR(VLOOKUP($B2109,Platts!$E$5:$M$4994,MATCH(E$3,Platts!$F$5:$M$5,0)+1,FALSE),E2108)</f>
        <v>73.28</v>
      </c>
      <c r="F2109" s="6">
        <f>IFERROR(VLOOKUP($B2109,Platts!$E$5:$M$4994,MATCH(F$3,Platts!$F$5:$M$5,0)+1,FALSE),F2108)</f>
        <v>76.08</v>
      </c>
      <c r="G2109" s="6">
        <f>IFERROR(VLOOKUP($B2109,Platts!$E$5:$M$4994,MATCH(G$3,Platts!$F$5:$M$5,0)+1,FALSE),G2108)</f>
        <v>81.33</v>
      </c>
      <c r="H2109" s="6">
        <f>IFERROR(VLOOKUP($B2109,Platts!$E$5:$M$4994,MATCH(H$3,Platts!$F$5:$M$5,0)+1,FALSE),H2108)</f>
        <v>77.430000000000007</v>
      </c>
      <c r="I2109" s="6">
        <f>IFERROR(VLOOKUP($B2109,Platts!$E$5:$M$4994,MATCH(I$3,Platts!$F$5:$M$5,0)+1,FALSE),I2108)</f>
        <v>78.83</v>
      </c>
      <c r="J2109" s="6">
        <f t="shared" si="64"/>
        <v>3.5900000000000034</v>
      </c>
    </row>
    <row r="2110" spans="2:10" x14ac:dyDescent="0.25">
      <c r="B2110" s="5">
        <f t="shared" si="65"/>
        <v>44476</v>
      </c>
      <c r="C2110" s="6">
        <f>IFERROR(VLOOKUP($B2110,Platts!$E$5:$M$4994,MATCH(C$3,Platts!$F$5:$M$5,0)+1,FALSE),C2109)</f>
        <v>74.239999999999995</v>
      </c>
      <c r="D2110" s="6">
        <f>IFERROR(VLOOKUP($B2110,Platts!$E$5:$M$4994,MATCH(D$3,Platts!$F$5:$M$5,0)+1,FALSE),D2109)</f>
        <v>75.89</v>
      </c>
      <c r="E2110" s="6">
        <f>IFERROR(VLOOKUP($B2110,Platts!$E$5:$M$4994,MATCH(E$3,Platts!$F$5:$M$5,0)+1,FALSE),E2109)</f>
        <v>74.19</v>
      </c>
      <c r="F2110" s="6">
        <f>IFERROR(VLOOKUP($B2110,Platts!$E$5:$M$4994,MATCH(F$3,Platts!$F$5:$M$5,0)+1,FALSE),F2109)</f>
        <v>76.989999999999995</v>
      </c>
      <c r="G2110" s="6">
        <f>IFERROR(VLOOKUP($B2110,Platts!$E$5:$M$4994,MATCH(G$3,Platts!$F$5:$M$5,0)+1,FALSE),G2109)</f>
        <v>82.12</v>
      </c>
      <c r="H2110" s="6">
        <f>IFERROR(VLOOKUP($B2110,Platts!$E$5:$M$4994,MATCH(H$3,Platts!$F$5:$M$5,0)+1,FALSE),H2109)</f>
        <v>78.3</v>
      </c>
      <c r="I2110" s="6">
        <f>IFERROR(VLOOKUP($B2110,Platts!$E$5:$M$4994,MATCH(I$3,Platts!$F$5:$M$5,0)+1,FALSE),I2109)</f>
        <v>79.8</v>
      </c>
      <c r="J2110" s="6">
        <f t="shared" si="64"/>
        <v>4.0600000000000023</v>
      </c>
    </row>
    <row r="2111" spans="2:10" x14ac:dyDescent="0.25">
      <c r="B2111" s="5">
        <f t="shared" si="65"/>
        <v>44477</v>
      </c>
      <c r="C2111" s="6">
        <f>IFERROR(VLOOKUP($B2111,Platts!$E$5:$M$4994,MATCH(C$3,Platts!$F$5:$M$5,0)+1,FALSE),C2110)</f>
        <v>75.22</v>
      </c>
      <c r="D2111" s="6">
        <f>IFERROR(VLOOKUP($B2111,Platts!$E$5:$M$4994,MATCH(D$3,Platts!$F$5:$M$5,0)+1,FALSE),D2110)</f>
        <v>76.56</v>
      </c>
      <c r="E2111" s="6">
        <f>IFERROR(VLOOKUP($B2111,Platts!$E$5:$M$4994,MATCH(E$3,Platts!$F$5:$M$5,0)+1,FALSE),E2110)</f>
        <v>74.86</v>
      </c>
      <c r="F2111" s="6">
        <f>IFERROR(VLOOKUP($B2111,Platts!$E$5:$M$4994,MATCH(F$3,Platts!$F$5:$M$5,0)+1,FALSE),F2110)</f>
        <v>77.66</v>
      </c>
      <c r="G2111" s="6">
        <f>IFERROR(VLOOKUP($B2111,Platts!$E$5:$M$4994,MATCH(G$3,Platts!$F$5:$M$5,0)+1,FALSE),G2110)</f>
        <v>83.22</v>
      </c>
      <c r="H2111" s="6">
        <f>IFERROR(VLOOKUP($B2111,Platts!$E$5:$M$4994,MATCH(H$3,Platts!$F$5:$M$5,0)+1,FALSE),H2110)</f>
        <v>79.349999999999994</v>
      </c>
      <c r="I2111" s="6">
        <f>IFERROR(VLOOKUP($B2111,Platts!$E$5:$M$4994,MATCH(I$3,Platts!$F$5:$M$5,0)+1,FALSE),I2110)</f>
        <v>80.75</v>
      </c>
      <c r="J2111" s="6">
        <f t="shared" si="64"/>
        <v>4.1299999999999955</v>
      </c>
    </row>
    <row r="2112" spans="2:10" x14ac:dyDescent="0.25">
      <c r="B2112" s="5">
        <f t="shared" si="65"/>
        <v>44478</v>
      </c>
      <c r="C2112" s="6">
        <f>IFERROR(VLOOKUP($B2112,Platts!$E$5:$M$4994,MATCH(C$3,Platts!$F$5:$M$5,0)+1,FALSE),C2111)</f>
        <v>75.22</v>
      </c>
      <c r="D2112" s="6">
        <f>IFERROR(VLOOKUP($B2112,Platts!$E$5:$M$4994,MATCH(D$3,Platts!$F$5:$M$5,0)+1,FALSE),D2111)</f>
        <v>76.56</v>
      </c>
      <c r="E2112" s="6">
        <f>IFERROR(VLOOKUP($B2112,Platts!$E$5:$M$4994,MATCH(E$3,Platts!$F$5:$M$5,0)+1,FALSE),E2111)</f>
        <v>74.86</v>
      </c>
      <c r="F2112" s="6">
        <f>IFERROR(VLOOKUP($B2112,Platts!$E$5:$M$4994,MATCH(F$3,Platts!$F$5:$M$5,0)+1,FALSE),F2111)</f>
        <v>77.66</v>
      </c>
      <c r="G2112" s="6">
        <f>IFERROR(VLOOKUP($B2112,Platts!$E$5:$M$4994,MATCH(G$3,Platts!$F$5:$M$5,0)+1,FALSE),G2111)</f>
        <v>83.22</v>
      </c>
      <c r="H2112" s="6">
        <f>IFERROR(VLOOKUP($B2112,Platts!$E$5:$M$4994,MATCH(H$3,Platts!$F$5:$M$5,0)+1,FALSE),H2111)</f>
        <v>79.349999999999994</v>
      </c>
      <c r="I2112" s="6">
        <f>IFERROR(VLOOKUP($B2112,Platts!$E$5:$M$4994,MATCH(I$3,Platts!$F$5:$M$5,0)+1,FALSE),I2111)</f>
        <v>80.75</v>
      </c>
      <c r="J2112" s="6">
        <f t="shared" si="64"/>
        <v>4.1299999999999955</v>
      </c>
    </row>
    <row r="2113" spans="2:10" x14ac:dyDescent="0.25">
      <c r="B2113" s="5">
        <f t="shared" si="65"/>
        <v>44479</v>
      </c>
      <c r="C2113" s="6">
        <f>IFERROR(VLOOKUP($B2113,Platts!$E$5:$M$4994,MATCH(C$3,Platts!$F$5:$M$5,0)+1,FALSE),C2112)</f>
        <v>75.22</v>
      </c>
      <c r="D2113" s="6">
        <f>IFERROR(VLOOKUP($B2113,Platts!$E$5:$M$4994,MATCH(D$3,Platts!$F$5:$M$5,0)+1,FALSE),D2112)</f>
        <v>76.56</v>
      </c>
      <c r="E2113" s="6">
        <f>IFERROR(VLOOKUP($B2113,Platts!$E$5:$M$4994,MATCH(E$3,Platts!$F$5:$M$5,0)+1,FALSE),E2112)</f>
        <v>74.86</v>
      </c>
      <c r="F2113" s="6">
        <f>IFERROR(VLOOKUP($B2113,Platts!$E$5:$M$4994,MATCH(F$3,Platts!$F$5:$M$5,0)+1,FALSE),F2112)</f>
        <v>77.66</v>
      </c>
      <c r="G2113" s="6">
        <f>IFERROR(VLOOKUP($B2113,Platts!$E$5:$M$4994,MATCH(G$3,Platts!$F$5:$M$5,0)+1,FALSE),G2112)</f>
        <v>83.22</v>
      </c>
      <c r="H2113" s="6">
        <f>IFERROR(VLOOKUP($B2113,Platts!$E$5:$M$4994,MATCH(H$3,Platts!$F$5:$M$5,0)+1,FALSE),H2112)</f>
        <v>79.349999999999994</v>
      </c>
      <c r="I2113" s="6">
        <f>IFERROR(VLOOKUP($B2113,Platts!$E$5:$M$4994,MATCH(I$3,Platts!$F$5:$M$5,0)+1,FALSE),I2112)</f>
        <v>80.75</v>
      </c>
      <c r="J2113" s="6">
        <f t="shared" si="64"/>
        <v>4.1299999999999955</v>
      </c>
    </row>
    <row r="2114" spans="2:10" x14ac:dyDescent="0.25">
      <c r="B2114" s="5">
        <f t="shared" si="65"/>
        <v>44480</v>
      </c>
      <c r="C2114" s="6">
        <f>IFERROR(VLOOKUP($B2114,Platts!$E$5:$M$4994,MATCH(C$3,Platts!$F$5:$M$5,0)+1,FALSE),C2113)</f>
        <v>76.27</v>
      </c>
      <c r="D2114" s="6">
        <f>IFERROR(VLOOKUP($B2114,Platts!$E$5:$M$4994,MATCH(D$3,Platts!$F$5:$M$5,0)+1,FALSE),D2113)</f>
        <v>77.5</v>
      </c>
      <c r="E2114" s="6">
        <f>IFERROR(VLOOKUP($B2114,Platts!$E$5:$M$4994,MATCH(E$3,Platts!$F$5:$M$5,0)+1,FALSE),E2113)</f>
        <v>75.8</v>
      </c>
      <c r="F2114" s="6">
        <f>IFERROR(VLOOKUP($B2114,Platts!$E$5:$M$4994,MATCH(F$3,Platts!$F$5:$M$5,0)+1,FALSE),F2113)</f>
        <v>78.599999999999994</v>
      </c>
      <c r="G2114" s="6">
        <f>IFERROR(VLOOKUP($B2114,Platts!$E$5:$M$4994,MATCH(G$3,Platts!$F$5:$M$5,0)+1,FALSE),G2113)</f>
        <v>84.25</v>
      </c>
      <c r="H2114" s="6">
        <f>IFERROR(VLOOKUP($B2114,Platts!$E$5:$M$4994,MATCH(H$3,Platts!$F$5:$M$5,0)+1,FALSE),H2113)</f>
        <v>80.52</v>
      </c>
      <c r="I2114" s="6">
        <f>IFERROR(VLOOKUP($B2114,Platts!$E$5:$M$4994,MATCH(I$3,Platts!$F$5:$M$5,0)+1,FALSE),I2113)</f>
        <v>81.72</v>
      </c>
      <c r="J2114" s="6">
        <f t="shared" si="64"/>
        <v>4.25</v>
      </c>
    </row>
    <row r="2115" spans="2:10" x14ac:dyDescent="0.25">
      <c r="B2115" s="5">
        <f t="shared" si="65"/>
        <v>44481</v>
      </c>
      <c r="C2115" s="6">
        <f>IFERROR(VLOOKUP($B2115,Platts!$E$5:$M$4994,MATCH(C$3,Platts!$F$5:$M$5,0)+1,FALSE),C2114)</f>
        <v>76.27</v>
      </c>
      <c r="D2115" s="6">
        <f>IFERROR(VLOOKUP($B2115,Platts!$E$5:$M$4994,MATCH(D$3,Platts!$F$5:$M$5,0)+1,FALSE),D2114)</f>
        <v>77.430000000000007</v>
      </c>
      <c r="E2115" s="6">
        <f>IFERROR(VLOOKUP($B2115,Platts!$E$5:$M$4994,MATCH(E$3,Platts!$F$5:$M$5,0)+1,FALSE),E2114)</f>
        <v>75.73</v>
      </c>
      <c r="F2115" s="6">
        <f>IFERROR(VLOOKUP($B2115,Platts!$E$5:$M$4994,MATCH(F$3,Platts!$F$5:$M$5,0)+1,FALSE),F2114)</f>
        <v>78.53</v>
      </c>
      <c r="G2115" s="6">
        <f>IFERROR(VLOOKUP($B2115,Platts!$E$5:$M$4994,MATCH(G$3,Platts!$F$5:$M$5,0)+1,FALSE),G2114)</f>
        <v>83.52</v>
      </c>
      <c r="H2115" s="6">
        <f>IFERROR(VLOOKUP($B2115,Platts!$E$5:$M$4994,MATCH(H$3,Platts!$F$5:$M$5,0)+1,FALSE),H2114)</f>
        <v>80.64</v>
      </c>
      <c r="I2115" s="6">
        <f>IFERROR(VLOOKUP($B2115,Platts!$E$5:$M$4994,MATCH(I$3,Platts!$F$5:$M$5,0)+1,FALSE),I2114)</f>
        <v>81.739999999999995</v>
      </c>
      <c r="J2115" s="6">
        <f t="shared" si="64"/>
        <v>4.3700000000000045</v>
      </c>
    </row>
    <row r="2116" spans="2:10" x14ac:dyDescent="0.25">
      <c r="B2116" s="5">
        <f t="shared" si="65"/>
        <v>44482</v>
      </c>
      <c r="C2116" s="6">
        <f>IFERROR(VLOOKUP($B2116,Platts!$E$5:$M$4994,MATCH(C$3,Platts!$F$5:$M$5,0)+1,FALSE),C2115)</f>
        <v>75.849999999999994</v>
      </c>
      <c r="D2116" s="6">
        <f>IFERROR(VLOOKUP($B2116,Platts!$E$5:$M$4994,MATCH(D$3,Platts!$F$5:$M$5,0)+1,FALSE),D2115)</f>
        <v>77.19</v>
      </c>
      <c r="E2116" s="6">
        <f>IFERROR(VLOOKUP($B2116,Platts!$E$5:$M$4994,MATCH(E$3,Platts!$F$5:$M$5,0)+1,FALSE),E2115)</f>
        <v>75.489999999999995</v>
      </c>
      <c r="F2116" s="6">
        <f>IFERROR(VLOOKUP($B2116,Platts!$E$5:$M$4994,MATCH(F$3,Platts!$F$5:$M$5,0)+1,FALSE),F2115)</f>
        <v>78.290000000000006</v>
      </c>
      <c r="G2116" s="6">
        <f>IFERROR(VLOOKUP($B2116,Platts!$E$5:$M$4994,MATCH(G$3,Platts!$F$5:$M$5,0)+1,FALSE),G2115)</f>
        <v>83.39</v>
      </c>
      <c r="H2116" s="6">
        <f>IFERROR(VLOOKUP($B2116,Platts!$E$5:$M$4994,MATCH(H$3,Platts!$F$5:$M$5,0)+1,FALSE),H2115)</f>
        <v>80.44</v>
      </c>
      <c r="I2116" s="6">
        <f>IFERROR(VLOOKUP($B2116,Platts!$E$5:$M$4994,MATCH(I$3,Platts!$F$5:$M$5,0)+1,FALSE),I2115)</f>
        <v>81.489999999999995</v>
      </c>
      <c r="J2116" s="6">
        <f t="shared" ref="J2116:J2179" si="66">H2116-C2116</f>
        <v>4.5900000000000034</v>
      </c>
    </row>
    <row r="2117" spans="2:10" x14ac:dyDescent="0.25">
      <c r="B2117" s="5">
        <f t="shared" si="65"/>
        <v>44483</v>
      </c>
      <c r="C2117" s="6">
        <f>IFERROR(VLOOKUP($B2117,Platts!$E$5:$M$4994,MATCH(C$3,Platts!$F$5:$M$5,0)+1,FALSE),C2116)</f>
        <v>76.709999999999994</v>
      </c>
      <c r="D2117" s="6">
        <f>IFERROR(VLOOKUP($B2117,Platts!$E$5:$M$4994,MATCH(D$3,Platts!$F$5:$M$5,0)+1,FALSE),D2116)</f>
        <v>78.069999999999993</v>
      </c>
      <c r="E2117" s="6">
        <f>IFERROR(VLOOKUP($B2117,Platts!$E$5:$M$4994,MATCH(E$3,Platts!$F$5:$M$5,0)+1,FALSE),E2116)</f>
        <v>76.37</v>
      </c>
      <c r="F2117" s="6">
        <f>IFERROR(VLOOKUP($B2117,Platts!$E$5:$M$4994,MATCH(F$3,Platts!$F$5:$M$5,0)+1,FALSE),F2116)</f>
        <v>79.17</v>
      </c>
      <c r="G2117" s="6">
        <f>IFERROR(VLOOKUP($B2117,Platts!$E$5:$M$4994,MATCH(G$3,Platts!$F$5:$M$5,0)+1,FALSE),G2116)</f>
        <v>83.52</v>
      </c>
      <c r="H2117" s="6">
        <f>IFERROR(VLOOKUP($B2117,Platts!$E$5:$M$4994,MATCH(H$3,Platts!$F$5:$M$5,0)+1,FALSE),H2116)</f>
        <v>81.31</v>
      </c>
      <c r="I2117" s="6">
        <f>IFERROR(VLOOKUP($B2117,Platts!$E$5:$M$4994,MATCH(I$3,Platts!$F$5:$M$5,0)+1,FALSE),I2116)</f>
        <v>82.41</v>
      </c>
      <c r="J2117" s="6">
        <f t="shared" si="66"/>
        <v>4.6000000000000085</v>
      </c>
    </row>
    <row r="2118" spans="2:10" x14ac:dyDescent="0.25">
      <c r="B2118" s="5">
        <f t="shared" ref="B2118:B2181" si="67">B2117+1</f>
        <v>44484</v>
      </c>
      <c r="C2118" s="6">
        <f>IFERROR(VLOOKUP($B2118,Platts!$E$5:$M$4994,MATCH(C$3,Platts!$F$5:$M$5,0)+1,FALSE),C2117)</f>
        <v>77.599999999999994</v>
      </c>
      <c r="D2118" s="6">
        <f>IFERROR(VLOOKUP($B2118,Platts!$E$5:$M$4994,MATCH(D$3,Platts!$F$5:$M$5,0)+1,FALSE),D2117)</f>
        <v>79</v>
      </c>
      <c r="E2118" s="6">
        <f>IFERROR(VLOOKUP($B2118,Platts!$E$5:$M$4994,MATCH(E$3,Platts!$F$5:$M$5,0)+1,FALSE),E2117)</f>
        <v>77.3</v>
      </c>
      <c r="F2118" s="6">
        <f>IFERROR(VLOOKUP($B2118,Platts!$E$5:$M$4994,MATCH(F$3,Platts!$F$5:$M$5,0)+1,FALSE),F2117)</f>
        <v>80.099999999999994</v>
      </c>
      <c r="G2118" s="6">
        <f>IFERROR(VLOOKUP($B2118,Platts!$E$5:$M$4994,MATCH(G$3,Platts!$F$5:$M$5,0)+1,FALSE),G2117)</f>
        <v>84.95</v>
      </c>
      <c r="H2118" s="6">
        <f>IFERROR(VLOOKUP($B2118,Platts!$E$5:$M$4994,MATCH(H$3,Platts!$F$5:$M$5,0)+1,FALSE),H2117)</f>
        <v>82.28</v>
      </c>
      <c r="I2118" s="6">
        <f>IFERROR(VLOOKUP($B2118,Platts!$E$5:$M$4994,MATCH(I$3,Platts!$F$5:$M$5,0)+1,FALSE),I2117)</f>
        <v>83.23</v>
      </c>
      <c r="J2118" s="6">
        <f t="shared" si="66"/>
        <v>4.6800000000000068</v>
      </c>
    </row>
    <row r="2119" spans="2:10" x14ac:dyDescent="0.25">
      <c r="B2119" s="5">
        <f t="shared" si="67"/>
        <v>44485</v>
      </c>
      <c r="C2119" s="6">
        <f>IFERROR(VLOOKUP($B2119,Platts!$E$5:$M$4994,MATCH(C$3,Platts!$F$5:$M$5,0)+1,FALSE),C2118)</f>
        <v>77.599999999999994</v>
      </c>
      <c r="D2119" s="6">
        <f>IFERROR(VLOOKUP($B2119,Platts!$E$5:$M$4994,MATCH(D$3,Platts!$F$5:$M$5,0)+1,FALSE),D2118)</f>
        <v>79</v>
      </c>
      <c r="E2119" s="6">
        <f>IFERROR(VLOOKUP($B2119,Platts!$E$5:$M$4994,MATCH(E$3,Platts!$F$5:$M$5,0)+1,FALSE),E2118)</f>
        <v>77.3</v>
      </c>
      <c r="F2119" s="6">
        <f>IFERROR(VLOOKUP($B2119,Platts!$E$5:$M$4994,MATCH(F$3,Platts!$F$5:$M$5,0)+1,FALSE),F2118)</f>
        <v>80.099999999999994</v>
      </c>
      <c r="G2119" s="6">
        <f>IFERROR(VLOOKUP($B2119,Platts!$E$5:$M$4994,MATCH(G$3,Platts!$F$5:$M$5,0)+1,FALSE),G2118)</f>
        <v>84.95</v>
      </c>
      <c r="H2119" s="6">
        <f>IFERROR(VLOOKUP($B2119,Platts!$E$5:$M$4994,MATCH(H$3,Platts!$F$5:$M$5,0)+1,FALSE),H2118)</f>
        <v>82.28</v>
      </c>
      <c r="I2119" s="6">
        <f>IFERROR(VLOOKUP($B2119,Platts!$E$5:$M$4994,MATCH(I$3,Platts!$F$5:$M$5,0)+1,FALSE),I2118)</f>
        <v>83.23</v>
      </c>
      <c r="J2119" s="6">
        <f t="shared" si="66"/>
        <v>4.6800000000000068</v>
      </c>
    </row>
    <row r="2120" spans="2:10" x14ac:dyDescent="0.25">
      <c r="B2120" s="5">
        <f t="shared" si="67"/>
        <v>44486</v>
      </c>
      <c r="C2120" s="6">
        <f>IFERROR(VLOOKUP($B2120,Platts!$E$5:$M$4994,MATCH(C$3,Platts!$F$5:$M$5,0)+1,FALSE),C2119)</f>
        <v>77.599999999999994</v>
      </c>
      <c r="D2120" s="6">
        <f>IFERROR(VLOOKUP($B2120,Platts!$E$5:$M$4994,MATCH(D$3,Platts!$F$5:$M$5,0)+1,FALSE),D2119)</f>
        <v>79</v>
      </c>
      <c r="E2120" s="6">
        <f>IFERROR(VLOOKUP($B2120,Platts!$E$5:$M$4994,MATCH(E$3,Platts!$F$5:$M$5,0)+1,FALSE),E2119)</f>
        <v>77.3</v>
      </c>
      <c r="F2120" s="6">
        <f>IFERROR(VLOOKUP($B2120,Platts!$E$5:$M$4994,MATCH(F$3,Platts!$F$5:$M$5,0)+1,FALSE),F2119)</f>
        <v>80.099999999999994</v>
      </c>
      <c r="G2120" s="6">
        <f>IFERROR(VLOOKUP($B2120,Platts!$E$5:$M$4994,MATCH(G$3,Platts!$F$5:$M$5,0)+1,FALSE),G2119)</f>
        <v>84.95</v>
      </c>
      <c r="H2120" s="6">
        <f>IFERROR(VLOOKUP($B2120,Platts!$E$5:$M$4994,MATCH(H$3,Platts!$F$5:$M$5,0)+1,FALSE),H2119)</f>
        <v>82.28</v>
      </c>
      <c r="I2120" s="6">
        <f>IFERROR(VLOOKUP($B2120,Platts!$E$5:$M$4994,MATCH(I$3,Platts!$F$5:$M$5,0)+1,FALSE),I2119)</f>
        <v>83.23</v>
      </c>
      <c r="J2120" s="6">
        <f t="shared" si="66"/>
        <v>4.6800000000000068</v>
      </c>
    </row>
    <row r="2121" spans="2:10" x14ac:dyDescent="0.25">
      <c r="B2121" s="5">
        <f t="shared" si="67"/>
        <v>44487</v>
      </c>
      <c r="C2121" s="6">
        <f>IFERROR(VLOOKUP($B2121,Platts!$E$5:$M$4994,MATCH(C$3,Platts!$F$5:$M$5,0)+1,FALSE),C2120)</f>
        <v>77.36</v>
      </c>
      <c r="D2121" s="6">
        <f>IFERROR(VLOOKUP($B2121,Platts!$E$5:$M$4994,MATCH(D$3,Platts!$F$5:$M$5,0)+1,FALSE),D2120)</f>
        <v>78.790000000000006</v>
      </c>
      <c r="E2121" s="6">
        <f>IFERROR(VLOOKUP($B2121,Platts!$E$5:$M$4994,MATCH(E$3,Platts!$F$5:$M$5,0)+1,FALSE),E2120)</f>
        <v>77.09</v>
      </c>
      <c r="F2121" s="6">
        <f>IFERROR(VLOOKUP($B2121,Platts!$E$5:$M$4994,MATCH(F$3,Platts!$F$5:$M$5,0)+1,FALSE),F2120)</f>
        <v>79.89</v>
      </c>
      <c r="G2121" s="6">
        <f>IFERROR(VLOOKUP($B2121,Platts!$E$5:$M$4994,MATCH(G$3,Platts!$F$5:$M$5,0)+1,FALSE),G2120)</f>
        <v>84.78</v>
      </c>
      <c r="H2121" s="6">
        <f>IFERROR(VLOOKUP($B2121,Platts!$E$5:$M$4994,MATCH(H$3,Platts!$F$5:$M$5,0)+1,FALSE),H2120)</f>
        <v>82.44</v>
      </c>
      <c r="I2121" s="6">
        <f>IFERROR(VLOOKUP($B2121,Platts!$E$5:$M$4994,MATCH(I$3,Platts!$F$5:$M$5,0)+1,FALSE),I2120)</f>
        <v>83.29</v>
      </c>
      <c r="J2121" s="6">
        <f t="shared" si="66"/>
        <v>5.0799999999999983</v>
      </c>
    </row>
    <row r="2122" spans="2:10" x14ac:dyDescent="0.25">
      <c r="B2122" s="5">
        <f t="shared" si="67"/>
        <v>44488</v>
      </c>
      <c r="C2122" s="6">
        <f>IFERROR(VLOOKUP($B2122,Platts!$E$5:$M$4994,MATCH(C$3,Platts!$F$5:$M$5,0)+1,FALSE),C2121)</f>
        <v>77.78</v>
      </c>
      <c r="D2122" s="6">
        <f>IFERROR(VLOOKUP($B2122,Platts!$E$5:$M$4994,MATCH(D$3,Platts!$F$5:$M$5,0)+1,FALSE),D2121)</f>
        <v>79.2</v>
      </c>
      <c r="E2122" s="6">
        <f>IFERROR(VLOOKUP($B2122,Platts!$E$5:$M$4994,MATCH(E$3,Platts!$F$5:$M$5,0)+1,FALSE),E2121)</f>
        <v>77.5</v>
      </c>
      <c r="F2122" s="6">
        <f>IFERROR(VLOOKUP($B2122,Platts!$E$5:$M$4994,MATCH(F$3,Platts!$F$5:$M$5,0)+1,FALSE),F2121)</f>
        <v>80.3</v>
      </c>
      <c r="G2122" s="6">
        <f>IFERROR(VLOOKUP($B2122,Platts!$E$5:$M$4994,MATCH(G$3,Platts!$F$5:$M$5,0)+1,FALSE),G2121)</f>
        <v>85.09</v>
      </c>
      <c r="H2122" s="6">
        <f>IFERROR(VLOOKUP($B2122,Platts!$E$5:$M$4994,MATCH(H$3,Platts!$F$5:$M$5,0)+1,FALSE),H2121)</f>
        <v>82.96</v>
      </c>
      <c r="I2122" s="6">
        <f>IFERROR(VLOOKUP($B2122,Platts!$E$5:$M$4994,MATCH(I$3,Platts!$F$5:$M$5,0)+1,FALSE),I2121)</f>
        <v>83.81</v>
      </c>
      <c r="J2122" s="6">
        <f t="shared" si="66"/>
        <v>5.1799999999999926</v>
      </c>
    </row>
    <row r="2123" spans="2:10" x14ac:dyDescent="0.25">
      <c r="B2123" s="5">
        <f t="shared" si="67"/>
        <v>44489</v>
      </c>
      <c r="C2123" s="6">
        <f>IFERROR(VLOOKUP($B2123,Platts!$E$5:$M$4994,MATCH(C$3,Platts!$F$5:$M$5,0)+1,FALSE),C2122)</f>
        <v>78.47</v>
      </c>
      <c r="D2123" s="6">
        <f>IFERROR(VLOOKUP($B2123,Platts!$E$5:$M$4994,MATCH(D$3,Platts!$F$5:$M$5,0)+1,FALSE),D2122)</f>
        <v>80.150000000000006</v>
      </c>
      <c r="E2123" s="6">
        <f>IFERROR(VLOOKUP($B2123,Platts!$E$5:$M$4994,MATCH(E$3,Platts!$F$5:$M$5,0)+1,FALSE),E2122)</f>
        <v>78.45</v>
      </c>
      <c r="F2123" s="6">
        <f>IFERROR(VLOOKUP($B2123,Platts!$E$5:$M$4994,MATCH(F$3,Platts!$F$5:$M$5,0)+1,FALSE),F2122)</f>
        <v>81.25</v>
      </c>
      <c r="G2123" s="6">
        <f>IFERROR(VLOOKUP($B2123,Platts!$E$5:$M$4994,MATCH(G$3,Platts!$F$5:$M$5,0)+1,FALSE),G2122)</f>
        <v>85.33</v>
      </c>
      <c r="H2123" s="6">
        <f>IFERROR(VLOOKUP($B2123,Platts!$E$5:$M$4994,MATCH(H$3,Platts!$F$5:$M$5,0)+1,FALSE),H2122)</f>
        <v>83.87</v>
      </c>
      <c r="I2123" s="6">
        <f>IFERROR(VLOOKUP($B2123,Platts!$E$5:$M$4994,MATCH(I$3,Platts!$F$5:$M$5,0)+1,FALSE),I2122)</f>
        <v>84.77</v>
      </c>
      <c r="J2123" s="6">
        <f t="shared" si="66"/>
        <v>5.4000000000000057</v>
      </c>
    </row>
    <row r="2124" spans="2:10" x14ac:dyDescent="0.25">
      <c r="B2124" s="5">
        <f t="shared" si="67"/>
        <v>44490</v>
      </c>
      <c r="C2124" s="6">
        <f>IFERROR(VLOOKUP($B2124,Platts!$E$5:$M$4994,MATCH(C$3,Platts!$F$5:$M$5,0)+1,FALSE),C2123)</f>
        <v>77.64</v>
      </c>
      <c r="D2124" s="6">
        <f>IFERROR(VLOOKUP($B2124,Platts!$E$5:$M$4994,MATCH(D$3,Platts!$F$5:$M$5,0)+1,FALSE),D2123)</f>
        <v>79.319999999999993</v>
      </c>
      <c r="E2124" s="6">
        <f>IFERROR(VLOOKUP($B2124,Platts!$E$5:$M$4994,MATCH(E$3,Platts!$F$5:$M$5,0)+1,FALSE),E2123)</f>
        <v>77.62</v>
      </c>
      <c r="F2124" s="6">
        <f>IFERROR(VLOOKUP($B2124,Platts!$E$5:$M$4994,MATCH(F$3,Platts!$F$5:$M$5,0)+1,FALSE),F2123)</f>
        <v>80.42</v>
      </c>
      <c r="G2124" s="6">
        <f>IFERROR(VLOOKUP($B2124,Platts!$E$5:$M$4994,MATCH(G$3,Platts!$F$5:$M$5,0)+1,FALSE),G2123)</f>
        <v>83.78</v>
      </c>
      <c r="H2124" s="6">
        <f>IFERROR(VLOOKUP($B2124,Platts!$E$5:$M$4994,MATCH(H$3,Platts!$F$5:$M$5,0)+1,FALSE),H2123)</f>
        <v>83.25</v>
      </c>
      <c r="I2124" s="6">
        <f>IFERROR(VLOOKUP($B2124,Platts!$E$5:$M$4994,MATCH(I$3,Platts!$F$5:$M$5,0)+1,FALSE),I2123)</f>
        <v>84.15</v>
      </c>
      <c r="J2124" s="6">
        <f t="shared" si="66"/>
        <v>5.6099999999999994</v>
      </c>
    </row>
    <row r="2125" spans="2:10" x14ac:dyDescent="0.25">
      <c r="B2125" s="5">
        <f t="shared" si="67"/>
        <v>44491</v>
      </c>
      <c r="C2125" s="6">
        <f>IFERROR(VLOOKUP($B2125,Platts!$E$5:$M$4994,MATCH(C$3,Platts!$F$5:$M$5,0)+1,FALSE),C2124)</f>
        <v>78.52</v>
      </c>
      <c r="D2125" s="6">
        <f>IFERROR(VLOOKUP($B2125,Platts!$E$5:$M$4994,MATCH(D$3,Platts!$F$5:$M$5,0)+1,FALSE),D2124)</f>
        <v>80.36</v>
      </c>
      <c r="E2125" s="6">
        <f>IFERROR(VLOOKUP($B2125,Platts!$E$5:$M$4994,MATCH(E$3,Platts!$F$5:$M$5,0)+1,FALSE),E2124)</f>
        <v>78.66</v>
      </c>
      <c r="F2125" s="6">
        <f>IFERROR(VLOOKUP($B2125,Platts!$E$5:$M$4994,MATCH(F$3,Platts!$F$5:$M$5,0)+1,FALSE),F2124)</f>
        <v>81.459999999999994</v>
      </c>
      <c r="G2125" s="6">
        <f>IFERROR(VLOOKUP($B2125,Platts!$E$5:$M$4994,MATCH(G$3,Platts!$F$5:$M$5,0)+1,FALSE),G2124)</f>
        <v>85.12</v>
      </c>
      <c r="H2125" s="6">
        <f>IFERROR(VLOOKUP($B2125,Platts!$E$5:$M$4994,MATCH(H$3,Platts!$F$5:$M$5,0)+1,FALSE),H2124)</f>
        <v>84.56</v>
      </c>
      <c r="I2125" s="6">
        <f>IFERROR(VLOOKUP($B2125,Platts!$E$5:$M$4994,MATCH(I$3,Platts!$F$5:$M$5,0)+1,FALSE),I2124)</f>
        <v>85.26</v>
      </c>
      <c r="J2125" s="6">
        <f t="shared" si="66"/>
        <v>6.0400000000000063</v>
      </c>
    </row>
    <row r="2126" spans="2:10" x14ac:dyDescent="0.25">
      <c r="B2126" s="5">
        <f t="shared" si="67"/>
        <v>44492</v>
      </c>
      <c r="C2126" s="6">
        <f>IFERROR(VLOOKUP($B2126,Platts!$E$5:$M$4994,MATCH(C$3,Platts!$F$5:$M$5,0)+1,FALSE),C2125)</f>
        <v>78.52</v>
      </c>
      <c r="D2126" s="6">
        <f>IFERROR(VLOOKUP($B2126,Platts!$E$5:$M$4994,MATCH(D$3,Platts!$F$5:$M$5,0)+1,FALSE),D2125)</f>
        <v>80.36</v>
      </c>
      <c r="E2126" s="6">
        <f>IFERROR(VLOOKUP($B2126,Platts!$E$5:$M$4994,MATCH(E$3,Platts!$F$5:$M$5,0)+1,FALSE),E2125)</f>
        <v>78.66</v>
      </c>
      <c r="F2126" s="6">
        <f>IFERROR(VLOOKUP($B2126,Platts!$E$5:$M$4994,MATCH(F$3,Platts!$F$5:$M$5,0)+1,FALSE),F2125)</f>
        <v>81.459999999999994</v>
      </c>
      <c r="G2126" s="6">
        <f>IFERROR(VLOOKUP($B2126,Platts!$E$5:$M$4994,MATCH(G$3,Platts!$F$5:$M$5,0)+1,FALSE),G2125)</f>
        <v>85.12</v>
      </c>
      <c r="H2126" s="6">
        <f>IFERROR(VLOOKUP($B2126,Platts!$E$5:$M$4994,MATCH(H$3,Platts!$F$5:$M$5,0)+1,FALSE),H2125)</f>
        <v>84.56</v>
      </c>
      <c r="I2126" s="6">
        <f>IFERROR(VLOOKUP($B2126,Platts!$E$5:$M$4994,MATCH(I$3,Platts!$F$5:$M$5,0)+1,FALSE),I2125)</f>
        <v>85.26</v>
      </c>
      <c r="J2126" s="6">
        <f t="shared" si="66"/>
        <v>6.0400000000000063</v>
      </c>
    </row>
    <row r="2127" spans="2:10" x14ac:dyDescent="0.25">
      <c r="B2127" s="5">
        <f t="shared" si="67"/>
        <v>44493</v>
      </c>
      <c r="C2127" s="6">
        <f>IFERROR(VLOOKUP($B2127,Platts!$E$5:$M$4994,MATCH(C$3,Platts!$F$5:$M$5,0)+1,FALSE),C2126)</f>
        <v>78.52</v>
      </c>
      <c r="D2127" s="6">
        <f>IFERROR(VLOOKUP($B2127,Platts!$E$5:$M$4994,MATCH(D$3,Platts!$F$5:$M$5,0)+1,FALSE),D2126)</f>
        <v>80.36</v>
      </c>
      <c r="E2127" s="6">
        <f>IFERROR(VLOOKUP($B2127,Platts!$E$5:$M$4994,MATCH(E$3,Platts!$F$5:$M$5,0)+1,FALSE),E2126)</f>
        <v>78.66</v>
      </c>
      <c r="F2127" s="6">
        <f>IFERROR(VLOOKUP($B2127,Platts!$E$5:$M$4994,MATCH(F$3,Platts!$F$5:$M$5,0)+1,FALSE),F2126)</f>
        <v>81.459999999999994</v>
      </c>
      <c r="G2127" s="6">
        <f>IFERROR(VLOOKUP($B2127,Platts!$E$5:$M$4994,MATCH(G$3,Platts!$F$5:$M$5,0)+1,FALSE),G2126)</f>
        <v>85.12</v>
      </c>
      <c r="H2127" s="6">
        <f>IFERROR(VLOOKUP($B2127,Platts!$E$5:$M$4994,MATCH(H$3,Platts!$F$5:$M$5,0)+1,FALSE),H2126)</f>
        <v>84.56</v>
      </c>
      <c r="I2127" s="6">
        <f>IFERROR(VLOOKUP($B2127,Platts!$E$5:$M$4994,MATCH(I$3,Platts!$F$5:$M$5,0)+1,FALSE),I2126)</f>
        <v>85.26</v>
      </c>
      <c r="J2127" s="6">
        <f t="shared" si="66"/>
        <v>6.0400000000000063</v>
      </c>
    </row>
    <row r="2128" spans="2:10" x14ac:dyDescent="0.25">
      <c r="B2128" s="5">
        <f t="shared" si="67"/>
        <v>44494</v>
      </c>
      <c r="C2128" s="6">
        <f>IFERROR(VLOOKUP($B2128,Platts!$E$5:$M$4994,MATCH(C$3,Platts!$F$5:$M$5,0)+1,FALSE),C2127)</f>
        <v>78.900000000000006</v>
      </c>
      <c r="D2128" s="6">
        <f>IFERROR(VLOOKUP($B2128,Platts!$E$5:$M$4994,MATCH(D$3,Platts!$F$5:$M$5,0)+1,FALSE),D2127)</f>
        <v>80.23</v>
      </c>
      <c r="E2128" s="6">
        <f>IFERROR(VLOOKUP($B2128,Platts!$E$5:$M$4994,MATCH(E$3,Platts!$F$5:$M$5,0)+1,FALSE),E2127)</f>
        <v>78.53</v>
      </c>
      <c r="F2128" s="6">
        <f>IFERROR(VLOOKUP($B2128,Platts!$E$5:$M$4994,MATCH(F$3,Platts!$F$5:$M$5,0)+1,FALSE),F2127)</f>
        <v>81.33</v>
      </c>
      <c r="G2128" s="6">
        <f>IFERROR(VLOOKUP($B2128,Platts!$E$5:$M$4994,MATCH(G$3,Platts!$F$5:$M$5,0)+1,FALSE),G2127)</f>
        <v>86.72</v>
      </c>
      <c r="H2128" s="6">
        <f>IFERROR(VLOOKUP($B2128,Platts!$E$5:$M$4994,MATCH(H$3,Platts!$F$5:$M$5,0)+1,FALSE),H2127)</f>
        <v>84.46</v>
      </c>
      <c r="I2128" s="6">
        <f>IFERROR(VLOOKUP($B2128,Platts!$E$5:$M$4994,MATCH(I$3,Platts!$F$5:$M$5,0)+1,FALSE),I2127)</f>
        <v>84.81</v>
      </c>
      <c r="J2128" s="6">
        <f t="shared" si="66"/>
        <v>5.5599999999999881</v>
      </c>
    </row>
    <row r="2129" spans="2:10" x14ac:dyDescent="0.25">
      <c r="B2129" s="5">
        <f t="shared" si="67"/>
        <v>44495</v>
      </c>
      <c r="C2129" s="6">
        <f>IFERROR(VLOOKUP($B2129,Platts!$E$5:$M$4994,MATCH(C$3,Platts!$F$5:$M$5,0)+1,FALSE),C2128)</f>
        <v>79.22</v>
      </c>
      <c r="D2129" s="6">
        <f>IFERROR(VLOOKUP($B2129,Platts!$E$5:$M$4994,MATCH(D$3,Platts!$F$5:$M$5,0)+1,FALSE),D2128)</f>
        <v>80.790000000000006</v>
      </c>
      <c r="E2129" s="6">
        <f>IFERROR(VLOOKUP($B2129,Platts!$E$5:$M$4994,MATCH(E$3,Platts!$F$5:$M$5,0)+1,FALSE),E2128)</f>
        <v>79.09</v>
      </c>
      <c r="F2129" s="6">
        <f>IFERROR(VLOOKUP($B2129,Platts!$E$5:$M$4994,MATCH(F$3,Platts!$F$5:$M$5,0)+1,FALSE),F2128)</f>
        <v>81.89</v>
      </c>
      <c r="G2129" s="6">
        <f>IFERROR(VLOOKUP($B2129,Platts!$E$5:$M$4994,MATCH(G$3,Platts!$F$5:$M$5,0)+1,FALSE),G2128)</f>
        <v>86.45</v>
      </c>
      <c r="H2129" s="6">
        <f>IFERROR(VLOOKUP($B2129,Platts!$E$5:$M$4994,MATCH(H$3,Platts!$F$5:$M$5,0)+1,FALSE),H2128)</f>
        <v>84.65</v>
      </c>
      <c r="I2129" s="6">
        <f>IFERROR(VLOOKUP($B2129,Platts!$E$5:$M$4994,MATCH(I$3,Platts!$F$5:$M$5,0)+1,FALSE),I2128)</f>
        <v>85.2</v>
      </c>
      <c r="J2129" s="6">
        <f t="shared" si="66"/>
        <v>5.4300000000000068</v>
      </c>
    </row>
    <row r="2130" spans="2:10" x14ac:dyDescent="0.25">
      <c r="B2130" s="5">
        <f t="shared" si="67"/>
        <v>44496</v>
      </c>
      <c r="C2130" s="6">
        <f>IFERROR(VLOOKUP($B2130,Platts!$E$5:$M$4994,MATCH(C$3,Platts!$F$5:$M$5,0)+1,FALSE),C2129)</f>
        <v>77.47</v>
      </c>
      <c r="D2130" s="6">
        <f>IFERROR(VLOOKUP($B2130,Platts!$E$5:$M$4994,MATCH(D$3,Platts!$F$5:$M$5,0)+1,FALSE),D2129)</f>
        <v>78.86</v>
      </c>
      <c r="E2130" s="6">
        <f>IFERROR(VLOOKUP($B2130,Platts!$E$5:$M$4994,MATCH(E$3,Platts!$F$5:$M$5,0)+1,FALSE),E2129)</f>
        <v>77.16</v>
      </c>
      <c r="F2130" s="6">
        <f>IFERROR(VLOOKUP($B2130,Platts!$E$5:$M$4994,MATCH(F$3,Platts!$F$5:$M$5,0)+1,FALSE),F2129)</f>
        <v>79.959999999999994</v>
      </c>
      <c r="G2130" s="6">
        <f>IFERROR(VLOOKUP($B2130,Platts!$E$5:$M$4994,MATCH(G$3,Platts!$F$5:$M$5,0)+1,FALSE),G2129)</f>
        <v>84.98</v>
      </c>
      <c r="H2130" s="6">
        <f>IFERROR(VLOOKUP($B2130,Platts!$E$5:$M$4994,MATCH(H$3,Platts!$F$5:$M$5,0)+1,FALSE),H2129)</f>
        <v>82.66</v>
      </c>
      <c r="I2130" s="6">
        <f>IFERROR(VLOOKUP($B2130,Platts!$E$5:$M$4994,MATCH(I$3,Platts!$F$5:$M$5,0)+1,FALSE),I2129)</f>
        <v>83.21</v>
      </c>
      <c r="J2130" s="6">
        <f t="shared" si="66"/>
        <v>5.1899999999999977</v>
      </c>
    </row>
    <row r="2131" spans="2:10" x14ac:dyDescent="0.25">
      <c r="B2131" s="5">
        <f t="shared" si="67"/>
        <v>44497</v>
      </c>
      <c r="C2131" s="6">
        <f>IFERROR(VLOOKUP($B2131,Platts!$E$5:$M$4994,MATCH(C$3,Platts!$F$5:$M$5,0)+1,FALSE),C2130)</f>
        <v>77.19</v>
      </c>
      <c r="D2131" s="6">
        <f>IFERROR(VLOOKUP($B2131,Platts!$E$5:$M$4994,MATCH(D$3,Platts!$F$5:$M$5,0)+1,FALSE),D2130)</f>
        <v>78.83</v>
      </c>
      <c r="E2131" s="6">
        <f>IFERROR(VLOOKUP($B2131,Platts!$E$5:$M$4994,MATCH(E$3,Platts!$F$5:$M$5,0)+1,FALSE),E2130)</f>
        <v>77.13</v>
      </c>
      <c r="F2131" s="6">
        <f>IFERROR(VLOOKUP($B2131,Platts!$E$5:$M$4994,MATCH(F$3,Platts!$F$5:$M$5,0)+1,FALSE),F2130)</f>
        <v>79.930000000000007</v>
      </c>
      <c r="G2131" s="6">
        <f>IFERROR(VLOOKUP($B2131,Platts!$E$5:$M$4994,MATCH(G$3,Platts!$F$5:$M$5,0)+1,FALSE),G2130)</f>
        <v>83.84</v>
      </c>
      <c r="H2131" s="6">
        <f>IFERROR(VLOOKUP($B2131,Platts!$E$5:$M$4994,MATCH(H$3,Platts!$F$5:$M$5,0)+1,FALSE),H2130)</f>
        <v>82.81</v>
      </c>
      <c r="I2131" s="6">
        <f>IFERROR(VLOOKUP($B2131,Platts!$E$5:$M$4994,MATCH(I$3,Platts!$F$5:$M$5,0)+1,FALSE),I2130)</f>
        <v>83.16</v>
      </c>
      <c r="J2131" s="6">
        <f t="shared" si="66"/>
        <v>5.6200000000000045</v>
      </c>
    </row>
    <row r="2132" spans="2:10" x14ac:dyDescent="0.25">
      <c r="B2132" s="5">
        <f t="shared" si="67"/>
        <v>44498</v>
      </c>
      <c r="C2132" s="6">
        <f>IFERROR(VLOOKUP($B2132,Platts!$E$5:$M$4994,MATCH(C$3,Platts!$F$5:$M$5,0)+1,FALSE),C2131)</f>
        <v>77.599999999999994</v>
      </c>
      <c r="D2132" s="6">
        <f>IFERROR(VLOOKUP($B2132,Platts!$E$5:$M$4994,MATCH(D$3,Platts!$F$5:$M$5,0)+1,FALSE),D2131)</f>
        <v>79.41</v>
      </c>
      <c r="E2132" s="6">
        <f>IFERROR(VLOOKUP($B2132,Platts!$E$5:$M$4994,MATCH(E$3,Platts!$F$5:$M$5,0)+1,FALSE),E2131)</f>
        <v>77.709999999999994</v>
      </c>
      <c r="F2132" s="6">
        <f>IFERROR(VLOOKUP($B2132,Platts!$E$5:$M$4994,MATCH(F$3,Platts!$F$5:$M$5,0)+1,FALSE),F2131)</f>
        <v>80.510000000000005</v>
      </c>
      <c r="G2132" s="6">
        <f>IFERROR(VLOOKUP($B2132,Platts!$E$5:$M$4994,MATCH(G$3,Platts!$F$5:$M$5,0)+1,FALSE),G2131)</f>
        <v>84.2</v>
      </c>
      <c r="H2132" s="6">
        <f>IFERROR(VLOOKUP($B2132,Platts!$E$5:$M$4994,MATCH(H$3,Platts!$F$5:$M$5,0)+1,FALSE),H2131)</f>
        <v>83.57</v>
      </c>
      <c r="I2132" s="6">
        <f>IFERROR(VLOOKUP($B2132,Platts!$E$5:$M$4994,MATCH(I$3,Platts!$F$5:$M$5,0)+1,FALSE),I2131)</f>
        <v>83.92</v>
      </c>
      <c r="J2132" s="6">
        <f t="shared" si="66"/>
        <v>5.9699999999999989</v>
      </c>
    </row>
    <row r="2133" spans="2:10" x14ac:dyDescent="0.25">
      <c r="B2133" s="5">
        <f t="shared" si="67"/>
        <v>44499</v>
      </c>
      <c r="C2133" s="6">
        <f>IFERROR(VLOOKUP($B2133,Platts!$E$5:$M$4994,MATCH(C$3,Platts!$F$5:$M$5,0)+1,FALSE),C2132)</f>
        <v>77.599999999999994</v>
      </c>
      <c r="D2133" s="6">
        <f>IFERROR(VLOOKUP($B2133,Platts!$E$5:$M$4994,MATCH(D$3,Platts!$F$5:$M$5,0)+1,FALSE),D2132)</f>
        <v>79.41</v>
      </c>
      <c r="E2133" s="6">
        <f>IFERROR(VLOOKUP($B2133,Platts!$E$5:$M$4994,MATCH(E$3,Platts!$F$5:$M$5,0)+1,FALSE),E2132)</f>
        <v>77.709999999999994</v>
      </c>
      <c r="F2133" s="6">
        <f>IFERROR(VLOOKUP($B2133,Platts!$E$5:$M$4994,MATCH(F$3,Platts!$F$5:$M$5,0)+1,FALSE),F2132)</f>
        <v>80.510000000000005</v>
      </c>
      <c r="G2133" s="6">
        <f>IFERROR(VLOOKUP($B2133,Platts!$E$5:$M$4994,MATCH(G$3,Platts!$F$5:$M$5,0)+1,FALSE),G2132)</f>
        <v>84.2</v>
      </c>
      <c r="H2133" s="6">
        <f>IFERROR(VLOOKUP($B2133,Platts!$E$5:$M$4994,MATCH(H$3,Platts!$F$5:$M$5,0)+1,FALSE),H2132)</f>
        <v>83.57</v>
      </c>
      <c r="I2133" s="6">
        <f>IFERROR(VLOOKUP($B2133,Platts!$E$5:$M$4994,MATCH(I$3,Platts!$F$5:$M$5,0)+1,FALSE),I2132)</f>
        <v>83.92</v>
      </c>
      <c r="J2133" s="6">
        <f t="shared" si="66"/>
        <v>5.9699999999999989</v>
      </c>
    </row>
    <row r="2134" spans="2:10" x14ac:dyDescent="0.25">
      <c r="B2134" s="5">
        <f t="shared" si="67"/>
        <v>44500</v>
      </c>
      <c r="C2134" s="6">
        <f>IFERROR(VLOOKUP($B2134,Platts!$E$5:$M$4994,MATCH(C$3,Platts!$F$5:$M$5,0)+1,FALSE),C2133)</f>
        <v>77.599999999999994</v>
      </c>
      <c r="D2134" s="6">
        <f>IFERROR(VLOOKUP($B2134,Platts!$E$5:$M$4994,MATCH(D$3,Platts!$F$5:$M$5,0)+1,FALSE),D2133)</f>
        <v>79.41</v>
      </c>
      <c r="E2134" s="6">
        <f>IFERROR(VLOOKUP($B2134,Platts!$E$5:$M$4994,MATCH(E$3,Platts!$F$5:$M$5,0)+1,FALSE),E2133)</f>
        <v>77.709999999999994</v>
      </c>
      <c r="F2134" s="6">
        <f>IFERROR(VLOOKUP($B2134,Platts!$E$5:$M$4994,MATCH(F$3,Platts!$F$5:$M$5,0)+1,FALSE),F2133)</f>
        <v>80.510000000000005</v>
      </c>
      <c r="G2134" s="6">
        <f>IFERROR(VLOOKUP($B2134,Platts!$E$5:$M$4994,MATCH(G$3,Platts!$F$5:$M$5,0)+1,FALSE),G2133)</f>
        <v>84.2</v>
      </c>
      <c r="H2134" s="6">
        <f>IFERROR(VLOOKUP($B2134,Platts!$E$5:$M$4994,MATCH(H$3,Platts!$F$5:$M$5,0)+1,FALSE),H2133)</f>
        <v>83.57</v>
      </c>
      <c r="I2134" s="6">
        <f>IFERROR(VLOOKUP($B2134,Platts!$E$5:$M$4994,MATCH(I$3,Platts!$F$5:$M$5,0)+1,FALSE),I2133)</f>
        <v>83.92</v>
      </c>
      <c r="J2134" s="6">
        <f t="shared" si="66"/>
        <v>5.9699999999999989</v>
      </c>
    </row>
    <row r="2135" spans="2:10" x14ac:dyDescent="0.25">
      <c r="B2135" s="5">
        <f t="shared" si="67"/>
        <v>44501</v>
      </c>
      <c r="C2135" s="6">
        <f>IFERROR(VLOOKUP($B2135,Platts!$E$5:$M$4994,MATCH(C$3,Platts!$F$5:$M$5,0)+1,FALSE),C2134)</f>
        <v>77.599999999999994</v>
      </c>
      <c r="D2135" s="6">
        <f>IFERROR(VLOOKUP($B2135,Platts!$E$5:$M$4994,MATCH(D$3,Platts!$F$5:$M$5,0)+1,FALSE),D2134)</f>
        <v>79.48</v>
      </c>
      <c r="E2135" s="6">
        <f>IFERROR(VLOOKUP($B2135,Platts!$E$5:$M$4994,MATCH(E$3,Platts!$F$5:$M$5,0)+1,FALSE),E2134)</f>
        <v>78.03</v>
      </c>
      <c r="F2135" s="6">
        <f>IFERROR(VLOOKUP($B2135,Platts!$E$5:$M$4994,MATCH(F$3,Platts!$F$5:$M$5,0)+1,FALSE),F2134)</f>
        <v>81.08</v>
      </c>
      <c r="G2135" s="6">
        <f>IFERROR(VLOOKUP($B2135,Platts!$E$5:$M$4994,MATCH(G$3,Platts!$F$5:$M$5,0)+1,FALSE),G2134)</f>
        <v>84.57</v>
      </c>
      <c r="H2135" s="6">
        <f>IFERROR(VLOOKUP($B2135,Platts!$E$5:$M$4994,MATCH(H$3,Platts!$F$5:$M$5,0)+1,FALSE),H2134)</f>
        <v>84.05</v>
      </c>
      <c r="I2135" s="6">
        <f>IFERROR(VLOOKUP($B2135,Platts!$E$5:$M$4994,MATCH(I$3,Platts!$F$5:$M$5,0)+1,FALSE),I2134)</f>
        <v>84.25</v>
      </c>
      <c r="J2135" s="6">
        <f t="shared" si="66"/>
        <v>6.4500000000000028</v>
      </c>
    </row>
    <row r="2136" spans="2:10" x14ac:dyDescent="0.25">
      <c r="B2136" s="5">
        <f t="shared" si="67"/>
        <v>44502</v>
      </c>
      <c r="C2136" s="6">
        <f>IFERROR(VLOOKUP($B2136,Platts!$E$5:$M$4994,MATCH(C$3,Platts!$F$5:$M$5,0)+1,FALSE),C2135)</f>
        <v>77.599999999999994</v>
      </c>
      <c r="D2136" s="6">
        <f>IFERROR(VLOOKUP($B2136,Platts!$E$5:$M$4994,MATCH(D$3,Platts!$F$5:$M$5,0)+1,FALSE),D2135)</f>
        <v>79.489999999999995</v>
      </c>
      <c r="E2136" s="6">
        <f>IFERROR(VLOOKUP($B2136,Platts!$E$5:$M$4994,MATCH(E$3,Platts!$F$5:$M$5,0)+1,FALSE),E2135)</f>
        <v>78.040000000000006</v>
      </c>
      <c r="F2136" s="6">
        <f>IFERROR(VLOOKUP($B2136,Platts!$E$5:$M$4994,MATCH(F$3,Platts!$F$5:$M$5,0)+1,FALSE),F2135)</f>
        <v>81.09</v>
      </c>
      <c r="G2136" s="6">
        <f>IFERROR(VLOOKUP($B2136,Platts!$E$5:$M$4994,MATCH(G$3,Platts!$F$5:$M$5,0)+1,FALSE),G2135)</f>
        <v>84.54</v>
      </c>
      <c r="H2136" s="6">
        <f>IFERROR(VLOOKUP($B2136,Platts!$E$5:$M$4994,MATCH(H$3,Platts!$F$5:$M$5,0)+1,FALSE),H2135)</f>
        <v>83.91</v>
      </c>
      <c r="I2136" s="6">
        <f>IFERROR(VLOOKUP($B2136,Platts!$E$5:$M$4994,MATCH(I$3,Platts!$F$5:$M$5,0)+1,FALSE),I2135)</f>
        <v>84.16</v>
      </c>
      <c r="J2136" s="6">
        <f t="shared" si="66"/>
        <v>6.3100000000000023</v>
      </c>
    </row>
    <row r="2137" spans="2:10" x14ac:dyDescent="0.25">
      <c r="B2137" s="5">
        <f t="shared" si="67"/>
        <v>44503</v>
      </c>
      <c r="C2137" s="6">
        <f>IFERROR(VLOOKUP($B2137,Platts!$E$5:$M$4994,MATCH(C$3,Platts!$F$5:$M$5,0)+1,FALSE),C2136)</f>
        <v>75.47</v>
      </c>
      <c r="D2137" s="6">
        <f>IFERROR(VLOOKUP($B2137,Platts!$E$5:$M$4994,MATCH(D$3,Platts!$F$5:$M$5,0)+1,FALSE),D2136)</f>
        <v>76.650000000000006</v>
      </c>
      <c r="E2137" s="6">
        <f>IFERROR(VLOOKUP($B2137,Platts!$E$5:$M$4994,MATCH(E$3,Platts!$F$5:$M$5,0)+1,FALSE),E2136)</f>
        <v>75.2</v>
      </c>
      <c r="F2137" s="6">
        <f>IFERROR(VLOOKUP($B2137,Platts!$E$5:$M$4994,MATCH(F$3,Platts!$F$5:$M$5,0)+1,FALSE),F2136)</f>
        <v>78.25</v>
      </c>
      <c r="G2137" s="6">
        <f>IFERROR(VLOOKUP($B2137,Platts!$E$5:$M$4994,MATCH(G$3,Platts!$F$5:$M$5,0)+1,FALSE),G2136)</f>
        <v>82.29</v>
      </c>
      <c r="H2137" s="6">
        <f>IFERROR(VLOOKUP($B2137,Platts!$E$5:$M$4994,MATCH(H$3,Platts!$F$5:$M$5,0)+1,FALSE),H2136)</f>
        <v>80.86</v>
      </c>
      <c r="I2137" s="6">
        <f>IFERROR(VLOOKUP($B2137,Platts!$E$5:$M$4994,MATCH(I$3,Platts!$F$5:$M$5,0)+1,FALSE),I2136)</f>
        <v>80.91</v>
      </c>
      <c r="J2137" s="6">
        <f t="shared" si="66"/>
        <v>5.3900000000000006</v>
      </c>
    </row>
    <row r="2138" spans="2:10" x14ac:dyDescent="0.25">
      <c r="B2138" s="5">
        <f t="shared" si="67"/>
        <v>44504</v>
      </c>
      <c r="C2138" s="6">
        <f>IFERROR(VLOOKUP($B2138,Platts!$E$5:$M$4994,MATCH(C$3,Platts!$F$5:$M$5,0)+1,FALSE),C2137)</f>
        <v>75.47</v>
      </c>
      <c r="D2138" s="6">
        <f>IFERROR(VLOOKUP($B2138,Platts!$E$5:$M$4994,MATCH(D$3,Platts!$F$5:$M$5,0)+1,FALSE),D2137)</f>
        <v>74.84</v>
      </c>
      <c r="E2138" s="6">
        <f>IFERROR(VLOOKUP($B2138,Platts!$E$5:$M$4994,MATCH(E$3,Platts!$F$5:$M$5,0)+1,FALSE),E2137)</f>
        <v>73.39</v>
      </c>
      <c r="F2138" s="6">
        <f>IFERROR(VLOOKUP($B2138,Platts!$E$5:$M$4994,MATCH(F$3,Platts!$F$5:$M$5,0)+1,FALSE),F2137)</f>
        <v>76.44</v>
      </c>
      <c r="G2138" s="6">
        <f>IFERROR(VLOOKUP($B2138,Platts!$E$5:$M$4994,MATCH(G$3,Platts!$F$5:$M$5,0)+1,FALSE),G2137)</f>
        <v>81.98</v>
      </c>
      <c r="H2138" s="6">
        <f>IFERROR(VLOOKUP($B2138,Platts!$E$5:$M$4994,MATCH(H$3,Platts!$F$5:$M$5,0)+1,FALSE),H2137)</f>
        <v>78.81</v>
      </c>
      <c r="I2138" s="6">
        <f>IFERROR(VLOOKUP($B2138,Platts!$E$5:$M$4994,MATCH(I$3,Platts!$F$5:$M$5,0)+1,FALSE),I2137)</f>
        <v>78.86</v>
      </c>
      <c r="J2138" s="6">
        <f t="shared" si="66"/>
        <v>3.3400000000000034</v>
      </c>
    </row>
    <row r="2139" spans="2:10" x14ac:dyDescent="0.25">
      <c r="B2139" s="5">
        <f t="shared" si="67"/>
        <v>44505</v>
      </c>
      <c r="C2139" s="6">
        <f>IFERROR(VLOOKUP($B2139,Platts!$E$5:$M$4994,MATCH(C$3,Platts!$F$5:$M$5,0)+1,FALSE),C2138)</f>
        <v>75.67</v>
      </c>
      <c r="D2139" s="6">
        <f>IFERROR(VLOOKUP($B2139,Platts!$E$5:$M$4994,MATCH(D$3,Platts!$F$5:$M$5,0)+1,FALSE),D2138)</f>
        <v>77.209999999999994</v>
      </c>
      <c r="E2139" s="6">
        <f>IFERROR(VLOOKUP($B2139,Platts!$E$5:$M$4994,MATCH(E$3,Platts!$F$5:$M$5,0)+1,FALSE),E2138)</f>
        <v>75.760000000000005</v>
      </c>
      <c r="F2139" s="6">
        <f>IFERROR(VLOOKUP($B2139,Platts!$E$5:$M$4994,MATCH(F$3,Platts!$F$5:$M$5,0)+1,FALSE),F2138)</f>
        <v>78.81</v>
      </c>
      <c r="G2139" s="6">
        <f>IFERROR(VLOOKUP($B2139,Platts!$E$5:$M$4994,MATCH(G$3,Platts!$F$5:$M$5,0)+1,FALSE),G2138)</f>
        <v>82.86</v>
      </c>
      <c r="H2139" s="6">
        <f>IFERROR(VLOOKUP($B2139,Platts!$E$5:$M$4994,MATCH(H$3,Platts!$F$5:$M$5,0)+1,FALSE),H2138)</f>
        <v>81.27</v>
      </c>
      <c r="I2139" s="6">
        <f>IFERROR(VLOOKUP($B2139,Platts!$E$5:$M$4994,MATCH(I$3,Platts!$F$5:$M$5,0)+1,FALSE),I2138)</f>
        <v>81.319999999999993</v>
      </c>
      <c r="J2139" s="6">
        <f t="shared" si="66"/>
        <v>5.5999999999999943</v>
      </c>
    </row>
    <row r="2140" spans="2:10" x14ac:dyDescent="0.25">
      <c r="B2140" s="5">
        <f t="shared" si="67"/>
        <v>44506</v>
      </c>
      <c r="C2140" s="6">
        <f>IFERROR(VLOOKUP($B2140,Platts!$E$5:$M$4994,MATCH(C$3,Platts!$F$5:$M$5,0)+1,FALSE),C2139)</f>
        <v>75.67</v>
      </c>
      <c r="D2140" s="6">
        <f>IFERROR(VLOOKUP($B2140,Platts!$E$5:$M$4994,MATCH(D$3,Platts!$F$5:$M$5,0)+1,FALSE),D2139)</f>
        <v>77.209999999999994</v>
      </c>
      <c r="E2140" s="6">
        <f>IFERROR(VLOOKUP($B2140,Platts!$E$5:$M$4994,MATCH(E$3,Platts!$F$5:$M$5,0)+1,FALSE),E2139)</f>
        <v>75.760000000000005</v>
      </c>
      <c r="F2140" s="6">
        <f>IFERROR(VLOOKUP($B2140,Platts!$E$5:$M$4994,MATCH(F$3,Platts!$F$5:$M$5,0)+1,FALSE),F2139)</f>
        <v>78.81</v>
      </c>
      <c r="G2140" s="6">
        <f>IFERROR(VLOOKUP($B2140,Platts!$E$5:$M$4994,MATCH(G$3,Platts!$F$5:$M$5,0)+1,FALSE),G2139)</f>
        <v>82.86</v>
      </c>
      <c r="H2140" s="6">
        <f>IFERROR(VLOOKUP($B2140,Platts!$E$5:$M$4994,MATCH(H$3,Platts!$F$5:$M$5,0)+1,FALSE),H2139)</f>
        <v>81.27</v>
      </c>
      <c r="I2140" s="6">
        <f>IFERROR(VLOOKUP($B2140,Platts!$E$5:$M$4994,MATCH(I$3,Platts!$F$5:$M$5,0)+1,FALSE),I2139)</f>
        <v>81.319999999999993</v>
      </c>
      <c r="J2140" s="6">
        <f t="shared" si="66"/>
        <v>5.5999999999999943</v>
      </c>
    </row>
    <row r="2141" spans="2:10" x14ac:dyDescent="0.25">
      <c r="B2141" s="5">
        <f t="shared" si="67"/>
        <v>44507</v>
      </c>
      <c r="C2141" s="6">
        <f>IFERROR(VLOOKUP($B2141,Platts!$E$5:$M$4994,MATCH(C$3,Platts!$F$5:$M$5,0)+1,FALSE),C2140)</f>
        <v>75.67</v>
      </c>
      <c r="D2141" s="6">
        <f>IFERROR(VLOOKUP($B2141,Platts!$E$5:$M$4994,MATCH(D$3,Platts!$F$5:$M$5,0)+1,FALSE),D2140)</f>
        <v>77.209999999999994</v>
      </c>
      <c r="E2141" s="6">
        <f>IFERROR(VLOOKUP($B2141,Platts!$E$5:$M$4994,MATCH(E$3,Platts!$F$5:$M$5,0)+1,FALSE),E2140)</f>
        <v>75.760000000000005</v>
      </c>
      <c r="F2141" s="6">
        <f>IFERROR(VLOOKUP($B2141,Platts!$E$5:$M$4994,MATCH(F$3,Platts!$F$5:$M$5,0)+1,FALSE),F2140)</f>
        <v>78.81</v>
      </c>
      <c r="G2141" s="6">
        <f>IFERROR(VLOOKUP($B2141,Platts!$E$5:$M$4994,MATCH(G$3,Platts!$F$5:$M$5,0)+1,FALSE),G2140)</f>
        <v>82.86</v>
      </c>
      <c r="H2141" s="6">
        <f>IFERROR(VLOOKUP($B2141,Platts!$E$5:$M$4994,MATCH(H$3,Platts!$F$5:$M$5,0)+1,FALSE),H2140)</f>
        <v>81.27</v>
      </c>
      <c r="I2141" s="6">
        <f>IFERROR(VLOOKUP($B2141,Platts!$E$5:$M$4994,MATCH(I$3,Platts!$F$5:$M$5,0)+1,FALSE),I2140)</f>
        <v>81.319999999999993</v>
      </c>
      <c r="J2141" s="6">
        <f t="shared" si="66"/>
        <v>5.5999999999999943</v>
      </c>
    </row>
    <row r="2142" spans="2:10" x14ac:dyDescent="0.25">
      <c r="B2142" s="5">
        <f t="shared" si="67"/>
        <v>44508</v>
      </c>
      <c r="C2142" s="6">
        <f>IFERROR(VLOOKUP($B2142,Platts!$E$5:$M$4994,MATCH(C$3,Platts!$F$5:$M$5,0)+1,FALSE),C2141)</f>
        <v>76.63</v>
      </c>
      <c r="D2142" s="6">
        <f>IFERROR(VLOOKUP($B2142,Platts!$E$5:$M$4994,MATCH(D$3,Platts!$F$5:$M$5,0)+1,FALSE),D2141)</f>
        <v>77.94</v>
      </c>
      <c r="E2142" s="6">
        <f>IFERROR(VLOOKUP($B2142,Platts!$E$5:$M$4994,MATCH(E$3,Platts!$F$5:$M$5,0)+1,FALSE),E2141)</f>
        <v>76.489999999999995</v>
      </c>
      <c r="F2142" s="6">
        <f>IFERROR(VLOOKUP($B2142,Platts!$E$5:$M$4994,MATCH(F$3,Platts!$F$5:$M$5,0)+1,FALSE),F2141)</f>
        <v>79.540000000000006</v>
      </c>
      <c r="G2142" s="6">
        <f>IFERROR(VLOOKUP($B2142,Platts!$E$5:$M$4994,MATCH(G$3,Platts!$F$5:$M$5,0)+1,FALSE),G2141)</f>
        <v>83.75</v>
      </c>
      <c r="H2142" s="6">
        <f>IFERROR(VLOOKUP($B2142,Platts!$E$5:$M$4994,MATCH(H$3,Platts!$F$5:$M$5,0)+1,FALSE),H2141)</f>
        <v>81.93</v>
      </c>
      <c r="I2142" s="6">
        <f>IFERROR(VLOOKUP($B2142,Platts!$E$5:$M$4994,MATCH(I$3,Platts!$F$5:$M$5,0)+1,FALSE),I2141)</f>
        <v>82.03</v>
      </c>
      <c r="J2142" s="6">
        <f t="shared" si="66"/>
        <v>5.3000000000000114</v>
      </c>
    </row>
    <row r="2143" spans="2:10" x14ac:dyDescent="0.25">
      <c r="B2143" s="5">
        <f t="shared" si="67"/>
        <v>44509</v>
      </c>
      <c r="C2143" s="6">
        <f>IFERROR(VLOOKUP($B2143,Platts!$E$5:$M$4994,MATCH(C$3,Platts!$F$5:$M$5,0)+1,FALSE),C2142)</f>
        <v>78.11</v>
      </c>
      <c r="D2143" s="6">
        <f>IFERROR(VLOOKUP($B2143,Platts!$E$5:$M$4994,MATCH(D$3,Platts!$F$5:$M$5,0)+1,FALSE),D2142)</f>
        <v>79.7</v>
      </c>
      <c r="E2143" s="6">
        <f>IFERROR(VLOOKUP($B2143,Platts!$E$5:$M$4994,MATCH(E$3,Platts!$F$5:$M$5,0)+1,FALSE),E2142)</f>
        <v>78.25</v>
      </c>
      <c r="F2143" s="6">
        <f>IFERROR(VLOOKUP($B2143,Platts!$E$5:$M$4994,MATCH(F$3,Platts!$F$5:$M$5,0)+1,FALSE),F2142)</f>
        <v>81.3</v>
      </c>
      <c r="G2143" s="6">
        <f>IFERROR(VLOOKUP($B2143,Platts!$E$5:$M$4994,MATCH(G$3,Platts!$F$5:$M$5,0)+1,FALSE),G2142)</f>
        <v>84.15</v>
      </c>
      <c r="H2143" s="6">
        <f>IFERROR(VLOOKUP($B2143,Platts!$E$5:$M$4994,MATCH(H$3,Platts!$F$5:$M$5,0)+1,FALSE),H2142)</f>
        <v>84.15</v>
      </c>
      <c r="I2143" s="6">
        <f>IFERROR(VLOOKUP($B2143,Platts!$E$5:$M$4994,MATCH(I$3,Platts!$F$5:$M$5,0)+1,FALSE),I2142)</f>
        <v>84.25</v>
      </c>
      <c r="J2143" s="6">
        <f t="shared" si="66"/>
        <v>6.0400000000000063</v>
      </c>
    </row>
    <row r="2144" spans="2:10" x14ac:dyDescent="0.25">
      <c r="B2144" s="5">
        <f t="shared" si="67"/>
        <v>44510</v>
      </c>
      <c r="C2144" s="6">
        <f>IFERROR(VLOOKUP($B2144,Platts!$E$5:$M$4994,MATCH(C$3,Platts!$F$5:$M$5,0)+1,FALSE),C2143)</f>
        <v>76.25</v>
      </c>
      <c r="D2144" s="6">
        <f>IFERROR(VLOOKUP($B2144,Platts!$E$5:$M$4994,MATCH(D$3,Platts!$F$5:$M$5,0)+1,FALSE),D2143)</f>
        <v>77.19</v>
      </c>
      <c r="E2144" s="6">
        <f>IFERROR(VLOOKUP($B2144,Platts!$E$5:$M$4994,MATCH(E$3,Platts!$F$5:$M$5,0)+1,FALSE),E2143)</f>
        <v>75.739999999999995</v>
      </c>
      <c r="F2144" s="6">
        <f>IFERROR(VLOOKUP($B2144,Platts!$E$5:$M$4994,MATCH(F$3,Platts!$F$5:$M$5,0)+1,FALSE),F2143)</f>
        <v>78.790000000000006</v>
      </c>
      <c r="G2144" s="6">
        <f>IFERROR(VLOOKUP($B2144,Platts!$E$5:$M$4994,MATCH(G$3,Platts!$F$5:$M$5,0)+1,FALSE),G2143)</f>
        <v>84.16</v>
      </c>
      <c r="H2144" s="6">
        <f>IFERROR(VLOOKUP($B2144,Platts!$E$5:$M$4994,MATCH(H$3,Platts!$F$5:$M$5,0)+1,FALSE),H2143)</f>
        <v>81.34</v>
      </c>
      <c r="I2144" s="6">
        <f>IFERROR(VLOOKUP($B2144,Platts!$E$5:$M$4994,MATCH(I$3,Platts!$F$5:$M$5,0)+1,FALSE),I2143)</f>
        <v>81.59</v>
      </c>
      <c r="J2144" s="6">
        <f t="shared" si="66"/>
        <v>5.0900000000000034</v>
      </c>
    </row>
    <row r="2145" spans="2:10" x14ac:dyDescent="0.25">
      <c r="B2145" s="5">
        <f t="shared" si="67"/>
        <v>44511</v>
      </c>
      <c r="C2145" s="6">
        <f>IFERROR(VLOOKUP($B2145,Platts!$E$5:$M$4994,MATCH(C$3,Platts!$F$5:$M$5,0)+1,FALSE),C2144)</f>
        <v>76.2</v>
      </c>
      <c r="D2145" s="6">
        <f>IFERROR(VLOOKUP($B2145,Platts!$E$5:$M$4994,MATCH(D$3,Platts!$F$5:$M$5,0)+1,FALSE),D2144)</f>
        <v>77.489999999999995</v>
      </c>
      <c r="E2145" s="6">
        <f>IFERROR(VLOOKUP($B2145,Platts!$E$5:$M$4994,MATCH(E$3,Platts!$F$5:$M$5,0)+1,FALSE),E2144)</f>
        <v>76.040000000000006</v>
      </c>
      <c r="F2145" s="6">
        <f>IFERROR(VLOOKUP($B2145,Platts!$E$5:$M$4994,MATCH(F$3,Platts!$F$5:$M$5,0)+1,FALSE),F2144)</f>
        <v>79.09</v>
      </c>
      <c r="G2145" s="6">
        <f>IFERROR(VLOOKUP($B2145,Platts!$E$5:$M$4994,MATCH(G$3,Platts!$F$5:$M$5,0)+1,FALSE),G2144)</f>
        <v>82.52</v>
      </c>
      <c r="H2145" s="6">
        <f>IFERROR(VLOOKUP($B2145,Platts!$E$5:$M$4994,MATCH(H$3,Platts!$F$5:$M$5,0)+1,FALSE),H2144)</f>
        <v>81.59</v>
      </c>
      <c r="I2145" s="6">
        <f>IFERROR(VLOOKUP($B2145,Platts!$E$5:$M$4994,MATCH(I$3,Platts!$F$5:$M$5,0)+1,FALSE),I2144)</f>
        <v>81.94</v>
      </c>
      <c r="J2145" s="6">
        <f t="shared" si="66"/>
        <v>5.3900000000000006</v>
      </c>
    </row>
    <row r="2146" spans="2:10" x14ac:dyDescent="0.25">
      <c r="B2146" s="5">
        <f t="shared" si="67"/>
        <v>44512</v>
      </c>
      <c r="C2146" s="6">
        <f>IFERROR(VLOOKUP($B2146,Platts!$E$5:$M$4994,MATCH(C$3,Platts!$F$5:$M$5,0)+1,FALSE),C2145)</f>
        <v>75.48</v>
      </c>
      <c r="D2146" s="6">
        <f>IFERROR(VLOOKUP($B2146,Platts!$E$5:$M$4994,MATCH(D$3,Platts!$F$5:$M$5,0)+1,FALSE),D2145)</f>
        <v>77.489999999999995</v>
      </c>
      <c r="E2146" s="6">
        <f>IFERROR(VLOOKUP($B2146,Platts!$E$5:$M$4994,MATCH(E$3,Platts!$F$5:$M$5,0)+1,FALSE),E2145)</f>
        <v>76.040000000000006</v>
      </c>
      <c r="F2146" s="6">
        <f>IFERROR(VLOOKUP($B2146,Platts!$E$5:$M$4994,MATCH(F$3,Platts!$F$5:$M$5,0)+1,FALSE),F2145)</f>
        <v>79.09</v>
      </c>
      <c r="G2146" s="6">
        <f>IFERROR(VLOOKUP($B2146,Platts!$E$5:$M$4994,MATCH(G$3,Platts!$F$5:$M$5,0)+1,FALSE),G2145)</f>
        <v>82.52</v>
      </c>
      <c r="H2146" s="6">
        <f>IFERROR(VLOOKUP($B2146,Platts!$E$5:$M$4994,MATCH(H$3,Platts!$F$5:$M$5,0)+1,FALSE),H2145)</f>
        <v>81.59</v>
      </c>
      <c r="I2146" s="6">
        <f>IFERROR(VLOOKUP($B2146,Platts!$E$5:$M$4994,MATCH(I$3,Platts!$F$5:$M$5,0)+1,FALSE),I2145)</f>
        <v>81.94</v>
      </c>
      <c r="J2146" s="6">
        <f t="shared" si="66"/>
        <v>6.1099999999999994</v>
      </c>
    </row>
    <row r="2147" spans="2:10" x14ac:dyDescent="0.25">
      <c r="B2147" s="5">
        <f t="shared" si="67"/>
        <v>44513</v>
      </c>
      <c r="C2147" s="6">
        <f>IFERROR(VLOOKUP($B2147,Platts!$E$5:$M$4994,MATCH(C$3,Platts!$F$5:$M$5,0)+1,FALSE),C2146)</f>
        <v>75.48</v>
      </c>
      <c r="D2147" s="6">
        <f>IFERROR(VLOOKUP($B2147,Platts!$E$5:$M$4994,MATCH(D$3,Platts!$F$5:$M$5,0)+1,FALSE),D2146)</f>
        <v>77.489999999999995</v>
      </c>
      <c r="E2147" s="6">
        <f>IFERROR(VLOOKUP($B2147,Platts!$E$5:$M$4994,MATCH(E$3,Platts!$F$5:$M$5,0)+1,FALSE),E2146)</f>
        <v>76.040000000000006</v>
      </c>
      <c r="F2147" s="6">
        <f>IFERROR(VLOOKUP($B2147,Platts!$E$5:$M$4994,MATCH(F$3,Platts!$F$5:$M$5,0)+1,FALSE),F2146)</f>
        <v>79.09</v>
      </c>
      <c r="G2147" s="6">
        <f>IFERROR(VLOOKUP($B2147,Platts!$E$5:$M$4994,MATCH(G$3,Platts!$F$5:$M$5,0)+1,FALSE),G2146)</f>
        <v>82.52</v>
      </c>
      <c r="H2147" s="6">
        <f>IFERROR(VLOOKUP($B2147,Platts!$E$5:$M$4994,MATCH(H$3,Platts!$F$5:$M$5,0)+1,FALSE),H2146)</f>
        <v>81.59</v>
      </c>
      <c r="I2147" s="6">
        <f>IFERROR(VLOOKUP($B2147,Platts!$E$5:$M$4994,MATCH(I$3,Platts!$F$5:$M$5,0)+1,FALSE),I2146)</f>
        <v>81.94</v>
      </c>
      <c r="J2147" s="6">
        <f t="shared" si="66"/>
        <v>6.1099999999999994</v>
      </c>
    </row>
    <row r="2148" spans="2:10" x14ac:dyDescent="0.25">
      <c r="B2148" s="5">
        <f t="shared" si="67"/>
        <v>44514</v>
      </c>
      <c r="C2148" s="6">
        <f>IFERROR(VLOOKUP($B2148,Platts!$E$5:$M$4994,MATCH(C$3,Platts!$F$5:$M$5,0)+1,FALSE),C2147)</f>
        <v>75.48</v>
      </c>
      <c r="D2148" s="6">
        <f>IFERROR(VLOOKUP($B2148,Platts!$E$5:$M$4994,MATCH(D$3,Platts!$F$5:$M$5,0)+1,FALSE),D2147)</f>
        <v>77.489999999999995</v>
      </c>
      <c r="E2148" s="6">
        <f>IFERROR(VLOOKUP($B2148,Platts!$E$5:$M$4994,MATCH(E$3,Platts!$F$5:$M$5,0)+1,FALSE),E2147)</f>
        <v>76.040000000000006</v>
      </c>
      <c r="F2148" s="6">
        <f>IFERROR(VLOOKUP($B2148,Platts!$E$5:$M$4994,MATCH(F$3,Platts!$F$5:$M$5,0)+1,FALSE),F2147)</f>
        <v>79.09</v>
      </c>
      <c r="G2148" s="6">
        <f>IFERROR(VLOOKUP($B2148,Platts!$E$5:$M$4994,MATCH(G$3,Platts!$F$5:$M$5,0)+1,FALSE),G2147)</f>
        <v>82.52</v>
      </c>
      <c r="H2148" s="6">
        <f>IFERROR(VLOOKUP($B2148,Platts!$E$5:$M$4994,MATCH(H$3,Platts!$F$5:$M$5,0)+1,FALSE),H2147)</f>
        <v>81.59</v>
      </c>
      <c r="I2148" s="6">
        <f>IFERROR(VLOOKUP($B2148,Platts!$E$5:$M$4994,MATCH(I$3,Platts!$F$5:$M$5,0)+1,FALSE),I2147)</f>
        <v>81.94</v>
      </c>
      <c r="J2148" s="6">
        <f t="shared" si="66"/>
        <v>6.1099999999999994</v>
      </c>
    </row>
    <row r="2149" spans="2:10" x14ac:dyDescent="0.25">
      <c r="B2149" s="5">
        <f t="shared" si="67"/>
        <v>44515</v>
      </c>
      <c r="C2149" s="6">
        <f>IFERROR(VLOOKUP($B2149,Platts!$E$5:$M$4994,MATCH(C$3,Platts!$F$5:$M$5,0)+1,FALSE),C2148)</f>
        <v>75.48</v>
      </c>
      <c r="D2149" s="6">
        <f>IFERROR(VLOOKUP($B2149,Platts!$E$5:$M$4994,MATCH(D$3,Platts!$F$5:$M$5,0)+1,FALSE),D2148)</f>
        <v>76.680000000000007</v>
      </c>
      <c r="E2149" s="6">
        <f>IFERROR(VLOOKUP($B2149,Platts!$E$5:$M$4994,MATCH(E$3,Platts!$F$5:$M$5,0)+1,FALSE),E2148)</f>
        <v>75.23</v>
      </c>
      <c r="F2149" s="6">
        <f>IFERROR(VLOOKUP($B2149,Platts!$E$5:$M$4994,MATCH(F$3,Platts!$F$5:$M$5,0)+1,FALSE),F2148)</f>
        <v>78.28</v>
      </c>
      <c r="G2149" s="6">
        <f>IFERROR(VLOOKUP($B2149,Platts!$E$5:$M$4994,MATCH(G$3,Platts!$F$5:$M$5,0)+1,FALSE),G2148)</f>
        <v>81.38</v>
      </c>
      <c r="H2149" s="6">
        <f>IFERROR(VLOOKUP($B2149,Platts!$E$5:$M$4994,MATCH(H$3,Platts!$F$5:$M$5,0)+1,FALSE),H2148)</f>
        <v>80.88</v>
      </c>
      <c r="I2149" s="6">
        <f>IFERROR(VLOOKUP($B2149,Platts!$E$5:$M$4994,MATCH(I$3,Platts!$F$5:$M$5,0)+1,FALSE),I2148)</f>
        <v>80.88</v>
      </c>
      <c r="J2149" s="6">
        <f t="shared" si="66"/>
        <v>5.3999999999999915</v>
      </c>
    </row>
    <row r="2150" spans="2:10" x14ac:dyDescent="0.25">
      <c r="B2150" s="5">
        <f t="shared" si="67"/>
        <v>44516</v>
      </c>
      <c r="C2150" s="6">
        <f>IFERROR(VLOOKUP($B2150,Platts!$E$5:$M$4994,MATCH(C$3,Platts!$F$5:$M$5,0)+1,FALSE),C2149)</f>
        <v>75.67</v>
      </c>
      <c r="D2150" s="6">
        <f>IFERROR(VLOOKUP($B2150,Platts!$E$5:$M$4994,MATCH(D$3,Platts!$F$5:$M$5,0)+1,FALSE),D2149)</f>
        <v>76.8</v>
      </c>
      <c r="E2150" s="6">
        <f>IFERROR(VLOOKUP($B2150,Platts!$E$5:$M$4994,MATCH(E$3,Platts!$F$5:$M$5,0)+1,FALSE),E2149)</f>
        <v>75.349999999999994</v>
      </c>
      <c r="F2150" s="6">
        <f>IFERROR(VLOOKUP($B2150,Platts!$E$5:$M$4994,MATCH(F$3,Platts!$F$5:$M$5,0)+1,FALSE),F2149)</f>
        <v>78.400000000000006</v>
      </c>
      <c r="G2150" s="6">
        <f>IFERROR(VLOOKUP($B2150,Platts!$E$5:$M$4994,MATCH(G$3,Platts!$F$5:$M$5,0)+1,FALSE),G2149)</f>
        <v>82.37</v>
      </c>
      <c r="H2150" s="6">
        <f>IFERROR(VLOOKUP($B2150,Platts!$E$5:$M$4994,MATCH(H$3,Platts!$F$5:$M$5,0)+1,FALSE),H2149)</f>
        <v>80.760000000000005</v>
      </c>
      <c r="I2150" s="6">
        <f>IFERROR(VLOOKUP($B2150,Platts!$E$5:$M$4994,MATCH(I$3,Platts!$F$5:$M$5,0)+1,FALSE),I2149)</f>
        <v>80.760000000000005</v>
      </c>
      <c r="J2150" s="6">
        <f t="shared" si="66"/>
        <v>5.0900000000000034</v>
      </c>
    </row>
    <row r="2151" spans="2:10" x14ac:dyDescent="0.25">
      <c r="B2151" s="5">
        <f t="shared" si="67"/>
        <v>44517</v>
      </c>
      <c r="C2151" s="6">
        <f>IFERROR(VLOOKUP($B2151,Platts!$E$5:$M$4994,MATCH(C$3,Platts!$F$5:$M$5,0)+1,FALSE),C2150)</f>
        <v>73.599999999999994</v>
      </c>
      <c r="D2151" s="6">
        <f>IFERROR(VLOOKUP($B2151,Platts!$E$5:$M$4994,MATCH(D$3,Platts!$F$5:$M$5,0)+1,FALSE),D2150)</f>
        <v>74.45</v>
      </c>
      <c r="E2151" s="6">
        <f>IFERROR(VLOOKUP($B2151,Platts!$E$5:$M$4994,MATCH(E$3,Platts!$F$5:$M$5,0)+1,FALSE),E2150)</f>
        <v>73</v>
      </c>
      <c r="F2151" s="6">
        <f>IFERROR(VLOOKUP($B2151,Platts!$E$5:$M$4994,MATCH(F$3,Platts!$F$5:$M$5,0)+1,FALSE),F2150)</f>
        <v>76.05</v>
      </c>
      <c r="G2151" s="6">
        <f>IFERROR(VLOOKUP($B2151,Platts!$E$5:$M$4994,MATCH(G$3,Platts!$F$5:$M$5,0)+1,FALSE),G2150)</f>
        <v>81.56</v>
      </c>
      <c r="H2151" s="6">
        <f>IFERROR(VLOOKUP($B2151,Platts!$E$5:$M$4994,MATCH(H$3,Platts!$F$5:$M$5,0)+1,FALSE),H2150)</f>
        <v>78.36</v>
      </c>
      <c r="I2151" s="6">
        <f>IFERROR(VLOOKUP($B2151,Platts!$E$5:$M$4994,MATCH(I$3,Platts!$F$5:$M$5,0)+1,FALSE),I2150)</f>
        <v>78.260000000000005</v>
      </c>
      <c r="J2151" s="6">
        <f t="shared" si="66"/>
        <v>4.7600000000000051</v>
      </c>
    </row>
    <row r="2152" spans="2:10" x14ac:dyDescent="0.25">
      <c r="B2152" s="5">
        <f t="shared" si="67"/>
        <v>44518</v>
      </c>
      <c r="C2152" s="6">
        <f>IFERROR(VLOOKUP($B2152,Platts!$E$5:$M$4994,MATCH(C$3,Platts!$F$5:$M$5,0)+1,FALSE),C2151)</f>
        <v>73.97</v>
      </c>
      <c r="D2152" s="6">
        <f>IFERROR(VLOOKUP($B2152,Platts!$E$5:$M$4994,MATCH(D$3,Platts!$F$5:$M$5,0)+1,FALSE),D2151)</f>
        <v>75.209999999999994</v>
      </c>
      <c r="E2152" s="6">
        <f>IFERROR(VLOOKUP($B2152,Platts!$E$5:$M$4994,MATCH(E$3,Platts!$F$5:$M$5,0)+1,FALSE),E2151)</f>
        <v>73.760000000000005</v>
      </c>
      <c r="F2152" s="6">
        <f>IFERROR(VLOOKUP($B2152,Platts!$E$5:$M$4994,MATCH(F$3,Platts!$F$5:$M$5,0)+1,FALSE),F2151)</f>
        <v>76.81</v>
      </c>
      <c r="G2152" s="6">
        <f>IFERROR(VLOOKUP($B2152,Platts!$E$5:$M$4994,MATCH(G$3,Platts!$F$5:$M$5,0)+1,FALSE),G2151)</f>
        <v>80.959999999999994</v>
      </c>
      <c r="H2152" s="6">
        <f>IFERROR(VLOOKUP($B2152,Platts!$E$5:$M$4994,MATCH(H$3,Platts!$F$5:$M$5,0)+1,FALSE),H2151)</f>
        <v>79.010000000000005</v>
      </c>
      <c r="I2152" s="6">
        <f>IFERROR(VLOOKUP($B2152,Platts!$E$5:$M$4994,MATCH(I$3,Platts!$F$5:$M$5,0)+1,FALSE),I2151)</f>
        <v>78.91</v>
      </c>
      <c r="J2152" s="6">
        <f t="shared" si="66"/>
        <v>5.0400000000000063</v>
      </c>
    </row>
    <row r="2153" spans="2:10" x14ac:dyDescent="0.25">
      <c r="B2153" s="5">
        <f t="shared" si="67"/>
        <v>44519</v>
      </c>
      <c r="C2153" s="6">
        <f>IFERROR(VLOOKUP($B2153,Platts!$E$5:$M$4994,MATCH(C$3,Platts!$F$5:$M$5,0)+1,FALSE),C2152)</f>
        <v>72.08</v>
      </c>
      <c r="D2153" s="6">
        <f>IFERROR(VLOOKUP($B2153,Platts!$E$5:$M$4994,MATCH(D$3,Platts!$F$5:$M$5,0)+1,FALSE),D2152)</f>
        <v>72.66</v>
      </c>
      <c r="E2153" s="6">
        <f>IFERROR(VLOOKUP($B2153,Platts!$E$5:$M$4994,MATCH(E$3,Platts!$F$5:$M$5,0)+1,FALSE),E2152)</f>
        <v>71.209999999999994</v>
      </c>
      <c r="F2153" s="6">
        <f>IFERROR(VLOOKUP($B2153,Platts!$E$5:$M$4994,MATCH(F$3,Platts!$F$5:$M$5,0)+1,FALSE),F2152)</f>
        <v>74.260000000000005</v>
      </c>
      <c r="G2153" s="6">
        <f>IFERROR(VLOOKUP($B2153,Platts!$E$5:$M$4994,MATCH(G$3,Platts!$F$5:$M$5,0)+1,FALSE),G2152)</f>
        <v>78.680000000000007</v>
      </c>
      <c r="H2153" s="6">
        <f>IFERROR(VLOOKUP($B2153,Platts!$E$5:$M$4994,MATCH(H$3,Platts!$F$5:$M$5,0)+1,FALSE),H2152)</f>
        <v>76.099999999999994</v>
      </c>
      <c r="I2153" s="6">
        <f>IFERROR(VLOOKUP($B2153,Platts!$E$5:$M$4994,MATCH(I$3,Platts!$F$5:$M$5,0)+1,FALSE),I2152)</f>
        <v>76.25</v>
      </c>
      <c r="J2153" s="6">
        <f t="shared" si="66"/>
        <v>4.019999999999996</v>
      </c>
    </row>
    <row r="2154" spans="2:10" x14ac:dyDescent="0.25">
      <c r="B2154" s="5">
        <f t="shared" si="67"/>
        <v>44520</v>
      </c>
      <c r="C2154" s="6">
        <f>IFERROR(VLOOKUP($B2154,Platts!$E$5:$M$4994,MATCH(C$3,Platts!$F$5:$M$5,0)+1,FALSE),C2153)</f>
        <v>72.08</v>
      </c>
      <c r="D2154" s="6">
        <f>IFERROR(VLOOKUP($B2154,Platts!$E$5:$M$4994,MATCH(D$3,Platts!$F$5:$M$5,0)+1,FALSE),D2153)</f>
        <v>72.66</v>
      </c>
      <c r="E2154" s="6">
        <f>IFERROR(VLOOKUP($B2154,Platts!$E$5:$M$4994,MATCH(E$3,Platts!$F$5:$M$5,0)+1,FALSE),E2153)</f>
        <v>71.209999999999994</v>
      </c>
      <c r="F2154" s="6">
        <f>IFERROR(VLOOKUP($B2154,Platts!$E$5:$M$4994,MATCH(F$3,Platts!$F$5:$M$5,0)+1,FALSE),F2153)</f>
        <v>74.260000000000005</v>
      </c>
      <c r="G2154" s="6">
        <f>IFERROR(VLOOKUP($B2154,Platts!$E$5:$M$4994,MATCH(G$3,Platts!$F$5:$M$5,0)+1,FALSE),G2153)</f>
        <v>78.680000000000007</v>
      </c>
      <c r="H2154" s="6">
        <f>IFERROR(VLOOKUP($B2154,Platts!$E$5:$M$4994,MATCH(H$3,Platts!$F$5:$M$5,0)+1,FALSE),H2153)</f>
        <v>76.099999999999994</v>
      </c>
      <c r="I2154" s="6">
        <f>IFERROR(VLOOKUP($B2154,Platts!$E$5:$M$4994,MATCH(I$3,Platts!$F$5:$M$5,0)+1,FALSE),I2153)</f>
        <v>76.25</v>
      </c>
      <c r="J2154" s="6">
        <f t="shared" si="66"/>
        <v>4.019999999999996</v>
      </c>
    </row>
    <row r="2155" spans="2:10" x14ac:dyDescent="0.25">
      <c r="B2155" s="5">
        <f t="shared" si="67"/>
        <v>44521</v>
      </c>
      <c r="C2155" s="6">
        <f>IFERROR(VLOOKUP($B2155,Platts!$E$5:$M$4994,MATCH(C$3,Platts!$F$5:$M$5,0)+1,FALSE),C2154)</f>
        <v>72.08</v>
      </c>
      <c r="D2155" s="6">
        <f>IFERROR(VLOOKUP($B2155,Platts!$E$5:$M$4994,MATCH(D$3,Platts!$F$5:$M$5,0)+1,FALSE),D2154)</f>
        <v>72.66</v>
      </c>
      <c r="E2155" s="6">
        <f>IFERROR(VLOOKUP($B2155,Platts!$E$5:$M$4994,MATCH(E$3,Platts!$F$5:$M$5,0)+1,FALSE),E2154)</f>
        <v>71.209999999999994</v>
      </c>
      <c r="F2155" s="6">
        <f>IFERROR(VLOOKUP($B2155,Platts!$E$5:$M$4994,MATCH(F$3,Platts!$F$5:$M$5,0)+1,FALSE),F2154)</f>
        <v>74.260000000000005</v>
      </c>
      <c r="G2155" s="6">
        <f>IFERROR(VLOOKUP($B2155,Platts!$E$5:$M$4994,MATCH(G$3,Platts!$F$5:$M$5,0)+1,FALSE),G2154)</f>
        <v>78.680000000000007</v>
      </c>
      <c r="H2155" s="6">
        <f>IFERROR(VLOOKUP($B2155,Platts!$E$5:$M$4994,MATCH(H$3,Platts!$F$5:$M$5,0)+1,FALSE),H2154)</f>
        <v>76.099999999999994</v>
      </c>
      <c r="I2155" s="6">
        <f>IFERROR(VLOOKUP($B2155,Platts!$E$5:$M$4994,MATCH(I$3,Platts!$F$5:$M$5,0)+1,FALSE),I2154)</f>
        <v>76.25</v>
      </c>
      <c r="J2155" s="6">
        <f t="shared" si="66"/>
        <v>4.019999999999996</v>
      </c>
    </row>
    <row r="2156" spans="2:10" x14ac:dyDescent="0.25">
      <c r="B2156" s="5">
        <f t="shared" si="67"/>
        <v>44522</v>
      </c>
      <c r="C2156" s="6">
        <f>IFERROR(VLOOKUP($B2156,Platts!$E$5:$M$4994,MATCH(C$3,Platts!$F$5:$M$5,0)+1,FALSE),C2155)</f>
        <v>72.44</v>
      </c>
      <c r="D2156" s="6">
        <f>IFERROR(VLOOKUP($B2156,Platts!$E$5:$M$4994,MATCH(D$3,Platts!$F$5:$M$5,0)+1,FALSE),D2155)</f>
        <v>72.66</v>
      </c>
      <c r="E2156" s="6">
        <f>IFERROR(VLOOKUP($B2156,Platts!$E$5:$M$4994,MATCH(E$3,Platts!$F$5:$M$5,0)+1,FALSE),E2155)</f>
        <v>71.209999999999994</v>
      </c>
      <c r="F2156" s="6">
        <f>IFERROR(VLOOKUP($B2156,Platts!$E$5:$M$4994,MATCH(F$3,Platts!$F$5:$M$5,0)+1,FALSE),F2155)</f>
        <v>74.260000000000005</v>
      </c>
      <c r="G2156" s="6">
        <f>IFERROR(VLOOKUP($B2156,Platts!$E$5:$M$4994,MATCH(G$3,Platts!$F$5:$M$5,0)+1,FALSE),G2155)</f>
        <v>78.680000000000007</v>
      </c>
      <c r="H2156" s="6">
        <f>IFERROR(VLOOKUP($B2156,Platts!$E$5:$M$4994,MATCH(H$3,Platts!$F$5:$M$5,0)+1,FALSE),H2155)</f>
        <v>76.099999999999994</v>
      </c>
      <c r="I2156" s="6">
        <f>IFERROR(VLOOKUP($B2156,Platts!$E$5:$M$4994,MATCH(I$3,Platts!$F$5:$M$5,0)+1,FALSE),I2155)</f>
        <v>76.25</v>
      </c>
      <c r="J2156" s="6">
        <f t="shared" si="66"/>
        <v>3.6599999999999966</v>
      </c>
    </row>
    <row r="2157" spans="2:10" x14ac:dyDescent="0.25">
      <c r="B2157" s="5">
        <f t="shared" si="67"/>
        <v>44523</v>
      </c>
      <c r="C2157" s="6">
        <f>IFERROR(VLOOKUP($B2157,Platts!$E$5:$M$4994,MATCH(C$3,Platts!$F$5:$M$5,0)+1,FALSE),C2156)</f>
        <v>74.39</v>
      </c>
      <c r="D2157" s="6">
        <f>IFERROR(VLOOKUP($B2157,Platts!$E$5:$M$4994,MATCH(D$3,Platts!$F$5:$M$5,0)+1,FALSE),D2156)</f>
        <v>75.349999999999994</v>
      </c>
      <c r="E2157" s="6">
        <f>IFERROR(VLOOKUP($B2157,Platts!$E$5:$M$4994,MATCH(E$3,Platts!$F$5:$M$5,0)+1,FALSE),E2156)</f>
        <v>73.900000000000006</v>
      </c>
      <c r="F2157" s="6">
        <f>IFERROR(VLOOKUP($B2157,Platts!$E$5:$M$4994,MATCH(F$3,Platts!$F$5:$M$5,0)+1,FALSE),F2156)</f>
        <v>76.95</v>
      </c>
      <c r="G2157" s="6">
        <f>IFERROR(VLOOKUP($B2157,Platts!$E$5:$M$4994,MATCH(G$3,Platts!$F$5:$M$5,0)+1,FALSE),G2156)</f>
        <v>81.98</v>
      </c>
      <c r="H2157" s="6">
        <f>IFERROR(VLOOKUP($B2157,Platts!$E$5:$M$4994,MATCH(H$3,Platts!$F$5:$M$5,0)+1,FALSE),H2156)</f>
        <v>78.45</v>
      </c>
      <c r="I2157" s="6">
        <f>IFERROR(VLOOKUP($B2157,Platts!$E$5:$M$4994,MATCH(I$3,Platts!$F$5:$M$5,0)+1,FALSE),I2156)</f>
        <v>78.849999999999994</v>
      </c>
      <c r="J2157" s="6">
        <f t="shared" si="66"/>
        <v>4.0600000000000023</v>
      </c>
    </row>
    <row r="2158" spans="2:10" x14ac:dyDescent="0.25">
      <c r="B2158" s="5">
        <f t="shared" si="67"/>
        <v>44524</v>
      </c>
      <c r="C2158" s="6">
        <f>IFERROR(VLOOKUP($B2158,Platts!$E$5:$M$4994,MATCH(C$3,Platts!$F$5:$M$5,0)+1,FALSE),C2157)</f>
        <v>74.87</v>
      </c>
      <c r="D2158" s="6">
        <f>IFERROR(VLOOKUP($B2158,Platts!$E$5:$M$4994,MATCH(D$3,Platts!$F$5:$M$5,0)+1,FALSE),D2157)</f>
        <v>75.72</v>
      </c>
      <c r="E2158" s="6">
        <f>IFERROR(VLOOKUP($B2158,Platts!$E$5:$M$4994,MATCH(E$3,Platts!$F$5:$M$5,0)+1,FALSE),E2157)</f>
        <v>74.27</v>
      </c>
      <c r="F2158" s="6">
        <f>IFERROR(VLOOKUP($B2158,Platts!$E$5:$M$4994,MATCH(F$3,Platts!$F$5:$M$5,0)+1,FALSE),F2157)</f>
        <v>77.319999999999993</v>
      </c>
      <c r="G2158" s="6">
        <f>IFERROR(VLOOKUP($B2158,Platts!$E$5:$M$4994,MATCH(G$3,Platts!$F$5:$M$5,0)+1,FALSE),G2157)</f>
        <v>82.89</v>
      </c>
      <c r="H2158" s="6">
        <f>IFERROR(VLOOKUP($B2158,Platts!$E$5:$M$4994,MATCH(H$3,Platts!$F$5:$M$5,0)+1,FALSE),H2157)</f>
        <v>78.39</v>
      </c>
      <c r="I2158" s="6">
        <f>IFERROR(VLOOKUP($B2158,Platts!$E$5:$M$4994,MATCH(I$3,Platts!$F$5:$M$5,0)+1,FALSE),I2157)</f>
        <v>78.790000000000006</v>
      </c>
      <c r="J2158" s="6">
        <f t="shared" si="66"/>
        <v>3.519999999999996</v>
      </c>
    </row>
    <row r="2159" spans="2:10" x14ac:dyDescent="0.25">
      <c r="B2159" s="5">
        <f t="shared" si="67"/>
        <v>44525</v>
      </c>
      <c r="C2159" s="6">
        <f>IFERROR(VLOOKUP($B2159,Platts!$E$5:$M$4994,MATCH(C$3,Platts!$F$5:$M$5,0)+1,FALSE),C2158)</f>
        <v>74.87</v>
      </c>
      <c r="D2159" s="6">
        <f>IFERROR(VLOOKUP($B2159,Platts!$E$5:$M$4994,MATCH(D$3,Platts!$F$5:$M$5,0)+1,FALSE),D2158)</f>
        <v>75.72</v>
      </c>
      <c r="E2159" s="6">
        <f>IFERROR(VLOOKUP($B2159,Platts!$E$5:$M$4994,MATCH(E$3,Platts!$F$5:$M$5,0)+1,FALSE),E2158)</f>
        <v>74.27</v>
      </c>
      <c r="F2159" s="6">
        <f>IFERROR(VLOOKUP($B2159,Platts!$E$5:$M$4994,MATCH(F$3,Platts!$F$5:$M$5,0)+1,FALSE),F2158)</f>
        <v>77.319999999999993</v>
      </c>
      <c r="G2159" s="6">
        <f>IFERROR(VLOOKUP($B2159,Platts!$E$5:$M$4994,MATCH(G$3,Platts!$F$5:$M$5,0)+1,FALSE),G2158)</f>
        <v>82.25</v>
      </c>
      <c r="H2159" s="6">
        <f>IFERROR(VLOOKUP($B2159,Platts!$E$5:$M$4994,MATCH(H$3,Platts!$F$5:$M$5,0)+1,FALSE),H2158)</f>
        <v>78.39</v>
      </c>
      <c r="I2159" s="6">
        <f>IFERROR(VLOOKUP($B2159,Platts!$E$5:$M$4994,MATCH(I$3,Platts!$F$5:$M$5,0)+1,FALSE),I2158)</f>
        <v>78.790000000000006</v>
      </c>
      <c r="J2159" s="6">
        <f t="shared" si="66"/>
        <v>3.519999999999996</v>
      </c>
    </row>
    <row r="2160" spans="2:10" x14ac:dyDescent="0.25">
      <c r="B2160" s="5">
        <f t="shared" si="67"/>
        <v>44526</v>
      </c>
      <c r="C2160" s="6">
        <f>IFERROR(VLOOKUP($B2160,Platts!$E$5:$M$4994,MATCH(C$3,Platts!$F$5:$M$5,0)+1,FALSE),C2159)</f>
        <v>66.489999999999995</v>
      </c>
      <c r="D2160" s="6">
        <f>IFERROR(VLOOKUP($B2160,Platts!$E$5:$M$4994,MATCH(D$3,Platts!$F$5:$M$5,0)+1,FALSE),D2159)</f>
        <v>75.72</v>
      </c>
      <c r="E2160" s="6">
        <f>IFERROR(VLOOKUP($B2160,Platts!$E$5:$M$4994,MATCH(E$3,Platts!$F$5:$M$5,0)+1,FALSE),E2159)</f>
        <v>74.27</v>
      </c>
      <c r="F2160" s="6">
        <f>IFERROR(VLOOKUP($B2160,Platts!$E$5:$M$4994,MATCH(F$3,Platts!$F$5:$M$5,0)+1,FALSE),F2159)</f>
        <v>77.319999999999993</v>
      </c>
      <c r="G2160" s="6">
        <f>IFERROR(VLOOKUP($B2160,Platts!$E$5:$M$4994,MATCH(G$3,Platts!$F$5:$M$5,0)+1,FALSE),G2159)</f>
        <v>73.72</v>
      </c>
      <c r="H2160" s="6">
        <f>IFERROR(VLOOKUP($B2160,Platts!$E$5:$M$4994,MATCH(H$3,Platts!$F$5:$M$5,0)+1,FALSE),H2159)</f>
        <v>78.39</v>
      </c>
      <c r="I2160" s="6">
        <f>IFERROR(VLOOKUP($B2160,Platts!$E$5:$M$4994,MATCH(I$3,Platts!$F$5:$M$5,0)+1,FALSE),I2159)</f>
        <v>78.790000000000006</v>
      </c>
      <c r="J2160" s="6">
        <f t="shared" si="66"/>
        <v>11.900000000000006</v>
      </c>
    </row>
    <row r="2161" spans="2:10" x14ac:dyDescent="0.25">
      <c r="B2161" s="5">
        <f t="shared" si="67"/>
        <v>44527</v>
      </c>
      <c r="C2161" s="6">
        <f>IFERROR(VLOOKUP($B2161,Platts!$E$5:$M$4994,MATCH(C$3,Platts!$F$5:$M$5,0)+1,FALSE),C2160)</f>
        <v>66.489999999999995</v>
      </c>
      <c r="D2161" s="6">
        <f>IFERROR(VLOOKUP($B2161,Platts!$E$5:$M$4994,MATCH(D$3,Platts!$F$5:$M$5,0)+1,FALSE),D2160)</f>
        <v>75.72</v>
      </c>
      <c r="E2161" s="6">
        <f>IFERROR(VLOOKUP($B2161,Platts!$E$5:$M$4994,MATCH(E$3,Platts!$F$5:$M$5,0)+1,FALSE),E2160)</f>
        <v>74.27</v>
      </c>
      <c r="F2161" s="6">
        <f>IFERROR(VLOOKUP($B2161,Platts!$E$5:$M$4994,MATCH(F$3,Platts!$F$5:$M$5,0)+1,FALSE),F2160)</f>
        <v>77.319999999999993</v>
      </c>
      <c r="G2161" s="6">
        <f>IFERROR(VLOOKUP($B2161,Platts!$E$5:$M$4994,MATCH(G$3,Platts!$F$5:$M$5,0)+1,FALSE),G2160)</f>
        <v>73.72</v>
      </c>
      <c r="H2161" s="6">
        <f>IFERROR(VLOOKUP($B2161,Platts!$E$5:$M$4994,MATCH(H$3,Platts!$F$5:$M$5,0)+1,FALSE),H2160)</f>
        <v>78.39</v>
      </c>
      <c r="I2161" s="6">
        <f>IFERROR(VLOOKUP($B2161,Platts!$E$5:$M$4994,MATCH(I$3,Platts!$F$5:$M$5,0)+1,FALSE),I2160)</f>
        <v>78.790000000000006</v>
      </c>
      <c r="J2161" s="6">
        <f t="shared" si="66"/>
        <v>11.900000000000006</v>
      </c>
    </row>
    <row r="2162" spans="2:10" x14ac:dyDescent="0.25">
      <c r="B2162" s="5">
        <f t="shared" si="67"/>
        <v>44528</v>
      </c>
      <c r="C2162" s="6">
        <f>IFERROR(VLOOKUP($B2162,Platts!$E$5:$M$4994,MATCH(C$3,Platts!$F$5:$M$5,0)+1,FALSE),C2161)</f>
        <v>66.489999999999995</v>
      </c>
      <c r="D2162" s="6">
        <f>IFERROR(VLOOKUP($B2162,Platts!$E$5:$M$4994,MATCH(D$3,Platts!$F$5:$M$5,0)+1,FALSE),D2161)</f>
        <v>75.72</v>
      </c>
      <c r="E2162" s="6">
        <f>IFERROR(VLOOKUP($B2162,Platts!$E$5:$M$4994,MATCH(E$3,Platts!$F$5:$M$5,0)+1,FALSE),E2161)</f>
        <v>74.27</v>
      </c>
      <c r="F2162" s="6">
        <f>IFERROR(VLOOKUP($B2162,Platts!$E$5:$M$4994,MATCH(F$3,Platts!$F$5:$M$5,0)+1,FALSE),F2161)</f>
        <v>77.319999999999993</v>
      </c>
      <c r="G2162" s="6">
        <f>IFERROR(VLOOKUP($B2162,Platts!$E$5:$M$4994,MATCH(G$3,Platts!$F$5:$M$5,0)+1,FALSE),G2161)</f>
        <v>73.72</v>
      </c>
      <c r="H2162" s="6">
        <f>IFERROR(VLOOKUP($B2162,Platts!$E$5:$M$4994,MATCH(H$3,Platts!$F$5:$M$5,0)+1,FALSE),H2161)</f>
        <v>78.39</v>
      </c>
      <c r="I2162" s="6">
        <f>IFERROR(VLOOKUP($B2162,Platts!$E$5:$M$4994,MATCH(I$3,Platts!$F$5:$M$5,0)+1,FALSE),I2161)</f>
        <v>78.790000000000006</v>
      </c>
      <c r="J2162" s="6">
        <f t="shared" si="66"/>
        <v>11.900000000000006</v>
      </c>
    </row>
    <row r="2163" spans="2:10" x14ac:dyDescent="0.25">
      <c r="B2163" s="5">
        <f t="shared" si="67"/>
        <v>44529</v>
      </c>
      <c r="C2163" s="6">
        <f>IFERROR(VLOOKUP($B2163,Platts!$E$5:$M$4994,MATCH(C$3,Platts!$F$5:$M$5,0)+1,FALSE),C2162)</f>
        <v>63.16</v>
      </c>
      <c r="D2163" s="6">
        <f>IFERROR(VLOOKUP($B2163,Platts!$E$5:$M$4994,MATCH(D$3,Platts!$F$5:$M$5,0)+1,FALSE),D2162)</f>
        <v>66.98</v>
      </c>
      <c r="E2163" s="6">
        <f>IFERROR(VLOOKUP($B2163,Platts!$E$5:$M$4994,MATCH(E$3,Platts!$F$5:$M$5,0)+1,FALSE),E2162)</f>
        <v>65.53</v>
      </c>
      <c r="F2163" s="6">
        <f>IFERROR(VLOOKUP($B2163,Platts!$E$5:$M$4994,MATCH(F$3,Platts!$F$5:$M$5,0)+1,FALSE),F2162)</f>
        <v>68.58</v>
      </c>
      <c r="G2163" s="6">
        <f>IFERROR(VLOOKUP($B2163,Platts!$E$5:$M$4994,MATCH(G$3,Platts!$F$5:$M$5,0)+1,FALSE),G2162)</f>
        <v>74.94</v>
      </c>
      <c r="H2163" s="6">
        <f>IFERROR(VLOOKUP($B2163,Platts!$E$5:$M$4994,MATCH(H$3,Platts!$F$5:$M$5,0)+1,FALSE),H2162)</f>
        <v>69.95</v>
      </c>
      <c r="I2163" s="6">
        <f>IFERROR(VLOOKUP($B2163,Platts!$E$5:$M$4994,MATCH(I$3,Platts!$F$5:$M$5,0)+1,FALSE),I2162)</f>
        <v>71</v>
      </c>
      <c r="J2163" s="6">
        <f t="shared" si="66"/>
        <v>6.7900000000000063</v>
      </c>
    </row>
    <row r="2164" spans="2:10" x14ac:dyDescent="0.25">
      <c r="B2164" s="5">
        <f t="shared" si="67"/>
        <v>44530</v>
      </c>
      <c r="C2164" s="6">
        <f>IFERROR(VLOOKUP($B2164,Platts!$E$5:$M$4994,MATCH(C$3,Platts!$F$5:$M$5,0)+1,FALSE),C2163)</f>
        <v>61.23</v>
      </c>
      <c r="D2164" s="6">
        <f>IFERROR(VLOOKUP($B2164,Platts!$E$5:$M$4994,MATCH(D$3,Platts!$F$5:$M$5,0)+1,FALSE),D2163)</f>
        <v>63.5</v>
      </c>
      <c r="E2164" s="6">
        <f>IFERROR(VLOOKUP($B2164,Platts!$E$5:$M$4994,MATCH(E$3,Platts!$F$5:$M$5,0)+1,FALSE),E2163)</f>
        <v>62.05</v>
      </c>
      <c r="F2164" s="6">
        <f>IFERROR(VLOOKUP($B2164,Platts!$E$5:$M$4994,MATCH(F$3,Platts!$F$5:$M$5,0)+1,FALSE),F2163)</f>
        <v>65.099999999999994</v>
      </c>
      <c r="G2164" s="6">
        <f>IFERROR(VLOOKUP($B2164,Platts!$E$5:$M$4994,MATCH(G$3,Platts!$F$5:$M$5,0)+1,FALSE),G2163)</f>
        <v>70.349999999999994</v>
      </c>
      <c r="H2164" s="6">
        <f>IFERROR(VLOOKUP($B2164,Platts!$E$5:$M$4994,MATCH(H$3,Platts!$F$5:$M$5,0)+1,FALSE),H2163)</f>
        <v>66.180000000000007</v>
      </c>
      <c r="I2164" s="6">
        <f>IFERROR(VLOOKUP($B2164,Platts!$E$5:$M$4994,MATCH(I$3,Platts!$F$5:$M$5,0)+1,FALSE),I2163)</f>
        <v>67.23</v>
      </c>
      <c r="J2164" s="6">
        <f t="shared" si="66"/>
        <v>4.9500000000000099</v>
      </c>
    </row>
    <row r="2165" spans="2:10" x14ac:dyDescent="0.25">
      <c r="B2165" s="5">
        <f t="shared" si="67"/>
        <v>44531</v>
      </c>
      <c r="C2165" s="6">
        <f>IFERROR(VLOOKUP($B2165,Platts!$E$5:$M$4994,MATCH(C$3,Platts!$F$5:$M$5,0)+1,FALSE),C2164)</f>
        <v>61.59</v>
      </c>
      <c r="D2165" s="6">
        <f>IFERROR(VLOOKUP($B2165,Platts!$E$5:$M$4994,MATCH(D$3,Platts!$F$5:$M$5,0)+1,FALSE),D2164)</f>
        <v>61.46</v>
      </c>
      <c r="E2165" s="6">
        <f>IFERROR(VLOOKUP($B2165,Platts!$E$5:$M$4994,MATCH(E$3,Platts!$F$5:$M$5,0)+1,FALSE),E2164)</f>
        <v>59.16</v>
      </c>
      <c r="F2165" s="6">
        <f>IFERROR(VLOOKUP($B2165,Platts!$E$5:$M$4994,MATCH(F$3,Platts!$F$5:$M$5,0)+1,FALSE),F2164)</f>
        <v>63.06</v>
      </c>
      <c r="G2165" s="6">
        <f>IFERROR(VLOOKUP($B2165,Platts!$E$5:$M$4994,MATCH(G$3,Platts!$F$5:$M$5,0)+1,FALSE),G2164)</f>
        <v>71.64</v>
      </c>
      <c r="H2165" s="6">
        <f>IFERROR(VLOOKUP($B2165,Platts!$E$5:$M$4994,MATCH(H$3,Platts!$F$5:$M$5,0)+1,FALSE),H2164)</f>
        <v>65.569999999999993</v>
      </c>
      <c r="I2165" s="6">
        <f>IFERROR(VLOOKUP($B2165,Platts!$E$5:$M$4994,MATCH(I$3,Platts!$F$5:$M$5,0)+1,FALSE),I2164)</f>
        <v>67.12</v>
      </c>
      <c r="J2165" s="6">
        <f t="shared" si="66"/>
        <v>3.9799999999999898</v>
      </c>
    </row>
    <row r="2166" spans="2:10" x14ac:dyDescent="0.25">
      <c r="B2166" s="5">
        <f t="shared" si="67"/>
        <v>44532</v>
      </c>
      <c r="C2166" s="6">
        <f>IFERROR(VLOOKUP($B2166,Platts!$E$5:$M$4994,MATCH(C$3,Platts!$F$5:$M$5,0)+1,FALSE),C2165)</f>
        <v>61.59</v>
      </c>
      <c r="D2166" s="6">
        <f>IFERROR(VLOOKUP($B2166,Platts!$E$5:$M$4994,MATCH(D$3,Platts!$F$5:$M$5,0)+1,FALSE),D2165)</f>
        <v>62.31</v>
      </c>
      <c r="E2166" s="6">
        <f>IFERROR(VLOOKUP($B2166,Platts!$E$5:$M$4994,MATCH(E$3,Platts!$F$5:$M$5,0)+1,FALSE),E2165)</f>
        <v>60.01</v>
      </c>
      <c r="F2166" s="6">
        <f>IFERROR(VLOOKUP($B2166,Platts!$E$5:$M$4994,MATCH(F$3,Platts!$F$5:$M$5,0)+1,FALSE),F2165)</f>
        <v>63.91</v>
      </c>
      <c r="G2166" s="6">
        <f>IFERROR(VLOOKUP($B2166,Platts!$E$5:$M$4994,MATCH(G$3,Platts!$F$5:$M$5,0)+1,FALSE),G2165)</f>
        <v>69.98</v>
      </c>
      <c r="H2166" s="6">
        <f>IFERROR(VLOOKUP($B2166,Platts!$E$5:$M$4994,MATCH(H$3,Platts!$F$5:$M$5,0)+1,FALSE),H2165)</f>
        <v>66.5</v>
      </c>
      <c r="I2166" s="6">
        <f>IFERROR(VLOOKUP($B2166,Platts!$E$5:$M$4994,MATCH(I$3,Platts!$F$5:$M$5,0)+1,FALSE),I2165)</f>
        <v>68.05</v>
      </c>
      <c r="J2166" s="6">
        <f t="shared" si="66"/>
        <v>4.9099999999999966</v>
      </c>
    </row>
    <row r="2167" spans="2:10" x14ac:dyDescent="0.25">
      <c r="B2167" s="5">
        <f t="shared" si="67"/>
        <v>44533</v>
      </c>
      <c r="C2167" s="6">
        <f>IFERROR(VLOOKUP($B2167,Platts!$E$5:$M$4994,MATCH(C$3,Platts!$F$5:$M$5,0)+1,FALSE),C2166)</f>
        <v>61.87</v>
      </c>
      <c r="D2167" s="6">
        <f>IFERROR(VLOOKUP($B2167,Platts!$E$5:$M$4994,MATCH(D$3,Platts!$F$5:$M$5,0)+1,FALSE),D2166)</f>
        <v>62.22</v>
      </c>
      <c r="E2167" s="6">
        <f>IFERROR(VLOOKUP($B2167,Platts!$E$5:$M$4994,MATCH(E$3,Platts!$F$5:$M$5,0)+1,FALSE),E2166)</f>
        <v>59.92</v>
      </c>
      <c r="F2167" s="6">
        <f>IFERROR(VLOOKUP($B2167,Platts!$E$5:$M$4994,MATCH(F$3,Platts!$F$5:$M$5,0)+1,FALSE),F2166)</f>
        <v>63.82</v>
      </c>
      <c r="G2167" s="6">
        <f>IFERROR(VLOOKUP($B2167,Platts!$E$5:$M$4994,MATCH(G$3,Platts!$F$5:$M$5,0)+1,FALSE),G2166)</f>
        <v>71.44</v>
      </c>
      <c r="H2167" s="6">
        <f>IFERROR(VLOOKUP($B2167,Platts!$E$5:$M$4994,MATCH(H$3,Platts!$F$5:$M$5,0)+1,FALSE),H2166)</f>
        <v>66.260000000000005</v>
      </c>
      <c r="I2167" s="6">
        <f>IFERROR(VLOOKUP($B2167,Platts!$E$5:$M$4994,MATCH(I$3,Platts!$F$5:$M$5,0)+1,FALSE),I2166)</f>
        <v>67.81</v>
      </c>
      <c r="J2167" s="6">
        <f t="shared" si="66"/>
        <v>4.3900000000000077</v>
      </c>
    </row>
    <row r="2168" spans="2:10" x14ac:dyDescent="0.25">
      <c r="B2168" s="5">
        <f t="shared" si="67"/>
        <v>44534</v>
      </c>
      <c r="C2168" s="6">
        <f>IFERROR(VLOOKUP($B2168,Platts!$E$5:$M$4994,MATCH(C$3,Platts!$F$5:$M$5,0)+1,FALSE),C2167)</f>
        <v>61.87</v>
      </c>
      <c r="D2168" s="6">
        <f>IFERROR(VLOOKUP($B2168,Platts!$E$5:$M$4994,MATCH(D$3,Platts!$F$5:$M$5,0)+1,FALSE),D2167)</f>
        <v>62.22</v>
      </c>
      <c r="E2168" s="6">
        <f>IFERROR(VLOOKUP($B2168,Platts!$E$5:$M$4994,MATCH(E$3,Platts!$F$5:$M$5,0)+1,FALSE),E2167)</f>
        <v>59.92</v>
      </c>
      <c r="F2168" s="6">
        <f>IFERROR(VLOOKUP($B2168,Platts!$E$5:$M$4994,MATCH(F$3,Platts!$F$5:$M$5,0)+1,FALSE),F2167)</f>
        <v>63.82</v>
      </c>
      <c r="G2168" s="6">
        <f>IFERROR(VLOOKUP($B2168,Platts!$E$5:$M$4994,MATCH(G$3,Platts!$F$5:$M$5,0)+1,FALSE),G2167)</f>
        <v>71.44</v>
      </c>
      <c r="H2168" s="6">
        <f>IFERROR(VLOOKUP($B2168,Platts!$E$5:$M$4994,MATCH(H$3,Platts!$F$5:$M$5,0)+1,FALSE),H2167)</f>
        <v>66.260000000000005</v>
      </c>
      <c r="I2168" s="6">
        <f>IFERROR(VLOOKUP($B2168,Platts!$E$5:$M$4994,MATCH(I$3,Platts!$F$5:$M$5,0)+1,FALSE),I2167)</f>
        <v>67.81</v>
      </c>
      <c r="J2168" s="6">
        <f t="shared" si="66"/>
        <v>4.3900000000000077</v>
      </c>
    </row>
    <row r="2169" spans="2:10" x14ac:dyDescent="0.25">
      <c r="B2169" s="5">
        <f t="shared" si="67"/>
        <v>44535</v>
      </c>
      <c r="C2169" s="6">
        <f>IFERROR(VLOOKUP($B2169,Platts!$E$5:$M$4994,MATCH(C$3,Platts!$F$5:$M$5,0)+1,FALSE),C2168)</f>
        <v>61.87</v>
      </c>
      <c r="D2169" s="6">
        <f>IFERROR(VLOOKUP($B2169,Platts!$E$5:$M$4994,MATCH(D$3,Platts!$F$5:$M$5,0)+1,FALSE),D2168)</f>
        <v>62.22</v>
      </c>
      <c r="E2169" s="6">
        <f>IFERROR(VLOOKUP($B2169,Platts!$E$5:$M$4994,MATCH(E$3,Platts!$F$5:$M$5,0)+1,FALSE),E2168)</f>
        <v>59.92</v>
      </c>
      <c r="F2169" s="6">
        <f>IFERROR(VLOOKUP($B2169,Platts!$E$5:$M$4994,MATCH(F$3,Platts!$F$5:$M$5,0)+1,FALSE),F2168)</f>
        <v>63.82</v>
      </c>
      <c r="G2169" s="6">
        <f>IFERROR(VLOOKUP($B2169,Platts!$E$5:$M$4994,MATCH(G$3,Platts!$F$5:$M$5,0)+1,FALSE),G2168)</f>
        <v>71.44</v>
      </c>
      <c r="H2169" s="6">
        <f>IFERROR(VLOOKUP($B2169,Platts!$E$5:$M$4994,MATCH(H$3,Platts!$F$5:$M$5,0)+1,FALSE),H2168)</f>
        <v>66.260000000000005</v>
      </c>
      <c r="I2169" s="6">
        <f>IFERROR(VLOOKUP($B2169,Platts!$E$5:$M$4994,MATCH(I$3,Platts!$F$5:$M$5,0)+1,FALSE),I2168)</f>
        <v>67.81</v>
      </c>
      <c r="J2169" s="6">
        <f t="shared" si="66"/>
        <v>4.3900000000000077</v>
      </c>
    </row>
    <row r="2170" spans="2:10" x14ac:dyDescent="0.25">
      <c r="B2170" s="5">
        <f t="shared" si="67"/>
        <v>44536</v>
      </c>
      <c r="C2170" s="6">
        <f>IFERROR(VLOOKUP($B2170,Platts!$E$5:$M$4994,MATCH(C$3,Platts!$F$5:$M$5,0)+1,FALSE),C2169)</f>
        <v>64.48</v>
      </c>
      <c r="D2170" s="6">
        <f>IFERROR(VLOOKUP($B2170,Platts!$E$5:$M$4994,MATCH(D$3,Platts!$F$5:$M$5,0)+1,FALSE),D2169)</f>
        <v>65.44</v>
      </c>
      <c r="E2170" s="6">
        <f>IFERROR(VLOOKUP($B2170,Platts!$E$5:$M$4994,MATCH(E$3,Platts!$F$5:$M$5,0)+1,FALSE),E2169)</f>
        <v>63.14</v>
      </c>
      <c r="F2170" s="6">
        <f>IFERROR(VLOOKUP($B2170,Platts!$E$5:$M$4994,MATCH(F$3,Platts!$F$5:$M$5,0)+1,FALSE),F2169)</f>
        <v>67.040000000000006</v>
      </c>
      <c r="G2170" s="6">
        <f>IFERROR(VLOOKUP($B2170,Platts!$E$5:$M$4994,MATCH(G$3,Platts!$F$5:$M$5,0)+1,FALSE),G2169)</f>
        <v>72.150000000000006</v>
      </c>
      <c r="H2170" s="6">
        <f>IFERROR(VLOOKUP($B2170,Platts!$E$5:$M$4994,MATCH(H$3,Platts!$F$5:$M$5,0)+1,FALSE),H2169)</f>
        <v>69.489999999999995</v>
      </c>
      <c r="I2170" s="6">
        <f>IFERROR(VLOOKUP($B2170,Platts!$E$5:$M$4994,MATCH(I$3,Platts!$F$5:$M$5,0)+1,FALSE),I2169)</f>
        <v>71.040000000000006</v>
      </c>
      <c r="J2170" s="6">
        <f t="shared" si="66"/>
        <v>5.0099999999999909</v>
      </c>
    </row>
    <row r="2171" spans="2:10" x14ac:dyDescent="0.25">
      <c r="B2171" s="5">
        <f t="shared" si="67"/>
        <v>44537</v>
      </c>
      <c r="C2171" s="6">
        <f>IFERROR(VLOOKUP($B2171,Platts!$E$5:$M$4994,MATCH(C$3,Platts!$F$5:$M$5,0)+1,FALSE),C2170)</f>
        <v>67</v>
      </c>
      <c r="D2171" s="6">
        <f>IFERROR(VLOOKUP($B2171,Platts!$E$5:$M$4994,MATCH(D$3,Platts!$F$5:$M$5,0)+1,FALSE),D2170)</f>
        <v>67.900000000000006</v>
      </c>
      <c r="E2171" s="6">
        <f>IFERROR(VLOOKUP($B2171,Platts!$E$5:$M$4994,MATCH(E$3,Platts!$F$5:$M$5,0)+1,FALSE),E2170)</f>
        <v>65.599999999999994</v>
      </c>
      <c r="F2171" s="6">
        <f>IFERROR(VLOOKUP($B2171,Platts!$E$5:$M$4994,MATCH(F$3,Platts!$F$5:$M$5,0)+1,FALSE),F2170)</f>
        <v>69.5</v>
      </c>
      <c r="G2171" s="6">
        <f>IFERROR(VLOOKUP($B2171,Platts!$E$5:$M$4994,MATCH(G$3,Platts!$F$5:$M$5,0)+1,FALSE),G2170)</f>
        <v>75.89</v>
      </c>
      <c r="H2171" s="6">
        <f>IFERROR(VLOOKUP($B2171,Platts!$E$5:$M$4994,MATCH(H$3,Platts!$F$5:$M$5,0)+1,FALSE),H2170)</f>
        <v>72.05</v>
      </c>
      <c r="I2171" s="6">
        <f>IFERROR(VLOOKUP($B2171,Platts!$E$5:$M$4994,MATCH(I$3,Platts!$F$5:$M$5,0)+1,FALSE),I2170)</f>
        <v>73.5</v>
      </c>
      <c r="J2171" s="6">
        <f t="shared" si="66"/>
        <v>5.0499999999999972</v>
      </c>
    </row>
    <row r="2172" spans="2:10" x14ac:dyDescent="0.25">
      <c r="B2172" s="5">
        <f t="shared" si="67"/>
        <v>44538</v>
      </c>
      <c r="C2172" s="6">
        <f>IFERROR(VLOOKUP($B2172,Platts!$E$5:$M$4994,MATCH(C$3,Platts!$F$5:$M$5,0)+1,FALSE),C2171)</f>
        <v>67.45</v>
      </c>
      <c r="D2172" s="6">
        <f>IFERROR(VLOOKUP($B2172,Platts!$E$5:$M$4994,MATCH(D$3,Platts!$F$5:$M$5,0)+1,FALSE),D2171)</f>
        <v>68.27</v>
      </c>
      <c r="E2172" s="6">
        <f>IFERROR(VLOOKUP($B2172,Platts!$E$5:$M$4994,MATCH(E$3,Platts!$F$5:$M$5,0)+1,FALSE),E2171)</f>
        <v>65.97</v>
      </c>
      <c r="F2172" s="6">
        <f>IFERROR(VLOOKUP($B2172,Platts!$E$5:$M$4994,MATCH(F$3,Platts!$F$5:$M$5,0)+1,FALSE),F2171)</f>
        <v>69.87</v>
      </c>
      <c r="G2172" s="6">
        <f>IFERROR(VLOOKUP($B2172,Platts!$E$5:$M$4994,MATCH(G$3,Platts!$F$5:$M$5,0)+1,FALSE),G2171)</f>
        <v>75.95</v>
      </c>
      <c r="H2172" s="6">
        <f>IFERROR(VLOOKUP($B2172,Platts!$E$5:$M$4994,MATCH(H$3,Platts!$F$5:$M$5,0)+1,FALSE),H2171)</f>
        <v>72.36</v>
      </c>
      <c r="I2172" s="6">
        <f>IFERROR(VLOOKUP($B2172,Platts!$E$5:$M$4994,MATCH(I$3,Platts!$F$5:$M$5,0)+1,FALSE),I2171)</f>
        <v>73.86</v>
      </c>
      <c r="J2172" s="6">
        <f t="shared" si="66"/>
        <v>4.9099999999999966</v>
      </c>
    </row>
    <row r="2173" spans="2:10" x14ac:dyDescent="0.25">
      <c r="B2173" s="5">
        <f t="shared" si="67"/>
        <v>44539</v>
      </c>
      <c r="C2173" s="6">
        <f>IFERROR(VLOOKUP($B2173,Platts!$E$5:$M$4994,MATCH(C$3,Platts!$F$5:$M$5,0)+1,FALSE),C2172)</f>
        <v>66.37</v>
      </c>
      <c r="D2173" s="6">
        <f>IFERROR(VLOOKUP($B2173,Platts!$E$5:$M$4994,MATCH(D$3,Platts!$F$5:$M$5,0)+1,FALSE),D2172)</f>
        <v>66.95</v>
      </c>
      <c r="E2173" s="6">
        <f>IFERROR(VLOOKUP($B2173,Platts!$E$5:$M$4994,MATCH(E$3,Platts!$F$5:$M$5,0)+1,FALSE),E2172)</f>
        <v>64.650000000000006</v>
      </c>
      <c r="F2173" s="6">
        <f>IFERROR(VLOOKUP($B2173,Platts!$E$5:$M$4994,MATCH(F$3,Platts!$F$5:$M$5,0)+1,FALSE),F2172)</f>
        <v>68.55</v>
      </c>
      <c r="G2173" s="6">
        <f>IFERROR(VLOOKUP($B2173,Platts!$E$5:$M$4994,MATCH(G$3,Platts!$F$5:$M$5,0)+1,FALSE),G2172)</f>
        <v>75.41</v>
      </c>
      <c r="H2173" s="6">
        <f>IFERROR(VLOOKUP($B2173,Platts!$E$5:$M$4994,MATCH(H$3,Platts!$F$5:$M$5,0)+1,FALSE),H2172)</f>
        <v>70.94</v>
      </c>
      <c r="I2173" s="6">
        <f>IFERROR(VLOOKUP($B2173,Platts!$E$5:$M$4994,MATCH(I$3,Platts!$F$5:$M$5,0)+1,FALSE),I2172)</f>
        <v>72.44</v>
      </c>
      <c r="J2173" s="6">
        <f t="shared" si="66"/>
        <v>4.5699999999999932</v>
      </c>
    </row>
    <row r="2174" spans="2:10" x14ac:dyDescent="0.25">
      <c r="B2174" s="5">
        <f t="shared" si="67"/>
        <v>44540</v>
      </c>
      <c r="C2174" s="6">
        <f>IFERROR(VLOOKUP($B2174,Platts!$E$5:$M$4994,MATCH(C$3,Platts!$F$5:$M$5,0)+1,FALSE),C2173)</f>
        <v>66.739999999999995</v>
      </c>
      <c r="D2174" s="6">
        <f>IFERROR(VLOOKUP($B2174,Platts!$E$5:$M$4994,MATCH(D$3,Platts!$F$5:$M$5,0)+1,FALSE),D2173)</f>
        <v>67.680000000000007</v>
      </c>
      <c r="E2174" s="6">
        <f>IFERROR(VLOOKUP($B2174,Platts!$E$5:$M$4994,MATCH(E$3,Platts!$F$5:$M$5,0)+1,FALSE),E2173)</f>
        <v>65.38</v>
      </c>
      <c r="F2174" s="6">
        <f>IFERROR(VLOOKUP($B2174,Platts!$E$5:$M$4994,MATCH(F$3,Platts!$F$5:$M$5,0)+1,FALSE),F2173)</f>
        <v>69.28</v>
      </c>
      <c r="G2174" s="6">
        <f>IFERROR(VLOOKUP($B2174,Platts!$E$5:$M$4994,MATCH(G$3,Platts!$F$5:$M$5,0)+1,FALSE),G2173)</f>
        <v>74.739999999999995</v>
      </c>
      <c r="H2174" s="6">
        <f>IFERROR(VLOOKUP($B2174,Platts!$E$5:$M$4994,MATCH(H$3,Platts!$F$5:$M$5,0)+1,FALSE),H2173)</f>
        <v>71.67</v>
      </c>
      <c r="I2174" s="6">
        <f>IFERROR(VLOOKUP($B2174,Platts!$E$5:$M$4994,MATCH(I$3,Platts!$F$5:$M$5,0)+1,FALSE),I2173)</f>
        <v>73.17</v>
      </c>
      <c r="J2174" s="6">
        <f t="shared" si="66"/>
        <v>4.9300000000000068</v>
      </c>
    </row>
    <row r="2175" spans="2:10" x14ac:dyDescent="0.25">
      <c r="B2175" s="5">
        <f t="shared" si="67"/>
        <v>44541</v>
      </c>
      <c r="C2175" s="6">
        <f>IFERROR(VLOOKUP($B2175,Platts!$E$5:$M$4994,MATCH(C$3,Platts!$F$5:$M$5,0)+1,FALSE),C2174)</f>
        <v>66.739999999999995</v>
      </c>
      <c r="D2175" s="6">
        <f>IFERROR(VLOOKUP($B2175,Platts!$E$5:$M$4994,MATCH(D$3,Platts!$F$5:$M$5,0)+1,FALSE),D2174)</f>
        <v>67.680000000000007</v>
      </c>
      <c r="E2175" s="6">
        <f>IFERROR(VLOOKUP($B2175,Platts!$E$5:$M$4994,MATCH(E$3,Platts!$F$5:$M$5,0)+1,FALSE),E2174)</f>
        <v>65.38</v>
      </c>
      <c r="F2175" s="6">
        <f>IFERROR(VLOOKUP($B2175,Platts!$E$5:$M$4994,MATCH(F$3,Platts!$F$5:$M$5,0)+1,FALSE),F2174)</f>
        <v>69.28</v>
      </c>
      <c r="G2175" s="6">
        <f>IFERROR(VLOOKUP($B2175,Platts!$E$5:$M$4994,MATCH(G$3,Platts!$F$5:$M$5,0)+1,FALSE),G2174)</f>
        <v>74.739999999999995</v>
      </c>
      <c r="H2175" s="6">
        <f>IFERROR(VLOOKUP($B2175,Platts!$E$5:$M$4994,MATCH(H$3,Platts!$F$5:$M$5,0)+1,FALSE),H2174)</f>
        <v>71.67</v>
      </c>
      <c r="I2175" s="6">
        <f>IFERROR(VLOOKUP($B2175,Platts!$E$5:$M$4994,MATCH(I$3,Platts!$F$5:$M$5,0)+1,FALSE),I2174)</f>
        <v>73.17</v>
      </c>
      <c r="J2175" s="6">
        <f t="shared" si="66"/>
        <v>4.9300000000000068</v>
      </c>
    </row>
    <row r="2176" spans="2:10" x14ac:dyDescent="0.25">
      <c r="B2176" s="5">
        <f t="shared" si="67"/>
        <v>44542</v>
      </c>
      <c r="C2176" s="6">
        <f>IFERROR(VLOOKUP($B2176,Platts!$E$5:$M$4994,MATCH(C$3,Platts!$F$5:$M$5,0)+1,FALSE),C2175)</f>
        <v>66.739999999999995</v>
      </c>
      <c r="D2176" s="6">
        <f>IFERROR(VLOOKUP($B2176,Platts!$E$5:$M$4994,MATCH(D$3,Platts!$F$5:$M$5,0)+1,FALSE),D2175)</f>
        <v>67.680000000000007</v>
      </c>
      <c r="E2176" s="6">
        <f>IFERROR(VLOOKUP($B2176,Platts!$E$5:$M$4994,MATCH(E$3,Platts!$F$5:$M$5,0)+1,FALSE),E2175)</f>
        <v>65.38</v>
      </c>
      <c r="F2176" s="6">
        <f>IFERROR(VLOOKUP($B2176,Platts!$E$5:$M$4994,MATCH(F$3,Platts!$F$5:$M$5,0)+1,FALSE),F2175)</f>
        <v>69.28</v>
      </c>
      <c r="G2176" s="6">
        <f>IFERROR(VLOOKUP($B2176,Platts!$E$5:$M$4994,MATCH(G$3,Platts!$F$5:$M$5,0)+1,FALSE),G2175)</f>
        <v>74.739999999999995</v>
      </c>
      <c r="H2176" s="6">
        <f>IFERROR(VLOOKUP($B2176,Platts!$E$5:$M$4994,MATCH(H$3,Platts!$F$5:$M$5,0)+1,FALSE),H2175)</f>
        <v>71.67</v>
      </c>
      <c r="I2176" s="6">
        <f>IFERROR(VLOOKUP($B2176,Platts!$E$5:$M$4994,MATCH(I$3,Platts!$F$5:$M$5,0)+1,FALSE),I2175)</f>
        <v>73.17</v>
      </c>
      <c r="J2176" s="6">
        <f t="shared" si="66"/>
        <v>4.9300000000000068</v>
      </c>
    </row>
    <row r="2177" spans="2:10" x14ac:dyDescent="0.25">
      <c r="B2177" s="5">
        <f t="shared" si="67"/>
        <v>44543</v>
      </c>
      <c r="C2177" s="6">
        <f>IFERROR(VLOOKUP($B2177,Platts!$E$5:$M$4994,MATCH(C$3,Platts!$F$5:$M$5,0)+1,FALSE),C2176)</f>
        <v>66.48</v>
      </c>
      <c r="D2177" s="6">
        <f>IFERROR(VLOOKUP($B2177,Platts!$E$5:$M$4994,MATCH(D$3,Platts!$F$5:$M$5,0)+1,FALSE),D2176)</f>
        <v>67.239999999999995</v>
      </c>
      <c r="E2177" s="6">
        <f>IFERROR(VLOOKUP($B2177,Platts!$E$5:$M$4994,MATCH(E$3,Platts!$F$5:$M$5,0)+1,FALSE),E2176)</f>
        <v>64.94</v>
      </c>
      <c r="F2177" s="6">
        <f>IFERROR(VLOOKUP($B2177,Platts!$E$5:$M$4994,MATCH(F$3,Platts!$F$5:$M$5,0)+1,FALSE),F2176)</f>
        <v>68.84</v>
      </c>
      <c r="G2177" s="6">
        <f>IFERROR(VLOOKUP($B2177,Platts!$E$5:$M$4994,MATCH(G$3,Platts!$F$5:$M$5,0)+1,FALSE),G2176)</f>
        <v>74.959999999999994</v>
      </c>
      <c r="H2177" s="6">
        <f>IFERROR(VLOOKUP($B2177,Platts!$E$5:$M$4994,MATCH(H$3,Platts!$F$5:$M$5,0)+1,FALSE),H2176)</f>
        <v>71.290000000000006</v>
      </c>
      <c r="I2177" s="6">
        <f>IFERROR(VLOOKUP($B2177,Platts!$E$5:$M$4994,MATCH(I$3,Platts!$F$5:$M$5,0)+1,FALSE),I2176)</f>
        <v>74.09</v>
      </c>
      <c r="J2177" s="6">
        <f t="shared" si="66"/>
        <v>4.8100000000000023</v>
      </c>
    </row>
    <row r="2178" spans="2:10" x14ac:dyDescent="0.25">
      <c r="B2178" s="5">
        <f t="shared" si="67"/>
        <v>44544</v>
      </c>
      <c r="C2178" s="6">
        <f>IFERROR(VLOOKUP($B2178,Platts!$E$5:$M$4994,MATCH(C$3,Platts!$F$5:$M$5,0)+1,FALSE),C2177)</f>
        <v>65.75</v>
      </c>
      <c r="D2178" s="6">
        <f>IFERROR(VLOOKUP($B2178,Platts!$E$5:$M$4994,MATCH(D$3,Platts!$F$5:$M$5,0)+1,FALSE),D2177)</f>
        <v>66.5</v>
      </c>
      <c r="E2178" s="6">
        <f>IFERROR(VLOOKUP($B2178,Platts!$E$5:$M$4994,MATCH(E$3,Platts!$F$5:$M$5,0)+1,FALSE),E2177)</f>
        <v>64.2</v>
      </c>
      <c r="F2178" s="6">
        <f>IFERROR(VLOOKUP($B2178,Platts!$E$5:$M$4994,MATCH(F$3,Platts!$F$5:$M$5,0)+1,FALSE),F2177)</f>
        <v>68.099999999999994</v>
      </c>
      <c r="G2178" s="6">
        <f>IFERROR(VLOOKUP($B2178,Platts!$E$5:$M$4994,MATCH(G$3,Platts!$F$5:$M$5,0)+1,FALSE),G2177)</f>
        <v>73.87</v>
      </c>
      <c r="H2178" s="6">
        <f>IFERROR(VLOOKUP($B2178,Platts!$E$5:$M$4994,MATCH(H$3,Platts!$F$5:$M$5,0)+1,FALSE),H2177)</f>
        <v>70.73</v>
      </c>
      <c r="I2178" s="6">
        <f>IFERROR(VLOOKUP($B2178,Platts!$E$5:$M$4994,MATCH(I$3,Platts!$F$5:$M$5,0)+1,FALSE),I2177)</f>
        <v>73.38</v>
      </c>
      <c r="J2178" s="6">
        <f t="shared" si="66"/>
        <v>4.980000000000004</v>
      </c>
    </row>
    <row r="2179" spans="2:10" x14ac:dyDescent="0.25">
      <c r="B2179" s="5">
        <f t="shared" si="67"/>
        <v>44545</v>
      </c>
      <c r="C2179" s="6">
        <f>IFERROR(VLOOKUP($B2179,Platts!$E$5:$M$4994,MATCH(C$3,Platts!$F$5:$M$5,0)+1,FALSE),C2178)</f>
        <v>65.7</v>
      </c>
      <c r="D2179" s="6">
        <f>IFERROR(VLOOKUP($B2179,Platts!$E$5:$M$4994,MATCH(D$3,Platts!$F$5:$M$5,0)+1,FALSE),D2178)</f>
        <v>66.69</v>
      </c>
      <c r="E2179" s="6">
        <f>IFERROR(VLOOKUP($B2179,Platts!$E$5:$M$4994,MATCH(E$3,Platts!$F$5:$M$5,0)+1,FALSE),E2178)</f>
        <v>64.39</v>
      </c>
      <c r="F2179" s="6">
        <f>IFERROR(VLOOKUP($B2179,Platts!$E$5:$M$4994,MATCH(F$3,Platts!$F$5:$M$5,0)+1,FALSE),F2178)</f>
        <v>68.290000000000006</v>
      </c>
      <c r="G2179" s="6">
        <f>IFERROR(VLOOKUP($B2179,Platts!$E$5:$M$4994,MATCH(G$3,Platts!$F$5:$M$5,0)+1,FALSE),G2178)</f>
        <v>73.069999999999993</v>
      </c>
      <c r="H2179" s="6">
        <f>IFERROR(VLOOKUP($B2179,Platts!$E$5:$M$4994,MATCH(H$3,Platts!$F$5:$M$5,0)+1,FALSE),H2178)</f>
        <v>70.87</v>
      </c>
      <c r="I2179" s="6">
        <f>IFERROR(VLOOKUP($B2179,Platts!$E$5:$M$4994,MATCH(I$3,Platts!$F$5:$M$5,0)+1,FALSE),I2178)</f>
        <v>73.52</v>
      </c>
      <c r="J2179" s="6">
        <f t="shared" si="66"/>
        <v>5.1700000000000017</v>
      </c>
    </row>
    <row r="2180" spans="2:10" x14ac:dyDescent="0.25">
      <c r="B2180" s="5">
        <f t="shared" si="67"/>
        <v>44546</v>
      </c>
      <c r="C2180" s="6">
        <f>IFERROR(VLOOKUP($B2180,Platts!$E$5:$M$4994,MATCH(C$3,Platts!$F$5:$M$5,0)+1,FALSE),C2179)</f>
        <v>66.98</v>
      </c>
      <c r="D2180" s="6">
        <f>IFERROR(VLOOKUP($B2180,Platts!$E$5:$M$4994,MATCH(D$3,Platts!$F$5:$M$5,0)+1,FALSE),D2179)</f>
        <v>68.069999999999993</v>
      </c>
      <c r="E2180" s="6">
        <f>IFERROR(VLOOKUP($B2180,Platts!$E$5:$M$4994,MATCH(E$3,Platts!$F$5:$M$5,0)+1,FALSE),E2179)</f>
        <v>65.77</v>
      </c>
      <c r="F2180" s="6">
        <f>IFERROR(VLOOKUP($B2180,Platts!$E$5:$M$4994,MATCH(F$3,Platts!$F$5:$M$5,0)+1,FALSE),F2179)</f>
        <v>69.67</v>
      </c>
      <c r="G2180" s="6">
        <f>IFERROR(VLOOKUP($B2180,Platts!$E$5:$M$4994,MATCH(G$3,Platts!$F$5:$M$5,0)+1,FALSE),G2179)</f>
        <v>75.349999999999994</v>
      </c>
      <c r="H2180" s="6">
        <f>IFERROR(VLOOKUP($B2180,Platts!$E$5:$M$4994,MATCH(H$3,Platts!$F$5:$M$5,0)+1,FALSE),H2179)</f>
        <v>72.38</v>
      </c>
      <c r="I2180" s="6">
        <f>IFERROR(VLOOKUP($B2180,Platts!$E$5:$M$4994,MATCH(I$3,Platts!$F$5:$M$5,0)+1,FALSE),I2179)</f>
        <v>75.13</v>
      </c>
      <c r="J2180" s="6">
        <f t="shared" ref="J2180:J2243" si="68">H2180-C2180</f>
        <v>5.3999999999999915</v>
      </c>
    </row>
    <row r="2181" spans="2:10" x14ac:dyDescent="0.25">
      <c r="B2181" s="5">
        <f t="shared" si="67"/>
        <v>44547</v>
      </c>
      <c r="C2181" s="6">
        <f>IFERROR(VLOOKUP($B2181,Platts!$E$5:$M$4994,MATCH(C$3,Platts!$F$5:$M$5,0)+1,FALSE),C2180)</f>
        <v>65.739999999999995</v>
      </c>
      <c r="D2181" s="6">
        <f>IFERROR(VLOOKUP($B2181,Platts!$E$5:$M$4994,MATCH(D$3,Platts!$F$5:$M$5,0)+1,FALSE),D2180)</f>
        <v>66.55</v>
      </c>
      <c r="E2181" s="6">
        <f>IFERROR(VLOOKUP($B2181,Platts!$E$5:$M$4994,MATCH(E$3,Platts!$F$5:$M$5,0)+1,FALSE),E2180)</f>
        <v>64.25</v>
      </c>
      <c r="F2181" s="6">
        <f>IFERROR(VLOOKUP($B2181,Platts!$E$5:$M$4994,MATCH(F$3,Platts!$F$5:$M$5,0)+1,FALSE),F2180)</f>
        <v>68.150000000000006</v>
      </c>
      <c r="G2181" s="6">
        <f>IFERROR(VLOOKUP($B2181,Platts!$E$5:$M$4994,MATCH(G$3,Platts!$F$5:$M$5,0)+1,FALSE),G2180)</f>
        <v>73.84</v>
      </c>
      <c r="H2181" s="6">
        <f>IFERROR(VLOOKUP($B2181,Platts!$E$5:$M$4994,MATCH(H$3,Platts!$F$5:$M$5,0)+1,FALSE),H2180)</f>
        <v>70.86</v>
      </c>
      <c r="I2181" s="6">
        <f>IFERROR(VLOOKUP($B2181,Platts!$E$5:$M$4994,MATCH(I$3,Platts!$F$5:$M$5,0)+1,FALSE),I2180)</f>
        <v>73.61</v>
      </c>
      <c r="J2181" s="6">
        <f t="shared" si="68"/>
        <v>5.1200000000000045</v>
      </c>
    </row>
    <row r="2182" spans="2:10" x14ac:dyDescent="0.25">
      <c r="B2182" s="5">
        <f t="shared" ref="B2182:B2245" si="69">B2181+1</f>
        <v>44548</v>
      </c>
      <c r="C2182" s="6">
        <f>IFERROR(VLOOKUP($B2182,Platts!$E$5:$M$4994,MATCH(C$3,Platts!$F$5:$M$5,0)+1,FALSE),C2181)</f>
        <v>65.739999999999995</v>
      </c>
      <c r="D2182" s="6">
        <f>IFERROR(VLOOKUP($B2182,Platts!$E$5:$M$4994,MATCH(D$3,Platts!$F$5:$M$5,0)+1,FALSE),D2181)</f>
        <v>66.55</v>
      </c>
      <c r="E2182" s="6">
        <f>IFERROR(VLOOKUP($B2182,Platts!$E$5:$M$4994,MATCH(E$3,Platts!$F$5:$M$5,0)+1,FALSE),E2181)</f>
        <v>64.25</v>
      </c>
      <c r="F2182" s="6">
        <f>IFERROR(VLOOKUP($B2182,Platts!$E$5:$M$4994,MATCH(F$3,Platts!$F$5:$M$5,0)+1,FALSE),F2181)</f>
        <v>68.150000000000006</v>
      </c>
      <c r="G2182" s="6">
        <f>IFERROR(VLOOKUP($B2182,Platts!$E$5:$M$4994,MATCH(G$3,Platts!$F$5:$M$5,0)+1,FALSE),G2181)</f>
        <v>73.84</v>
      </c>
      <c r="H2182" s="6">
        <f>IFERROR(VLOOKUP($B2182,Platts!$E$5:$M$4994,MATCH(H$3,Platts!$F$5:$M$5,0)+1,FALSE),H2181)</f>
        <v>70.86</v>
      </c>
      <c r="I2182" s="6">
        <f>IFERROR(VLOOKUP($B2182,Platts!$E$5:$M$4994,MATCH(I$3,Platts!$F$5:$M$5,0)+1,FALSE),I2181)</f>
        <v>73.61</v>
      </c>
      <c r="J2182" s="6">
        <f t="shared" si="68"/>
        <v>5.1200000000000045</v>
      </c>
    </row>
    <row r="2183" spans="2:10" x14ac:dyDescent="0.25">
      <c r="B2183" s="5">
        <f t="shared" si="69"/>
        <v>44549</v>
      </c>
      <c r="C2183" s="6">
        <f>IFERROR(VLOOKUP($B2183,Platts!$E$5:$M$4994,MATCH(C$3,Platts!$F$5:$M$5,0)+1,FALSE),C2182)</f>
        <v>65.739999999999995</v>
      </c>
      <c r="D2183" s="6">
        <f>IFERROR(VLOOKUP($B2183,Platts!$E$5:$M$4994,MATCH(D$3,Platts!$F$5:$M$5,0)+1,FALSE),D2182)</f>
        <v>66.55</v>
      </c>
      <c r="E2183" s="6">
        <f>IFERROR(VLOOKUP($B2183,Platts!$E$5:$M$4994,MATCH(E$3,Platts!$F$5:$M$5,0)+1,FALSE),E2182)</f>
        <v>64.25</v>
      </c>
      <c r="F2183" s="6">
        <f>IFERROR(VLOOKUP($B2183,Platts!$E$5:$M$4994,MATCH(F$3,Platts!$F$5:$M$5,0)+1,FALSE),F2182)</f>
        <v>68.150000000000006</v>
      </c>
      <c r="G2183" s="6">
        <f>IFERROR(VLOOKUP($B2183,Platts!$E$5:$M$4994,MATCH(G$3,Platts!$F$5:$M$5,0)+1,FALSE),G2182)</f>
        <v>73.84</v>
      </c>
      <c r="H2183" s="6">
        <f>IFERROR(VLOOKUP($B2183,Platts!$E$5:$M$4994,MATCH(H$3,Platts!$F$5:$M$5,0)+1,FALSE),H2182)</f>
        <v>70.86</v>
      </c>
      <c r="I2183" s="6">
        <f>IFERROR(VLOOKUP($B2183,Platts!$E$5:$M$4994,MATCH(I$3,Platts!$F$5:$M$5,0)+1,FALSE),I2182)</f>
        <v>73.61</v>
      </c>
      <c r="J2183" s="6">
        <f t="shared" si="68"/>
        <v>5.1200000000000045</v>
      </c>
    </row>
    <row r="2184" spans="2:10" x14ac:dyDescent="0.25">
      <c r="B2184" s="5">
        <f t="shared" si="69"/>
        <v>44550</v>
      </c>
      <c r="C2184" s="6">
        <f>IFERROR(VLOOKUP($B2184,Platts!$E$5:$M$4994,MATCH(C$3,Platts!$F$5:$M$5,0)+1,FALSE),C2183)</f>
        <v>63.43</v>
      </c>
      <c r="D2184" s="6">
        <f>IFERROR(VLOOKUP($B2184,Platts!$E$5:$M$4994,MATCH(D$3,Platts!$F$5:$M$5,0)+1,FALSE),D2183)</f>
        <v>64.180000000000007</v>
      </c>
      <c r="E2184" s="6">
        <f>IFERROR(VLOOKUP($B2184,Platts!$E$5:$M$4994,MATCH(E$3,Platts!$F$5:$M$5,0)+1,FALSE),E2183)</f>
        <v>61.88</v>
      </c>
      <c r="F2184" s="6">
        <f>IFERROR(VLOOKUP($B2184,Platts!$E$5:$M$4994,MATCH(F$3,Platts!$F$5:$M$5,0)+1,FALSE),F2183)</f>
        <v>65.78</v>
      </c>
      <c r="G2184" s="6">
        <f>IFERROR(VLOOKUP($B2184,Platts!$E$5:$M$4994,MATCH(G$3,Platts!$F$5:$M$5,0)+1,FALSE),G2183)</f>
        <v>69.91</v>
      </c>
      <c r="H2184" s="6">
        <f>IFERROR(VLOOKUP($B2184,Platts!$E$5:$M$4994,MATCH(H$3,Platts!$F$5:$M$5,0)+1,FALSE),H2183)</f>
        <v>68.23</v>
      </c>
      <c r="I2184" s="6">
        <f>IFERROR(VLOOKUP($B2184,Platts!$E$5:$M$4994,MATCH(I$3,Platts!$F$5:$M$5,0)+1,FALSE),I2183)</f>
        <v>71.03</v>
      </c>
      <c r="J2184" s="6">
        <f t="shared" si="68"/>
        <v>4.8000000000000043</v>
      </c>
    </row>
    <row r="2185" spans="2:10" x14ac:dyDescent="0.25">
      <c r="B2185" s="5">
        <f t="shared" si="69"/>
        <v>44551</v>
      </c>
      <c r="C2185" s="6">
        <f>IFERROR(VLOOKUP($B2185,Platts!$E$5:$M$4994,MATCH(C$3,Platts!$F$5:$M$5,0)+1,FALSE),C2184)</f>
        <v>65.81</v>
      </c>
      <c r="D2185" s="6">
        <f>IFERROR(VLOOKUP($B2185,Platts!$E$5:$M$4994,MATCH(D$3,Platts!$F$5:$M$5,0)+1,FALSE),D2184)</f>
        <v>67.239999999999995</v>
      </c>
      <c r="E2185" s="6">
        <f>IFERROR(VLOOKUP($B2185,Platts!$E$5:$M$4994,MATCH(E$3,Platts!$F$5:$M$5,0)+1,FALSE),E2184)</f>
        <v>64.94</v>
      </c>
      <c r="F2185" s="6">
        <f>IFERROR(VLOOKUP($B2185,Platts!$E$5:$M$4994,MATCH(F$3,Platts!$F$5:$M$5,0)+1,FALSE),F2184)</f>
        <v>68.84</v>
      </c>
      <c r="G2185" s="6">
        <f>IFERROR(VLOOKUP($B2185,Platts!$E$5:$M$4994,MATCH(G$3,Platts!$F$5:$M$5,0)+1,FALSE),G2184)</f>
        <v>73.58</v>
      </c>
      <c r="H2185" s="6">
        <f>IFERROR(VLOOKUP($B2185,Platts!$E$5:$M$4994,MATCH(H$3,Platts!$F$5:$M$5,0)+1,FALSE),H2184)</f>
        <v>71.22</v>
      </c>
      <c r="I2185" s="6">
        <f>IFERROR(VLOOKUP($B2185,Platts!$E$5:$M$4994,MATCH(I$3,Platts!$F$5:$M$5,0)+1,FALSE),I2184)</f>
        <v>73.72</v>
      </c>
      <c r="J2185" s="6">
        <f t="shared" si="68"/>
        <v>5.4099999999999966</v>
      </c>
    </row>
    <row r="2186" spans="2:10" x14ac:dyDescent="0.25">
      <c r="B2186" s="5">
        <f t="shared" si="69"/>
        <v>44552</v>
      </c>
      <c r="C2186" s="6">
        <f>IFERROR(VLOOKUP($B2186,Platts!$E$5:$M$4994,MATCH(C$3,Platts!$F$5:$M$5,0)+1,FALSE),C2185)</f>
        <v>67.36</v>
      </c>
      <c r="D2186" s="6">
        <f>IFERROR(VLOOKUP($B2186,Platts!$E$5:$M$4994,MATCH(D$3,Platts!$F$5:$M$5,0)+1,FALSE),D2185)</f>
        <v>68.77</v>
      </c>
      <c r="E2186" s="6">
        <f>IFERROR(VLOOKUP($B2186,Platts!$E$5:$M$4994,MATCH(E$3,Platts!$F$5:$M$5,0)+1,FALSE),E2185)</f>
        <v>66.47</v>
      </c>
      <c r="F2186" s="6">
        <f>IFERROR(VLOOKUP($B2186,Platts!$E$5:$M$4994,MATCH(F$3,Platts!$F$5:$M$5,0)+1,FALSE),F2185)</f>
        <v>70.37</v>
      </c>
      <c r="G2186" s="6">
        <f>IFERROR(VLOOKUP($B2186,Platts!$E$5:$M$4994,MATCH(G$3,Platts!$F$5:$M$5,0)+1,FALSE),G2185)</f>
        <v>74.69</v>
      </c>
      <c r="H2186" s="6">
        <f>IFERROR(VLOOKUP($B2186,Platts!$E$5:$M$4994,MATCH(H$3,Platts!$F$5:$M$5,0)+1,FALSE),H2185)</f>
        <v>72.86</v>
      </c>
      <c r="I2186" s="6">
        <f>IFERROR(VLOOKUP($B2186,Platts!$E$5:$M$4994,MATCH(I$3,Platts!$F$5:$M$5,0)+1,FALSE),I2185)</f>
        <v>75.36</v>
      </c>
      <c r="J2186" s="6">
        <f t="shared" si="68"/>
        <v>5.5</v>
      </c>
    </row>
    <row r="2187" spans="2:10" x14ac:dyDescent="0.25">
      <c r="B2187" s="5">
        <f t="shared" si="69"/>
        <v>44553</v>
      </c>
      <c r="C2187" s="6">
        <f>IFERROR(VLOOKUP($B2187,Platts!$E$5:$M$4994,MATCH(C$3,Platts!$F$5:$M$5,0)+1,FALSE),C2186)</f>
        <v>68.569999999999993</v>
      </c>
      <c r="D2187" s="6">
        <f>IFERROR(VLOOKUP($B2187,Platts!$E$5:$M$4994,MATCH(D$3,Platts!$F$5:$M$5,0)+1,FALSE),D2186)</f>
        <v>69.98</v>
      </c>
      <c r="E2187" s="6">
        <f>IFERROR(VLOOKUP($B2187,Platts!$E$5:$M$4994,MATCH(E$3,Platts!$F$5:$M$5,0)+1,FALSE),E2186)</f>
        <v>67.680000000000007</v>
      </c>
      <c r="F2187" s="6">
        <f>IFERROR(VLOOKUP($B2187,Platts!$E$5:$M$4994,MATCH(F$3,Platts!$F$5:$M$5,0)+1,FALSE),F2186)</f>
        <v>71.58</v>
      </c>
      <c r="G2187" s="6">
        <f>IFERROR(VLOOKUP($B2187,Platts!$E$5:$M$4994,MATCH(G$3,Platts!$F$5:$M$5,0)+1,FALSE),G2186)</f>
        <v>76.3</v>
      </c>
      <c r="H2187" s="6">
        <f>IFERROR(VLOOKUP($B2187,Platts!$E$5:$M$4994,MATCH(H$3,Platts!$F$5:$M$5,0)+1,FALSE),H2186)</f>
        <v>73.790000000000006</v>
      </c>
      <c r="I2187" s="6">
        <f>IFERROR(VLOOKUP($B2187,Platts!$E$5:$M$4994,MATCH(I$3,Platts!$F$5:$M$5,0)+1,FALSE),I2186)</f>
        <v>76.290000000000006</v>
      </c>
      <c r="J2187" s="6">
        <f t="shared" si="68"/>
        <v>5.2200000000000131</v>
      </c>
    </row>
    <row r="2188" spans="2:10" x14ac:dyDescent="0.25">
      <c r="B2188" s="5">
        <f t="shared" si="69"/>
        <v>44554</v>
      </c>
      <c r="C2188" s="6">
        <f>IFERROR(VLOOKUP($B2188,Platts!$E$5:$M$4994,MATCH(C$3,Platts!$F$5:$M$5,0)+1,FALSE),C2187)</f>
        <v>68.569999999999993</v>
      </c>
      <c r="D2188" s="6">
        <f>IFERROR(VLOOKUP($B2188,Platts!$E$5:$M$4994,MATCH(D$3,Platts!$F$5:$M$5,0)+1,FALSE),D2187)</f>
        <v>69.98</v>
      </c>
      <c r="E2188" s="6">
        <f>IFERROR(VLOOKUP($B2188,Platts!$E$5:$M$4994,MATCH(E$3,Platts!$F$5:$M$5,0)+1,FALSE),E2187)</f>
        <v>67.680000000000007</v>
      </c>
      <c r="F2188" s="6">
        <f>IFERROR(VLOOKUP($B2188,Platts!$E$5:$M$4994,MATCH(F$3,Platts!$F$5:$M$5,0)+1,FALSE),F2187)</f>
        <v>71.58</v>
      </c>
      <c r="G2188" s="6">
        <f>IFERROR(VLOOKUP($B2188,Platts!$E$5:$M$4994,MATCH(G$3,Platts!$F$5:$M$5,0)+1,FALSE),G2187)</f>
        <v>76.2</v>
      </c>
      <c r="H2188" s="6">
        <f>IFERROR(VLOOKUP($B2188,Platts!$E$5:$M$4994,MATCH(H$3,Platts!$F$5:$M$5,0)+1,FALSE),H2187)</f>
        <v>73.790000000000006</v>
      </c>
      <c r="I2188" s="6">
        <f>IFERROR(VLOOKUP($B2188,Platts!$E$5:$M$4994,MATCH(I$3,Platts!$F$5:$M$5,0)+1,FALSE),I2187)</f>
        <v>76.290000000000006</v>
      </c>
      <c r="J2188" s="6">
        <f t="shared" si="68"/>
        <v>5.2200000000000131</v>
      </c>
    </row>
    <row r="2189" spans="2:10" x14ac:dyDescent="0.25">
      <c r="B2189" s="5">
        <f t="shared" si="69"/>
        <v>44555</v>
      </c>
      <c r="C2189" s="6">
        <f>IFERROR(VLOOKUP($B2189,Platts!$E$5:$M$4994,MATCH(C$3,Platts!$F$5:$M$5,0)+1,FALSE),C2188)</f>
        <v>68.569999999999993</v>
      </c>
      <c r="D2189" s="6">
        <f>IFERROR(VLOOKUP($B2189,Platts!$E$5:$M$4994,MATCH(D$3,Platts!$F$5:$M$5,0)+1,FALSE),D2188)</f>
        <v>69.98</v>
      </c>
      <c r="E2189" s="6">
        <f>IFERROR(VLOOKUP($B2189,Platts!$E$5:$M$4994,MATCH(E$3,Platts!$F$5:$M$5,0)+1,FALSE),E2188)</f>
        <v>67.680000000000007</v>
      </c>
      <c r="F2189" s="6">
        <f>IFERROR(VLOOKUP($B2189,Platts!$E$5:$M$4994,MATCH(F$3,Platts!$F$5:$M$5,0)+1,FALSE),F2188)</f>
        <v>71.58</v>
      </c>
      <c r="G2189" s="6">
        <f>IFERROR(VLOOKUP($B2189,Platts!$E$5:$M$4994,MATCH(G$3,Platts!$F$5:$M$5,0)+1,FALSE),G2188)</f>
        <v>76.2</v>
      </c>
      <c r="H2189" s="6">
        <f>IFERROR(VLOOKUP($B2189,Platts!$E$5:$M$4994,MATCH(H$3,Platts!$F$5:$M$5,0)+1,FALSE),H2188)</f>
        <v>73.790000000000006</v>
      </c>
      <c r="I2189" s="6">
        <f>IFERROR(VLOOKUP($B2189,Platts!$E$5:$M$4994,MATCH(I$3,Platts!$F$5:$M$5,0)+1,FALSE),I2188)</f>
        <v>76.290000000000006</v>
      </c>
      <c r="J2189" s="6">
        <f t="shared" si="68"/>
        <v>5.2200000000000131</v>
      </c>
    </row>
    <row r="2190" spans="2:10" x14ac:dyDescent="0.25">
      <c r="B2190" s="5">
        <f t="shared" si="69"/>
        <v>44556</v>
      </c>
      <c r="C2190" s="6">
        <f>IFERROR(VLOOKUP($B2190,Platts!$E$5:$M$4994,MATCH(C$3,Platts!$F$5:$M$5,0)+1,FALSE),C2189)</f>
        <v>68.569999999999993</v>
      </c>
      <c r="D2190" s="6">
        <f>IFERROR(VLOOKUP($B2190,Platts!$E$5:$M$4994,MATCH(D$3,Platts!$F$5:$M$5,0)+1,FALSE),D2189)</f>
        <v>69.98</v>
      </c>
      <c r="E2190" s="6">
        <f>IFERROR(VLOOKUP($B2190,Platts!$E$5:$M$4994,MATCH(E$3,Platts!$F$5:$M$5,0)+1,FALSE),E2189)</f>
        <v>67.680000000000007</v>
      </c>
      <c r="F2190" s="6">
        <f>IFERROR(VLOOKUP($B2190,Platts!$E$5:$M$4994,MATCH(F$3,Platts!$F$5:$M$5,0)+1,FALSE),F2189)</f>
        <v>71.58</v>
      </c>
      <c r="G2190" s="6">
        <f>IFERROR(VLOOKUP($B2190,Platts!$E$5:$M$4994,MATCH(G$3,Platts!$F$5:$M$5,0)+1,FALSE),G2189)</f>
        <v>76.2</v>
      </c>
      <c r="H2190" s="6">
        <f>IFERROR(VLOOKUP($B2190,Platts!$E$5:$M$4994,MATCH(H$3,Platts!$F$5:$M$5,0)+1,FALSE),H2189)</f>
        <v>73.790000000000006</v>
      </c>
      <c r="I2190" s="6">
        <f>IFERROR(VLOOKUP($B2190,Platts!$E$5:$M$4994,MATCH(I$3,Platts!$F$5:$M$5,0)+1,FALSE),I2189)</f>
        <v>76.290000000000006</v>
      </c>
      <c r="J2190" s="6">
        <f t="shared" si="68"/>
        <v>5.2200000000000131</v>
      </c>
    </row>
    <row r="2191" spans="2:10" x14ac:dyDescent="0.25">
      <c r="B2191" s="5">
        <f t="shared" si="69"/>
        <v>44557</v>
      </c>
      <c r="C2191" s="6">
        <f>IFERROR(VLOOKUP($B2191,Platts!$E$5:$M$4994,MATCH(C$3,Platts!$F$5:$M$5,0)+1,FALSE),C2190)</f>
        <v>68.569999999999993</v>
      </c>
      <c r="D2191" s="6">
        <f>IFERROR(VLOOKUP($B2191,Platts!$E$5:$M$4994,MATCH(D$3,Platts!$F$5:$M$5,0)+1,FALSE),D2190)</f>
        <v>71.489999999999995</v>
      </c>
      <c r="E2191" s="6">
        <f>IFERROR(VLOOKUP($B2191,Platts!$E$5:$M$4994,MATCH(E$3,Platts!$F$5:$M$5,0)+1,FALSE),E2190)</f>
        <v>69.19</v>
      </c>
      <c r="F2191" s="6">
        <f>IFERROR(VLOOKUP($B2191,Platts!$E$5:$M$4994,MATCH(F$3,Platts!$F$5:$M$5,0)+1,FALSE),F2190)</f>
        <v>73.09</v>
      </c>
      <c r="G2191" s="6">
        <f>IFERROR(VLOOKUP($B2191,Platts!$E$5:$M$4994,MATCH(G$3,Platts!$F$5:$M$5,0)+1,FALSE),G2190)</f>
        <v>76.2</v>
      </c>
      <c r="H2191" s="6">
        <f>IFERROR(VLOOKUP($B2191,Platts!$E$5:$M$4994,MATCH(H$3,Platts!$F$5:$M$5,0)+1,FALSE),H2190)</f>
        <v>75.569999999999993</v>
      </c>
      <c r="I2191" s="6">
        <f>IFERROR(VLOOKUP($B2191,Platts!$E$5:$M$4994,MATCH(I$3,Platts!$F$5:$M$5,0)+1,FALSE),I2190)</f>
        <v>77.47</v>
      </c>
      <c r="J2191" s="6">
        <f t="shared" si="68"/>
        <v>7</v>
      </c>
    </row>
    <row r="2192" spans="2:10" x14ac:dyDescent="0.25">
      <c r="B2192" s="5">
        <f t="shared" si="69"/>
        <v>44558</v>
      </c>
      <c r="C2192" s="6">
        <f>IFERROR(VLOOKUP($B2192,Platts!$E$5:$M$4994,MATCH(C$3,Platts!$F$5:$M$5,0)+1,FALSE),C2191)</f>
        <v>70.63</v>
      </c>
      <c r="D2192" s="6">
        <f>IFERROR(VLOOKUP($B2192,Platts!$E$5:$M$4994,MATCH(D$3,Platts!$F$5:$M$5,0)+1,FALSE),D2191)</f>
        <v>71.75</v>
      </c>
      <c r="E2192" s="6">
        <f>IFERROR(VLOOKUP($B2192,Platts!$E$5:$M$4994,MATCH(E$3,Platts!$F$5:$M$5,0)+1,FALSE),E2191)</f>
        <v>69.45</v>
      </c>
      <c r="F2192" s="6">
        <f>IFERROR(VLOOKUP($B2192,Platts!$E$5:$M$4994,MATCH(F$3,Platts!$F$5:$M$5,0)+1,FALSE),F2191)</f>
        <v>73.349999999999994</v>
      </c>
      <c r="G2192" s="6">
        <f>IFERROR(VLOOKUP($B2192,Platts!$E$5:$M$4994,MATCH(G$3,Platts!$F$5:$M$5,0)+1,FALSE),G2191)</f>
        <v>76.2</v>
      </c>
      <c r="H2192" s="6">
        <f>IFERROR(VLOOKUP($B2192,Platts!$E$5:$M$4994,MATCH(H$3,Platts!$F$5:$M$5,0)+1,FALSE),H2191)</f>
        <v>75.98</v>
      </c>
      <c r="I2192" s="6">
        <f>IFERROR(VLOOKUP($B2192,Platts!$E$5:$M$4994,MATCH(I$3,Platts!$F$5:$M$5,0)+1,FALSE),I2191)</f>
        <v>77.88</v>
      </c>
      <c r="J2192" s="6">
        <f t="shared" si="68"/>
        <v>5.3500000000000085</v>
      </c>
    </row>
    <row r="2193" spans="2:10" x14ac:dyDescent="0.25">
      <c r="B2193" s="5">
        <f t="shared" si="69"/>
        <v>44559</v>
      </c>
      <c r="C2193" s="6">
        <f>IFERROR(VLOOKUP($B2193,Platts!$E$5:$M$4994,MATCH(C$3,Platts!$F$5:$M$5,0)+1,FALSE),C2192)</f>
        <v>71.040000000000006</v>
      </c>
      <c r="D2193" s="6">
        <f>IFERROR(VLOOKUP($B2193,Platts!$E$5:$M$4994,MATCH(D$3,Platts!$F$5:$M$5,0)+1,FALSE),D2192)</f>
        <v>72.22</v>
      </c>
      <c r="E2193" s="6">
        <f>IFERROR(VLOOKUP($B2193,Platts!$E$5:$M$4994,MATCH(E$3,Platts!$F$5:$M$5,0)+1,FALSE),E2192)</f>
        <v>69.92</v>
      </c>
      <c r="F2193" s="6">
        <f>IFERROR(VLOOKUP($B2193,Platts!$E$5:$M$4994,MATCH(F$3,Platts!$F$5:$M$5,0)+1,FALSE),F2192)</f>
        <v>73.819999999999993</v>
      </c>
      <c r="G2193" s="6">
        <f>IFERROR(VLOOKUP($B2193,Platts!$E$5:$M$4994,MATCH(G$3,Platts!$F$5:$M$5,0)+1,FALSE),G2192)</f>
        <v>78.31</v>
      </c>
      <c r="H2193" s="6">
        <f>IFERROR(VLOOKUP($B2193,Platts!$E$5:$M$4994,MATCH(H$3,Platts!$F$5:$M$5,0)+1,FALSE),H2192)</f>
        <v>76.56</v>
      </c>
      <c r="I2193" s="6">
        <f>IFERROR(VLOOKUP($B2193,Platts!$E$5:$M$4994,MATCH(I$3,Platts!$F$5:$M$5,0)+1,FALSE),I2192)</f>
        <v>78.459999999999994</v>
      </c>
      <c r="J2193" s="6">
        <f t="shared" si="68"/>
        <v>5.519999999999996</v>
      </c>
    </row>
    <row r="2194" spans="2:10" x14ac:dyDescent="0.25">
      <c r="B2194" s="5">
        <f t="shared" si="69"/>
        <v>44560</v>
      </c>
      <c r="C2194" s="6">
        <f>IFERROR(VLOOKUP($B2194,Platts!$E$5:$M$4994,MATCH(C$3,Platts!$F$5:$M$5,0)+1,FALSE),C2193)</f>
        <v>71.290000000000006</v>
      </c>
      <c r="D2194" s="6">
        <f>IFERROR(VLOOKUP($B2194,Platts!$E$5:$M$4994,MATCH(D$3,Platts!$F$5:$M$5,0)+1,FALSE),D2193)</f>
        <v>72.5</v>
      </c>
      <c r="E2194" s="6">
        <f>IFERROR(VLOOKUP($B2194,Platts!$E$5:$M$4994,MATCH(E$3,Platts!$F$5:$M$5,0)+1,FALSE),E2193)</f>
        <v>70.2</v>
      </c>
      <c r="F2194" s="6">
        <f>IFERROR(VLOOKUP($B2194,Platts!$E$5:$M$4994,MATCH(F$3,Platts!$F$5:$M$5,0)+1,FALSE),F2193)</f>
        <v>74.099999999999994</v>
      </c>
      <c r="G2194" s="6">
        <f>IFERROR(VLOOKUP($B2194,Platts!$E$5:$M$4994,MATCH(G$3,Platts!$F$5:$M$5,0)+1,FALSE),G2193)</f>
        <v>79.08</v>
      </c>
      <c r="H2194" s="6">
        <f>IFERROR(VLOOKUP($B2194,Platts!$E$5:$M$4994,MATCH(H$3,Platts!$F$5:$M$5,0)+1,FALSE),H2193)</f>
        <v>76.989999999999995</v>
      </c>
      <c r="I2194" s="6">
        <f>IFERROR(VLOOKUP($B2194,Platts!$E$5:$M$4994,MATCH(I$3,Platts!$F$5:$M$5,0)+1,FALSE),I2193)</f>
        <v>78.59</v>
      </c>
      <c r="J2194" s="6">
        <f t="shared" si="68"/>
        <v>5.6999999999999886</v>
      </c>
    </row>
    <row r="2195" spans="2:10" x14ac:dyDescent="0.25">
      <c r="B2195" s="5">
        <f t="shared" si="69"/>
        <v>44561</v>
      </c>
      <c r="C2195" s="6">
        <f>IFERROR(VLOOKUP($B2195,Platts!$E$5:$M$4994,MATCH(C$3,Platts!$F$5:$M$5,0)+1,FALSE),C2194)</f>
        <v>71.290000000000006</v>
      </c>
      <c r="D2195" s="6">
        <f>IFERROR(VLOOKUP($B2195,Platts!$E$5:$M$4994,MATCH(D$3,Platts!$F$5:$M$5,0)+1,FALSE),D2194)</f>
        <v>72.5</v>
      </c>
      <c r="E2195" s="6">
        <f>IFERROR(VLOOKUP($B2195,Platts!$E$5:$M$4994,MATCH(E$3,Platts!$F$5:$M$5,0)+1,FALSE),E2194)</f>
        <v>70.2</v>
      </c>
      <c r="F2195" s="6">
        <f>IFERROR(VLOOKUP($B2195,Platts!$E$5:$M$4994,MATCH(F$3,Platts!$F$5:$M$5,0)+1,FALSE),F2194)</f>
        <v>74.099999999999994</v>
      </c>
      <c r="G2195" s="6">
        <f>IFERROR(VLOOKUP($B2195,Platts!$E$5:$M$4994,MATCH(G$3,Platts!$F$5:$M$5,0)+1,FALSE),G2194)</f>
        <v>77.78</v>
      </c>
      <c r="H2195" s="6">
        <f>IFERROR(VLOOKUP($B2195,Platts!$E$5:$M$4994,MATCH(H$3,Platts!$F$5:$M$5,0)+1,FALSE),H2194)</f>
        <v>76.989999999999995</v>
      </c>
      <c r="I2195" s="6">
        <f>IFERROR(VLOOKUP($B2195,Platts!$E$5:$M$4994,MATCH(I$3,Platts!$F$5:$M$5,0)+1,FALSE),I2194)</f>
        <v>78.59</v>
      </c>
      <c r="J2195" s="6">
        <f t="shared" si="68"/>
        <v>5.6999999999999886</v>
      </c>
    </row>
    <row r="2196" spans="2:10" x14ac:dyDescent="0.25">
      <c r="B2196" s="5">
        <f t="shared" si="69"/>
        <v>44562</v>
      </c>
      <c r="C2196" s="6">
        <f>IFERROR(VLOOKUP($B2196,Platts!$E$5:$M$4994,MATCH(C$3,Platts!$F$5:$M$5,0)+1,FALSE),C2195)</f>
        <v>71.290000000000006</v>
      </c>
      <c r="D2196" s="6">
        <f>IFERROR(VLOOKUP($B2196,Platts!$E$5:$M$4994,MATCH(D$3,Platts!$F$5:$M$5,0)+1,FALSE),D2195)</f>
        <v>72.5</v>
      </c>
      <c r="E2196" s="6">
        <f>IFERROR(VLOOKUP($B2196,Platts!$E$5:$M$4994,MATCH(E$3,Platts!$F$5:$M$5,0)+1,FALSE),E2195)</f>
        <v>70.2</v>
      </c>
      <c r="F2196" s="6">
        <f>IFERROR(VLOOKUP($B2196,Platts!$E$5:$M$4994,MATCH(F$3,Platts!$F$5:$M$5,0)+1,FALSE),F2195)</f>
        <v>74.099999999999994</v>
      </c>
      <c r="G2196" s="6">
        <f>IFERROR(VLOOKUP($B2196,Platts!$E$5:$M$4994,MATCH(G$3,Platts!$F$5:$M$5,0)+1,FALSE),G2195)</f>
        <v>77.78</v>
      </c>
      <c r="H2196" s="6">
        <f>IFERROR(VLOOKUP($B2196,Platts!$E$5:$M$4994,MATCH(H$3,Platts!$F$5:$M$5,0)+1,FALSE),H2195)</f>
        <v>76.989999999999995</v>
      </c>
      <c r="I2196" s="6">
        <f>IFERROR(VLOOKUP($B2196,Platts!$E$5:$M$4994,MATCH(I$3,Platts!$F$5:$M$5,0)+1,FALSE),I2195)</f>
        <v>78.59</v>
      </c>
      <c r="J2196" s="6">
        <f t="shared" si="68"/>
        <v>5.6999999999999886</v>
      </c>
    </row>
    <row r="2197" spans="2:10" x14ac:dyDescent="0.25">
      <c r="B2197" s="5">
        <f t="shared" si="69"/>
        <v>44563</v>
      </c>
      <c r="C2197" s="6">
        <f>IFERROR(VLOOKUP($B2197,Platts!$E$5:$M$4994,MATCH(C$3,Platts!$F$5:$M$5,0)+1,FALSE),C2196)</f>
        <v>71.290000000000006</v>
      </c>
      <c r="D2197" s="6">
        <f>IFERROR(VLOOKUP($B2197,Platts!$E$5:$M$4994,MATCH(D$3,Platts!$F$5:$M$5,0)+1,FALSE),D2196)</f>
        <v>72.5</v>
      </c>
      <c r="E2197" s="6">
        <f>IFERROR(VLOOKUP($B2197,Platts!$E$5:$M$4994,MATCH(E$3,Platts!$F$5:$M$5,0)+1,FALSE),E2196)</f>
        <v>70.2</v>
      </c>
      <c r="F2197" s="6">
        <f>IFERROR(VLOOKUP($B2197,Platts!$E$5:$M$4994,MATCH(F$3,Platts!$F$5:$M$5,0)+1,FALSE),F2196)</f>
        <v>74.099999999999994</v>
      </c>
      <c r="G2197" s="6">
        <f>IFERROR(VLOOKUP($B2197,Platts!$E$5:$M$4994,MATCH(G$3,Platts!$F$5:$M$5,0)+1,FALSE),G2196)</f>
        <v>77.78</v>
      </c>
      <c r="H2197" s="6">
        <f>IFERROR(VLOOKUP($B2197,Platts!$E$5:$M$4994,MATCH(H$3,Platts!$F$5:$M$5,0)+1,FALSE),H2196)</f>
        <v>76.989999999999995</v>
      </c>
      <c r="I2197" s="6">
        <f>IFERROR(VLOOKUP($B2197,Platts!$E$5:$M$4994,MATCH(I$3,Platts!$F$5:$M$5,0)+1,FALSE),I2196)</f>
        <v>78.59</v>
      </c>
      <c r="J2197" s="6">
        <f t="shared" si="68"/>
        <v>5.6999999999999886</v>
      </c>
    </row>
    <row r="2198" spans="2:10" x14ac:dyDescent="0.25">
      <c r="B2198" s="5">
        <f t="shared" si="69"/>
        <v>44564</v>
      </c>
      <c r="C2198" s="6">
        <f>IFERROR(VLOOKUP($B2198,Platts!$E$5:$M$4994,MATCH(C$3,Platts!$F$5:$M$5,0)+1,FALSE),C2197)</f>
        <v>70.900000000000006</v>
      </c>
      <c r="D2198" s="6">
        <f>IFERROR(VLOOKUP($B2198,Platts!$E$5:$M$4994,MATCH(D$3,Platts!$F$5:$M$5,0)+1,FALSE),D2197)</f>
        <v>71.41</v>
      </c>
      <c r="E2198" s="6">
        <f>IFERROR(VLOOKUP($B2198,Platts!$E$5:$M$4994,MATCH(E$3,Platts!$F$5:$M$5,0)+1,FALSE),E2197)</f>
        <v>70.06</v>
      </c>
      <c r="F2198" s="6">
        <f>IFERROR(VLOOKUP($B2198,Platts!$E$5:$M$4994,MATCH(F$3,Platts!$F$5:$M$5,0)+1,FALSE),F2197)</f>
        <v>73.209999999999994</v>
      </c>
      <c r="G2198" s="6">
        <f>IFERROR(VLOOKUP($B2198,Platts!$E$5:$M$4994,MATCH(G$3,Platts!$F$5:$M$5,0)+1,FALSE),G2197)</f>
        <v>77.78</v>
      </c>
      <c r="H2198" s="6">
        <f>IFERROR(VLOOKUP($B2198,Platts!$E$5:$M$4994,MATCH(H$3,Platts!$F$5:$M$5,0)+1,FALSE),H2197)</f>
        <v>76.08</v>
      </c>
      <c r="I2198" s="6">
        <f>IFERROR(VLOOKUP($B2198,Platts!$E$5:$M$4994,MATCH(I$3,Platts!$F$5:$M$5,0)+1,FALSE),I2197)</f>
        <v>77.78</v>
      </c>
      <c r="J2198" s="6">
        <f t="shared" si="68"/>
        <v>5.1799999999999926</v>
      </c>
    </row>
    <row r="2199" spans="2:10" x14ac:dyDescent="0.25">
      <c r="B2199" s="5">
        <f t="shared" si="69"/>
        <v>44565</v>
      </c>
      <c r="C2199" s="6">
        <f>IFERROR(VLOOKUP($B2199,Platts!$E$5:$M$4994,MATCH(C$3,Platts!$F$5:$M$5,0)+1,FALSE),C2198)</f>
        <v>71.849999999999994</v>
      </c>
      <c r="D2199" s="6">
        <f>IFERROR(VLOOKUP($B2199,Platts!$E$5:$M$4994,MATCH(D$3,Platts!$F$5:$M$5,0)+1,FALSE),D2198)</f>
        <v>72.42</v>
      </c>
      <c r="E2199" s="6">
        <f>IFERROR(VLOOKUP($B2199,Platts!$E$5:$M$4994,MATCH(E$3,Platts!$F$5:$M$5,0)+1,FALSE),E2198)</f>
        <v>71.069999999999993</v>
      </c>
      <c r="F2199" s="6">
        <f>IFERROR(VLOOKUP($B2199,Platts!$E$5:$M$4994,MATCH(F$3,Platts!$F$5:$M$5,0)+1,FALSE),F2198)</f>
        <v>74.22</v>
      </c>
      <c r="G2199" s="6">
        <f>IFERROR(VLOOKUP($B2199,Platts!$E$5:$M$4994,MATCH(G$3,Platts!$F$5:$M$5,0)+1,FALSE),G2198)</f>
        <v>79.72</v>
      </c>
      <c r="H2199" s="6">
        <f>IFERROR(VLOOKUP($B2199,Platts!$E$5:$M$4994,MATCH(H$3,Platts!$F$5:$M$5,0)+1,FALSE),H2198)</f>
        <v>76.989999999999995</v>
      </c>
      <c r="I2199" s="6">
        <f>IFERROR(VLOOKUP($B2199,Platts!$E$5:$M$4994,MATCH(I$3,Platts!$F$5:$M$5,0)+1,FALSE),I2198)</f>
        <v>78.790000000000006</v>
      </c>
      <c r="J2199" s="6">
        <f t="shared" si="68"/>
        <v>5.1400000000000006</v>
      </c>
    </row>
    <row r="2200" spans="2:10" x14ac:dyDescent="0.25">
      <c r="B2200" s="5">
        <f t="shared" si="69"/>
        <v>44566</v>
      </c>
      <c r="C2200" s="6">
        <f>IFERROR(VLOOKUP($B2200,Platts!$E$5:$M$4994,MATCH(C$3,Platts!$F$5:$M$5,0)+1,FALSE),C2199)</f>
        <v>72.77</v>
      </c>
      <c r="D2200" s="6">
        <f>IFERROR(VLOOKUP($B2200,Platts!$E$5:$M$4994,MATCH(D$3,Platts!$F$5:$M$5,0)+1,FALSE),D2199)</f>
        <v>73.39</v>
      </c>
      <c r="E2200" s="6">
        <f>IFERROR(VLOOKUP($B2200,Platts!$E$5:$M$4994,MATCH(E$3,Platts!$F$5:$M$5,0)+1,FALSE),E2199)</f>
        <v>72.040000000000006</v>
      </c>
      <c r="F2200" s="6">
        <f>IFERROR(VLOOKUP($B2200,Platts!$E$5:$M$4994,MATCH(F$3,Platts!$F$5:$M$5,0)+1,FALSE),F2199)</f>
        <v>75.19</v>
      </c>
      <c r="G2200" s="6">
        <f>IFERROR(VLOOKUP($B2200,Platts!$E$5:$M$4994,MATCH(G$3,Platts!$F$5:$M$5,0)+1,FALSE),G2199)</f>
        <v>81.31</v>
      </c>
      <c r="H2200" s="6">
        <f>IFERROR(VLOOKUP($B2200,Platts!$E$5:$M$4994,MATCH(H$3,Platts!$F$5:$M$5,0)+1,FALSE),H2199)</f>
        <v>77.849999999999994</v>
      </c>
      <c r="I2200" s="6">
        <f>IFERROR(VLOOKUP($B2200,Platts!$E$5:$M$4994,MATCH(I$3,Platts!$F$5:$M$5,0)+1,FALSE),I2199)</f>
        <v>80.05</v>
      </c>
      <c r="J2200" s="6">
        <f t="shared" si="68"/>
        <v>5.0799999999999983</v>
      </c>
    </row>
    <row r="2201" spans="2:10" x14ac:dyDescent="0.25">
      <c r="B2201" s="5">
        <f t="shared" si="69"/>
        <v>44567</v>
      </c>
      <c r="C2201" s="6">
        <f>IFERROR(VLOOKUP($B2201,Platts!$E$5:$M$4994,MATCH(C$3,Platts!$F$5:$M$5,0)+1,FALSE),C2200)</f>
        <v>74.12</v>
      </c>
      <c r="D2201" s="6">
        <f>IFERROR(VLOOKUP($B2201,Platts!$E$5:$M$4994,MATCH(D$3,Platts!$F$5:$M$5,0)+1,FALSE),D2200)</f>
        <v>74.89</v>
      </c>
      <c r="E2201" s="6">
        <f>IFERROR(VLOOKUP($B2201,Platts!$E$5:$M$4994,MATCH(E$3,Platts!$F$5:$M$5,0)+1,FALSE),E2200)</f>
        <v>73.540000000000006</v>
      </c>
      <c r="F2201" s="6">
        <f>IFERROR(VLOOKUP($B2201,Platts!$E$5:$M$4994,MATCH(F$3,Platts!$F$5:$M$5,0)+1,FALSE),F2200)</f>
        <v>76.69</v>
      </c>
      <c r="G2201" s="6">
        <f>IFERROR(VLOOKUP($B2201,Platts!$E$5:$M$4994,MATCH(G$3,Platts!$F$5:$M$5,0)+1,FALSE),G2200)</f>
        <v>82.5</v>
      </c>
      <c r="H2201" s="6">
        <f>IFERROR(VLOOKUP($B2201,Platts!$E$5:$M$4994,MATCH(H$3,Platts!$F$5:$M$5,0)+1,FALSE),H2200)</f>
        <v>79.459999999999994</v>
      </c>
      <c r="I2201" s="6">
        <f>IFERROR(VLOOKUP($B2201,Platts!$E$5:$M$4994,MATCH(I$3,Platts!$F$5:$M$5,0)+1,FALSE),I2200)</f>
        <v>81.709999999999994</v>
      </c>
      <c r="J2201" s="6">
        <f t="shared" si="68"/>
        <v>5.3399999999999892</v>
      </c>
    </row>
    <row r="2202" spans="2:10" x14ac:dyDescent="0.25">
      <c r="B2202" s="5">
        <f t="shared" si="69"/>
        <v>44568</v>
      </c>
      <c r="C2202" s="6">
        <f>IFERROR(VLOOKUP($B2202,Platts!$E$5:$M$4994,MATCH(C$3,Platts!$F$5:$M$5,0)+1,FALSE),C2201)</f>
        <v>74.010000000000005</v>
      </c>
      <c r="D2202" s="6">
        <f>IFERROR(VLOOKUP($B2202,Platts!$E$5:$M$4994,MATCH(D$3,Platts!$F$5:$M$5,0)+1,FALSE),D2201)</f>
        <v>74.44</v>
      </c>
      <c r="E2202" s="6">
        <f>IFERROR(VLOOKUP($B2202,Platts!$E$5:$M$4994,MATCH(E$3,Platts!$F$5:$M$5,0)+1,FALSE),E2201)</f>
        <v>73.09</v>
      </c>
      <c r="F2202" s="6">
        <f>IFERROR(VLOOKUP($B2202,Platts!$E$5:$M$4994,MATCH(F$3,Platts!$F$5:$M$5,0)+1,FALSE),F2201)</f>
        <v>76.239999999999995</v>
      </c>
      <c r="G2202" s="6">
        <f>IFERROR(VLOOKUP($B2202,Platts!$E$5:$M$4994,MATCH(G$3,Platts!$F$5:$M$5,0)+1,FALSE),G2201)</f>
        <v>82.11</v>
      </c>
      <c r="H2202" s="6">
        <f>IFERROR(VLOOKUP($B2202,Platts!$E$5:$M$4994,MATCH(H$3,Platts!$F$5:$M$5,0)+1,FALSE),H2201)</f>
        <v>78.900000000000006</v>
      </c>
      <c r="I2202" s="6">
        <f>IFERROR(VLOOKUP($B2202,Platts!$E$5:$M$4994,MATCH(I$3,Platts!$F$5:$M$5,0)+1,FALSE),I2201)</f>
        <v>81.150000000000006</v>
      </c>
      <c r="J2202" s="6">
        <f t="shared" si="68"/>
        <v>4.8900000000000006</v>
      </c>
    </row>
    <row r="2203" spans="2:10" x14ac:dyDescent="0.25">
      <c r="B2203" s="5">
        <f t="shared" si="69"/>
        <v>44569</v>
      </c>
      <c r="C2203" s="6">
        <f>IFERROR(VLOOKUP($B2203,Platts!$E$5:$M$4994,MATCH(C$3,Platts!$F$5:$M$5,0)+1,FALSE),C2202)</f>
        <v>74.010000000000005</v>
      </c>
      <c r="D2203" s="6">
        <f>IFERROR(VLOOKUP($B2203,Platts!$E$5:$M$4994,MATCH(D$3,Platts!$F$5:$M$5,0)+1,FALSE),D2202)</f>
        <v>74.44</v>
      </c>
      <c r="E2203" s="6">
        <f>IFERROR(VLOOKUP($B2203,Platts!$E$5:$M$4994,MATCH(E$3,Platts!$F$5:$M$5,0)+1,FALSE),E2202)</f>
        <v>73.09</v>
      </c>
      <c r="F2203" s="6">
        <f>IFERROR(VLOOKUP($B2203,Platts!$E$5:$M$4994,MATCH(F$3,Platts!$F$5:$M$5,0)+1,FALSE),F2202)</f>
        <v>76.239999999999995</v>
      </c>
      <c r="G2203" s="6">
        <f>IFERROR(VLOOKUP($B2203,Platts!$E$5:$M$4994,MATCH(G$3,Platts!$F$5:$M$5,0)+1,FALSE),G2202)</f>
        <v>82.11</v>
      </c>
      <c r="H2203" s="6">
        <f>IFERROR(VLOOKUP($B2203,Platts!$E$5:$M$4994,MATCH(H$3,Platts!$F$5:$M$5,0)+1,FALSE),H2202)</f>
        <v>78.900000000000006</v>
      </c>
      <c r="I2203" s="6">
        <f>IFERROR(VLOOKUP($B2203,Platts!$E$5:$M$4994,MATCH(I$3,Platts!$F$5:$M$5,0)+1,FALSE),I2202)</f>
        <v>81.150000000000006</v>
      </c>
      <c r="J2203" s="6">
        <f t="shared" si="68"/>
        <v>4.8900000000000006</v>
      </c>
    </row>
    <row r="2204" spans="2:10" x14ac:dyDescent="0.25">
      <c r="B2204" s="5">
        <f t="shared" si="69"/>
        <v>44570</v>
      </c>
      <c r="C2204" s="6">
        <f>IFERROR(VLOOKUP($B2204,Platts!$E$5:$M$4994,MATCH(C$3,Platts!$F$5:$M$5,0)+1,FALSE),C2203)</f>
        <v>74.010000000000005</v>
      </c>
      <c r="D2204" s="6">
        <f>IFERROR(VLOOKUP($B2204,Platts!$E$5:$M$4994,MATCH(D$3,Platts!$F$5:$M$5,0)+1,FALSE),D2203)</f>
        <v>74.44</v>
      </c>
      <c r="E2204" s="6">
        <f>IFERROR(VLOOKUP($B2204,Platts!$E$5:$M$4994,MATCH(E$3,Platts!$F$5:$M$5,0)+1,FALSE),E2203)</f>
        <v>73.09</v>
      </c>
      <c r="F2204" s="6">
        <f>IFERROR(VLOOKUP($B2204,Platts!$E$5:$M$4994,MATCH(F$3,Platts!$F$5:$M$5,0)+1,FALSE),F2203)</f>
        <v>76.239999999999995</v>
      </c>
      <c r="G2204" s="6">
        <f>IFERROR(VLOOKUP($B2204,Platts!$E$5:$M$4994,MATCH(G$3,Platts!$F$5:$M$5,0)+1,FALSE),G2203)</f>
        <v>82.11</v>
      </c>
      <c r="H2204" s="6">
        <f>IFERROR(VLOOKUP($B2204,Platts!$E$5:$M$4994,MATCH(H$3,Platts!$F$5:$M$5,0)+1,FALSE),H2203)</f>
        <v>78.900000000000006</v>
      </c>
      <c r="I2204" s="6">
        <f>IFERROR(VLOOKUP($B2204,Platts!$E$5:$M$4994,MATCH(I$3,Platts!$F$5:$M$5,0)+1,FALSE),I2203)</f>
        <v>81.150000000000006</v>
      </c>
      <c r="J2204" s="6">
        <f t="shared" si="68"/>
        <v>4.8900000000000006</v>
      </c>
    </row>
    <row r="2205" spans="2:10" x14ac:dyDescent="0.25">
      <c r="B2205" s="5">
        <f t="shared" si="69"/>
        <v>44571</v>
      </c>
      <c r="C2205" s="6">
        <f>IFERROR(VLOOKUP($B2205,Platts!$E$5:$M$4994,MATCH(C$3,Platts!$F$5:$M$5,0)+1,FALSE),C2204)</f>
        <v>73.319999999999993</v>
      </c>
      <c r="D2205" s="6">
        <f>IFERROR(VLOOKUP($B2205,Platts!$E$5:$M$4994,MATCH(D$3,Platts!$F$5:$M$5,0)+1,FALSE),D2204)</f>
        <v>73.69</v>
      </c>
      <c r="E2205" s="6">
        <f>IFERROR(VLOOKUP($B2205,Platts!$E$5:$M$4994,MATCH(E$3,Platts!$F$5:$M$5,0)+1,FALSE),E2204)</f>
        <v>72.34</v>
      </c>
      <c r="F2205" s="6">
        <f>IFERROR(VLOOKUP($B2205,Platts!$E$5:$M$4994,MATCH(F$3,Platts!$F$5:$M$5,0)+1,FALSE),F2204)</f>
        <v>75.489999999999995</v>
      </c>
      <c r="G2205" s="6">
        <f>IFERROR(VLOOKUP($B2205,Platts!$E$5:$M$4994,MATCH(G$3,Platts!$F$5:$M$5,0)+1,FALSE),G2204)</f>
        <v>81.400000000000006</v>
      </c>
      <c r="H2205" s="6">
        <f>IFERROR(VLOOKUP($B2205,Platts!$E$5:$M$4994,MATCH(H$3,Platts!$F$5:$M$5,0)+1,FALSE),H2204)</f>
        <v>78.23</v>
      </c>
      <c r="I2205" s="6">
        <f>IFERROR(VLOOKUP($B2205,Platts!$E$5:$M$4994,MATCH(I$3,Platts!$F$5:$M$5,0)+1,FALSE),I2204)</f>
        <v>80.48</v>
      </c>
      <c r="J2205" s="6">
        <f t="shared" si="68"/>
        <v>4.9100000000000108</v>
      </c>
    </row>
    <row r="2206" spans="2:10" x14ac:dyDescent="0.25">
      <c r="B2206" s="5">
        <f t="shared" si="69"/>
        <v>44572</v>
      </c>
      <c r="C2206" s="6">
        <f>IFERROR(VLOOKUP($B2206,Platts!$E$5:$M$4994,MATCH(C$3,Platts!$F$5:$M$5,0)+1,FALSE),C2205)</f>
        <v>75.760000000000005</v>
      </c>
      <c r="D2206" s="6">
        <f>IFERROR(VLOOKUP($B2206,Platts!$E$5:$M$4994,MATCH(D$3,Platts!$F$5:$M$5,0)+1,FALSE),D2205)</f>
        <v>76.64</v>
      </c>
      <c r="E2206" s="6">
        <f>IFERROR(VLOOKUP($B2206,Platts!$E$5:$M$4994,MATCH(E$3,Platts!$F$5:$M$5,0)+1,FALSE),E2205)</f>
        <v>75.290000000000006</v>
      </c>
      <c r="F2206" s="6">
        <f>IFERROR(VLOOKUP($B2206,Platts!$E$5:$M$4994,MATCH(F$3,Platts!$F$5:$M$5,0)+1,FALSE),F2205)</f>
        <v>78.44</v>
      </c>
      <c r="G2206" s="6">
        <f>IFERROR(VLOOKUP($B2206,Platts!$E$5:$M$4994,MATCH(G$3,Platts!$F$5:$M$5,0)+1,FALSE),G2205)</f>
        <v>83.46</v>
      </c>
      <c r="H2206" s="6">
        <f>IFERROR(VLOOKUP($B2206,Platts!$E$5:$M$4994,MATCH(H$3,Platts!$F$5:$M$5,0)+1,FALSE),H2205)</f>
        <v>81.22</v>
      </c>
      <c r="I2206" s="6">
        <f>IFERROR(VLOOKUP($B2206,Platts!$E$5:$M$4994,MATCH(I$3,Platts!$F$5:$M$5,0)+1,FALSE),I2205)</f>
        <v>83.72</v>
      </c>
      <c r="J2206" s="6">
        <f t="shared" si="68"/>
        <v>5.4599999999999937</v>
      </c>
    </row>
    <row r="2207" spans="2:10" x14ac:dyDescent="0.25">
      <c r="B2207" s="5">
        <f t="shared" si="69"/>
        <v>44573</v>
      </c>
      <c r="C2207" s="6">
        <f>IFERROR(VLOOKUP($B2207,Platts!$E$5:$M$4994,MATCH(C$3,Platts!$F$5:$M$5,0)+1,FALSE),C2206)</f>
        <v>76.97</v>
      </c>
      <c r="D2207" s="6">
        <f>IFERROR(VLOOKUP($B2207,Platts!$E$5:$M$4994,MATCH(D$3,Platts!$F$5:$M$5,0)+1,FALSE),D2206)</f>
        <v>77.7</v>
      </c>
      <c r="E2207" s="6">
        <f>IFERROR(VLOOKUP($B2207,Platts!$E$5:$M$4994,MATCH(E$3,Platts!$F$5:$M$5,0)+1,FALSE),E2206)</f>
        <v>76.349999999999994</v>
      </c>
      <c r="F2207" s="6">
        <f>IFERROR(VLOOKUP($B2207,Platts!$E$5:$M$4994,MATCH(F$3,Platts!$F$5:$M$5,0)+1,FALSE),F2206)</f>
        <v>79.5</v>
      </c>
      <c r="G2207" s="6">
        <f>IFERROR(VLOOKUP($B2207,Platts!$E$5:$M$4994,MATCH(G$3,Platts!$F$5:$M$5,0)+1,FALSE),G2206)</f>
        <v>84.95</v>
      </c>
      <c r="H2207" s="6">
        <f>IFERROR(VLOOKUP($B2207,Platts!$E$5:$M$4994,MATCH(H$3,Platts!$F$5:$M$5,0)+1,FALSE),H2206)</f>
        <v>82.64</v>
      </c>
      <c r="I2207" s="6">
        <f>IFERROR(VLOOKUP($B2207,Platts!$E$5:$M$4994,MATCH(I$3,Platts!$F$5:$M$5,0)+1,FALSE),I2206)</f>
        <v>84.84</v>
      </c>
      <c r="J2207" s="6">
        <f t="shared" si="68"/>
        <v>5.6700000000000017</v>
      </c>
    </row>
    <row r="2208" spans="2:10" x14ac:dyDescent="0.25">
      <c r="B2208" s="5">
        <f t="shared" si="69"/>
        <v>44574</v>
      </c>
      <c r="C2208" s="6">
        <f>IFERROR(VLOOKUP($B2208,Platts!$E$5:$M$4994,MATCH(C$3,Platts!$F$5:$M$5,0)+1,FALSE),C2207)</f>
        <v>76.75</v>
      </c>
      <c r="D2208" s="6">
        <f>IFERROR(VLOOKUP($B2208,Platts!$E$5:$M$4994,MATCH(D$3,Platts!$F$5:$M$5,0)+1,FALSE),D2207)</f>
        <v>77.260000000000005</v>
      </c>
      <c r="E2208" s="6">
        <f>IFERROR(VLOOKUP($B2208,Platts!$E$5:$M$4994,MATCH(E$3,Platts!$F$5:$M$5,0)+1,FALSE),E2207)</f>
        <v>75.91</v>
      </c>
      <c r="F2208" s="6">
        <f>IFERROR(VLOOKUP($B2208,Platts!$E$5:$M$4994,MATCH(F$3,Platts!$F$5:$M$5,0)+1,FALSE),F2207)</f>
        <v>79.06</v>
      </c>
      <c r="G2208" s="6">
        <f>IFERROR(VLOOKUP($B2208,Platts!$E$5:$M$4994,MATCH(G$3,Platts!$F$5:$M$5,0)+1,FALSE),G2207)</f>
        <v>84.64</v>
      </c>
      <c r="H2208" s="6">
        <f>IFERROR(VLOOKUP($B2208,Platts!$E$5:$M$4994,MATCH(H$3,Platts!$F$5:$M$5,0)+1,FALSE),H2207)</f>
        <v>82.12</v>
      </c>
      <c r="I2208" s="6">
        <f>IFERROR(VLOOKUP($B2208,Platts!$E$5:$M$4994,MATCH(I$3,Platts!$F$5:$M$5,0)+1,FALSE),I2207)</f>
        <v>84.17</v>
      </c>
      <c r="J2208" s="6">
        <f t="shared" si="68"/>
        <v>5.3700000000000045</v>
      </c>
    </row>
    <row r="2209" spans="2:10" x14ac:dyDescent="0.25">
      <c r="B2209" s="5">
        <f t="shared" si="69"/>
        <v>44575</v>
      </c>
      <c r="C2209" s="6">
        <f>IFERROR(VLOOKUP($B2209,Platts!$E$5:$M$4994,MATCH(C$3,Platts!$F$5:$M$5,0)+1,FALSE),C2208)</f>
        <v>78.36</v>
      </c>
      <c r="D2209" s="6">
        <f>IFERROR(VLOOKUP($B2209,Platts!$E$5:$M$4994,MATCH(D$3,Platts!$F$5:$M$5,0)+1,FALSE),D2208)</f>
        <v>79.05</v>
      </c>
      <c r="E2209" s="6">
        <f>IFERROR(VLOOKUP($B2209,Platts!$E$5:$M$4994,MATCH(E$3,Platts!$F$5:$M$5,0)+1,FALSE),E2208)</f>
        <v>77.7</v>
      </c>
      <c r="F2209" s="6">
        <f>IFERROR(VLOOKUP($B2209,Platts!$E$5:$M$4994,MATCH(F$3,Platts!$F$5:$M$5,0)+1,FALSE),F2208)</f>
        <v>80.849999999999994</v>
      </c>
      <c r="G2209" s="6">
        <f>IFERROR(VLOOKUP($B2209,Platts!$E$5:$M$4994,MATCH(G$3,Platts!$F$5:$M$5,0)+1,FALSE),G2208)</f>
        <v>85.61</v>
      </c>
      <c r="H2209" s="6">
        <f>IFERROR(VLOOKUP($B2209,Platts!$E$5:$M$4994,MATCH(H$3,Platts!$F$5:$M$5,0)+1,FALSE),H2208)</f>
        <v>83.82</v>
      </c>
      <c r="I2209" s="6">
        <f>IFERROR(VLOOKUP($B2209,Platts!$E$5:$M$4994,MATCH(I$3,Platts!$F$5:$M$5,0)+1,FALSE),I2208)</f>
        <v>86.07</v>
      </c>
      <c r="J2209" s="6">
        <f t="shared" si="68"/>
        <v>5.4599999999999937</v>
      </c>
    </row>
    <row r="2210" spans="2:10" x14ac:dyDescent="0.25">
      <c r="B2210" s="5">
        <f t="shared" si="69"/>
        <v>44576</v>
      </c>
      <c r="C2210" s="6">
        <f>IFERROR(VLOOKUP($B2210,Platts!$E$5:$M$4994,MATCH(C$3,Platts!$F$5:$M$5,0)+1,FALSE),C2209)</f>
        <v>78.36</v>
      </c>
      <c r="D2210" s="6">
        <f>IFERROR(VLOOKUP($B2210,Platts!$E$5:$M$4994,MATCH(D$3,Platts!$F$5:$M$5,0)+1,FALSE),D2209)</f>
        <v>79.05</v>
      </c>
      <c r="E2210" s="6">
        <f>IFERROR(VLOOKUP($B2210,Platts!$E$5:$M$4994,MATCH(E$3,Platts!$F$5:$M$5,0)+1,FALSE),E2209)</f>
        <v>77.7</v>
      </c>
      <c r="F2210" s="6">
        <f>IFERROR(VLOOKUP($B2210,Platts!$E$5:$M$4994,MATCH(F$3,Platts!$F$5:$M$5,0)+1,FALSE),F2209)</f>
        <v>80.849999999999994</v>
      </c>
      <c r="G2210" s="6">
        <f>IFERROR(VLOOKUP($B2210,Platts!$E$5:$M$4994,MATCH(G$3,Platts!$F$5:$M$5,0)+1,FALSE),G2209)</f>
        <v>85.61</v>
      </c>
      <c r="H2210" s="6">
        <f>IFERROR(VLOOKUP($B2210,Platts!$E$5:$M$4994,MATCH(H$3,Platts!$F$5:$M$5,0)+1,FALSE),H2209)</f>
        <v>83.82</v>
      </c>
      <c r="I2210" s="6">
        <f>IFERROR(VLOOKUP($B2210,Platts!$E$5:$M$4994,MATCH(I$3,Platts!$F$5:$M$5,0)+1,FALSE),I2209)</f>
        <v>86.07</v>
      </c>
      <c r="J2210" s="6">
        <f t="shared" si="68"/>
        <v>5.4599999999999937</v>
      </c>
    </row>
    <row r="2211" spans="2:10" x14ac:dyDescent="0.25">
      <c r="B2211" s="5">
        <f t="shared" si="69"/>
        <v>44577</v>
      </c>
      <c r="C2211" s="6">
        <f>IFERROR(VLOOKUP($B2211,Platts!$E$5:$M$4994,MATCH(C$3,Platts!$F$5:$M$5,0)+1,FALSE),C2210)</f>
        <v>78.36</v>
      </c>
      <c r="D2211" s="6">
        <f>IFERROR(VLOOKUP($B2211,Platts!$E$5:$M$4994,MATCH(D$3,Platts!$F$5:$M$5,0)+1,FALSE),D2210)</f>
        <v>79.05</v>
      </c>
      <c r="E2211" s="6">
        <f>IFERROR(VLOOKUP($B2211,Platts!$E$5:$M$4994,MATCH(E$3,Platts!$F$5:$M$5,0)+1,FALSE),E2210)</f>
        <v>77.7</v>
      </c>
      <c r="F2211" s="6">
        <f>IFERROR(VLOOKUP($B2211,Platts!$E$5:$M$4994,MATCH(F$3,Platts!$F$5:$M$5,0)+1,FALSE),F2210)</f>
        <v>80.849999999999994</v>
      </c>
      <c r="G2211" s="6">
        <f>IFERROR(VLOOKUP($B2211,Platts!$E$5:$M$4994,MATCH(G$3,Platts!$F$5:$M$5,0)+1,FALSE),G2210)</f>
        <v>85.61</v>
      </c>
      <c r="H2211" s="6">
        <f>IFERROR(VLOOKUP($B2211,Platts!$E$5:$M$4994,MATCH(H$3,Platts!$F$5:$M$5,0)+1,FALSE),H2210)</f>
        <v>83.82</v>
      </c>
      <c r="I2211" s="6">
        <f>IFERROR(VLOOKUP($B2211,Platts!$E$5:$M$4994,MATCH(I$3,Platts!$F$5:$M$5,0)+1,FALSE),I2210)</f>
        <v>86.07</v>
      </c>
      <c r="J2211" s="6">
        <f t="shared" si="68"/>
        <v>5.4599999999999937</v>
      </c>
    </row>
    <row r="2212" spans="2:10" x14ac:dyDescent="0.25">
      <c r="B2212" s="5">
        <f t="shared" si="69"/>
        <v>44578</v>
      </c>
      <c r="C2212" s="6">
        <f>IFERROR(VLOOKUP($B2212,Platts!$E$5:$M$4994,MATCH(C$3,Platts!$F$5:$M$5,0)+1,FALSE),C2211)</f>
        <v>78.36</v>
      </c>
      <c r="D2212" s="6">
        <f>IFERROR(VLOOKUP($B2212,Platts!$E$5:$M$4994,MATCH(D$3,Platts!$F$5:$M$5,0)+1,FALSE),D2211)</f>
        <v>79.05</v>
      </c>
      <c r="E2212" s="6">
        <f>IFERROR(VLOOKUP($B2212,Platts!$E$5:$M$4994,MATCH(E$3,Platts!$F$5:$M$5,0)+1,FALSE),E2211)</f>
        <v>77.7</v>
      </c>
      <c r="F2212" s="6">
        <f>IFERROR(VLOOKUP($B2212,Platts!$E$5:$M$4994,MATCH(F$3,Platts!$F$5:$M$5,0)+1,FALSE),F2211)</f>
        <v>80.849999999999994</v>
      </c>
      <c r="G2212" s="6">
        <f>IFERROR(VLOOKUP($B2212,Platts!$E$5:$M$4994,MATCH(G$3,Platts!$F$5:$M$5,0)+1,FALSE),G2211)</f>
        <v>86.46</v>
      </c>
      <c r="H2212" s="6">
        <f>IFERROR(VLOOKUP($B2212,Platts!$E$5:$M$4994,MATCH(H$3,Platts!$F$5:$M$5,0)+1,FALSE),H2211)</f>
        <v>83.82</v>
      </c>
      <c r="I2212" s="6">
        <f>IFERROR(VLOOKUP($B2212,Platts!$E$5:$M$4994,MATCH(I$3,Platts!$F$5:$M$5,0)+1,FALSE),I2211)</f>
        <v>86.07</v>
      </c>
      <c r="J2212" s="6">
        <f t="shared" si="68"/>
        <v>5.4599999999999937</v>
      </c>
    </row>
    <row r="2213" spans="2:10" x14ac:dyDescent="0.25">
      <c r="B2213" s="5">
        <f t="shared" si="69"/>
        <v>44579</v>
      </c>
      <c r="C2213" s="6">
        <f>IFERROR(VLOOKUP($B2213,Platts!$E$5:$M$4994,MATCH(C$3,Platts!$F$5:$M$5,0)+1,FALSE),C2212)</f>
        <v>78.36</v>
      </c>
      <c r="D2213" s="6">
        <f>IFERROR(VLOOKUP($B2213,Platts!$E$5:$M$4994,MATCH(D$3,Platts!$F$5:$M$5,0)+1,FALSE),D2212)</f>
        <v>80.7</v>
      </c>
      <c r="E2213" s="6">
        <f>IFERROR(VLOOKUP($B2213,Platts!$E$5:$M$4994,MATCH(E$3,Platts!$F$5:$M$5,0)+1,FALSE),E2212)</f>
        <v>79.349999999999994</v>
      </c>
      <c r="F2213" s="6">
        <f>IFERROR(VLOOKUP($B2213,Platts!$E$5:$M$4994,MATCH(F$3,Platts!$F$5:$M$5,0)+1,FALSE),F2212)</f>
        <v>82.5</v>
      </c>
      <c r="G2213" s="6">
        <f>IFERROR(VLOOKUP($B2213,Platts!$E$5:$M$4994,MATCH(G$3,Platts!$F$5:$M$5,0)+1,FALSE),G2212)</f>
        <v>87.15</v>
      </c>
      <c r="H2213" s="6">
        <f>IFERROR(VLOOKUP($B2213,Platts!$E$5:$M$4994,MATCH(H$3,Platts!$F$5:$M$5,0)+1,FALSE),H2212)</f>
        <v>85.43</v>
      </c>
      <c r="I2213" s="6">
        <f>IFERROR(VLOOKUP($B2213,Platts!$E$5:$M$4994,MATCH(I$3,Platts!$F$5:$M$5,0)+1,FALSE),I2212)</f>
        <v>87.83</v>
      </c>
      <c r="J2213" s="6">
        <f t="shared" si="68"/>
        <v>7.0700000000000074</v>
      </c>
    </row>
    <row r="2214" spans="2:10" x14ac:dyDescent="0.25">
      <c r="B2214" s="5">
        <f t="shared" si="69"/>
        <v>44580</v>
      </c>
      <c r="C2214" s="6">
        <f>IFERROR(VLOOKUP($B2214,Platts!$E$5:$M$4994,MATCH(C$3,Platts!$F$5:$M$5,0)+1,FALSE),C2213)</f>
        <v>81.13</v>
      </c>
      <c r="D2214" s="6">
        <f>IFERROR(VLOOKUP($B2214,Platts!$E$5:$M$4994,MATCH(D$3,Platts!$F$5:$M$5,0)+1,FALSE),D2213)</f>
        <v>81.99</v>
      </c>
      <c r="E2214" s="6">
        <f>IFERROR(VLOOKUP($B2214,Platts!$E$5:$M$4994,MATCH(E$3,Platts!$F$5:$M$5,0)+1,FALSE),E2213)</f>
        <v>80.64</v>
      </c>
      <c r="F2214" s="6">
        <f>IFERROR(VLOOKUP($B2214,Platts!$E$5:$M$4994,MATCH(F$3,Platts!$F$5:$M$5,0)+1,FALSE),F2213)</f>
        <v>83.79</v>
      </c>
      <c r="G2214" s="6">
        <f>IFERROR(VLOOKUP($B2214,Platts!$E$5:$M$4994,MATCH(G$3,Platts!$F$5:$M$5,0)+1,FALSE),G2213)</f>
        <v>88.88</v>
      </c>
      <c r="H2214" s="6">
        <f>IFERROR(VLOOKUP($B2214,Platts!$E$5:$M$4994,MATCH(H$3,Platts!$F$5:$M$5,0)+1,FALSE),H2213)</f>
        <v>86.96</v>
      </c>
      <c r="I2214" s="6">
        <f>IFERROR(VLOOKUP($B2214,Platts!$E$5:$M$4994,MATCH(I$3,Platts!$F$5:$M$5,0)+1,FALSE),I2213)</f>
        <v>89.31</v>
      </c>
      <c r="J2214" s="6">
        <f t="shared" si="68"/>
        <v>5.8299999999999983</v>
      </c>
    </row>
    <row r="2215" spans="2:10" x14ac:dyDescent="0.25">
      <c r="B2215" s="5">
        <f t="shared" si="69"/>
        <v>44581</v>
      </c>
      <c r="C2215" s="6">
        <f>IFERROR(VLOOKUP($B2215,Platts!$E$5:$M$4994,MATCH(C$3,Platts!$F$5:$M$5,0)+1,FALSE),C2214)</f>
        <v>81.09</v>
      </c>
      <c r="D2215" s="6">
        <f>IFERROR(VLOOKUP($B2215,Platts!$E$5:$M$4994,MATCH(D$3,Platts!$F$5:$M$5,0)+1,FALSE),D2214)</f>
        <v>81.67</v>
      </c>
      <c r="E2215" s="6">
        <f>IFERROR(VLOOKUP($B2215,Platts!$E$5:$M$4994,MATCH(E$3,Platts!$F$5:$M$5,0)+1,FALSE),E2214)</f>
        <v>80.319999999999993</v>
      </c>
      <c r="F2215" s="6">
        <f>IFERROR(VLOOKUP($B2215,Platts!$E$5:$M$4994,MATCH(F$3,Platts!$F$5:$M$5,0)+1,FALSE),F2214)</f>
        <v>83.47</v>
      </c>
      <c r="G2215" s="6">
        <f>IFERROR(VLOOKUP($B2215,Platts!$E$5:$M$4994,MATCH(G$3,Platts!$F$5:$M$5,0)+1,FALSE),G2214)</f>
        <v>89.24</v>
      </c>
      <c r="H2215" s="6">
        <f>IFERROR(VLOOKUP($B2215,Platts!$E$5:$M$4994,MATCH(H$3,Platts!$F$5:$M$5,0)+1,FALSE),H2214)</f>
        <v>86.9</v>
      </c>
      <c r="I2215" s="6">
        <f>IFERROR(VLOOKUP($B2215,Platts!$E$5:$M$4994,MATCH(I$3,Platts!$F$5:$M$5,0)+1,FALSE),I2214)</f>
        <v>89.05</v>
      </c>
      <c r="J2215" s="6">
        <f t="shared" si="68"/>
        <v>5.8100000000000023</v>
      </c>
    </row>
    <row r="2216" spans="2:10" x14ac:dyDescent="0.25">
      <c r="B2216" s="5">
        <f t="shared" si="69"/>
        <v>44582</v>
      </c>
      <c r="C2216" s="6">
        <f>IFERROR(VLOOKUP($B2216,Platts!$E$5:$M$4994,MATCH(C$3,Platts!$F$5:$M$5,0)+1,FALSE),C2215)</f>
        <v>80.52</v>
      </c>
      <c r="D2216" s="6">
        <f>IFERROR(VLOOKUP($B2216,Platts!$E$5:$M$4994,MATCH(D$3,Platts!$F$5:$M$5,0)+1,FALSE),D2215)</f>
        <v>81.42</v>
      </c>
      <c r="E2216" s="6">
        <f>IFERROR(VLOOKUP($B2216,Platts!$E$5:$M$4994,MATCH(E$3,Platts!$F$5:$M$5,0)+1,FALSE),E2215)</f>
        <v>80.069999999999993</v>
      </c>
      <c r="F2216" s="6">
        <f>IFERROR(VLOOKUP($B2216,Platts!$E$5:$M$4994,MATCH(F$3,Platts!$F$5:$M$5,0)+1,FALSE),F2215)</f>
        <v>83.22</v>
      </c>
      <c r="G2216" s="6">
        <f>IFERROR(VLOOKUP($B2216,Platts!$E$5:$M$4994,MATCH(G$3,Platts!$F$5:$M$5,0)+1,FALSE),G2215)</f>
        <v>88.28</v>
      </c>
      <c r="H2216" s="6">
        <f>IFERROR(VLOOKUP($B2216,Platts!$E$5:$M$4994,MATCH(H$3,Platts!$F$5:$M$5,0)+1,FALSE),H2215)</f>
        <v>86.39</v>
      </c>
      <c r="I2216" s="6">
        <f>IFERROR(VLOOKUP($B2216,Platts!$E$5:$M$4994,MATCH(I$3,Platts!$F$5:$M$5,0)+1,FALSE),I2215)</f>
        <v>88.54</v>
      </c>
      <c r="J2216" s="6">
        <f t="shared" si="68"/>
        <v>5.8700000000000045</v>
      </c>
    </row>
    <row r="2217" spans="2:10" x14ac:dyDescent="0.25">
      <c r="B2217" s="5">
        <f t="shared" si="69"/>
        <v>44583</v>
      </c>
      <c r="C2217" s="6">
        <f>IFERROR(VLOOKUP($B2217,Platts!$E$5:$M$4994,MATCH(C$3,Platts!$F$5:$M$5,0)+1,FALSE),C2216)</f>
        <v>80.52</v>
      </c>
      <c r="D2217" s="6">
        <f>IFERROR(VLOOKUP($B2217,Platts!$E$5:$M$4994,MATCH(D$3,Platts!$F$5:$M$5,0)+1,FALSE),D2216)</f>
        <v>81.42</v>
      </c>
      <c r="E2217" s="6">
        <f>IFERROR(VLOOKUP($B2217,Platts!$E$5:$M$4994,MATCH(E$3,Platts!$F$5:$M$5,0)+1,FALSE),E2216)</f>
        <v>80.069999999999993</v>
      </c>
      <c r="F2217" s="6">
        <f>IFERROR(VLOOKUP($B2217,Platts!$E$5:$M$4994,MATCH(F$3,Platts!$F$5:$M$5,0)+1,FALSE),F2216)</f>
        <v>83.22</v>
      </c>
      <c r="G2217" s="6">
        <f>IFERROR(VLOOKUP($B2217,Platts!$E$5:$M$4994,MATCH(G$3,Platts!$F$5:$M$5,0)+1,FALSE),G2216)</f>
        <v>88.28</v>
      </c>
      <c r="H2217" s="6">
        <f>IFERROR(VLOOKUP($B2217,Platts!$E$5:$M$4994,MATCH(H$3,Platts!$F$5:$M$5,0)+1,FALSE),H2216)</f>
        <v>86.39</v>
      </c>
      <c r="I2217" s="6">
        <f>IFERROR(VLOOKUP($B2217,Platts!$E$5:$M$4994,MATCH(I$3,Platts!$F$5:$M$5,0)+1,FALSE),I2216)</f>
        <v>88.54</v>
      </c>
      <c r="J2217" s="6">
        <f t="shared" si="68"/>
        <v>5.8700000000000045</v>
      </c>
    </row>
    <row r="2218" spans="2:10" x14ac:dyDescent="0.25">
      <c r="B2218" s="5">
        <f t="shared" si="69"/>
        <v>44584</v>
      </c>
      <c r="C2218" s="6">
        <f>IFERROR(VLOOKUP($B2218,Platts!$E$5:$M$4994,MATCH(C$3,Platts!$F$5:$M$5,0)+1,FALSE),C2217)</f>
        <v>80.52</v>
      </c>
      <c r="D2218" s="6">
        <f>IFERROR(VLOOKUP($B2218,Platts!$E$5:$M$4994,MATCH(D$3,Platts!$F$5:$M$5,0)+1,FALSE),D2217)</f>
        <v>81.42</v>
      </c>
      <c r="E2218" s="6">
        <f>IFERROR(VLOOKUP($B2218,Platts!$E$5:$M$4994,MATCH(E$3,Platts!$F$5:$M$5,0)+1,FALSE),E2217)</f>
        <v>80.069999999999993</v>
      </c>
      <c r="F2218" s="6">
        <f>IFERROR(VLOOKUP($B2218,Platts!$E$5:$M$4994,MATCH(F$3,Platts!$F$5:$M$5,0)+1,FALSE),F2217)</f>
        <v>83.22</v>
      </c>
      <c r="G2218" s="6">
        <f>IFERROR(VLOOKUP($B2218,Platts!$E$5:$M$4994,MATCH(G$3,Platts!$F$5:$M$5,0)+1,FALSE),G2217)</f>
        <v>88.28</v>
      </c>
      <c r="H2218" s="6">
        <f>IFERROR(VLOOKUP($B2218,Platts!$E$5:$M$4994,MATCH(H$3,Platts!$F$5:$M$5,0)+1,FALSE),H2217)</f>
        <v>86.39</v>
      </c>
      <c r="I2218" s="6">
        <f>IFERROR(VLOOKUP($B2218,Platts!$E$5:$M$4994,MATCH(I$3,Platts!$F$5:$M$5,0)+1,FALSE),I2217)</f>
        <v>88.54</v>
      </c>
      <c r="J2218" s="6">
        <f t="shared" si="68"/>
        <v>5.8700000000000045</v>
      </c>
    </row>
    <row r="2219" spans="2:10" x14ac:dyDescent="0.25">
      <c r="B2219" s="5">
        <f t="shared" si="69"/>
        <v>44585</v>
      </c>
      <c r="C2219" s="6">
        <f>IFERROR(VLOOKUP($B2219,Platts!$E$5:$M$4994,MATCH(C$3,Platts!$F$5:$M$5,0)+1,FALSE),C2218)</f>
        <v>79.14</v>
      </c>
      <c r="D2219" s="6">
        <f>IFERROR(VLOOKUP($B2219,Platts!$E$5:$M$4994,MATCH(D$3,Platts!$F$5:$M$5,0)+1,FALSE),D2218)</f>
        <v>79.5</v>
      </c>
      <c r="E2219" s="6">
        <f>IFERROR(VLOOKUP($B2219,Platts!$E$5:$M$4994,MATCH(E$3,Platts!$F$5:$M$5,0)+1,FALSE),E2218)</f>
        <v>78.150000000000006</v>
      </c>
      <c r="F2219" s="6">
        <f>IFERROR(VLOOKUP($B2219,Platts!$E$5:$M$4994,MATCH(F$3,Platts!$F$5:$M$5,0)+1,FALSE),F2218)</f>
        <v>81.3</v>
      </c>
      <c r="G2219" s="6">
        <f>IFERROR(VLOOKUP($B2219,Platts!$E$5:$M$4994,MATCH(G$3,Platts!$F$5:$M$5,0)+1,FALSE),G2218)</f>
        <v>85.89</v>
      </c>
      <c r="H2219" s="6">
        <f>IFERROR(VLOOKUP($B2219,Platts!$E$5:$M$4994,MATCH(H$3,Platts!$F$5:$M$5,0)+1,FALSE),H2218)</f>
        <v>84.21</v>
      </c>
      <c r="I2219" s="6">
        <f>IFERROR(VLOOKUP($B2219,Platts!$E$5:$M$4994,MATCH(I$3,Platts!$F$5:$M$5,0)+1,FALSE),I2218)</f>
        <v>86.26</v>
      </c>
      <c r="J2219" s="6">
        <f t="shared" si="68"/>
        <v>5.0699999999999932</v>
      </c>
    </row>
    <row r="2220" spans="2:10" x14ac:dyDescent="0.25">
      <c r="B2220" s="5">
        <f t="shared" si="69"/>
        <v>44586</v>
      </c>
      <c r="C2220" s="6">
        <f>IFERROR(VLOOKUP($B2220,Platts!$E$5:$M$4994,MATCH(C$3,Platts!$F$5:$M$5,0)+1,FALSE),C2219)</f>
        <v>82.02</v>
      </c>
      <c r="D2220" s="6">
        <f>IFERROR(VLOOKUP($B2220,Platts!$E$5:$M$4994,MATCH(D$3,Platts!$F$5:$M$5,0)+1,FALSE),D2219)</f>
        <v>82.06</v>
      </c>
      <c r="E2220" s="6">
        <f>IFERROR(VLOOKUP($B2220,Platts!$E$5:$M$4994,MATCH(E$3,Platts!$F$5:$M$5,0)+1,FALSE),E2219)</f>
        <v>80.709999999999994</v>
      </c>
      <c r="F2220" s="6">
        <f>IFERROR(VLOOKUP($B2220,Platts!$E$5:$M$4994,MATCH(F$3,Platts!$F$5:$M$5,0)+1,FALSE),F2219)</f>
        <v>83.86</v>
      </c>
      <c r="G2220" s="6">
        <f>IFERROR(VLOOKUP($B2220,Platts!$E$5:$M$4994,MATCH(G$3,Platts!$F$5:$M$5,0)+1,FALSE),G2219)</f>
        <v>87.82</v>
      </c>
      <c r="H2220" s="6">
        <f>IFERROR(VLOOKUP($B2220,Platts!$E$5:$M$4994,MATCH(H$3,Platts!$F$5:$M$5,0)+1,FALSE),H2219)</f>
        <v>86.5</v>
      </c>
      <c r="I2220" s="6">
        <f>IFERROR(VLOOKUP($B2220,Platts!$E$5:$M$4994,MATCH(I$3,Platts!$F$5:$M$5,0)+1,FALSE),I2219)</f>
        <v>88.55</v>
      </c>
      <c r="J2220" s="6">
        <f t="shared" si="68"/>
        <v>4.480000000000004</v>
      </c>
    </row>
    <row r="2221" spans="2:10" x14ac:dyDescent="0.25">
      <c r="B2221" s="5">
        <f t="shared" si="69"/>
        <v>44587</v>
      </c>
      <c r="C2221" s="6">
        <f>IFERROR(VLOOKUP($B2221,Platts!$E$5:$M$4994,MATCH(C$3,Platts!$F$5:$M$5,0)+1,FALSE),C2220)</f>
        <v>82.11</v>
      </c>
      <c r="D2221" s="6">
        <f>IFERROR(VLOOKUP($B2221,Platts!$E$5:$M$4994,MATCH(D$3,Platts!$F$5:$M$5,0)+1,FALSE),D2220)</f>
        <v>82.84</v>
      </c>
      <c r="E2221" s="6">
        <f>IFERROR(VLOOKUP($B2221,Platts!$E$5:$M$4994,MATCH(E$3,Platts!$F$5:$M$5,0)+1,FALSE),E2220)</f>
        <v>81.489999999999995</v>
      </c>
      <c r="F2221" s="6">
        <f>IFERROR(VLOOKUP($B2221,Platts!$E$5:$M$4994,MATCH(F$3,Platts!$F$5:$M$5,0)+1,FALSE),F2220)</f>
        <v>84.64</v>
      </c>
      <c r="G2221" s="6">
        <f>IFERROR(VLOOKUP($B2221,Platts!$E$5:$M$4994,MATCH(G$3,Platts!$F$5:$M$5,0)+1,FALSE),G2220)</f>
        <v>90.43</v>
      </c>
      <c r="H2221" s="6">
        <f>IFERROR(VLOOKUP($B2221,Platts!$E$5:$M$4994,MATCH(H$3,Platts!$F$5:$M$5,0)+1,FALSE),H2220)</f>
        <v>87.35</v>
      </c>
      <c r="I2221" s="6">
        <f>IFERROR(VLOOKUP($B2221,Platts!$E$5:$M$4994,MATCH(I$3,Platts!$F$5:$M$5,0)+1,FALSE),I2220)</f>
        <v>89.3</v>
      </c>
      <c r="J2221" s="6">
        <f t="shared" si="68"/>
        <v>5.2399999999999949</v>
      </c>
    </row>
    <row r="2222" spans="2:10" x14ac:dyDescent="0.25">
      <c r="B2222" s="5">
        <f t="shared" si="69"/>
        <v>44588</v>
      </c>
      <c r="C2222" s="6">
        <f>IFERROR(VLOOKUP($B2222,Platts!$E$5:$M$4994,MATCH(C$3,Platts!$F$5:$M$5,0)+1,FALSE),C2221)</f>
        <v>81.599999999999994</v>
      </c>
      <c r="D2222" s="6">
        <f>IFERROR(VLOOKUP($B2222,Platts!$E$5:$M$4994,MATCH(D$3,Platts!$F$5:$M$5,0)+1,FALSE),D2221)</f>
        <v>82.04</v>
      </c>
      <c r="E2222" s="6">
        <f>IFERROR(VLOOKUP($B2222,Platts!$E$5:$M$4994,MATCH(E$3,Platts!$F$5:$M$5,0)+1,FALSE),E2221)</f>
        <v>80.69</v>
      </c>
      <c r="F2222" s="6">
        <f>IFERROR(VLOOKUP($B2222,Platts!$E$5:$M$4994,MATCH(F$3,Platts!$F$5:$M$5,0)+1,FALSE),F2221)</f>
        <v>83.84</v>
      </c>
      <c r="G2222" s="6">
        <f>IFERROR(VLOOKUP($B2222,Platts!$E$5:$M$4994,MATCH(G$3,Platts!$F$5:$M$5,0)+1,FALSE),G2221)</f>
        <v>90.07</v>
      </c>
      <c r="H2222" s="6">
        <f>IFERROR(VLOOKUP($B2222,Platts!$E$5:$M$4994,MATCH(H$3,Platts!$F$5:$M$5,0)+1,FALSE),H2221)</f>
        <v>86.61</v>
      </c>
      <c r="I2222" s="6">
        <f>IFERROR(VLOOKUP($B2222,Platts!$E$5:$M$4994,MATCH(I$3,Platts!$F$5:$M$5,0)+1,FALSE),I2221)</f>
        <v>88.81</v>
      </c>
      <c r="J2222" s="6">
        <f t="shared" si="68"/>
        <v>5.0100000000000051</v>
      </c>
    </row>
    <row r="2223" spans="2:10" x14ac:dyDescent="0.25">
      <c r="B2223" s="5">
        <f t="shared" si="69"/>
        <v>44589</v>
      </c>
      <c r="C2223" s="6">
        <f>IFERROR(VLOOKUP($B2223,Platts!$E$5:$M$4994,MATCH(C$3,Platts!$F$5:$M$5,0)+1,FALSE),C2222)</f>
        <v>81.81</v>
      </c>
      <c r="D2223" s="6">
        <f>IFERROR(VLOOKUP($B2223,Platts!$E$5:$M$4994,MATCH(D$3,Platts!$F$5:$M$5,0)+1,FALSE),D2222)</f>
        <v>82.39</v>
      </c>
      <c r="E2223" s="6">
        <f>IFERROR(VLOOKUP($B2223,Platts!$E$5:$M$4994,MATCH(E$3,Platts!$F$5:$M$5,0)+1,FALSE),E2222)</f>
        <v>81.040000000000006</v>
      </c>
      <c r="F2223" s="6">
        <f>IFERROR(VLOOKUP($B2223,Platts!$E$5:$M$4994,MATCH(F$3,Platts!$F$5:$M$5,0)+1,FALSE),F2222)</f>
        <v>84.19</v>
      </c>
      <c r="G2223" s="6">
        <f>IFERROR(VLOOKUP($B2223,Platts!$E$5:$M$4994,MATCH(G$3,Platts!$F$5:$M$5,0)+1,FALSE),G2222)</f>
        <v>91.18</v>
      </c>
      <c r="H2223" s="6">
        <f>IFERROR(VLOOKUP($B2223,Platts!$E$5:$M$4994,MATCH(H$3,Platts!$F$5:$M$5,0)+1,FALSE),H2222)</f>
        <v>86.82</v>
      </c>
      <c r="I2223" s="6">
        <f>IFERROR(VLOOKUP($B2223,Platts!$E$5:$M$4994,MATCH(I$3,Platts!$F$5:$M$5,0)+1,FALSE),I2222)</f>
        <v>88.97</v>
      </c>
      <c r="J2223" s="6">
        <f t="shared" si="68"/>
        <v>5.0099999999999909</v>
      </c>
    </row>
    <row r="2224" spans="2:10" x14ac:dyDescent="0.25">
      <c r="B2224" s="5">
        <f t="shared" si="69"/>
        <v>44590</v>
      </c>
      <c r="C2224" s="6">
        <f>IFERROR(VLOOKUP($B2224,Platts!$E$5:$M$4994,MATCH(C$3,Platts!$F$5:$M$5,0)+1,FALSE),C2223)</f>
        <v>81.81</v>
      </c>
      <c r="D2224" s="6">
        <f>IFERROR(VLOOKUP($B2224,Platts!$E$5:$M$4994,MATCH(D$3,Platts!$F$5:$M$5,0)+1,FALSE),D2223)</f>
        <v>82.39</v>
      </c>
      <c r="E2224" s="6">
        <f>IFERROR(VLOOKUP($B2224,Platts!$E$5:$M$4994,MATCH(E$3,Platts!$F$5:$M$5,0)+1,FALSE),E2223)</f>
        <v>81.040000000000006</v>
      </c>
      <c r="F2224" s="6">
        <f>IFERROR(VLOOKUP($B2224,Platts!$E$5:$M$4994,MATCH(F$3,Platts!$F$5:$M$5,0)+1,FALSE),F2223)</f>
        <v>84.19</v>
      </c>
      <c r="G2224" s="6">
        <f>IFERROR(VLOOKUP($B2224,Platts!$E$5:$M$4994,MATCH(G$3,Platts!$F$5:$M$5,0)+1,FALSE),G2223)</f>
        <v>91.18</v>
      </c>
      <c r="H2224" s="6">
        <f>IFERROR(VLOOKUP($B2224,Platts!$E$5:$M$4994,MATCH(H$3,Platts!$F$5:$M$5,0)+1,FALSE),H2223)</f>
        <v>86.82</v>
      </c>
      <c r="I2224" s="6">
        <f>IFERROR(VLOOKUP($B2224,Platts!$E$5:$M$4994,MATCH(I$3,Platts!$F$5:$M$5,0)+1,FALSE),I2223)</f>
        <v>88.97</v>
      </c>
      <c r="J2224" s="6">
        <f t="shared" si="68"/>
        <v>5.0099999999999909</v>
      </c>
    </row>
    <row r="2225" spans="2:10" x14ac:dyDescent="0.25">
      <c r="B2225" s="5">
        <f t="shared" si="69"/>
        <v>44591</v>
      </c>
      <c r="C2225" s="6">
        <f>IFERROR(VLOOKUP($B2225,Platts!$E$5:$M$4994,MATCH(C$3,Platts!$F$5:$M$5,0)+1,FALSE),C2224)</f>
        <v>81.81</v>
      </c>
      <c r="D2225" s="6">
        <f>IFERROR(VLOOKUP($B2225,Platts!$E$5:$M$4994,MATCH(D$3,Platts!$F$5:$M$5,0)+1,FALSE),D2224)</f>
        <v>82.39</v>
      </c>
      <c r="E2225" s="6">
        <f>IFERROR(VLOOKUP($B2225,Platts!$E$5:$M$4994,MATCH(E$3,Platts!$F$5:$M$5,0)+1,FALSE),E2224)</f>
        <v>81.040000000000006</v>
      </c>
      <c r="F2225" s="6">
        <f>IFERROR(VLOOKUP($B2225,Platts!$E$5:$M$4994,MATCH(F$3,Platts!$F$5:$M$5,0)+1,FALSE),F2224)</f>
        <v>84.19</v>
      </c>
      <c r="G2225" s="6">
        <f>IFERROR(VLOOKUP($B2225,Platts!$E$5:$M$4994,MATCH(G$3,Platts!$F$5:$M$5,0)+1,FALSE),G2224)</f>
        <v>91.18</v>
      </c>
      <c r="H2225" s="6">
        <f>IFERROR(VLOOKUP($B2225,Platts!$E$5:$M$4994,MATCH(H$3,Platts!$F$5:$M$5,0)+1,FALSE),H2224)</f>
        <v>86.82</v>
      </c>
      <c r="I2225" s="6">
        <f>IFERROR(VLOOKUP($B2225,Platts!$E$5:$M$4994,MATCH(I$3,Platts!$F$5:$M$5,0)+1,FALSE),I2224)</f>
        <v>88.97</v>
      </c>
      <c r="J2225" s="6">
        <f t="shared" si="68"/>
        <v>5.0099999999999909</v>
      </c>
    </row>
    <row r="2226" spans="2:10" x14ac:dyDescent="0.25">
      <c r="B2226" s="5">
        <f t="shared" si="69"/>
        <v>44592</v>
      </c>
      <c r="C2226" s="6">
        <f>IFERROR(VLOOKUP($B2226,Platts!$E$5:$M$4994,MATCH(C$3,Platts!$F$5:$M$5,0)+1,FALSE),C2225)</f>
        <v>83.11</v>
      </c>
      <c r="D2226" s="6">
        <f>IFERROR(VLOOKUP($B2226,Platts!$E$5:$M$4994,MATCH(D$3,Platts!$F$5:$M$5,0)+1,FALSE),D2225)</f>
        <v>83.73</v>
      </c>
      <c r="E2226" s="6">
        <f>IFERROR(VLOOKUP($B2226,Platts!$E$5:$M$4994,MATCH(E$3,Platts!$F$5:$M$5,0)+1,FALSE),E2225)</f>
        <v>82.38</v>
      </c>
      <c r="F2226" s="6">
        <f>IFERROR(VLOOKUP($B2226,Platts!$E$5:$M$4994,MATCH(F$3,Platts!$F$5:$M$5,0)+1,FALSE),F2225)</f>
        <v>85.53</v>
      </c>
      <c r="G2226" s="6">
        <f>IFERROR(VLOOKUP($B2226,Platts!$E$5:$M$4994,MATCH(G$3,Platts!$F$5:$M$5,0)+1,FALSE),G2225)</f>
        <v>91.09</v>
      </c>
      <c r="H2226" s="6">
        <f>IFERROR(VLOOKUP($B2226,Platts!$E$5:$M$4994,MATCH(H$3,Platts!$F$5:$M$5,0)+1,FALSE),H2225)</f>
        <v>88.15</v>
      </c>
      <c r="I2226" s="6">
        <f>IFERROR(VLOOKUP($B2226,Platts!$E$5:$M$4994,MATCH(I$3,Platts!$F$5:$M$5,0)+1,FALSE),I2225)</f>
        <v>90.35</v>
      </c>
      <c r="J2226" s="6">
        <f t="shared" si="68"/>
        <v>5.0400000000000063</v>
      </c>
    </row>
    <row r="2227" spans="2:10" x14ac:dyDescent="0.25">
      <c r="B2227" s="5">
        <f t="shared" si="69"/>
        <v>44593</v>
      </c>
      <c r="C2227" s="6">
        <f>IFERROR(VLOOKUP($B2227,Platts!$E$5:$M$4994,MATCH(C$3,Platts!$F$5:$M$5,0)+1,FALSE),C2226)</f>
        <v>83.11</v>
      </c>
      <c r="D2227" s="6">
        <f>IFERROR(VLOOKUP($B2227,Platts!$E$5:$M$4994,MATCH(D$3,Platts!$F$5:$M$5,0)+1,FALSE),D2226)</f>
        <v>83.58</v>
      </c>
      <c r="E2227" s="6">
        <f>IFERROR(VLOOKUP($B2227,Platts!$E$5:$M$4994,MATCH(E$3,Platts!$F$5:$M$5,0)+1,FALSE),E2226)</f>
        <v>81.83</v>
      </c>
      <c r="F2227" s="6">
        <f>IFERROR(VLOOKUP($B2227,Platts!$E$5:$M$4994,MATCH(F$3,Platts!$F$5:$M$5,0)+1,FALSE),F2226)</f>
        <v>85.63</v>
      </c>
      <c r="G2227" s="6">
        <f>IFERROR(VLOOKUP($B2227,Platts!$E$5:$M$4994,MATCH(G$3,Platts!$F$5:$M$5,0)+1,FALSE),G2226)</f>
        <v>89.74</v>
      </c>
      <c r="H2227" s="6">
        <f>IFERROR(VLOOKUP($B2227,Platts!$E$5:$M$4994,MATCH(H$3,Platts!$F$5:$M$5,0)+1,FALSE),H2226)</f>
        <v>88.2</v>
      </c>
      <c r="I2227" s="6">
        <f>IFERROR(VLOOKUP($B2227,Platts!$E$5:$M$4994,MATCH(I$3,Platts!$F$5:$M$5,0)+1,FALSE),I2226)</f>
        <v>90.15</v>
      </c>
      <c r="J2227" s="6">
        <f t="shared" si="68"/>
        <v>5.0900000000000034</v>
      </c>
    </row>
    <row r="2228" spans="2:10" x14ac:dyDescent="0.25">
      <c r="B2228" s="5">
        <f t="shared" si="69"/>
        <v>44594</v>
      </c>
      <c r="C2228" s="6">
        <f>IFERROR(VLOOKUP($B2228,Platts!$E$5:$M$4994,MATCH(C$3,Platts!$F$5:$M$5,0)+1,FALSE),C2227)</f>
        <v>83.11</v>
      </c>
      <c r="D2228" s="6">
        <f>IFERROR(VLOOKUP($B2228,Platts!$E$5:$M$4994,MATCH(D$3,Platts!$F$5:$M$5,0)+1,FALSE),D2227)</f>
        <v>83.73</v>
      </c>
      <c r="E2228" s="6">
        <f>IFERROR(VLOOKUP($B2228,Platts!$E$5:$M$4994,MATCH(E$3,Platts!$F$5:$M$5,0)+1,FALSE),E2227)</f>
        <v>81.98</v>
      </c>
      <c r="F2228" s="6">
        <f>IFERROR(VLOOKUP($B2228,Platts!$E$5:$M$4994,MATCH(F$3,Platts!$F$5:$M$5,0)+1,FALSE),F2227)</f>
        <v>85.78</v>
      </c>
      <c r="G2228" s="6">
        <f>IFERROR(VLOOKUP($B2228,Platts!$E$5:$M$4994,MATCH(G$3,Platts!$F$5:$M$5,0)+1,FALSE),G2227)</f>
        <v>88.71</v>
      </c>
      <c r="H2228" s="6">
        <f>IFERROR(VLOOKUP($B2228,Platts!$E$5:$M$4994,MATCH(H$3,Platts!$F$5:$M$5,0)+1,FALSE),H2227)</f>
        <v>88.26</v>
      </c>
      <c r="I2228" s="6">
        <f>IFERROR(VLOOKUP($B2228,Platts!$E$5:$M$4994,MATCH(I$3,Platts!$F$5:$M$5,0)+1,FALSE),I2227)</f>
        <v>90.26</v>
      </c>
      <c r="J2228" s="6">
        <f t="shared" si="68"/>
        <v>5.1500000000000057</v>
      </c>
    </row>
    <row r="2229" spans="2:10" x14ac:dyDescent="0.25">
      <c r="B2229" s="5">
        <f t="shared" si="69"/>
        <v>44595</v>
      </c>
      <c r="C2229" s="6">
        <f>IFERROR(VLOOKUP($B2229,Platts!$E$5:$M$4994,MATCH(C$3,Platts!$F$5:$M$5,0)+1,FALSE),C2228)</f>
        <v>83.82</v>
      </c>
      <c r="D2229" s="6">
        <f>IFERROR(VLOOKUP($B2229,Platts!$E$5:$M$4994,MATCH(D$3,Platts!$F$5:$M$5,0)+1,FALSE),D2228)</f>
        <v>85.54</v>
      </c>
      <c r="E2229" s="6">
        <f>IFERROR(VLOOKUP($B2229,Platts!$E$5:$M$4994,MATCH(E$3,Platts!$F$5:$M$5,0)+1,FALSE),E2228)</f>
        <v>83.79</v>
      </c>
      <c r="F2229" s="6">
        <f>IFERROR(VLOOKUP($B2229,Platts!$E$5:$M$4994,MATCH(F$3,Platts!$F$5:$M$5,0)+1,FALSE),F2228)</f>
        <v>87.59</v>
      </c>
      <c r="G2229" s="6">
        <f>IFERROR(VLOOKUP($B2229,Platts!$E$5:$M$4994,MATCH(G$3,Platts!$F$5:$M$5,0)+1,FALSE),G2228)</f>
        <v>89.97</v>
      </c>
      <c r="H2229" s="6">
        <f>IFERROR(VLOOKUP($B2229,Platts!$E$5:$M$4994,MATCH(H$3,Platts!$F$5:$M$5,0)+1,FALSE),H2228)</f>
        <v>90.27</v>
      </c>
      <c r="I2229" s="6">
        <f>IFERROR(VLOOKUP($B2229,Platts!$E$5:$M$4994,MATCH(I$3,Platts!$F$5:$M$5,0)+1,FALSE),I2228)</f>
        <v>92.17</v>
      </c>
      <c r="J2229" s="6">
        <f t="shared" si="68"/>
        <v>6.4500000000000028</v>
      </c>
    </row>
    <row r="2230" spans="2:10" x14ac:dyDescent="0.25">
      <c r="B2230" s="5">
        <f t="shared" si="69"/>
        <v>44596</v>
      </c>
      <c r="C2230" s="6">
        <f>IFERROR(VLOOKUP($B2230,Platts!$E$5:$M$4994,MATCH(C$3,Platts!$F$5:$M$5,0)+1,FALSE),C2229)</f>
        <v>85.93</v>
      </c>
      <c r="D2230" s="6">
        <f>IFERROR(VLOOKUP($B2230,Platts!$E$5:$M$4994,MATCH(D$3,Platts!$F$5:$M$5,0)+1,FALSE),D2229)</f>
        <v>87.69</v>
      </c>
      <c r="E2230" s="6">
        <f>IFERROR(VLOOKUP($B2230,Platts!$E$5:$M$4994,MATCH(E$3,Platts!$F$5:$M$5,0)+1,FALSE),E2229)</f>
        <v>85.94</v>
      </c>
      <c r="F2230" s="6">
        <f>IFERROR(VLOOKUP($B2230,Platts!$E$5:$M$4994,MATCH(F$3,Platts!$F$5:$M$5,0)+1,FALSE),F2229)</f>
        <v>89.74</v>
      </c>
      <c r="G2230" s="6">
        <f>IFERROR(VLOOKUP($B2230,Platts!$E$5:$M$4994,MATCH(G$3,Platts!$F$5:$M$5,0)+1,FALSE),G2229)</f>
        <v>93.55</v>
      </c>
      <c r="H2230" s="6">
        <f>IFERROR(VLOOKUP($B2230,Platts!$E$5:$M$4994,MATCH(H$3,Platts!$F$5:$M$5,0)+1,FALSE),H2229)</f>
        <v>92.31</v>
      </c>
      <c r="I2230" s="6">
        <f>IFERROR(VLOOKUP($B2230,Platts!$E$5:$M$4994,MATCH(I$3,Platts!$F$5:$M$5,0)+1,FALSE),I2229)</f>
        <v>94.46</v>
      </c>
      <c r="J2230" s="6">
        <f t="shared" si="68"/>
        <v>6.3799999999999955</v>
      </c>
    </row>
    <row r="2231" spans="2:10" x14ac:dyDescent="0.25">
      <c r="B2231" s="5">
        <f t="shared" si="69"/>
        <v>44597</v>
      </c>
      <c r="C2231" s="6">
        <f>IFERROR(VLOOKUP($B2231,Platts!$E$5:$M$4994,MATCH(C$3,Platts!$F$5:$M$5,0)+1,FALSE),C2230)</f>
        <v>85.93</v>
      </c>
      <c r="D2231" s="6">
        <f>IFERROR(VLOOKUP($B2231,Platts!$E$5:$M$4994,MATCH(D$3,Platts!$F$5:$M$5,0)+1,FALSE),D2230)</f>
        <v>87.69</v>
      </c>
      <c r="E2231" s="6">
        <f>IFERROR(VLOOKUP($B2231,Platts!$E$5:$M$4994,MATCH(E$3,Platts!$F$5:$M$5,0)+1,FALSE),E2230)</f>
        <v>85.94</v>
      </c>
      <c r="F2231" s="6">
        <f>IFERROR(VLOOKUP($B2231,Platts!$E$5:$M$4994,MATCH(F$3,Platts!$F$5:$M$5,0)+1,FALSE),F2230)</f>
        <v>89.74</v>
      </c>
      <c r="G2231" s="6">
        <f>IFERROR(VLOOKUP($B2231,Platts!$E$5:$M$4994,MATCH(G$3,Platts!$F$5:$M$5,0)+1,FALSE),G2230)</f>
        <v>93.55</v>
      </c>
      <c r="H2231" s="6">
        <f>IFERROR(VLOOKUP($B2231,Platts!$E$5:$M$4994,MATCH(H$3,Platts!$F$5:$M$5,0)+1,FALSE),H2230)</f>
        <v>92.31</v>
      </c>
      <c r="I2231" s="6">
        <f>IFERROR(VLOOKUP($B2231,Platts!$E$5:$M$4994,MATCH(I$3,Platts!$F$5:$M$5,0)+1,FALSE),I2230)</f>
        <v>94.46</v>
      </c>
      <c r="J2231" s="6">
        <f t="shared" si="68"/>
        <v>6.3799999999999955</v>
      </c>
    </row>
    <row r="2232" spans="2:10" x14ac:dyDescent="0.25">
      <c r="B2232" s="5">
        <f t="shared" si="69"/>
        <v>44598</v>
      </c>
      <c r="C2232" s="6">
        <f>IFERROR(VLOOKUP($B2232,Platts!$E$5:$M$4994,MATCH(C$3,Platts!$F$5:$M$5,0)+1,FALSE),C2231)</f>
        <v>85.93</v>
      </c>
      <c r="D2232" s="6">
        <f>IFERROR(VLOOKUP($B2232,Platts!$E$5:$M$4994,MATCH(D$3,Platts!$F$5:$M$5,0)+1,FALSE),D2231)</f>
        <v>87.69</v>
      </c>
      <c r="E2232" s="6">
        <f>IFERROR(VLOOKUP($B2232,Platts!$E$5:$M$4994,MATCH(E$3,Platts!$F$5:$M$5,0)+1,FALSE),E2231)</f>
        <v>85.94</v>
      </c>
      <c r="F2232" s="6">
        <f>IFERROR(VLOOKUP($B2232,Platts!$E$5:$M$4994,MATCH(F$3,Platts!$F$5:$M$5,0)+1,FALSE),F2231)</f>
        <v>89.74</v>
      </c>
      <c r="G2232" s="6">
        <f>IFERROR(VLOOKUP($B2232,Platts!$E$5:$M$4994,MATCH(G$3,Platts!$F$5:$M$5,0)+1,FALSE),G2231)</f>
        <v>93.55</v>
      </c>
      <c r="H2232" s="6">
        <f>IFERROR(VLOOKUP($B2232,Platts!$E$5:$M$4994,MATCH(H$3,Platts!$F$5:$M$5,0)+1,FALSE),H2231)</f>
        <v>92.31</v>
      </c>
      <c r="I2232" s="6">
        <f>IFERROR(VLOOKUP($B2232,Platts!$E$5:$M$4994,MATCH(I$3,Platts!$F$5:$M$5,0)+1,FALSE),I2231)</f>
        <v>94.46</v>
      </c>
      <c r="J2232" s="6">
        <f t="shared" si="68"/>
        <v>6.3799999999999955</v>
      </c>
    </row>
    <row r="2233" spans="2:10" x14ac:dyDescent="0.25">
      <c r="B2233" s="5">
        <f t="shared" si="69"/>
        <v>44599</v>
      </c>
      <c r="C2233" s="6">
        <f>IFERROR(VLOOKUP($B2233,Platts!$E$5:$M$4994,MATCH(C$3,Platts!$F$5:$M$5,0)+1,FALSE),C2232)</f>
        <v>85.93</v>
      </c>
      <c r="D2233" s="6">
        <f>IFERROR(VLOOKUP($B2233,Platts!$E$5:$M$4994,MATCH(D$3,Platts!$F$5:$M$5,0)+1,FALSE),D2232)</f>
        <v>86.88</v>
      </c>
      <c r="E2233" s="6">
        <f>IFERROR(VLOOKUP($B2233,Platts!$E$5:$M$4994,MATCH(E$3,Platts!$F$5:$M$5,0)+1,FALSE),E2232)</f>
        <v>85.13</v>
      </c>
      <c r="F2233" s="6">
        <f>IFERROR(VLOOKUP($B2233,Platts!$E$5:$M$4994,MATCH(F$3,Platts!$F$5:$M$5,0)+1,FALSE),F2232)</f>
        <v>88.93</v>
      </c>
      <c r="G2233" s="6">
        <f>IFERROR(VLOOKUP($B2233,Platts!$E$5:$M$4994,MATCH(G$3,Platts!$F$5:$M$5,0)+1,FALSE),G2232)</f>
        <v>93.35</v>
      </c>
      <c r="H2233" s="6">
        <f>IFERROR(VLOOKUP($B2233,Platts!$E$5:$M$4994,MATCH(H$3,Platts!$F$5:$M$5,0)+1,FALSE),H2232)</f>
        <v>91.32</v>
      </c>
      <c r="I2233" s="6">
        <f>IFERROR(VLOOKUP($B2233,Platts!$E$5:$M$4994,MATCH(I$3,Platts!$F$5:$M$5,0)+1,FALSE),I2232)</f>
        <v>93.52</v>
      </c>
      <c r="J2233" s="6">
        <f t="shared" si="68"/>
        <v>5.3899999999999864</v>
      </c>
    </row>
    <row r="2234" spans="2:10" x14ac:dyDescent="0.25">
      <c r="B2234" s="5">
        <f t="shared" si="69"/>
        <v>44600</v>
      </c>
      <c r="C2234" s="6">
        <f>IFERROR(VLOOKUP($B2234,Platts!$E$5:$M$4994,MATCH(C$3,Platts!$F$5:$M$5,0)+1,FALSE),C2233)</f>
        <v>83.6</v>
      </c>
      <c r="D2234" s="6">
        <f>IFERROR(VLOOKUP($B2234,Platts!$E$5:$M$4994,MATCH(D$3,Platts!$F$5:$M$5,0)+1,FALSE),D2233)</f>
        <v>84.97</v>
      </c>
      <c r="E2234" s="6">
        <f>IFERROR(VLOOKUP($B2234,Platts!$E$5:$M$4994,MATCH(E$3,Platts!$F$5:$M$5,0)+1,FALSE),E2233)</f>
        <v>83.22</v>
      </c>
      <c r="F2234" s="6">
        <f>IFERROR(VLOOKUP($B2234,Platts!$E$5:$M$4994,MATCH(F$3,Platts!$F$5:$M$5,0)+1,FALSE),F2233)</f>
        <v>87.02</v>
      </c>
      <c r="G2234" s="6">
        <f>IFERROR(VLOOKUP($B2234,Platts!$E$5:$M$4994,MATCH(G$3,Platts!$F$5:$M$5,0)+1,FALSE),G2233)</f>
        <v>90.45</v>
      </c>
      <c r="H2234" s="6">
        <f>IFERROR(VLOOKUP($B2234,Platts!$E$5:$M$4994,MATCH(H$3,Platts!$F$5:$M$5,0)+1,FALSE),H2233)</f>
        <v>89.36</v>
      </c>
      <c r="I2234" s="6">
        <f>IFERROR(VLOOKUP($B2234,Platts!$E$5:$M$4994,MATCH(I$3,Platts!$F$5:$M$5,0)+1,FALSE),I2233)</f>
        <v>91.61</v>
      </c>
      <c r="J2234" s="6">
        <f t="shared" si="68"/>
        <v>5.7600000000000051</v>
      </c>
    </row>
    <row r="2235" spans="2:10" x14ac:dyDescent="0.25">
      <c r="B2235" s="5">
        <f t="shared" si="69"/>
        <v>44601</v>
      </c>
      <c r="C2235" s="6">
        <f>IFERROR(VLOOKUP($B2235,Platts!$E$5:$M$4994,MATCH(C$3,Platts!$F$5:$M$5,0)+1,FALSE),C2234)</f>
        <v>83.96</v>
      </c>
      <c r="D2235" s="6">
        <f>IFERROR(VLOOKUP($B2235,Platts!$E$5:$M$4994,MATCH(D$3,Platts!$F$5:$M$5,0)+1,FALSE),D2234)</f>
        <v>85.33</v>
      </c>
      <c r="E2235" s="6">
        <f>IFERROR(VLOOKUP($B2235,Platts!$E$5:$M$4994,MATCH(E$3,Platts!$F$5:$M$5,0)+1,FALSE),E2234)</f>
        <v>83.58</v>
      </c>
      <c r="F2235" s="6">
        <f>IFERROR(VLOOKUP($B2235,Platts!$E$5:$M$4994,MATCH(F$3,Platts!$F$5:$M$5,0)+1,FALSE),F2234)</f>
        <v>87.38</v>
      </c>
      <c r="G2235" s="6">
        <f>IFERROR(VLOOKUP($B2235,Platts!$E$5:$M$4994,MATCH(G$3,Platts!$F$5:$M$5,0)+1,FALSE),G2234)</f>
        <v>92.11</v>
      </c>
      <c r="H2235" s="6">
        <f>IFERROR(VLOOKUP($B2235,Platts!$E$5:$M$4994,MATCH(H$3,Platts!$F$5:$M$5,0)+1,FALSE),H2234)</f>
        <v>89.66</v>
      </c>
      <c r="I2235" s="6">
        <f>IFERROR(VLOOKUP($B2235,Platts!$E$5:$M$4994,MATCH(I$3,Platts!$F$5:$M$5,0)+1,FALSE),I2234)</f>
        <v>91.91</v>
      </c>
      <c r="J2235" s="6">
        <f t="shared" si="68"/>
        <v>5.7000000000000028</v>
      </c>
    </row>
    <row r="2236" spans="2:10" x14ac:dyDescent="0.25">
      <c r="B2236" s="5">
        <f t="shared" si="69"/>
        <v>44602</v>
      </c>
      <c r="C2236" s="6">
        <f>IFERROR(VLOOKUP($B2236,Platts!$E$5:$M$4994,MATCH(C$3,Platts!$F$5:$M$5,0)+1,FALSE),C2235)</f>
        <v>84.12</v>
      </c>
      <c r="D2236" s="6">
        <f>IFERROR(VLOOKUP($B2236,Platts!$E$5:$M$4994,MATCH(D$3,Platts!$F$5:$M$5,0)+1,FALSE),D2235)</f>
        <v>85.53</v>
      </c>
      <c r="E2236" s="6">
        <f>IFERROR(VLOOKUP($B2236,Platts!$E$5:$M$4994,MATCH(E$3,Platts!$F$5:$M$5,0)+1,FALSE),E2235)</f>
        <v>83.78</v>
      </c>
      <c r="F2236" s="6">
        <f>IFERROR(VLOOKUP($B2236,Platts!$E$5:$M$4994,MATCH(F$3,Platts!$F$5:$M$5,0)+1,FALSE),F2235)</f>
        <v>87.58</v>
      </c>
      <c r="G2236" s="6">
        <f>IFERROR(VLOOKUP($B2236,Platts!$E$5:$M$4994,MATCH(G$3,Platts!$F$5:$M$5,0)+1,FALSE),G2235)</f>
        <v>92.86</v>
      </c>
      <c r="H2236" s="6">
        <f>IFERROR(VLOOKUP($B2236,Platts!$E$5:$M$4994,MATCH(H$3,Platts!$F$5:$M$5,0)+1,FALSE),H2235)</f>
        <v>89.88</v>
      </c>
      <c r="I2236" s="6">
        <f>IFERROR(VLOOKUP($B2236,Platts!$E$5:$M$4994,MATCH(I$3,Platts!$F$5:$M$5,0)+1,FALSE),I2235)</f>
        <v>92.28</v>
      </c>
      <c r="J2236" s="6">
        <f t="shared" si="68"/>
        <v>5.7599999999999909</v>
      </c>
    </row>
    <row r="2237" spans="2:10" x14ac:dyDescent="0.25">
      <c r="B2237" s="5">
        <f t="shared" si="69"/>
        <v>44603</v>
      </c>
      <c r="C2237" s="6">
        <f>IFERROR(VLOOKUP($B2237,Platts!$E$5:$M$4994,MATCH(C$3,Platts!$F$5:$M$5,0)+1,FALSE),C2236)</f>
        <v>86.84</v>
      </c>
      <c r="D2237" s="6">
        <f>IFERROR(VLOOKUP($B2237,Platts!$E$5:$M$4994,MATCH(D$3,Platts!$F$5:$M$5,0)+1,FALSE),D2236)</f>
        <v>88.68</v>
      </c>
      <c r="E2237" s="6">
        <f>IFERROR(VLOOKUP($B2237,Platts!$E$5:$M$4994,MATCH(E$3,Platts!$F$5:$M$5,0)+1,FALSE),E2236)</f>
        <v>86.93</v>
      </c>
      <c r="F2237" s="6">
        <f>IFERROR(VLOOKUP($B2237,Platts!$E$5:$M$4994,MATCH(F$3,Platts!$F$5:$M$5,0)+1,FALSE),F2236)</f>
        <v>90.73</v>
      </c>
      <c r="G2237" s="6">
        <f>IFERROR(VLOOKUP($B2237,Platts!$E$5:$M$4994,MATCH(G$3,Platts!$F$5:$M$5,0)+1,FALSE),G2236)</f>
        <v>93.29</v>
      </c>
      <c r="H2237" s="6">
        <f>IFERROR(VLOOKUP($B2237,Platts!$E$5:$M$4994,MATCH(H$3,Platts!$F$5:$M$5,0)+1,FALSE),H2236)</f>
        <v>93.1</v>
      </c>
      <c r="I2237" s="6">
        <f>IFERROR(VLOOKUP($B2237,Platts!$E$5:$M$4994,MATCH(I$3,Platts!$F$5:$M$5,0)+1,FALSE),I2236)</f>
        <v>95.5</v>
      </c>
      <c r="J2237" s="6">
        <f t="shared" si="68"/>
        <v>6.2599999999999909</v>
      </c>
    </row>
    <row r="2238" spans="2:10" x14ac:dyDescent="0.25">
      <c r="B2238" s="5">
        <f t="shared" si="69"/>
        <v>44604</v>
      </c>
      <c r="C2238" s="6">
        <f>IFERROR(VLOOKUP($B2238,Platts!$E$5:$M$4994,MATCH(C$3,Platts!$F$5:$M$5,0)+1,FALSE),C2237)</f>
        <v>86.84</v>
      </c>
      <c r="D2238" s="6">
        <f>IFERROR(VLOOKUP($B2238,Platts!$E$5:$M$4994,MATCH(D$3,Platts!$F$5:$M$5,0)+1,FALSE),D2237)</f>
        <v>88.68</v>
      </c>
      <c r="E2238" s="6">
        <f>IFERROR(VLOOKUP($B2238,Platts!$E$5:$M$4994,MATCH(E$3,Platts!$F$5:$M$5,0)+1,FALSE),E2237)</f>
        <v>86.93</v>
      </c>
      <c r="F2238" s="6">
        <f>IFERROR(VLOOKUP($B2238,Platts!$E$5:$M$4994,MATCH(F$3,Platts!$F$5:$M$5,0)+1,FALSE),F2237)</f>
        <v>90.73</v>
      </c>
      <c r="G2238" s="6">
        <f>IFERROR(VLOOKUP($B2238,Platts!$E$5:$M$4994,MATCH(G$3,Platts!$F$5:$M$5,0)+1,FALSE),G2237)</f>
        <v>93.29</v>
      </c>
      <c r="H2238" s="6">
        <f>IFERROR(VLOOKUP($B2238,Platts!$E$5:$M$4994,MATCH(H$3,Platts!$F$5:$M$5,0)+1,FALSE),H2237)</f>
        <v>93.1</v>
      </c>
      <c r="I2238" s="6">
        <f>IFERROR(VLOOKUP($B2238,Platts!$E$5:$M$4994,MATCH(I$3,Platts!$F$5:$M$5,0)+1,FALSE),I2237)</f>
        <v>95.5</v>
      </c>
      <c r="J2238" s="6">
        <f t="shared" si="68"/>
        <v>6.2599999999999909</v>
      </c>
    </row>
    <row r="2239" spans="2:10" x14ac:dyDescent="0.25">
      <c r="B2239" s="5">
        <f t="shared" si="69"/>
        <v>44605</v>
      </c>
      <c r="C2239" s="6">
        <f>IFERROR(VLOOKUP($B2239,Platts!$E$5:$M$4994,MATCH(C$3,Platts!$F$5:$M$5,0)+1,FALSE),C2238)</f>
        <v>86.84</v>
      </c>
      <c r="D2239" s="6">
        <f>IFERROR(VLOOKUP($B2239,Platts!$E$5:$M$4994,MATCH(D$3,Platts!$F$5:$M$5,0)+1,FALSE),D2238)</f>
        <v>88.68</v>
      </c>
      <c r="E2239" s="6">
        <f>IFERROR(VLOOKUP($B2239,Platts!$E$5:$M$4994,MATCH(E$3,Platts!$F$5:$M$5,0)+1,FALSE),E2238)</f>
        <v>86.93</v>
      </c>
      <c r="F2239" s="6">
        <f>IFERROR(VLOOKUP($B2239,Platts!$E$5:$M$4994,MATCH(F$3,Platts!$F$5:$M$5,0)+1,FALSE),F2238)</f>
        <v>90.73</v>
      </c>
      <c r="G2239" s="6">
        <f>IFERROR(VLOOKUP($B2239,Platts!$E$5:$M$4994,MATCH(G$3,Platts!$F$5:$M$5,0)+1,FALSE),G2238)</f>
        <v>93.29</v>
      </c>
      <c r="H2239" s="6">
        <f>IFERROR(VLOOKUP($B2239,Platts!$E$5:$M$4994,MATCH(H$3,Platts!$F$5:$M$5,0)+1,FALSE),H2238)</f>
        <v>93.1</v>
      </c>
      <c r="I2239" s="6">
        <f>IFERROR(VLOOKUP($B2239,Platts!$E$5:$M$4994,MATCH(I$3,Platts!$F$5:$M$5,0)+1,FALSE),I2238)</f>
        <v>95.5</v>
      </c>
      <c r="J2239" s="6">
        <f t="shared" si="68"/>
        <v>6.2599999999999909</v>
      </c>
    </row>
    <row r="2240" spans="2:10" x14ac:dyDescent="0.25">
      <c r="B2240" s="5">
        <f t="shared" si="69"/>
        <v>44606</v>
      </c>
      <c r="C2240" s="6">
        <f>IFERROR(VLOOKUP($B2240,Platts!$E$5:$M$4994,MATCH(C$3,Platts!$F$5:$M$5,0)+1,FALSE),C2239)</f>
        <v>89.1</v>
      </c>
      <c r="D2240" s="6">
        <f>IFERROR(VLOOKUP($B2240,Platts!$E$5:$M$4994,MATCH(D$3,Platts!$F$5:$M$5,0)+1,FALSE),D2239)</f>
        <v>90.99</v>
      </c>
      <c r="E2240" s="6">
        <f>IFERROR(VLOOKUP($B2240,Platts!$E$5:$M$4994,MATCH(E$3,Platts!$F$5:$M$5,0)+1,FALSE),E2239)</f>
        <v>89.24</v>
      </c>
      <c r="F2240" s="6">
        <f>IFERROR(VLOOKUP($B2240,Platts!$E$5:$M$4994,MATCH(F$3,Platts!$F$5:$M$5,0)+1,FALSE),F2239)</f>
        <v>93.04</v>
      </c>
      <c r="G2240" s="6">
        <f>IFERROR(VLOOKUP($B2240,Platts!$E$5:$M$4994,MATCH(G$3,Platts!$F$5:$M$5,0)+1,FALSE),G2239)</f>
        <v>95.09</v>
      </c>
      <c r="H2240" s="6">
        <f>IFERROR(VLOOKUP($B2240,Platts!$E$5:$M$4994,MATCH(H$3,Platts!$F$5:$M$5,0)+1,FALSE),H2239)</f>
        <v>95.46</v>
      </c>
      <c r="I2240" s="6">
        <f>IFERROR(VLOOKUP($B2240,Platts!$E$5:$M$4994,MATCH(I$3,Platts!$F$5:$M$5,0)+1,FALSE),I2239)</f>
        <v>97.86</v>
      </c>
      <c r="J2240" s="6">
        <f t="shared" si="68"/>
        <v>6.3599999999999994</v>
      </c>
    </row>
    <row r="2241" spans="2:10" x14ac:dyDescent="0.25">
      <c r="B2241" s="5">
        <f t="shared" si="69"/>
        <v>44607</v>
      </c>
      <c r="C2241" s="6">
        <f>IFERROR(VLOOKUP($B2241,Platts!$E$5:$M$4994,MATCH(C$3,Platts!$F$5:$M$5,0)+1,FALSE),C2240)</f>
        <v>86.21</v>
      </c>
      <c r="D2241" s="6">
        <f>IFERROR(VLOOKUP($B2241,Platts!$E$5:$M$4994,MATCH(D$3,Platts!$F$5:$M$5,0)+1,FALSE),D2240)</f>
        <v>87.57</v>
      </c>
      <c r="E2241" s="6">
        <f>IFERROR(VLOOKUP($B2241,Platts!$E$5:$M$4994,MATCH(E$3,Platts!$F$5:$M$5,0)+1,FALSE),E2240)</f>
        <v>85.82</v>
      </c>
      <c r="F2241" s="6">
        <f>IFERROR(VLOOKUP($B2241,Platts!$E$5:$M$4994,MATCH(F$3,Platts!$F$5:$M$5,0)+1,FALSE),F2240)</f>
        <v>89.62</v>
      </c>
      <c r="G2241" s="6">
        <f>IFERROR(VLOOKUP($B2241,Platts!$E$5:$M$4994,MATCH(G$3,Platts!$F$5:$M$5,0)+1,FALSE),G2240)</f>
        <v>93.03</v>
      </c>
      <c r="H2241" s="6">
        <f>IFERROR(VLOOKUP($B2241,Platts!$E$5:$M$4994,MATCH(H$3,Platts!$F$5:$M$5,0)+1,FALSE),H2240)</f>
        <v>92.07</v>
      </c>
      <c r="I2241" s="6">
        <f>IFERROR(VLOOKUP($B2241,Platts!$E$5:$M$4994,MATCH(I$3,Platts!$F$5:$M$5,0)+1,FALSE),I2240)</f>
        <v>94.42</v>
      </c>
      <c r="J2241" s="6">
        <f t="shared" si="68"/>
        <v>5.8599999999999994</v>
      </c>
    </row>
    <row r="2242" spans="2:10" x14ac:dyDescent="0.25">
      <c r="B2242" s="5">
        <f t="shared" si="69"/>
        <v>44608</v>
      </c>
      <c r="C2242" s="6">
        <f>IFERROR(VLOOKUP($B2242,Platts!$E$5:$M$4994,MATCH(C$3,Platts!$F$5:$M$5,0)+1,FALSE),C2241)</f>
        <v>87.44</v>
      </c>
      <c r="D2242" s="6">
        <f>IFERROR(VLOOKUP($B2242,Platts!$E$5:$M$4994,MATCH(D$3,Platts!$F$5:$M$5,0)+1,FALSE),D2241)</f>
        <v>88.98</v>
      </c>
      <c r="E2242" s="6">
        <f>IFERROR(VLOOKUP($B2242,Platts!$E$5:$M$4994,MATCH(E$3,Platts!$F$5:$M$5,0)+1,FALSE),E2241)</f>
        <v>87.23</v>
      </c>
      <c r="F2242" s="6">
        <f>IFERROR(VLOOKUP($B2242,Platts!$E$5:$M$4994,MATCH(F$3,Platts!$F$5:$M$5,0)+1,FALSE),F2241)</f>
        <v>91.03</v>
      </c>
      <c r="G2242" s="6">
        <f>IFERROR(VLOOKUP($B2242,Platts!$E$5:$M$4994,MATCH(G$3,Platts!$F$5:$M$5,0)+1,FALSE),G2241)</f>
        <v>95.99</v>
      </c>
      <c r="H2242" s="6">
        <f>IFERROR(VLOOKUP($B2242,Platts!$E$5:$M$4994,MATCH(H$3,Platts!$F$5:$M$5,0)+1,FALSE),H2241)</f>
        <v>93.66</v>
      </c>
      <c r="I2242" s="6">
        <f>IFERROR(VLOOKUP($B2242,Platts!$E$5:$M$4994,MATCH(I$3,Platts!$F$5:$M$5,0)+1,FALSE),I2241)</f>
        <v>96.01</v>
      </c>
      <c r="J2242" s="6">
        <f t="shared" si="68"/>
        <v>6.2199999999999989</v>
      </c>
    </row>
    <row r="2243" spans="2:10" x14ac:dyDescent="0.25">
      <c r="B2243" s="5">
        <f t="shared" si="69"/>
        <v>44609</v>
      </c>
      <c r="C2243" s="6">
        <f>IFERROR(VLOOKUP($B2243,Platts!$E$5:$M$4994,MATCH(C$3,Platts!$F$5:$M$5,0)+1,FALSE),C2242)</f>
        <v>85.72</v>
      </c>
      <c r="D2243" s="6">
        <f>IFERROR(VLOOKUP($B2243,Platts!$E$5:$M$4994,MATCH(D$3,Platts!$F$5:$M$5,0)+1,FALSE),D2242)</f>
        <v>87.2</v>
      </c>
      <c r="E2243" s="6">
        <f>IFERROR(VLOOKUP($B2243,Platts!$E$5:$M$4994,MATCH(E$3,Platts!$F$5:$M$5,0)+1,FALSE),E2242)</f>
        <v>85.45</v>
      </c>
      <c r="F2243" s="6">
        <f>IFERROR(VLOOKUP($B2243,Platts!$E$5:$M$4994,MATCH(F$3,Platts!$F$5:$M$5,0)+1,FALSE),F2242)</f>
        <v>89.25</v>
      </c>
      <c r="G2243" s="6">
        <f>IFERROR(VLOOKUP($B2243,Platts!$E$5:$M$4994,MATCH(G$3,Platts!$F$5:$M$5,0)+1,FALSE),G2242)</f>
        <v>93.11</v>
      </c>
      <c r="H2243" s="6">
        <f>IFERROR(VLOOKUP($B2243,Platts!$E$5:$M$4994,MATCH(H$3,Platts!$F$5:$M$5,0)+1,FALSE),H2242)</f>
        <v>91.76</v>
      </c>
      <c r="I2243" s="6">
        <f>IFERROR(VLOOKUP($B2243,Platts!$E$5:$M$4994,MATCH(I$3,Platts!$F$5:$M$5,0)+1,FALSE),I2242)</f>
        <v>94.11</v>
      </c>
      <c r="J2243" s="6">
        <f t="shared" si="68"/>
        <v>6.0400000000000063</v>
      </c>
    </row>
    <row r="2244" spans="2:10" x14ac:dyDescent="0.25">
      <c r="B2244" s="5">
        <f t="shared" si="69"/>
        <v>44610</v>
      </c>
      <c r="C2244" s="6">
        <f>IFERROR(VLOOKUP($B2244,Platts!$E$5:$M$4994,MATCH(C$3,Platts!$F$5:$M$5,0)+1,FALSE),C2243)</f>
        <v>85.55</v>
      </c>
      <c r="D2244" s="6">
        <f>IFERROR(VLOOKUP($B2244,Platts!$E$5:$M$4994,MATCH(D$3,Platts!$F$5:$M$5,0)+1,FALSE),D2243)</f>
        <v>87.01</v>
      </c>
      <c r="E2244" s="6">
        <f>IFERROR(VLOOKUP($B2244,Platts!$E$5:$M$4994,MATCH(E$3,Platts!$F$5:$M$5,0)+1,FALSE),E2243)</f>
        <v>85.26</v>
      </c>
      <c r="F2244" s="6">
        <f>IFERROR(VLOOKUP($B2244,Platts!$E$5:$M$4994,MATCH(F$3,Platts!$F$5:$M$5,0)+1,FALSE),F2243)</f>
        <v>89.06</v>
      </c>
      <c r="G2244" s="6">
        <f>IFERROR(VLOOKUP($B2244,Platts!$E$5:$M$4994,MATCH(G$3,Platts!$F$5:$M$5,0)+1,FALSE),G2243)</f>
        <v>93.34</v>
      </c>
      <c r="H2244" s="6">
        <f>IFERROR(VLOOKUP($B2244,Platts!$E$5:$M$4994,MATCH(H$3,Platts!$F$5:$M$5,0)+1,FALSE),H2243)</f>
        <v>91.07</v>
      </c>
      <c r="I2244" s="6">
        <f>IFERROR(VLOOKUP($B2244,Platts!$E$5:$M$4994,MATCH(I$3,Platts!$F$5:$M$5,0)+1,FALSE),I2243)</f>
        <v>93.42</v>
      </c>
      <c r="J2244" s="6">
        <f t="shared" ref="J2244:J2274" si="70">H2244-C2244</f>
        <v>5.519999999999996</v>
      </c>
    </row>
    <row r="2245" spans="2:10" x14ac:dyDescent="0.25">
      <c r="B2245" s="5">
        <f t="shared" si="69"/>
        <v>44611</v>
      </c>
      <c r="C2245" s="6">
        <f>IFERROR(VLOOKUP($B2245,Platts!$E$5:$M$4994,MATCH(C$3,Platts!$F$5:$M$5,0)+1,FALSE),C2244)</f>
        <v>85.55</v>
      </c>
      <c r="D2245" s="6">
        <f>IFERROR(VLOOKUP($B2245,Platts!$E$5:$M$4994,MATCH(D$3,Platts!$F$5:$M$5,0)+1,FALSE),D2244)</f>
        <v>87.01</v>
      </c>
      <c r="E2245" s="6">
        <f>IFERROR(VLOOKUP($B2245,Platts!$E$5:$M$4994,MATCH(E$3,Platts!$F$5:$M$5,0)+1,FALSE),E2244)</f>
        <v>85.26</v>
      </c>
      <c r="F2245" s="6">
        <f>IFERROR(VLOOKUP($B2245,Platts!$E$5:$M$4994,MATCH(F$3,Platts!$F$5:$M$5,0)+1,FALSE),F2244)</f>
        <v>89.06</v>
      </c>
      <c r="G2245" s="6">
        <f>IFERROR(VLOOKUP($B2245,Platts!$E$5:$M$4994,MATCH(G$3,Platts!$F$5:$M$5,0)+1,FALSE),G2244)</f>
        <v>93.34</v>
      </c>
      <c r="H2245" s="6">
        <f>IFERROR(VLOOKUP($B2245,Platts!$E$5:$M$4994,MATCH(H$3,Platts!$F$5:$M$5,0)+1,FALSE),H2244)</f>
        <v>91.07</v>
      </c>
      <c r="I2245" s="6">
        <f>IFERROR(VLOOKUP($B2245,Platts!$E$5:$M$4994,MATCH(I$3,Platts!$F$5:$M$5,0)+1,FALSE),I2244)</f>
        <v>93.42</v>
      </c>
      <c r="J2245" s="6">
        <f t="shared" si="70"/>
        <v>5.519999999999996</v>
      </c>
    </row>
    <row r="2246" spans="2:10" x14ac:dyDescent="0.25">
      <c r="B2246" s="5">
        <f t="shared" ref="B2246:B2309" si="71">B2245+1</f>
        <v>44612</v>
      </c>
      <c r="C2246" s="6">
        <f>IFERROR(VLOOKUP($B2246,Platts!$E$5:$M$4994,MATCH(C$3,Platts!$F$5:$M$5,0)+1,FALSE),C2245)</f>
        <v>85.55</v>
      </c>
      <c r="D2246" s="6">
        <f>IFERROR(VLOOKUP($B2246,Platts!$E$5:$M$4994,MATCH(D$3,Platts!$F$5:$M$5,0)+1,FALSE),D2245)</f>
        <v>87.01</v>
      </c>
      <c r="E2246" s="6">
        <f>IFERROR(VLOOKUP($B2246,Platts!$E$5:$M$4994,MATCH(E$3,Platts!$F$5:$M$5,0)+1,FALSE),E2245)</f>
        <v>85.26</v>
      </c>
      <c r="F2246" s="6">
        <f>IFERROR(VLOOKUP($B2246,Platts!$E$5:$M$4994,MATCH(F$3,Platts!$F$5:$M$5,0)+1,FALSE),F2245)</f>
        <v>89.06</v>
      </c>
      <c r="G2246" s="6">
        <f>IFERROR(VLOOKUP($B2246,Platts!$E$5:$M$4994,MATCH(G$3,Platts!$F$5:$M$5,0)+1,FALSE),G2245)</f>
        <v>93.34</v>
      </c>
      <c r="H2246" s="6">
        <f>IFERROR(VLOOKUP($B2246,Platts!$E$5:$M$4994,MATCH(H$3,Platts!$F$5:$M$5,0)+1,FALSE),H2245)</f>
        <v>91.07</v>
      </c>
      <c r="I2246" s="6">
        <f>IFERROR(VLOOKUP($B2246,Platts!$E$5:$M$4994,MATCH(I$3,Platts!$F$5:$M$5,0)+1,FALSE),I2245)</f>
        <v>93.42</v>
      </c>
      <c r="J2246" s="6">
        <f t="shared" si="70"/>
        <v>5.519999999999996</v>
      </c>
    </row>
    <row r="2247" spans="2:10" x14ac:dyDescent="0.25">
      <c r="B2247" s="5">
        <f t="shared" si="71"/>
        <v>44613</v>
      </c>
      <c r="C2247" s="6">
        <f>IFERROR(VLOOKUP($B2247,Platts!$E$5:$M$4994,MATCH(C$3,Platts!$F$5:$M$5,0)+1,FALSE),C2246)</f>
        <v>85.55</v>
      </c>
      <c r="D2247" s="6">
        <f>IFERROR(VLOOKUP($B2247,Platts!$E$5:$M$4994,MATCH(D$3,Platts!$F$5:$M$5,0)+1,FALSE),D2246)</f>
        <v>87.01</v>
      </c>
      <c r="E2247" s="6">
        <f>IFERROR(VLOOKUP($B2247,Platts!$E$5:$M$4994,MATCH(E$3,Platts!$F$5:$M$5,0)+1,FALSE),E2246)</f>
        <v>85.26</v>
      </c>
      <c r="F2247" s="6">
        <f>IFERROR(VLOOKUP($B2247,Platts!$E$5:$M$4994,MATCH(F$3,Platts!$F$5:$M$5,0)+1,FALSE),F2246)</f>
        <v>89.06</v>
      </c>
      <c r="G2247" s="6">
        <f>IFERROR(VLOOKUP($B2247,Platts!$E$5:$M$4994,MATCH(G$3,Platts!$F$5:$M$5,0)+1,FALSE),G2246)</f>
        <v>95.26</v>
      </c>
      <c r="H2247" s="6">
        <f>IFERROR(VLOOKUP($B2247,Platts!$E$5:$M$4994,MATCH(H$3,Platts!$F$5:$M$5,0)+1,FALSE),H2246)</f>
        <v>91.07</v>
      </c>
      <c r="I2247" s="6">
        <f>IFERROR(VLOOKUP($B2247,Platts!$E$5:$M$4994,MATCH(I$3,Platts!$F$5:$M$5,0)+1,FALSE),I2246)</f>
        <v>93.42</v>
      </c>
      <c r="J2247" s="6">
        <f t="shared" si="70"/>
        <v>5.519999999999996</v>
      </c>
    </row>
    <row r="2248" spans="2:10" x14ac:dyDescent="0.25">
      <c r="B2248" s="5">
        <f t="shared" si="71"/>
        <v>44614</v>
      </c>
      <c r="C2248" s="6">
        <f>IFERROR(VLOOKUP($B2248,Platts!$E$5:$M$4994,MATCH(C$3,Platts!$F$5:$M$5,0)+1,FALSE),C2247)</f>
        <v>88.48</v>
      </c>
      <c r="D2248" s="6">
        <f>IFERROR(VLOOKUP($B2248,Platts!$E$5:$M$4994,MATCH(D$3,Platts!$F$5:$M$5,0)+1,FALSE),D2247)</f>
        <v>89.26</v>
      </c>
      <c r="E2248" s="6">
        <f>IFERROR(VLOOKUP($B2248,Platts!$E$5:$M$4994,MATCH(E$3,Platts!$F$5:$M$5,0)+1,FALSE),E2247)</f>
        <v>87.51</v>
      </c>
      <c r="F2248" s="6">
        <f>IFERROR(VLOOKUP($B2248,Platts!$E$5:$M$4994,MATCH(F$3,Platts!$F$5:$M$5,0)+1,FALSE),F2247)</f>
        <v>91.31</v>
      </c>
      <c r="G2248" s="6">
        <f>IFERROR(VLOOKUP($B2248,Platts!$E$5:$M$4994,MATCH(G$3,Platts!$F$5:$M$5,0)+1,FALSE),G2247)</f>
        <v>97.11</v>
      </c>
      <c r="H2248" s="6">
        <f>IFERROR(VLOOKUP($B2248,Platts!$E$5:$M$4994,MATCH(H$3,Platts!$F$5:$M$5,0)+1,FALSE),H2247)</f>
        <v>92.35</v>
      </c>
      <c r="I2248" s="6">
        <f>IFERROR(VLOOKUP($B2248,Platts!$E$5:$M$4994,MATCH(I$3,Platts!$F$5:$M$5,0)+1,FALSE),I2247)</f>
        <v>94.9</v>
      </c>
      <c r="J2248" s="6">
        <f t="shared" si="70"/>
        <v>3.8699999999999903</v>
      </c>
    </row>
    <row r="2249" spans="2:10" x14ac:dyDescent="0.25">
      <c r="B2249" s="5">
        <f t="shared" si="71"/>
        <v>44615</v>
      </c>
      <c r="C2249" s="6">
        <f>IFERROR(VLOOKUP($B2249,Platts!$E$5:$M$4994,MATCH(C$3,Platts!$F$5:$M$5,0)+1,FALSE),C2248)</f>
        <v>88.53</v>
      </c>
      <c r="D2249" s="6">
        <f>IFERROR(VLOOKUP($B2249,Platts!$E$5:$M$4994,MATCH(D$3,Platts!$F$5:$M$5,0)+1,FALSE),D2248)</f>
        <v>89.91</v>
      </c>
      <c r="E2249" s="6">
        <f>IFERROR(VLOOKUP($B2249,Platts!$E$5:$M$4994,MATCH(E$3,Platts!$F$5:$M$5,0)+1,FALSE),E2248)</f>
        <v>88.16</v>
      </c>
      <c r="F2249" s="6">
        <f>IFERROR(VLOOKUP($B2249,Platts!$E$5:$M$4994,MATCH(F$3,Platts!$F$5:$M$5,0)+1,FALSE),F2248)</f>
        <v>91.96</v>
      </c>
      <c r="G2249" s="6">
        <f>IFERROR(VLOOKUP($B2249,Platts!$E$5:$M$4994,MATCH(G$3,Platts!$F$5:$M$5,0)+1,FALSE),G2248)</f>
        <v>97.48</v>
      </c>
      <c r="H2249" s="6">
        <f>IFERROR(VLOOKUP($B2249,Platts!$E$5:$M$4994,MATCH(H$3,Platts!$F$5:$M$5,0)+1,FALSE),H2248)</f>
        <v>92.95</v>
      </c>
      <c r="I2249" s="6">
        <f>IFERROR(VLOOKUP($B2249,Platts!$E$5:$M$4994,MATCH(I$3,Platts!$F$5:$M$5,0)+1,FALSE),I2248)</f>
        <v>95.75</v>
      </c>
      <c r="J2249" s="6">
        <f t="shared" si="70"/>
        <v>4.4200000000000017</v>
      </c>
    </row>
    <row r="2250" spans="2:10" x14ac:dyDescent="0.25">
      <c r="B2250" s="5">
        <f t="shared" si="71"/>
        <v>44616</v>
      </c>
      <c r="C2250" s="6">
        <f>IFERROR(VLOOKUP($B2250,Platts!$E$5:$M$4994,MATCH(C$3,Platts!$F$5:$M$5,0)+1,FALSE),C2249)</f>
        <v>90.52</v>
      </c>
      <c r="D2250" s="6">
        <f>IFERROR(VLOOKUP($B2250,Platts!$E$5:$M$4994,MATCH(D$3,Platts!$F$5:$M$5,0)+1,FALSE),D2249)</f>
        <v>91.32</v>
      </c>
      <c r="E2250" s="6">
        <f>IFERROR(VLOOKUP($B2250,Platts!$E$5:$M$4994,MATCH(E$3,Platts!$F$5:$M$5,0)+1,FALSE),E2249)</f>
        <v>89.57</v>
      </c>
      <c r="F2250" s="6">
        <f>IFERROR(VLOOKUP($B2250,Platts!$E$5:$M$4994,MATCH(F$3,Platts!$F$5:$M$5,0)+1,FALSE),F2249)</f>
        <v>93.37</v>
      </c>
      <c r="G2250" s="6">
        <f>IFERROR(VLOOKUP($B2250,Platts!$E$5:$M$4994,MATCH(G$3,Platts!$F$5:$M$5,0)+1,FALSE),G2249)</f>
        <v>104.08</v>
      </c>
      <c r="H2250" s="6">
        <f>IFERROR(VLOOKUP($B2250,Platts!$E$5:$M$4994,MATCH(H$3,Platts!$F$5:$M$5,0)+1,FALSE),H2249)</f>
        <v>93.66</v>
      </c>
      <c r="I2250" s="6">
        <f>IFERROR(VLOOKUP($B2250,Platts!$E$5:$M$4994,MATCH(I$3,Platts!$F$5:$M$5,0)+1,FALSE),I2249)</f>
        <v>96.66</v>
      </c>
      <c r="J2250" s="6">
        <f t="shared" si="70"/>
        <v>3.1400000000000006</v>
      </c>
    </row>
    <row r="2251" spans="2:10" x14ac:dyDescent="0.25">
      <c r="B2251" s="5">
        <f t="shared" si="71"/>
        <v>44617</v>
      </c>
      <c r="C2251" s="6">
        <f>IFERROR(VLOOKUP($B2251,Platts!$E$5:$M$4994,MATCH(C$3,Platts!$F$5:$M$5,0)+1,FALSE),C2250)</f>
        <v>88.81</v>
      </c>
      <c r="D2251" s="6">
        <f>IFERROR(VLOOKUP($B2251,Platts!$E$5:$M$4994,MATCH(D$3,Platts!$F$5:$M$5,0)+1,FALSE),D2250)</f>
        <v>89.7</v>
      </c>
      <c r="E2251" s="6">
        <f>IFERROR(VLOOKUP($B2251,Platts!$E$5:$M$4994,MATCH(E$3,Platts!$F$5:$M$5,0)+1,FALSE),E2250)</f>
        <v>87.95</v>
      </c>
      <c r="F2251" s="6">
        <f>IFERROR(VLOOKUP($B2251,Platts!$E$5:$M$4994,MATCH(F$3,Platts!$F$5:$M$5,0)+1,FALSE),F2250)</f>
        <v>91.75</v>
      </c>
      <c r="G2251" s="6">
        <f>IFERROR(VLOOKUP($B2251,Platts!$E$5:$M$4994,MATCH(G$3,Platts!$F$5:$M$5,0)+1,FALSE),G2250)</f>
        <v>97.07</v>
      </c>
      <c r="H2251" s="6">
        <f>IFERROR(VLOOKUP($B2251,Platts!$E$5:$M$4994,MATCH(H$3,Platts!$F$5:$M$5,0)+1,FALSE),H2250)</f>
        <v>92.44</v>
      </c>
      <c r="I2251" s="6">
        <f>IFERROR(VLOOKUP($B2251,Platts!$E$5:$M$4994,MATCH(I$3,Platts!$F$5:$M$5,0)+1,FALSE),I2250)</f>
        <v>95.14</v>
      </c>
      <c r="J2251" s="6">
        <f t="shared" si="70"/>
        <v>3.6299999999999955</v>
      </c>
    </row>
    <row r="2252" spans="2:10" x14ac:dyDescent="0.25">
      <c r="B2252" s="5">
        <f t="shared" si="71"/>
        <v>44618</v>
      </c>
      <c r="C2252" s="6">
        <f>IFERROR(VLOOKUP($B2252,Platts!$E$5:$M$4994,MATCH(C$3,Platts!$F$5:$M$5,0)+1,FALSE),C2251)</f>
        <v>88.81</v>
      </c>
      <c r="D2252" s="6">
        <f>IFERROR(VLOOKUP($B2252,Platts!$E$5:$M$4994,MATCH(D$3,Platts!$F$5:$M$5,0)+1,FALSE),D2251)</f>
        <v>89.7</v>
      </c>
      <c r="E2252" s="6">
        <f>IFERROR(VLOOKUP($B2252,Platts!$E$5:$M$4994,MATCH(E$3,Platts!$F$5:$M$5,0)+1,FALSE),E2251)</f>
        <v>87.95</v>
      </c>
      <c r="F2252" s="6">
        <f>IFERROR(VLOOKUP($B2252,Platts!$E$5:$M$4994,MATCH(F$3,Platts!$F$5:$M$5,0)+1,FALSE),F2251)</f>
        <v>91.75</v>
      </c>
      <c r="G2252" s="6">
        <f>IFERROR(VLOOKUP($B2252,Platts!$E$5:$M$4994,MATCH(G$3,Platts!$F$5:$M$5,0)+1,FALSE),G2251)</f>
        <v>97.07</v>
      </c>
      <c r="H2252" s="6">
        <f>IFERROR(VLOOKUP($B2252,Platts!$E$5:$M$4994,MATCH(H$3,Platts!$F$5:$M$5,0)+1,FALSE),H2251)</f>
        <v>92.44</v>
      </c>
      <c r="I2252" s="6">
        <f>IFERROR(VLOOKUP($B2252,Platts!$E$5:$M$4994,MATCH(I$3,Platts!$F$5:$M$5,0)+1,FALSE),I2251)</f>
        <v>95.14</v>
      </c>
      <c r="J2252" s="6">
        <f t="shared" si="70"/>
        <v>3.6299999999999955</v>
      </c>
    </row>
    <row r="2253" spans="2:10" x14ac:dyDescent="0.25">
      <c r="B2253" s="5">
        <f t="shared" si="71"/>
        <v>44619</v>
      </c>
      <c r="C2253" s="6">
        <f>IFERROR(VLOOKUP($B2253,Platts!$E$5:$M$4994,MATCH(C$3,Platts!$F$5:$M$5,0)+1,FALSE),C2252)</f>
        <v>88.81</v>
      </c>
      <c r="D2253" s="6">
        <f>IFERROR(VLOOKUP($B2253,Platts!$E$5:$M$4994,MATCH(D$3,Platts!$F$5:$M$5,0)+1,FALSE),D2252)</f>
        <v>89.7</v>
      </c>
      <c r="E2253" s="6">
        <f>IFERROR(VLOOKUP($B2253,Platts!$E$5:$M$4994,MATCH(E$3,Platts!$F$5:$M$5,0)+1,FALSE),E2252)</f>
        <v>87.95</v>
      </c>
      <c r="F2253" s="6">
        <f>IFERROR(VLOOKUP($B2253,Platts!$E$5:$M$4994,MATCH(F$3,Platts!$F$5:$M$5,0)+1,FALSE),F2252)</f>
        <v>91.75</v>
      </c>
      <c r="G2253" s="6">
        <f>IFERROR(VLOOKUP($B2253,Platts!$E$5:$M$4994,MATCH(G$3,Platts!$F$5:$M$5,0)+1,FALSE),G2252)</f>
        <v>97.07</v>
      </c>
      <c r="H2253" s="6">
        <f>IFERROR(VLOOKUP($B2253,Platts!$E$5:$M$4994,MATCH(H$3,Platts!$F$5:$M$5,0)+1,FALSE),H2252)</f>
        <v>92.44</v>
      </c>
      <c r="I2253" s="6">
        <f>IFERROR(VLOOKUP($B2253,Platts!$E$5:$M$4994,MATCH(I$3,Platts!$F$5:$M$5,0)+1,FALSE),I2252)</f>
        <v>95.14</v>
      </c>
      <c r="J2253" s="6">
        <f t="shared" si="70"/>
        <v>3.6299999999999955</v>
      </c>
    </row>
    <row r="2254" spans="2:10" x14ac:dyDescent="0.25">
      <c r="B2254" s="5">
        <f t="shared" si="71"/>
        <v>44620</v>
      </c>
      <c r="C2254" s="6">
        <f>IFERROR(VLOOKUP($B2254,Platts!$E$5:$M$4994,MATCH(C$3,Platts!$F$5:$M$5,0)+1,FALSE),C2253)</f>
        <v>91.8</v>
      </c>
      <c r="D2254" s="6">
        <f>IFERROR(VLOOKUP($B2254,Platts!$E$5:$M$4994,MATCH(D$3,Platts!$F$5:$M$5,0)+1,FALSE),D2253)</f>
        <v>92.84</v>
      </c>
      <c r="E2254" s="6">
        <f>IFERROR(VLOOKUP($B2254,Platts!$E$5:$M$4994,MATCH(E$3,Platts!$F$5:$M$5,0)+1,FALSE),E2253)</f>
        <v>91.09</v>
      </c>
      <c r="F2254" s="6">
        <f>IFERROR(VLOOKUP($B2254,Platts!$E$5:$M$4994,MATCH(F$3,Platts!$F$5:$M$5,0)+1,FALSE),F2253)</f>
        <v>94.89</v>
      </c>
      <c r="G2254" s="6">
        <f>IFERROR(VLOOKUP($B2254,Platts!$E$5:$M$4994,MATCH(G$3,Platts!$F$5:$M$5,0)+1,FALSE),G2253)</f>
        <v>99.92</v>
      </c>
      <c r="H2254" s="6">
        <f>IFERROR(VLOOKUP($B2254,Platts!$E$5:$M$4994,MATCH(H$3,Platts!$F$5:$M$5,0)+1,FALSE),H2253)</f>
        <v>95.72</v>
      </c>
      <c r="I2254" s="6">
        <f>IFERROR(VLOOKUP($B2254,Platts!$E$5:$M$4994,MATCH(I$3,Platts!$F$5:$M$5,0)+1,FALSE),I2253)</f>
        <v>97.87</v>
      </c>
      <c r="J2254" s="6">
        <f t="shared" si="70"/>
        <v>3.9200000000000017</v>
      </c>
    </row>
    <row r="2255" spans="2:10" x14ac:dyDescent="0.25">
      <c r="B2255" s="5">
        <f t="shared" si="71"/>
        <v>44621</v>
      </c>
      <c r="C2255" s="6">
        <f>IFERROR(VLOOKUP($B2255,Platts!$E$5:$M$4994,MATCH(C$3,Platts!$F$5:$M$5,0)+1,FALSE),C2254)</f>
        <v>97.57</v>
      </c>
      <c r="D2255" s="6">
        <f>IFERROR(VLOOKUP($B2255,Platts!$E$5:$M$4994,MATCH(D$3,Platts!$F$5:$M$5,0)+1,FALSE),D2254)</f>
        <v>99.34</v>
      </c>
      <c r="E2255" s="6">
        <f>IFERROR(VLOOKUP($B2255,Platts!$E$5:$M$4994,MATCH(E$3,Platts!$F$5:$M$5,0)+1,FALSE),E2254)</f>
        <v>97.54</v>
      </c>
      <c r="F2255" s="6">
        <f>IFERROR(VLOOKUP($B2255,Platts!$E$5:$M$4994,MATCH(F$3,Platts!$F$5:$M$5,0)+1,FALSE),F2254)</f>
        <v>101.14</v>
      </c>
      <c r="G2255" s="6">
        <f>IFERROR(VLOOKUP($B2255,Platts!$E$5:$M$4994,MATCH(G$3,Platts!$F$5:$M$5,0)+1,FALSE),G2254)</f>
        <v>106.37</v>
      </c>
      <c r="H2255" s="6">
        <f>IFERROR(VLOOKUP($B2255,Platts!$E$5:$M$4994,MATCH(H$3,Platts!$F$5:$M$5,0)+1,FALSE),H2254)</f>
        <v>103.41</v>
      </c>
      <c r="I2255" s="6">
        <f>IFERROR(VLOOKUP($B2255,Platts!$E$5:$M$4994,MATCH(I$3,Platts!$F$5:$M$5,0)+1,FALSE),I2254)</f>
        <v>106.41</v>
      </c>
      <c r="J2255" s="6">
        <f t="shared" si="70"/>
        <v>5.8400000000000034</v>
      </c>
    </row>
    <row r="2256" spans="2:10" x14ac:dyDescent="0.25">
      <c r="B2256" s="5">
        <f t="shared" si="71"/>
        <v>44622</v>
      </c>
      <c r="C2256" s="6">
        <f>IFERROR(VLOOKUP($B2256,Platts!$E$5:$M$4994,MATCH(C$3,Platts!$F$5:$M$5,0)+1,FALSE),C2255)</f>
        <v>105.52</v>
      </c>
      <c r="D2256" s="6">
        <f>IFERROR(VLOOKUP($B2256,Platts!$E$5:$M$4994,MATCH(D$3,Platts!$F$5:$M$5,0)+1,FALSE),D2255)</f>
        <v>106.87</v>
      </c>
      <c r="E2256" s="6">
        <f>IFERROR(VLOOKUP($B2256,Platts!$E$5:$M$4994,MATCH(E$3,Platts!$F$5:$M$5,0)+1,FALSE),E2255)</f>
        <v>105.07</v>
      </c>
      <c r="F2256" s="6">
        <f>IFERROR(VLOOKUP($B2256,Platts!$E$5:$M$4994,MATCH(F$3,Platts!$F$5:$M$5,0)+1,FALSE),F2255)</f>
        <v>108.67</v>
      </c>
      <c r="G2256" s="6">
        <f>IFERROR(VLOOKUP($B2256,Platts!$E$5:$M$4994,MATCH(G$3,Platts!$F$5:$M$5,0)+1,FALSE),G2255)</f>
        <v>110.3</v>
      </c>
      <c r="H2256" s="6">
        <f>IFERROR(VLOOKUP($B2256,Platts!$E$5:$M$4994,MATCH(H$3,Platts!$F$5:$M$5,0)+1,FALSE),H2255)</f>
        <v>110.6</v>
      </c>
      <c r="I2256" s="6">
        <f>IFERROR(VLOOKUP($B2256,Platts!$E$5:$M$4994,MATCH(I$3,Platts!$F$5:$M$5,0)+1,FALSE),I2255)</f>
        <v>113.6</v>
      </c>
      <c r="J2256" s="6">
        <f t="shared" si="70"/>
        <v>5.0799999999999983</v>
      </c>
    </row>
    <row r="2257" spans="2:10" x14ac:dyDescent="0.25">
      <c r="B2257" s="5">
        <f t="shared" si="71"/>
        <v>44623</v>
      </c>
      <c r="C2257" s="6">
        <f>IFERROR(VLOOKUP($B2257,Platts!$E$5:$M$4994,MATCH(C$3,Platts!$F$5:$M$5,0)+1,FALSE),C2256)</f>
        <v>103.71</v>
      </c>
      <c r="D2257" s="6">
        <f>IFERROR(VLOOKUP($B2257,Platts!$E$5:$M$4994,MATCH(D$3,Platts!$F$5:$M$5,0)+1,FALSE),D2256)</f>
        <v>104.1</v>
      </c>
      <c r="E2257" s="6">
        <f>IFERROR(VLOOKUP($B2257,Platts!$E$5:$M$4994,MATCH(E$3,Platts!$F$5:$M$5,0)+1,FALSE),E2256)</f>
        <v>102.3</v>
      </c>
      <c r="F2257" s="6">
        <f>IFERROR(VLOOKUP($B2257,Platts!$E$5:$M$4994,MATCH(F$3,Platts!$F$5:$M$5,0)+1,FALSE),F2256)</f>
        <v>105.9</v>
      </c>
      <c r="G2257" s="6">
        <f>IFERROR(VLOOKUP($B2257,Platts!$E$5:$M$4994,MATCH(G$3,Platts!$F$5:$M$5,0)+1,FALSE),G2256)</f>
        <v>113.84</v>
      </c>
      <c r="H2257" s="6">
        <f>IFERROR(VLOOKUP($B2257,Platts!$E$5:$M$4994,MATCH(H$3,Platts!$F$5:$M$5,0)+1,FALSE),H2256)</f>
        <v>107.67</v>
      </c>
      <c r="I2257" s="6">
        <f>IFERROR(VLOOKUP($B2257,Platts!$E$5:$M$4994,MATCH(I$3,Platts!$F$5:$M$5,0)+1,FALSE),I2256)</f>
        <v>110.17</v>
      </c>
      <c r="J2257" s="6">
        <f t="shared" si="70"/>
        <v>3.960000000000008</v>
      </c>
    </row>
    <row r="2258" spans="2:10" x14ac:dyDescent="0.25">
      <c r="B2258" s="5">
        <f t="shared" si="71"/>
        <v>44624</v>
      </c>
      <c r="C2258" s="6">
        <f>IFERROR(VLOOKUP($B2258,Platts!$E$5:$M$4994,MATCH(C$3,Platts!$F$5:$M$5,0)+1,FALSE),C2257)</f>
        <v>110.02</v>
      </c>
      <c r="D2258" s="6">
        <f>IFERROR(VLOOKUP($B2258,Platts!$E$5:$M$4994,MATCH(D$3,Platts!$F$5:$M$5,0)+1,FALSE),D2257)</f>
        <v>112.02</v>
      </c>
      <c r="E2258" s="6">
        <f>IFERROR(VLOOKUP($B2258,Platts!$E$5:$M$4994,MATCH(E$3,Platts!$F$5:$M$5,0)+1,FALSE),E2257)</f>
        <v>110.22</v>
      </c>
      <c r="F2258" s="6">
        <f>IFERROR(VLOOKUP($B2258,Platts!$E$5:$M$4994,MATCH(F$3,Platts!$F$5:$M$5,0)+1,FALSE),F2257)</f>
        <v>113.82</v>
      </c>
      <c r="G2258" s="6">
        <f>IFERROR(VLOOKUP($B2258,Platts!$E$5:$M$4994,MATCH(G$3,Platts!$F$5:$M$5,0)+1,FALSE),G2257)</f>
        <v>114.78</v>
      </c>
      <c r="H2258" s="6">
        <f>IFERROR(VLOOKUP($B2258,Platts!$E$5:$M$4994,MATCH(H$3,Platts!$F$5:$M$5,0)+1,FALSE),H2257)</f>
        <v>115.68</v>
      </c>
      <c r="I2258" s="6">
        <f>IFERROR(VLOOKUP($B2258,Platts!$E$5:$M$4994,MATCH(I$3,Platts!$F$5:$M$5,0)+1,FALSE),I2257)</f>
        <v>118.18</v>
      </c>
      <c r="J2258" s="6">
        <f t="shared" si="70"/>
        <v>5.6600000000000108</v>
      </c>
    </row>
    <row r="2259" spans="2:10" x14ac:dyDescent="0.25">
      <c r="B2259" s="5">
        <f t="shared" si="71"/>
        <v>44625</v>
      </c>
      <c r="C2259" s="6">
        <f>IFERROR(VLOOKUP($B2259,Platts!$E$5:$M$4994,MATCH(C$3,Platts!$F$5:$M$5,0)+1,FALSE),C2258)</f>
        <v>110.02</v>
      </c>
      <c r="D2259" s="6">
        <f>IFERROR(VLOOKUP($B2259,Platts!$E$5:$M$4994,MATCH(D$3,Platts!$F$5:$M$5,0)+1,FALSE),D2258)</f>
        <v>112.02</v>
      </c>
      <c r="E2259" s="6">
        <f>IFERROR(VLOOKUP($B2259,Platts!$E$5:$M$4994,MATCH(E$3,Platts!$F$5:$M$5,0)+1,FALSE),E2258)</f>
        <v>110.22</v>
      </c>
      <c r="F2259" s="6">
        <f>IFERROR(VLOOKUP($B2259,Platts!$E$5:$M$4994,MATCH(F$3,Platts!$F$5:$M$5,0)+1,FALSE),F2258)</f>
        <v>113.82</v>
      </c>
      <c r="G2259" s="6">
        <f>IFERROR(VLOOKUP($B2259,Platts!$E$5:$M$4994,MATCH(G$3,Platts!$F$5:$M$5,0)+1,FALSE),G2258)</f>
        <v>114.78</v>
      </c>
      <c r="H2259" s="6">
        <f>IFERROR(VLOOKUP($B2259,Platts!$E$5:$M$4994,MATCH(H$3,Platts!$F$5:$M$5,0)+1,FALSE),H2258)</f>
        <v>115.68</v>
      </c>
      <c r="I2259" s="6">
        <f>IFERROR(VLOOKUP($B2259,Platts!$E$5:$M$4994,MATCH(I$3,Platts!$F$5:$M$5,0)+1,FALSE),I2258)</f>
        <v>118.18</v>
      </c>
      <c r="J2259" s="6">
        <f t="shared" si="70"/>
        <v>5.6600000000000108</v>
      </c>
    </row>
    <row r="2260" spans="2:10" x14ac:dyDescent="0.25">
      <c r="B2260" s="5">
        <f t="shared" si="71"/>
        <v>44626</v>
      </c>
      <c r="C2260" s="6">
        <f>IFERROR(VLOOKUP($B2260,Platts!$E$5:$M$4994,MATCH(C$3,Platts!$F$5:$M$5,0)+1,FALSE),C2259)</f>
        <v>110.02</v>
      </c>
      <c r="D2260" s="6">
        <f>IFERROR(VLOOKUP($B2260,Platts!$E$5:$M$4994,MATCH(D$3,Platts!$F$5:$M$5,0)+1,FALSE),D2259)</f>
        <v>112.02</v>
      </c>
      <c r="E2260" s="6">
        <f>IFERROR(VLOOKUP($B2260,Platts!$E$5:$M$4994,MATCH(E$3,Platts!$F$5:$M$5,0)+1,FALSE),E2259)</f>
        <v>110.22</v>
      </c>
      <c r="F2260" s="6">
        <f>IFERROR(VLOOKUP($B2260,Platts!$E$5:$M$4994,MATCH(F$3,Platts!$F$5:$M$5,0)+1,FALSE),F2259)</f>
        <v>113.82</v>
      </c>
      <c r="G2260" s="6">
        <f>IFERROR(VLOOKUP($B2260,Platts!$E$5:$M$4994,MATCH(G$3,Platts!$F$5:$M$5,0)+1,FALSE),G2259)</f>
        <v>114.78</v>
      </c>
      <c r="H2260" s="6">
        <f>IFERROR(VLOOKUP($B2260,Platts!$E$5:$M$4994,MATCH(H$3,Platts!$F$5:$M$5,0)+1,FALSE),H2259)</f>
        <v>115.68</v>
      </c>
      <c r="I2260" s="6">
        <f>IFERROR(VLOOKUP($B2260,Platts!$E$5:$M$4994,MATCH(I$3,Platts!$F$5:$M$5,0)+1,FALSE),I2259)</f>
        <v>118.18</v>
      </c>
      <c r="J2260" s="6">
        <f t="shared" si="70"/>
        <v>5.6600000000000108</v>
      </c>
    </row>
    <row r="2261" spans="2:10" x14ac:dyDescent="0.25">
      <c r="B2261" s="5">
        <f t="shared" si="71"/>
        <v>44627</v>
      </c>
      <c r="C2261" s="6">
        <f>IFERROR(VLOOKUP($B2261,Platts!$E$5:$M$4994,MATCH(C$3,Platts!$F$5:$M$5,0)+1,FALSE),C2260)</f>
        <v>115.66</v>
      </c>
      <c r="D2261" s="6">
        <f>IFERROR(VLOOKUP($B2261,Platts!$E$5:$M$4994,MATCH(D$3,Platts!$F$5:$M$5,0)+1,FALSE),D2260)</f>
        <v>116.32</v>
      </c>
      <c r="E2261" s="6">
        <f>IFERROR(VLOOKUP($B2261,Platts!$E$5:$M$4994,MATCH(E$3,Platts!$F$5:$M$5,0)+1,FALSE),E2260)</f>
        <v>114.52</v>
      </c>
      <c r="F2261" s="6">
        <f>IFERROR(VLOOKUP($B2261,Platts!$E$5:$M$4994,MATCH(F$3,Platts!$F$5:$M$5,0)+1,FALSE),F2260)</f>
        <v>118.12</v>
      </c>
      <c r="G2261" s="6">
        <f>IFERROR(VLOOKUP($B2261,Platts!$E$5:$M$4994,MATCH(G$3,Platts!$F$5:$M$5,0)+1,FALSE),G2260)</f>
        <v>124.95</v>
      </c>
      <c r="H2261" s="6">
        <f>IFERROR(VLOOKUP($B2261,Platts!$E$5:$M$4994,MATCH(H$3,Platts!$F$5:$M$5,0)+1,FALSE),H2260)</f>
        <v>119.4</v>
      </c>
      <c r="I2261" s="6">
        <f>IFERROR(VLOOKUP($B2261,Platts!$E$5:$M$4994,MATCH(I$3,Platts!$F$5:$M$5,0)+1,FALSE),I2260)</f>
        <v>122.05</v>
      </c>
      <c r="J2261" s="6">
        <f t="shared" si="70"/>
        <v>3.7400000000000091</v>
      </c>
    </row>
    <row r="2262" spans="2:10" x14ac:dyDescent="0.25">
      <c r="B2262" s="5">
        <f t="shared" si="71"/>
        <v>44628</v>
      </c>
      <c r="C2262" s="6">
        <f>IFERROR(VLOOKUP($B2262,Platts!$E$5:$M$4994,MATCH(C$3,Platts!$F$5:$M$5,0)+1,FALSE),C2261)</f>
        <v>119.62</v>
      </c>
      <c r="D2262" s="6">
        <f>IFERROR(VLOOKUP($B2262,Platts!$E$5:$M$4994,MATCH(D$3,Platts!$F$5:$M$5,0)+1,FALSE),D2261)</f>
        <v>121.01</v>
      </c>
      <c r="E2262" s="6">
        <f>IFERROR(VLOOKUP($B2262,Platts!$E$5:$M$4994,MATCH(E$3,Platts!$F$5:$M$5,0)+1,FALSE),E2261)</f>
        <v>119.21</v>
      </c>
      <c r="F2262" s="6">
        <f>IFERROR(VLOOKUP($B2262,Platts!$E$5:$M$4994,MATCH(F$3,Platts!$F$5:$M$5,0)+1,FALSE),F2261)</f>
        <v>122.81</v>
      </c>
      <c r="G2262" s="6">
        <f>IFERROR(VLOOKUP($B2262,Platts!$E$5:$M$4994,MATCH(G$3,Platts!$F$5:$M$5,0)+1,FALSE),G2261)</f>
        <v>131.53</v>
      </c>
      <c r="H2262" s="6">
        <f>IFERROR(VLOOKUP($B2262,Platts!$E$5:$M$4994,MATCH(H$3,Platts!$F$5:$M$5,0)+1,FALSE),H2261)</f>
        <v>123.7</v>
      </c>
      <c r="I2262" s="6">
        <f>IFERROR(VLOOKUP($B2262,Platts!$E$5:$M$4994,MATCH(I$3,Platts!$F$5:$M$5,0)+1,FALSE),I2261)</f>
        <v>126.45</v>
      </c>
      <c r="J2262" s="6">
        <f t="shared" si="70"/>
        <v>4.0799999999999983</v>
      </c>
    </row>
    <row r="2263" spans="2:10" x14ac:dyDescent="0.25">
      <c r="B2263" s="5">
        <f t="shared" si="71"/>
        <v>44629</v>
      </c>
      <c r="C2263" s="6">
        <f>IFERROR(VLOOKUP($B2263,Platts!$E$5:$M$4994,MATCH(C$3,Platts!$F$5:$M$5,0)+1,FALSE),C2262)</f>
        <v>105.97</v>
      </c>
      <c r="D2263" s="6">
        <f>IFERROR(VLOOKUP($B2263,Platts!$E$5:$M$4994,MATCH(D$3,Platts!$F$5:$M$5,0)+1,FALSE),D2262)</f>
        <v>105.43</v>
      </c>
      <c r="E2263" s="6">
        <f>IFERROR(VLOOKUP($B2263,Platts!$E$5:$M$4994,MATCH(E$3,Platts!$F$5:$M$5,0)+1,FALSE),E2262)</f>
        <v>103.63</v>
      </c>
      <c r="F2263" s="6">
        <f>IFERROR(VLOOKUP($B2263,Platts!$E$5:$M$4994,MATCH(F$3,Platts!$F$5:$M$5,0)+1,FALSE),F2262)</f>
        <v>107.23</v>
      </c>
      <c r="G2263" s="6">
        <f>IFERROR(VLOOKUP($B2263,Platts!$E$5:$M$4994,MATCH(G$3,Platts!$F$5:$M$5,0)+1,FALSE),G2262)</f>
        <v>122.78</v>
      </c>
      <c r="H2263" s="6">
        <f>IFERROR(VLOOKUP($B2263,Platts!$E$5:$M$4994,MATCH(H$3,Platts!$F$5:$M$5,0)+1,FALSE),H2262)</f>
        <v>108.7</v>
      </c>
      <c r="I2263" s="6">
        <f>IFERROR(VLOOKUP($B2263,Platts!$E$5:$M$4994,MATCH(I$3,Platts!$F$5:$M$5,0)+1,FALSE),I2262)</f>
        <v>111.45</v>
      </c>
      <c r="J2263" s="6">
        <f t="shared" si="70"/>
        <v>2.730000000000004</v>
      </c>
    </row>
    <row r="2264" spans="2:10" x14ac:dyDescent="0.25">
      <c r="B2264" s="5">
        <f t="shared" si="71"/>
        <v>44630</v>
      </c>
      <c r="C2264" s="6">
        <f>IFERROR(VLOOKUP($B2264,Platts!$E$5:$M$4994,MATCH(C$3,Platts!$F$5:$M$5,0)+1,FALSE),C2263)</f>
        <v>102.49</v>
      </c>
      <c r="D2264" s="6">
        <f>IFERROR(VLOOKUP($B2264,Platts!$E$5:$M$4994,MATCH(D$3,Platts!$F$5:$M$5,0)+1,FALSE),D2263)</f>
        <v>102.79</v>
      </c>
      <c r="E2264" s="6">
        <f>IFERROR(VLOOKUP($B2264,Platts!$E$5:$M$4994,MATCH(E$3,Platts!$F$5:$M$5,0)+1,FALSE),E2263)</f>
        <v>100.99</v>
      </c>
      <c r="F2264" s="6">
        <f>IFERROR(VLOOKUP($B2264,Platts!$E$5:$M$4994,MATCH(F$3,Platts!$F$5:$M$5,0)+1,FALSE),F2263)</f>
        <v>104.59</v>
      </c>
      <c r="G2264" s="6">
        <f>IFERROR(VLOOKUP($B2264,Platts!$E$5:$M$4994,MATCH(G$3,Platts!$F$5:$M$5,0)+1,FALSE),G2263)</f>
        <v>113.9</v>
      </c>
      <c r="H2264" s="6">
        <f>IFERROR(VLOOKUP($B2264,Platts!$E$5:$M$4994,MATCH(H$3,Platts!$F$5:$M$5,0)+1,FALSE),H2263)</f>
        <v>106.02</v>
      </c>
      <c r="I2264" s="6">
        <f>IFERROR(VLOOKUP($B2264,Platts!$E$5:$M$4994,MATCH(I$3,Platts!$F$5:$M$5,0)+1,FALSE),I2263)</f>
        <v>108.42</v>
      </c>
      <c r="J2264" s="6">
        <f t="shared" si="70"/>
        <v>3.5300000000000011</v>
      </c>
    </row>
    <row r="2265" spans="2:10" x14ac:dyDescent="0.25">
      <c r="B2265" s="5">
        <f t="shared" si="71"/>
        <v>44631</v>
      </c>
      <c r="C2265" s="6">
        <f>IFERROR(VLOOKUP($B2265,Platts!$E$5:$M$4994,MATCH(C$3,Platts!$F$5:$M$5,0)+1,FALSE),C2264)</f>
        <v>104.96</v>
      </c>
      <c r="D2265" s="6">
        <f>IFERROR(VLOOKUP($B2265,Platts!$E$5:$M$4994,MATCH(D$3,Platts!$F$5:$M$5,0)+1,FALSE),D2264)</f>
        <v>106.05</v>
      </c>
      <c r="E2265" s="6">
        <f>IFERROR(VLOOKUP($B2265,Platts!$E$5:$M$4994,MATCH(E$3,Platts!$F$5:$M$5,0)+1,FALSE),E2264)</f>
        <v>104.25</v>
      </c>
      <c r="F2265" s="6">
        <f>IFERROR(VLOOKUP($B2265,Platts!$E$5:$M$4994,MATCH(F$3,Platts!$F$5:$M$5,0)+1,FALSE),F2264)</f>
        <v>107.85</v>
      </c>
      <c r="G2265" s="6">
        <f>IFERROR(VLOOKUP($B2265,Platts!$E$5:$M$4994,MATCH(G$3,Platts!$F$5:$M$5,0)+1,FALSE),G2264)</f>
        <v>111.78</v>
      </c>
      <c r="H2265" s="6">
        <f>IFERROR(VLOOKUP($B2265,Platts!$E$5:$M$4994,MATCH(H$3,Platts!$F$5:$M$5,0)+1,FALSE),H2264)</f>
        <v>109.33</v>
      </c>
      <c r="I2265" s="6">
        <f>IFERROR(VLOOKUP($B2265,Platts!$E$5:$M$4994,MATCH(I$3,Platts!$F$5:$M$5,0)+1,FALSE),I2264)</f>
        <v>111.48</v>
      </c>
      <c r="J2265" s="6">
        <f t="shared" si="70"/>
        <v>4.3700000000000045</v>
      </c>
    </row>
    <row r="2266" spans="2:10" x14ac:dyDescent="0.25">
      <c r="B2266" s="5">
        <f t="shared" si="71"/>
        <v>44632</v>
      </c>
      <c r="C2266" s="6">
        <f>IFERROR(VLOOKUP($B2266,Platts!$E$5:$M$4994,MATCH(C$3,Platts!$F$5:$M$5,0)+1,FALSE),C2265)</f>
        <v>104.96</v>
      </c>
      <c r="D2266" s="6">
        <f>IFERROR(VLOOKUP($B2266,Platts!$E$5:$M$4994,MATCH(D$3,Platts!$F$5:$M$5,0)+1,FALSE),D2265)</f>
        <v>106.05</v>
      </c>
      <c r="E2266" s="6">
        <f>IFERROR(VLOOKUP($B2266,Platts!$E$5:$M$4994,MATCH(E$3,Platts!$F$5:$M$5,0)+1,FALSE),E2265)</f>
        <v>104.25</v>
      </c>
      <c r="F2266" s="6">
        <f>IFERROR(VLOOKUP($B2266,Platts!$E$5:$M$4994,MATCH(F$3,Platts!$F$5:$M$5,0)+1,FALSE),F2265)</f>
        <v>107.85</v>
      </c>
      <c r="G2266" s="6">
        <f>IFERROR(VLOOKUP($B2266,Platts!$E$5:$M$4994,MATCH(G$3,Platts!$F$5:$M$5,0)+1,FALSE),G2265)</f>
        <v>111.78</v>
      </c>
      <c r="H2266" s="6">
        <f>IFERROR(VLOOKUP($B2266,Platts!$E$5:$M$4994,MATCH(H$3,Platts!$F$5:$M$5,0)+1,FALSE),H2265)</f>
        <v>109.33</v>
      </c>
      <c r="I2266" s="6">
        <f>IFERROR(VLOOKUP($B2266,Platts!$E$5:$M$4994,MATCH(I$3,Platts!$F$5:$M$5,0)+1,FALSE),I2265)</f>
        <v>111.48</v>
      </c>
      <c r="J2266" s="6">
        <f t="shared" si="70"/>
        <v>4.3700000000000045</v>
      </c>
    </row>
    <row r="2267" spans="2:10" x14ac:dyDescent="0.25">
      <c r="B2267" s="5">
        <f t="shared" si="71"/>
        <v>44633</v>
      </c>
      <c r="C2267" s="6">
        <f>IFERROR(VLOOKUP($B2267,Platts!$E$5:$M$4994,MATCH(C$3,Platts!$F$5:$M$5,0)+1,FALSE),C2266)</f>
        <v>104.96</v>
      </c>
      <c r="D2267" s="6">
        <f>IFERROR(VLOOKUP($B2267,Platts!$E$5:$M$4994,MATCH(D$3,Platts!$F$5:$M$5,0)+1,FALSE),D2266)</f>
        <v>106.05</v>
      </c>
      <c r="E2267" s="6">
        <f>IFERROR(VLOOKUP($B2267,Platts!$E$5:$M$4994,MATCH(E$3,Platts!$F$5:$M$5,0)+1,FALSE),E2266)</f>
        <v>104.25</v>
      </c>
      <c r="F2267" s="6">
        <f>IFERROR(VLOOKUP($B2267,Platts!$E$5:$M$4994,MATCH(F$3,Platts!$F$5:$M$5,0)+1,FALSE),F2266)</f>
        <v>107.85</v>
      </c>
      <c r="G2267" s="6">
        <f>IFERROR(VLOOKUP($B2267,Platts!$E$5:$M$4994,MATCH(G$3,Platts!$F$5:$M$5,0)+1,FALSE),G2266)</f>
        <v>111.78</v>
      </c>
      <c r="H2267" s="6">
        <f>IFERROR(VLOOKUP($B2267,Platts!$E$5:$M$4994,MATCH(H$3,Platts!$F$5:$M$5,0)+1,FALSE),H2266)</f>
        <v>109.33</v>
      </c>
      <c r="I2267" s="6">
        <f>IFERROR(VLOOKUP($B2267,Platts!$E$5:$M$4994,MATCH(I$3,Platts!$F$5:$M$5,0)+1,FALSE),I2266)</f>
        <v>111.48</v>
      </c>
      <c r="J2267" s="6">
        <f t="shared" si="70"/>
        <v>4.3700000000000045</v>
      </c>
    </row>
    <row r="2268" spans="2:10" x14ac:dyDescent="0.25">
      <c r="B2268" s="5">
        <f t="shared" si="71"/>
        <v>44634</v>
      </c>
      <c r="C2268" s="6">
        <f>IFERROR(VLOOKUP($B2268,Platts!$E$5:$M$4994,MATCH(C$3,Platts!$F$5:$M$5,0)+1,FALSE),C2267)</f>
        <v>99.48</v>
      </c>
      <c r="D2268" s="6">
        <f>IFERROR(VLOOKUP($B2268,Platts!$E$5:$M$4994,MATCH(D$3,Platts!$F$5:$M$5,0)+1,FALSE),D2267)</f>
        <v>99.99</v>
      </c>
      <c r="E2268" s="6">
        <f>IFERROR(VLOOKUP($B2268,Platts!$E$5:$M$4994,MATCH(E$3,Platts!$F$5:$M$5,0)+1,FALSE),E2267)</f>
        <v>98.19</v>
      </c>
      <c r="F2268" s="6">
        <f>IFERROR(VLOOKUP($B2268,Platts!$E$5:$M$4994,MATCH(F$3,Platts!$F$5:$M$5,0)+1,FALSE),F2267)</f>
        <v>101.79</v>
      </c>
      <c r="G2268" s="6">
        <f>IFERROR(VLOOKUP($B2268,Platts!$E$5:$M$4994,MATCH(G$3,Platts!$F$5:$M$5,0)+1,FALSE),G2267)</f>
        <v>105.52</v>
      </c>
      <c r="H2268" s="6">
        <f>IFERROR(VLOOKUP($B2268,Platts!$E$5:$M$4994,MATCH(H$3,Platts!$F$5:$M$5,0)+1,FALSE),H2267)</f>
        <v>103.01</v>
      </c>
      <c r="I2268" s="6">
        <f>IFERROR(VLOOKUP($B2268,Platts!$E$5:$M$4994,MATCH(I$3,Platts!$F$5:$M$5,0)+1,FALSE),I2267)</f>
        <v>105.26</v>
      </c>
      <c r="J2268" s="6">
        <f t="shared" si="70"/>
        <v>3.5300000000000011</v>
      </c>
    </row>
    <row r="2269" spans="2:10" x14ac:dyDescent="0.25">
      <c r="B2269" s="5">
        <f t="shared" si="71"/>
        <v>44635</v>
      </c>
      <c r="C2269" s="6">
        <f>IFERROR(VLOOKUP($B2269,Platts!$E$5:$M$4994,MATCH(C$3,Platts!$F$5:$M$5,0)+1,FALSE),C2268)</f>
        <v>92.26</v>
      </c>
      <c r="D2269" s="6">
        <f>IFERROR(VLOOKUP($B2269,Platts!$E$5:$M$4994,MATCH(D$3,Platts!$F$5:$M$5,0)+1,FALSE),D2268)</f>
        <v>93.17</v>
      </c>
      <c r="E2269" s="6">
        <f>IFERROR(VLOOKUP($B2269,Platts!$E$5:$M$4994,MATCH(E$3,Platts!$F$5:$M$5,0)+1,FALSE),E2268)</f>
        <v>91.37</v>
      </c>
      <c r="F2269" s="6">
        <f>IFERROR(VLOOKUP($B2269,Platts!$E$5:$M$4994,MATCH(F$3,Platts!$F$5:$M$5,0)+1,FALSE),F2268)</f>
        <v>94.97</v>
      </c>
      <c r="G2269" s="6">
        <f>IFERROR(VLOOKUP($B2269,Platts!$E$5:$M$4994,MATCH(G$3,Platts!$F$5:$M$5,0)+1,FALSE),G2268)</f>
        <v>101.75</v>
      </c>
      <c r="H2269" s="6">
        <f>IFERROR(VLOOKUP($B2269,Platts!$E$5:$M$4994,MATCH(H$3,Platts!$F$5:$M$5,0)+1,FALSE),H2268)</f>
        <v>96.44</v>
      </c>
      <c r="I2269" s="6">
        <f>IFERROR(VLOOKUP($B2269,Platts!$E$5:$M$4994,MATCH(I$3,Platts!$F$5:$M$5,0)+1,FALSE),I2268)</f>
        <v>98.54</v>
      </c>
      <c r="J2269" s="6">
        <f t="shared" si="70"/>
        <v>4.1799999999999926</v>
      </c>
    </row>
    <row r="2270" spans="2:10" x14ac:dyDescent="0.25">
      <c r="B2270" s="5">
        <f t="shared" si="71"/>
        <v>44636</v>
      </c>
      <c r="C2270" s="6">
        <f>IFERROR(VLOOKUP($B2270,Platts!$E$5:$M$4994,MATCH(C$3,Platts!$F$5:$M$5,0)+1,FALSE),C2269)</f>
        <v>90.96</v>
      </c>
      <c r="D2270" s="6">
        <f>IFERROR(VLOOKUP($B2270,Platts!$E$5:$M$4994,MATCH(D$3,Platts!$F$5:$M$5,0)+1,FALSE),D2269)</f>
        <v>91.44</v>
      </c>
      <c r="E2270" s="6">
        <f>IFERROR(VLOOKUP($B2270,Platts!$E$5:$M$4994,MATCH(E$3,Platts!$F$5:$M$5,0)+1,FALSE),E2269)</f>
        <v>89.64</v>
      </c>
      <c r="F2270" s="6">
        <f>IFERROR(VLOOKUP($B2270,Platts!$E$5:$M$4994,MATCH(F$3,Platts!$F$5:$M$5,0)+1,FALSE),F2269)</f>
        <v>93.24</v>
      </c>
      <c r="G2270" s="6">
        <f>IFERROR(VLOOKUP($B2270,Platts!$E$5:$M$4994,MATCH(G$3,Platts!$F$5:$M$5,0)+1,FALSE),G2269)</f>
        <v>99.95</v>
      </c>
      <c r="H2270" s="6">
        <f>IFERROR(VLOOKUP($B2270,Platts!$E$5:$M$4994,MATCH(H$3,Platts!$F$5:$M$5,0)+1,FALSE),H2269)</f>
        <v>95.04</v>
      </c>
      <c r="I2270" s="6">
        <f>IFERROR(VLOOKUP($B2270,Platts!$E$5:$M$4994,MATCH(I$3,Platts!$F$5:$M$5,0)+1,FALSE),I2269)</f>
        <v>97.49</v>
      </c>
      <c r="J2270" s="6">
        <f t="shared" si="70"/>
        <v>4.0800000000000125</v>
      </c>
    </row>
    <row r="2271" spans="2:10" x14ac:dyDescent="0.25">
      <c r="B2271" s="5">
        <f t="shared" si="71"/>
        <v>44637</v>
      </c>
      <c r="C2271" s="6">
        <f>IFERROR(VLOOKUP($B2271,Platts!$E$5:$M$4994,MATCH(C$3,Platts!$F$5:$M$5,0)+1,FALSE),C2270)</f>
        <v>98.28</v>
      </c>
      <c r="D2271" s="6">
        <f>IFERROR(VLOOKUP($B2271,Platts!$E$5:$M$4994,MATCH(D$3,Platts!$F$5:$M$5,0)+1,FALSE),D2270)</f>
        <v>99.62</v>
      </c>
      <c r="E2271" s="6">
        <f>IFERROR(VLOOKUP($B2271,Platts!$E$5:$M$4994,MATCH(E$3,Platts!$F$5:$M$5,0)+1,FALSE),E2270)</f>
        <v>97.82</v>
      </c>
      <c r="F2271" s="6">
        <f>IFERROR(VLOOKUP($B2271,Platts!$E$5:$M$4994,MATCH(F$3,Platts!$F$5:$M$5,0)+1,FALSE),F2270)</f>
        <v>101.42</v>
      </c>
      <c r="G2271" s="6">
        <f>IFERROR(VLOOKUP($B2271,Platts!$E$5:$M$4994,MATCH(G$3,Platts!$F$5:$M$5,0)+1,FALSE),G2270)</f>
        <v>107.09</v>
      </c>
      <c r="H2271" s="6">
        <f>IFERROR(VLOOKUP($B2271,Platts!$E$5:$M$4994,MATCH(H$3,Platts!$F$5:$M$5,0)+1,FALSE),H2270)</f>
        <v>102.98</v>
      </c>
      <c r="I2271" s="6">
        <f>IFERROR(VLOOKUP($B2271,Platts!$E$5:$M$4994,MATCH(I$3,Platts!$F$5:$M$5,0)+1,FALSE),I2270)</f>
        <v>105.43</v>
      </c>
      <c r="J2271" s="6">
        <f t="shared" si="70"/>
        <v>4.7000000000000028</v>
      </c>
    </row>
    <row r="2272" spans="2:10" x14ac:dyDescent="0.25">
      <c r="B2272" s="5">
        <f t="shared" si="71"/>
        <v>44638</v>
      </c>
      <c r="C2272" s="6">
        <f>IFERROR(VLOOKUP($B2272,Platts!$E$5:$M$4994,MATCH(C$3,Platts!$F$5:$M$5,0)+1,FALSE),C2271)</f>
        <v>98.28</v>
      </c>
      <c r="D2272" s="6">
        <f>IFERROR(VLOOKUP($B2272,Platts!$E$5:$M$4994,MATCH(D$3,Platts!$F$5:$M$5,0)+1,FALSE),D2271)</f>
        <v>101.22</v>
      </c>
      <c r="E2272" s="6">
        <f>IFERROR(VLOOKUP($B2272,Platts!$E$5:$M$4994,MATCH(E$3,Platts!$F$5:$M$5,0)+1,FALSE),E2271)</f>
        <v>99.42</v>
      </c>
      <c r="F2272" s="6">
        <f>IFERROR(VLOOKUP($B2272,Platts!$E$5:$M$4994,MATCH(F$3,Platts!$F$5:$M$5,0)+1,FALSE),F2271)</f>
        <v>103.02</v>
      </c>
      <c r="G2272" s="6">
        <f>IFERROR(VLOOKUP($B2272,Platts!$E$5:$M$4994,MATCH(G$3,Platts!$F$5:$M$5,0)+1,FALSE),G2271)</f>
        <v>107.19</v>
      </c>
      <c r="H2272" s="6">
        <f>IFERROR(VLOOKUP($B2272,Platts!$E$5:$M$4994,MATCH(H$3,Platts!$F$5:$M$5,0)+1,FALSE),H2271)</f>
        <v>104.7</v>
      </c>
      <c r="I2272" s="6">
        <f>IFERROR(VLOOKUP($B2272,Platts!$E$5:$M$4994,MATCH(I$3,Platts!$F$5:$M$5,0)+1,FALSE),I2271)</f>
        <v>107.15</v>
      </c>
      <c r="J2272" s="6">
        <f t="shared" si="70"/>
        <v>6.4200000000000017</v>
      </c>
    </row>
    <row r="2273" spans="2:10" x14ac:dyDescent="0.25">
      <c r="B2273" s="5">
        <f t="shared" si="71"/>
        <v>44639</v>
      </c>
      <c r="C2273" s="6">
        <f>IFERROR(VLOOKUP($B2273,Platts!$E$5:$M$4994,MATCH(C$3,Platts!$F$5:$M$5,0)+1,FALSE),C2272)</f>
        <v>98.28</v>
      </c>
      <c r="D2273" s="6">
        <f>IFERROR(VLOOKUP($B2273,Platts!$E$5:$M$4994,MATCH(D$3,Platts!$F$5:$M$5,0)+1,FALSE),D2272)</f>
        <v>101.22</v>
      </c>
      <c r="E2273" s="6">
        <f>IFERROR(VLOOKUP($B2273,Platts!$E$5:$M$4994,MATCH(E$3,Platts!$F$5:$M$5,0)+1,FALSE),E2272)</f>
        <v>99.42</v>
      </c>
      <c r="F2273" s="6">
        <f>IFERROR(VLOOKUP($B2273,Platts!$E$5:$M$4994,MATCH(F$3,Platts!$F$5:$M$5,0)+1,FALSE),F2272)</f>
        <v>103.02</v>
      </c>
      <c r="G2273" s="6">
        <f>IFERROR(VLOOKUP($B2273,Platts!$E$5:$M$4994,MATCH(G$3,Platts!$F$5:$M$5,0)+1,FALSE),G2272)</f>
        <v>107.19</v>
      </c>
      <c r="H2273" s="6">
        <f>IFERROR(VLOOKUP($B2273,Platts!$E$5:$M$4994,MATCH(H$3,Platts!$F$5:$M$5,0)+1,FALSE),H2272)</f>
        <v>104.7</v>
      </c>
      <c r="I2273" s="6">
        <f>IFERROR(VLOOKUP($B2273,Platts!$E$5:$M$4994,MATCH(I$3,Platts!$F$5:$M$5,0)+1,FALSE),I2272)</f>
        <v>107.15</v>
      </c>
      <c r="J2273" s="6">
        <f t="shared" si="70"/>
        <v>6.4200000000000017</v>
      </c>
    </row>
    <row r="2274" spans="2:10" x14ac:dyDescent="0.25">
      <c r="B2274" s="5">
        <f t="shared" si="71"/>
        <v>44640</v>
      </c>
      <c r="C2274" s="6">
        <f>IFERROR(VLOOKUP($B2274,Platts!$E$5:$M$4994,MATCH(C$3,Platts!$F$5:$M$5,0)+1,FALSE),C2273)</f>
        <v>98.28</v>
      </c>
      <c r="D2274" s="6">
        <f>IFERROR(VLOOKUP($B2274,Platts!$E$5:$M$4994,MATCH(D$3,Platts!$F$5:$M$5,0)+1,FALSE),D2273)</f>
        <v>101.22</v>
      </c>
      <c r="E2274" s="6">
        <f>IFERROR(VLOOKUP($B2274,Platts!$E$5:$M$4994,MATCH(E$3,Platts!$F$5:$M$5,0)+1,FALSE),E2273)</f>
        <v>99.42</v>
      </c>
      <c r="F2274" s="6">
        <f>IFERROR(VLOOKUP($B2274,Platts!$E$5:$M$4994,MATCH(F$3,Platts!$F$5:$M$5,0)+1,FALSE),F2273)</f>
        <v>103.02</v>
      </c>
      <c r="G2274" s="6">
        <f>IFERROR(VLOOKUP($B2274,Platts!$E$5:$M$4994,MATCH(G$3,Platts!$F$5:$M$5,0)+1,FALSE),G2273)</f>
        <v>107.19</v>
      </c>
      <c r="H2274" s="6">
        <f>IFERROR(VLOOKUP($B2274,Platts!$E$5:$M$4994,MATCH(H$3,Platts!$F$5:$M$5,0)+1,FALSE),H2273)</f>
        <v>104.7</v>
      </c>
      <c r="I2274" s="6">
        <f>IFERROR(VLOOKUP($B2274,Platts!$E$5:$M$4994,MATCH(I$3,Platts!$F$5:$M$5,0)+1,FALSE),I2273)</f>
        <v>107.15</v>
      </c>
      <c r="J2274" s="6">
        <f t="shared" si="70"/>
        <v>6.4200000000000017</v>
      </c>
    </row>
    <row r="2275" spans="2:10" x14ac:dyDescent="0.25">
      <c r="B2275" s="5">
        <f t="shared" si="71"/>
        <v>44641</v>
      </c>
      <c r="C2275" s="6">
        <f>IFERROR(VLOOKUP($B2275,Platts!$E$5:$M$4994,MATCH(C$3,Platts!$F$5:$M$5,0)+1,FALSE),C2274)</f>
        <v>98.28</v>
      </c>
      <c r="D2275" s="6">
        <f>IFERROR(VLOOKUP($B2275,Platts!$E$5:$M$4994,MATCH(D$3,Platts!$F$5:$M$5,0)+1,FALSE),D2274)</f>
        <v>108.73</v>
      </c>
      <c r="E2275" s="6">
        <f>IFERROR(VLOOKUP($B2275,Platts!$E$5:$M$4994,MATCH(E$3,Platts!$F$5:$M$5,0)+1,FALSE),E2274)</f>
        <v>106.93</v>
      </c>
      <c r="F2275" s="6">
        <f>IFERROR(VLOOKUP($B2275,Platts!$E$5:$M$4994,MATCH(F$3,Platts!$F$5:$M$5,0)+1,FALSE),F2274)</f>
        <v>110.53</v>
      </c>
      <c r="G2275" s="6">
        <f>IFERROR(VLOOKUP($B2275,Platts!$E$5:$M$4994,MATCH(G$3,Platts!$F$5:$M$5,0)+1,FALSE),G2274)</f>
        <v>115.28</v>
      </c>
      <c r="H2275" s="6">
        <f>IFERROR(VLOOKUP($B2275,Platts!$E$5:$M$4994,MATCH(H$3,Platts!$F$5:$M$5,0)+1,FALSE),H2274)</f>
        <v>112.12</v>
      </c>
      <c r="I2275" s="6">
        <f>IFERROR(VLOOKUP($B2275,Platts!$E$5:$M$4994,MATCH(I$3,Platts!$F$5:$M$5,0)+1,FALSE),I2274)</f>
        <v>114.57</v>
      </c>
      <c r="J2275" s="6">
        <v>6.4200000000000017</v>
      </c>
    </row>
    <row r="2276" spans="2:10" x14ac:dyDescent="0.25">
      <c r="B2276" s="5">
        <f t="shared" si="71"/>
        <v>44642</v>
      </c>
      <c r="C2276" s="6">
        <f>IFERROR(VLOOKUP($B2276,Platts!$E$5:$M$4994,MATCH(C$3,Platts!$F$5:$M$5,0)+1,FALSE),C2275)</f>
        <v>107.03</v>
      </c>
      <c r="D2276" s="6">
        <f>IFERROR(VLOOKUP($B2276,Platts!$E$5:$M$4994,MATCH(D$3,Platts!$F$5:$M$5,0)+1,FALSE),D2275)</f>
        <v>108.22</v>
      </c>
      <c r="E2276" s="6">
        <f>IFERROR(VLOOKUP($B2276,Platts!$E$5:$M$4994,MATCH(E$3,Platts!$F$5:$M$5,0)+1,FALSE),E2275)</f>
        <v>106.42</v>
      </c>
      <c r="F2276" s="6">
        <f>IFERROR(VLOOKUP($B2276,Platts!$E$5:$M$4994,MATCH(F$3,Platts!$F$5:$M$5,0)+1,FALSE),F2275)</f>
        <v>110.02</v>
      </c>
      <c r="G2276" s="6">
        <f>IFERROR(VLOOKUP($B2276,Platts!$E$5:$M$4994,MATCH(G$3,Platts!$F$5:$M$5,0)+1,FALSE),G2275)</f>
        <v>114.95</v>
      </c>
      <c r="H2276" s="6">
        <f>IFERROR(VLOOKUP($B2276,Platts!$E$5:$M$4994,MATCH(H$3,Platts!$F$5:$M$5,0)+1,FALSE),H2275)</f>
        <v>111.76</v>
      </c>
      <c r="I2276" s="6">
        <f>IFERROR(VLOOKUP($B2276,Platts!$E$5:$M$4994,MATCH(I$3,Platts!$F$5:$M$5,0)+1,FALSE),I2275)</f>
        <v>114.01</v>
      </c>
      <c r="J2276" s="6">
        <f t="shared" ref="J2276:J2339" si="72">H2276-C2276</f>
        <v>4.730000000000004</v>
      </c>
    </row>
    <row r="2277" spans="2:10" x14ac:dyDescent="0.25">
      <c r="B2277" s="5">
        <f t="shared" si="71"/>
        <v>44643</v>
      </c>
      <c r="C2277" s="6">
        <f>IFERROR(VLOOKUP($B2277,Platts!$E$5:$M$4994,MATCH(C$3,Platts!$F$5:$M$5,0)+1,FALSE),C2276)</f>
        <v>111.94</v>
      </c>
      <c r="D2277" s="6">
        <f>IFERROR(VLOOKUP($B2277,Platts!$E$5:$M$4994,MATCH(D$3,Platts!$F$5:$M$5,0)+1,FALSE),D2276)</f>
        <v>113.72</v>
      </c>
      <c r="E2277" s="6">
        <f>IFERROR(VLOOKUP($B2277,Platts!$E$5:$M$4994,MATCH(E$3,Platts!$F$5:$M$5,0)+1,FALSE),E2276)</f>
        <v>111.92</v>
      </c>
      <c r="F2277" s="6">
        <f>IFERROR(VLOOKUP($B2277,Platts!$E$5:$M$4994,MATCH(F$3,Platts!$F$5:$M$5,0)+1,FALSE),F2276)</f>
        <v>115.52</v>
      </c>
      <c r="G2277" s="6">
        <f>IFERROR(VLOOKUP($B2277,Platts!$E$5:$M$4994,MATCH(G$3,Platts!$F$5:$M$5,0)+1,FALSE),G2276)</f>
        <v>121.59</v>
      </c>
      <c r="H2277" s="6">
        <f>IFERROR(VLOOKUP($B2277,Platts!$E$5:$M$4994,MATCH(H$3,Platts!$F$5:$M$5,0)+1,FALSE),H2276)</f>
        <v>117.23</v>
      </c>
      <c r="I2277" s="6">
        <f>IFERROR(VLOOKUP($B2277,Platts!$E$5:$M$4994,MATCH(I$3,Platts!$F$5:$M$5,0)+1,FALSE),I2276)</f>
        <v>119.08</v>
      </c>
      <c r="J2277" s="6">
        <f t="shared" si="72"/>
        <v>5.2900000000000063</v>
      </c>
    </row>
    <row r="2278" spans="2:10" x14ac:dyDescent="0.25">
      <c r="B2278" s="5">
        <f t="shared" si="71"/>
        <v>44644</v>
      </c>
      <c r="C2278" s="6">
        <f>IFERROR(VLOOKUP($B2278,Platts!$E$5:$M$4994,MATCH(C$3,Platts!$F$5:$M$5,0)+1,FALSE),C2277)</f>
        <v>110.34</v>
      </c>
      <c r="D2278" s="6">
        <f>IFERROR(VLOOKUP($B2278,Platts!$E$5:$M$4994,MATCH(D$3,Platts!$F$5:$M$5,0)+1,FALSE),D2277)</f>
        <v>111.37</v>
      </c>
      <c r="E2278" s="6">
        <f>IFERROR(VLOOKUP($B2278,Platts!$E$5:$M$4994,MATCH(E$3,Platts!$F$5:$M$5,0)+1,FALSE),E2277)</f>
        <v>109.57</v>
      </c>
      <c r="F2278" s="6">
        <f>IFERROR(VLOOKUP($B2278,Platts!$E$5:$M$4994,MATCH(F$3,Platts!$F$5:$M$5,0)+1,FALSE),F2277)</f>
        <v>113.17</v>
      </c>
      <c r="G2278" s="6">
        <f>IFERROR(VLOOKUP($B2278,Platts!$E$5:$M$4994,MATCH(G$3,Platts!$F$5:$M$5,0)+1,FALSE),G2277)</f>
        <v>119.8</v>
      </c>
      <c r="H2278" s="6">
        <f>IFERROR(VLOOKUP($B2278,Platts!$E$5:$M$4994,MATCH(H$3,Platts!$F$5:$M$5,0)+1,FALSE),H2277)</f>
        <v>114.84</v>
      </c>
      <c r="I2278" s="6">
        <f>IFERROR(VLOOKUP($B2278,Platts!$E$5:$M$4994,MATCH(I$3,Platts!$F$5:$M$5,0)+1,FALSE),I2277)</f>
        <v>116.69</v>
      </c>
      <c r="J2278" s="6">
        <f t="shared" si="72"/>
        <v>4.5</v>
      </c>
    </row>
    <row r="2279" spans="2:10" x14ac:dyDescent="0.25">
      <c r="B2279" s="5">
        <f t="shared" si="71"/>
        <v>44645</v>
      </c>
      <c r="C2279" s="6">
        <f>IFERROR(VLOOKUP($B2279,Platts!$E$5:$M$4994,MATCH(C$3,Platts!$F$5:$M$5,0)+1,FALSE),C2278)</f>
        <v>110.95</v>
      </c>
      <c r="D2279" s="6">
        <f>IFERROR(VLOOKUP($B2279,Platts!$E$5:$M$4994,MATCH(D$3,Platts!$F$5:$M$5,0)+1,FALSE),D2278)</f>
        <v>112.82</v>
      </c>
      <c r="E2279" s="6">
        <f>IFERROR(VLOOKUP($B2279,Platts!$E$5:$M$4994,MATCH(E$3,Platts!$F$5:$M$5,0)+1,FALSE),E2278)</f>
        <v>111.02</v>
      </c>
      <c r="F2279" s="6">
        <f>IFERROR(VLOOKUP($B2279,Platts!$E$5:$M$4994,MATCH(F$3,Platts!$F$5:$M$5,0)+1,FALSE),F2278)</f>
        <v>114.62</v>
      </c>
      <c r="G2279" s="6">
        <f>IFERROR(VLOOKUP($B2279,Platts!$E$5:$M$4994,MATCH(G$3,Platts!$F$5:$M$5,0)+1,FALSE),G2278)</f>
        <v>120.84</v>
      </c>
      <c r="H2279" s="6">
        <f>IFERROR(VLOOKUP($B2279,Platts!$E$5:$M$4994,MATCH(H$3,Platts!$F$5:$M$5,0)+1,FALSE),H2278)</f>
        <v>116.4</v>
      </c>
      <c r="I2279" s="6">
        <f>IFERROR(VLOOKUP($B2279,Platts!$E$5:$M$4994,MATCH(I$3,Platts!$F$5:$M$5,0)+1,FALSE),I2278)</f>
        <v>118.05</v>
      </c>
      <c r="J2279" s="6">
        <f t="shared" si="72"/>
        <v>5.4500000000000028</v>
      </c>
    </row>
    <row r="2280" spans="2:10" x14ac:dyDescent="0.25">
      <c r="B2280" s="5">
        <f t="shared" si="71"/>
        <v>44646</v>
      </c>
      <c r="C2280" s="6">
        <f>IFERROR(VLOOKUP($B2280,Platts!$E$5:$M$4994,MATCH(C$3,Platts!$F$5:$M$5,0)+1,FALSE),C2279)</f>
        <v>110.95</v>
      </c>
      <c r="D2280" s="6">
        <f>IFERROR(VLOOKUP($B2280,Platts!$E$5:$M$4994,MATCH(D$3,Platts!$F$5:$M$5,0)+1,FALSE),D2279)</f>
        <v>112.82</v>
      </c>
      <c r="E2280" s="6">
        <f>IFERROR(VLOOKUP($B2280,Platts!$E$5:$M$4994,MATCH(E$3,Platts!$F$5:$M$5,0)+1,FALSE),E2279)</f>
        <v>111.02</v>
      </c>
      <c r="F2280" s="6">
        <f>IFERROR(VLOOKUP($B2280,Platts!$E$5:$M$4994,MATCH(F$3,Platts!$F$5:$M$5,0)+1,FALSE),F2279)</f>
        <v>114.62</v>
      </c>
      <c r="G2280" s="6">
        <f>IFERROR(VLOOKUP($B2280,Platts!$E$5:$M$4994,MATCH(G$3,Platts!$F$5:$M$5,0)+1,FALSE),G2279)</f>
        <v>120.84</v>
      </c>
      <c r="H2280" s="6">
        <f>IFERROR(VLOOKUP($B2280,Platts!$E$5:$M$4994,MATCH(H$3,Platts!$F$5:$M$5,0)+1,FALSE),H2279)</f>
        <v>116.4</v>
      </c>
      <c r="I2280" s="6">
        <f>IFERROR(VLOOKUP($B2280,Platts!$E$5:$M$4994,MATCH(I$3,Platts!$F$5:$M$5,0)+1,FALSE),I2279)</f>
        <v>118.05</v>
      </c>
      <c r="J2280" s="6">
        <f t="shared" si="72"/>
        <v>5.4500000000000028</v>
      </c>
    </row>
    <row r="2281" spans="2:10" x14ac:dyDescent="0.25">
      <c r="B2281" s="5">
        <f t="shared" si="71"/>
        <v>44647</v>
      </c>
      <c r="C2281" s="6">
        <f>IFERROR(VLOOKUP($B2281,Platts!$E$5:$M$4994,MATCH(C$3,Platts!$F$5:$M$5,0)+1,FALSE),C2280)</f>
        <v>110.95</v>
      </c>
      <c r="D2281" s="6">
        <f>IFERROR(VLOOKUP($B2281,Platts!$E$5:$M$4994,MATCH(D$3,Platts!$F$5:$M$5,0)+1,FALSE),D2280)</f>
        <v>112.82</v>
      </c>
      <c r="E2281" s="6">
        <f>IFERROR(VLOOKUP($B2281,Platts!$E$5:$M$4994,MATCH(E$3,Platts!$F$5:$M$5,0)+1,FALSE),E2280)</f>
        <v>111.02</v>
      </c>
      <c r="F2281" s="6">
        <f>IFERROR(VLOOKUP($B2281,Platts!$E$5:$M$4994,MATCH(F$3,Platts!$F$5:$M$5,0)+1,FALSE),F2280)</f>
        <v>114.62</v>
      </c>
      <c r="G2281" s="6">
        <f>IFERROR(VLOOKUP($B2281,Platts!$E$5:$M$4994,MATCH(G$3,Platts!$F$5:$M$5,0)+1,FALSE),G2280)</f>
        <v>120.84</v>
      </c>
      <c r="H2281" s="6">
        <f>IFERROR(VLOOKUP($B2281,Platts!$E$5:$M$4994,MATCH(H$3,Platts!$F$5:$M$5,0)+1,FALSE),H2280)</f>
        <v>116.4</v>
      </c>
      <c r="I2281" s="6">
        <f>IFERROR(VLOOKUP($B2281,Platts!$E$5:$M$4994,MATCH(I$3,Platts!$F$5:$M$5,0)+1,FALSE),I2280)</f>
        <v>118.05</v>
      </c>
      <c r="J2281" s="6">
        <f t="shared" si="72"/>
        <v>5.4500000000000028</v>
      </c>
    </row>
    <row r="2282" spans="2:10" x14ac:dyDescent="0.25">
      <c r="B2282" s="5">
        <f t="shared" si="71"/>
        <v>44648</v>
      </c>
      <c r="C2282" s="6">
        <f>IFERROR(VLOOKUP($B2282,Platts!$E$5:$M$4994,MATCH(C$3,Platts!$F$5:$M$5,0)+1,FALSE),C2281)</f>
        <v>103.04</v>
      </c>
      <c r="D2282" s="6">
        <f>IFERROR(VLOOKUP($B2282,Platts!$E$5:$M$4994,MATCH(D$3,Platts!$F$5:$M$5,0)+1,FALSE),D2281)</f>
        <v>103.5</v>
      </c>
      <c r="E2282" s="6">
        <f>IFERROR(VLOOKUP($B2282,Platts!$E$5:$M$4994,MATCH(E$3,Platts!$F$5:$M$5,0)+1,FALSE),E2281)</f>
        <v>101.7</v>
      </c>
      <c r="F2282" s="6">
        <f>IFERROR(VLOOKUP($B2282,Platts!$E$5:$M$4994,MATCH(F$3,Platts!$F$5:$M$5,0)+1,FALSE),F2281)</f>
        <v>105.3</v>
      </c>
      <c r="G2282" s="6">
        <f>IFERROR(VLOOKUP($B2282,Platts!$E$5:$M$4994,MATCH(G$3,Platts!$F$5:$M$5,0)+1,FALSE),G2281)</f>
        <v>114.02</v>
      </c>
      <c r="H2282" s="6">
        <f>IFERROR(VLOOKUP($B2282,Platts!$E$5:$M$4994,MATCH(H$3,Platts!$F$5:$M$5,0)+1,FALSE),H2281)</f>
        <v>105.96</v>
      </c>
      <c r="I2282" s="6">
        <f>IFERROR(VLOOKUP($B2282,Platts!$E$5:$M$4994,MATCH(I$3,Platts!$F$5:$M$5,0)+1,FALSE),I2281)</f>
        <v>108.41</v>
      </c>
      <c r="J2282" s="6">
        <f t="shared" si="72"/>
        <v>2.9199999999999875</v>
      </c>
    </row>
    <row r="2283" spans="2:10" x14ac:dyDescent="0.25">
      <c r="B2283" s="5">
        <f t="shared" si="71"/>
        <v>44649</v>
      </c>
      <c r="C2283" s="6">
        <f>IFERROR(VLOOKUP($B2283,Platts!$E$5:$M$4994,MATCH(C$3,Platts!$F$5:$M$5,0)+1,FALSE),C2282)</f>
        <v>100.99</v>
      </c>
      <c r="D2283" s="6">
        <f>IFERROR(VLOOKUP($B2283,Platts!$E$5:$M$4994,MATCH(D$3,Platts!$F$5:$M$5,0)+1,FALSE),D2282)</f>
        <v>101.53</v>
      </c>
      <c r="E2283" s="6">
        <f>IFERROR(VLOOKUP($B2283,Platts!$E$5:$M$4994,MATCH(E$3,Platts!$F$5:$M$5,0)+1,FALSE),E2282)</f>
        <v>99.73</v>
      </c>
      <c r="F2283" s="6">
        <f>IFERROR(VLOOKUP($B2283,Platts!$E$5:$M$4994,MATCH(F$3,Platts!$F$5:$M$5,0)+1,FALSE),F2282)</f>
        <v>103.33</v>
      </c>
      <c r="G2283" s="6">
        <f>IFERROR(VLOOKUP($B2283,Platts!$E$5:$M$4994,MATCH(G$3,Platts!$F$5:$M$5,0)+1,FALSE),G2282)</f>
        <v>110.07</v>
      </c>
      <c r="H2283" s="6">
        <f>IFERROR(VLOOKUP($B2283,Platts!$E$5:$M$4994,MATCH(H$3,Platts!$F$5:$M$5,0)+1,FALSE),H2282)</f>
        <v>104.24</v>
      </c>
      <c r="I2283" s="6">
        <f>IFERROR(VLOOKUP($B2283,Platts!$E$5:$M$4994,MATCH(I$3,Platts!$F$5:$M$5,0)+1,FALSE),I2282)</f>
        <v>106.49</v>
      </c>
      <c r="J2283" s="6">
        <f t="shared" si="72"/>
        <v>3.25</v>
      </c>
    </row>
    <row r="2284" spans="2:10" x14ac:dyDescent="0.25">
      <c r="B2284" s="5">
        <f t="shared" si="71"/>
        <v>44650</v>
      </c>
      <c r="C2284" s="6">
        <f>IFERROR(VLOOKUP($B2284,Platts!$E$5:$M$4994,MATCH(C$3,Platts!$F$5:$M$5,0)+1,FALSE),C2283)</f>
        <v>104.04</v>
      </c>
      <c r="D2284" s="6">
        <f>IFERROR(VLOOKUP($B2284,Platts!$E$5:$M$4994,MATCH(D$3,Platts!$F$5:$M$5,0)+1,FALSE),D2283)</f>
        <v>104.98</v>
      </c>
      <c r="E2284" s="6">
        <f>IFERROR(VLOOKUP($B2284,Platts!$E$5:$M$4994,MATCH(E$3,Platts!$F$5:$M$5,0)+1,FALSE),E2283)</f>
        <v>103.18</v>
      </c>
      <c r="F2284" s="6">
        <f>IFERROR(VLOOKUP($B2284,Platts!$E$5:$M$4994,MATCH(F$3,Platts!$F$5:$M$5,0)+1,FALSE),F2283)</f>
        <v>106.78</v>
      </c>
      <c r="G2284" s="6">
        <f>IFERROR(VLOOKUP($B2284,Platts!$E$5:$M$4994,MATCH(G$3,Platts!$F$5:$M$5,0)+1,FALSE),G2283)</f>
        <v>113.9</v>
      </c>
      <c r="H2284" s="6">
        <f>IFERROR(VLOOKUP($B2284,Platts!$E$5:$M$4994,MATCH(H$3,Platts!$F$5:$M$5,0)+1,FALSE),H2283)</f>
        <v>107.82</v>
      </c>
      <c r="I2284" s="6">
        <f>IFERROR(VLOOKUP($B2284,Platts!$E$5:$M$4994,MATCH(I$3,Platts!$F$5:$M$5,0)+1,FALSE),I2283)</f>
        <v>110.07</v>
      </c>
      <c r="J2284" s="6">
        <f t="shared" si="72"/>
        <v>3.7799999999999869</v>
      </c>
    </row>
    <row r="2285" spans="2:10" x14ac:dyDescent="0.25">
      <c r="B2285" s="5">
        <f t="shared" si="71"/>
        <v>44651</v>
      </c>
      <c r="C2285" s="6">
        <f>IFERROR(VLOOKUP($B2285,Platts!$E$5:$M$4994,MATCH(C$3,Platts!$F$5:$M$5,0)+1,FALSE),C2284)</f>
        <v>98</v>
      </c>
      <c r="D2285" s="6">
        <f>IFERROR(VLOOKUP($B2285,Platts!$E$5:$M$4994,MATCH(D$3,Platts!$F$5:$M$5,0)+1,FALSE),D2284)</f>
        <v>98.14</v>
      </c>
      <c r="E2285" s="6">
        <f>IFERROR(VLOOKUP($B2285,Platts!$E$5:$M$4994,MATCH(E$3,Platts!$F$5:$M$5,0)+1,FALSE),E2284)</f>
        <v>96.34</v>
      </c>
      <c r="F2285" s="6">
        <f>IFERROR(VLOOKUP($B2285,Platts!$E$5:$M$4994,MATCH(F$3,Platts!$F$5:$M$5,0)+1,FALSE),F2284)</f>
        <v>99.94</v>
      </c>
      <c r="G2285" s="6">
        <f>IFERROR(VLOOKUP($B2285,Platts!$E$5:$M$4994,MATCH(G$3,Platts!$F$5:$M$5,0)+1,FALSE),G2284)</f>
        <v>108.56</v>
      </c>
      <c r="H2285" s="6">
        <f>IFERROR(VLOOKUP($B2285,Platts!$E$5:$M$4994,MATCH(H$3,Platts!$F$5:$M$5,0)+1,FALSE),H2284)</f>
        <v>100.28</v>
      </c>
      <c r="I2285" s="6">
        <f>IFERROR(VLOOKUP($B2285,Platts!$E$5:$M$4994,MATCH(I$3,Platts!$F$5:$M$5,0)+1,FALSE),I2284)</f>
        <v>101.93</v>
      </c>
      <c r="J2285" s="6">
        <f t="shared" si="72"/>
        <v>2.2800000000000011</v>
      </c>
    </row>
    <row r="2286" spans="2:10" x14ac:dyDescent="0.25">
      <c r="B2286" s="5">
        <f t="shared" si="71"/>
        <v>44652</v>
      </c>
      <c r="C2286" s="6">
        <f>IFERROR(VLOOKUP($B2286,Platts!$E$5:$M$4994,MATCH(C$3,Platts!$F$5:$M$5,0)+1,FALSE),C2285)</f>
        <v>97.25</v>
      </c>
      <c r="D2286" s="6">
        <f>IFERROR(VLOOKUP($B2286,Platts!$E$5:$M$4994,MATCH(D$3,Platts!$F$5:$M$5,0)+1,FALSE),D2285)</f>
        <v>96.8</v>
      </c>
      <c r="E2286" s="6">
        <f>IFERROR(VLOOKUP($B2286,Platts!$E$5:$M$4994,MATCH(E$3,Platts!$F$5:$M$5,0)+1,FALSE),E2285)</f>
        <v>95.7</v>
      </c>
      <c r="F2286" s="6">
        <f>IFERROR(VLOOKUP($B2286,Platts!$E$5:$M$4994,MATCH(F$3,Platts!$F$5:$M$5,0)+1,FALSE),F2285)</f>
        <v>99.8</v>
      </c>
      <c r="G2286" s="6">
        <f>IFERROR(VLOOKUP($B2286,Platts!$E$5:$M$4994,MATCH(G$3,Platts!$F$5:$M$5,0)+1,FALSE),G2285)</f>
        <v>106.01</v>
      </c>
      <c r="H2286" s="6">
        <f>IFERROR(VLOOKUP($B2286,Platts!$E$5:$M$4994,MATCH(H$3,Platts!$F$5:$M$5,0)+1,FALSE),H2285)</f>
        <v>99.27</v>
      </c>
      <c r="I2286" s="6">
        <f>IFERROR(VLOOKUP($B2286,Platts!$E$5:$M$4994,MATCH(I$3,Platts!$F$5:$M$5,0)+1,FALSE),I2285)</f>
        <v>101.27</v>
      </c>
      <c r="J2286" s="6">
        <f t="shared" si="72"/>
        <v>2.019999999999996</v>
      </c>
    </row>
    <row r="2287" spans="2:10" x14ac:dyDescent="0.25">
      <c r="B2287" s="5">
        <f t="shared" si="71"/>
        <v>44653</v>
      </c>
      <c r="C2287" s="6">
        <f>IFERROR(VLOOKUP($B2287,Platts!$E$5:$M$4994,MATCH(C$3,Platts!$F$5:$M$5,0)+1,FALSE),C2286)</f>
        <v>97.25</v>
      </c>
      <c r="D2287" s="6">
        <f>IFERROR(VLOOKUP($B2287,Platts!$E$5:$M$4994,MATCH(D$3,Platts!$F$5:$M$5,0)+1,FALSE),D2286)</f>
        <v>96.8</v>
      </c>
      <c r="E2287" s="6">
        <f>IFERROR(VLOOKUP($B2287,Platts!$E$5:$M$4994,MATCH(E$3,Platts!$F$5:$M$5,0)+1,FALSE),E2286)</f>
        <v>95.7</v>
      </c>
      <c r="F2287" s="6">
        <f>IFERROR(VLOOKUP($B2287,Platts!$E$5:$M$4994,MATCH(F$3,Platts!$F$5:$M$5,0)+1,FALSE),F2286)</f>
        <v>99.8</v>
      </c>
      <c r="G2287" s="6">
        <f>IFERROR(VLOOKUP($B2287,Platts!$E$5:$M$4994,MATCH(G$3,Platts!$F$5:$M$5,0)+1,FALSE),G2286)</f>
        <v>106.01</v>
      </c>
      <c r="H2287" s="6">
        <f>IFERROR(VLOOKUP($B2287,Platts!$E$5:$M$4994,MATCH(H$3,Platts!$F$5:$M$5,0)+1,FALSE),H2286)</f>
        <v>99.27</v>
      </c>
      <c r="I2287" s="6">
        <f>IFERROR(VLOOKUP($B2287,Platts!$E$5:$M$4994,MATCH(I$3,Platts!$F$5:$M$5,0)+1,FALSE),I2286)</f>
        <v>101.27</v>
      </c>
      <c r="J2287" s="6">
        <f t="shared" si="72"/>
        <v>2.019999999999996</v>
      </c>
    </row>
    <row r="2288" spans="2:10" x14ac:dyDescent="0.25">
      <c r="B2288" s="5">
        <f t="shared" si="71"/>
        <v>44654</v>
      </c>
      <c r="C2288" s="6">
        <f>IFERROR(VLOOKUP($B2288,Platts!$E$5:$M$4994,MATCH(C$3,Platts!$F$5:$M$5,0)+1,FALSE),C2287)</f>
        <v>97.25</v>
      </c>
      <c r="D2288" s="6">
        <f>IFERROR(VLOOKUP($B2288,Platts!$E$5:$M$4994,MATCH(D$3,Platts!$F$5:$M$5,0)+1,FALSE),D2287)</f>
        <v>96.8</v>
      </c>
      <c r="E2288" s="6">
        <f>IFERROR(VLOOKUP($B2288,Platts!$E$5:$M$4994,MATCH(E$3,Platts!$F$5:$M$5,0)+1,FALSE),E2287)</f>
        <v>95.7</v>
      </c>
      <c r="F2288" s="6">
        <f>IFERROR(VLOOKUP($B2288,Platts!$E$5:$M$4994,MATCH(F$3,Platts!$F$5:$M$5,0)+1,FALSE),F2287)</f>
        <v>99.8</v>
      </c>
      <c r="G2288" s="6">
        <f>IFERROR(VLOOKUP($B2288,Platts!$E$5:$M$4994,MATCH(G$3,Platts!$F$5:$M$5,0)+1,FALSE),G2287)</f>
        <v>106.01</v>
      </c>
      <c r="H2288" s="6">
        <f>IFERROR(VLOOKUP($B2288,Platts!$E$5:$M$4994,MATCH(H$3,Platts!$F$5:$M$5,0)+1,FALSE),H2287)</f>
        <v>99.27</v>
      </c>
      <c r="I2288" s="6">
        <f>IFERROR(VLOOKUP($B2288,Platts!$E$5:$M$4994,MATCH(I$3,Platts!$F$5:$M$5,0)+1,FALSE),I2287)</f>
        <v>101.27</v>
      </c>
      <c r="J2288" s="6">
        <f t="shared" si="72"/>
        <v>2.019999999999996</v>
      </c>
    </row>
    <row r="2289" spans="2:10" x14ac:dyDescent="0.25">
      <c r="B2289" s="5">
        <f t="shared" si="71"/>
        <v>44655</v>
      </c>
      <c r="C2289" s="6">
        <f>IFERROR(VLOOKUP($B2289,Platts!$E$5:$M$4994,MATCH(C$3,Platts!$F$5:$M$5,0)+1,FALSE),C2288)</f>
        <v>100.16</v>
      </c>
      <c r="D2289" s="6">
        <f>IFERROR(VLOOKUP($B2289,Platts!$E$5:$M$4994,MATCH(D$3,Platts!$F$5:$M$5,0)+1,FALSE),D2288)</f>
        <v>100.45</v>
      </c>
      <c r="E2289" s="6">
        <f>IFERROR(VLOOKUP($B2289,Platts!$E$5:$M$4994,MATCH(E$3,Platts!$F$5:$M$5,0)+1,FALSE),E2288)</f>
        <v>99.35</v>
      </c>
      <c r="F2289" s="6">
        <f>IFERROR(VLOOKUP($B2289,Platts!$E$5:$M$4994,MATCH(F$3,Platts!$F$5:$M$5,0)+1,FALSE),F2288)</f>
        <v>103.45</v>
      </c>
      <c r="G2289" s="6">
        <f>IFERROR(VLOOKUP($B2289,Platts!$E$5:$M$4994,MATCH(G$3,Platts!$F$5:$M$5,0)+1,FALSE),G2288)</f>
        <v>108.14</v>
      </c>
      <c r="H2289" s="6">
        <f>IFERROR(VLOOKUP($B2289,Platts!$E$5:$M$4994,MATCH(H$3,Platts!$F$5:$M$5,0)+1,FALSE),H2288)</f>
        <v>103.28</v>
      </c>
      <c r="I2289" s="6">
        <f>IFERROR(VLOOKUP($B2289,Platts!$E$5:$M$4994,MATCH(I$3,Platts!$F$5:$M$5,0)+1,FALSE),I2288)</f>
        <v>105.23</v>
      </c>
      <c r="J2289" s="6">
        <f t="shared" si="72"/>
        <v>3.1200000000000045</v>
      </c>
    </row>
    <row r="2290" spans="2:10" x14ac:dyDescent="0.25">
      <c r="B2290" s="5">
        <f t="shared" si="71"/>
        <v>44656</v>
      </c>
      <c r="C2290" s="6">
        <f>IFERROR(VLOOKUP($B2290,Platts!$E$5:$M$4994,MATCH(C$3,Platts!$F$5:$M$5,0)+1,FALSE),C2289)</f>
        <v>99.86</v>
      </c>
      <c r="D2290" s="6">
        <f>IFERROR(VLOOKUP($B2290,Platts!$E$5:$M$4994,MATCH(D$3,Platts!$F$5:$M$5,0)+1,FALSE),D2289)</f>
        <v>99.18</v>
      </c>
      <c r="E2290" s="6">
        <f>IFERROR(VLOOKUP($B2290,Platts!$E$5:$M$4994,MATCH(E$3,Platts!$F$5:$M$5,0)+1,FALSE),E2289)</f>
        <v>98.08</v>
      </c>
      <c r="F2290" s="6">
        <f>IFERROR(VLOOKUP($B2290,Platts!$E$5:$M$4994,MATCH(F$3,Platts!$F$5:$M$5,0)+1,FALSE),F2289)</f>
        <v>102.18</v>
      </c>
      <c r="G2290" s="6">
        <f>IFERROR(VLOOKUP($B2290,Platts!$E$5:$M$4994,MATCH(G$3,Platts!$F$5:$M$5,0)+1,FALSE),G2289)</f>
        <v>107.22</v>
      </c>
      <c r="H2290" s="6">
        <f>IFERROR(VLOOKUP($B2290,Platts!$E$5:$M$4994,MATCH(H$3,Platts!$F$5:$M$5,0)+1,FALSE),H2289)</f>
        <v>101.96</v>
      </c>
      <c r="I2290" s="6">
        <f>IFERROR(VLOOKUP($B2290,Platts!$E$5:$M$4994,MATCH(I$3,Platts!$F$5:$M$5,0)+1,FALSE),I2289)</f>
        <v>103.91</v>
      </c>
      <c r="J2290" s="6">
        <f t="shared" si="72"/>
        <v>2.0999999999999943</v>
      </c>
    </row>
    <row r="2291" spans="2:10" x14ac:dyDescent="0.25">
      <c r="B2291" s="5">
        <f t="shared" si="71"/>
        <v>44657</v>
      </c>
      <c r="C2291" s="6">
        <f>IFERROR(VLOOKUP($B2291,Platts!$E$5:$M$4994,MATCH(C$3,Platts!$F$5:$M$5,0)+1,FALSE),C2290)</f>
        <v>94.97</v>
      </c>
      <c r="D2291" s="6">
        <f>IFERROR(VLOOKUP($B2291,Platts!$E$5:$M$4994,MATCH(D$3,Platts!$F$5:$M$5,0)+1,FALSE),D2290)</f>
        <v>93.5</v>
      </c>
      <c r="E2291" s="6">
        <f>IFERROR(VLOOKUP($B2291,Platts!$E$5:$M$4994,MATCH(E$3,Platts!$F$5:$M$5,0)+1,FALSE),E2290)</f>
        <v>92.4</v>
      </c>
      <c r="F2291" s="6">
        <f>IFERROR(VLOOKUP($B2291,Platts!$E$5:$M$4994,MATCH(F$3,Platts!$F$5:$M$5,0)+1,FALSE),F2290)</f>
        <v>96.5</v>
      </c>
      <c r="G2291" s="6">
        <f>IFERROR(VLOOKUP($B2291,Platts!$E$5:$M$4994,MATCH(G$3,Platts!$F$5:$M$5,0)+1,FALSE),G2290)</f>
        <v>104.49</v>
      </c>
      <c r="H2291" s="6">
        <f>IFERROR(VLOOKUP($B2291,Platts!$E$5:$M$4994,MATCH(H$3,Platts!$F$5:$M$5,0)+1,FALSE),H2290)</f>
        <v>96.23</v>
      </c>
      <c r="I2291" s="6">
        <f>IFERROR(VLOOKUP($B2291,Platts!$E$5:$M$4994,MATCH(I$3,Platts!$F$5:$M$5,0)+1,FALSE),I2290)</f>
        <v>98.18</v>
      </c>
      <c r="J2291" s="6">
        <f t="shared" si="72"/>
        <v>1.2600000000000051</v>
      </c>
    </row>
    <row r="2292" spans="2:10" x14ac:dyDescent="0.25">
      <c r="B2292" s="5">
        <f t="shared" si="71"/>
        <v>44658</v>
      </c>
      <c r="C2292" s="6">
        <f>IFERROR(VLOOKUP($B2292,Platts!$E$5:$M$4994,MATCH(C$3,Platts!$F$5:$M$5,0)+1,FALSE),C2291)</f>
        <v>93.43</v>
      </c>
      <c r="D2292" s="6">
        <f>IFERROR(VLOOKUP($B2292,Platts!$E$5:$M$4994,MATCH(D$3,Platts!$F$5:$M$5,0)+1,FALSE),D2291)</f>
        <v>93.2</v>
      </c>
      <c r="E2292" s="6">
        <f>IFERROR(VLOOKUP($B2292,Platts!$E$5:$M$4994,MATCH(E$3,Platts!$F$5:$M$5,0)+1,FALSE),E2291)</f>
        <v>92.1</v>
      </c>
      <c r="F2292" s="6">
        <f>IFERROR(VLOOKUP($B2292,Platts!$E$5:$M$4994,MATCH(F$3,Platts!$F$5:$M$5,0)+1,FALSE),F2291)</f>
        <v>96.2</v>
      </c>
      <c r="G2292" s="6">
        <f>IFERROR(VLOOKUP($B2292,Platts!$E$5:$M$4994,MATCH(G$3,Platts!$F$5:$M$5,0)+1,FALSE),G2291)</f>
        <v>99.05</v>
      </c>
      <c r="H2292" s="6">
        <f>IFERROR(VLOOKUP($B2292,Platts!$E$5:$M$4994,MATCH(H$3,Platts!$F$5:$M$5,0)+1,FALSE),H2291)</f>
        <v>96.03</v>
      </c>
      <c r="I2292" s="6">
        <f>IFERROR(VLOOKUP($B2292,Platts!$E$5:$M$4994,MATCH(I$3,Platts!$F$5:$M$5,0)+1,FALSE),I2291)</f>
        <v>97.83</v>
      </c>
      <c r="J2292" s="6">
        <f t="shared" si="72"/>
        <v>2.5999999999999943</v>
      </c>
    </row>
    <row r="2293" spans="2:10" x14ac:dyDescent="0.25">
      <c r="B2293" s="5">
        <f t="shared" si="71"/>
        <v>44659</v>
      </c>
      <c r="C2293" s="6">
        <f>IFERROR(VLOOKUP($B2293,Platts!$E$5:$M$4994,MATCH(C$3,Platts!$F$5:$M$5,0)+1,FALSE),C2292)</f>
        <v>95.36</v>
      </c>
      <c r="D2293" s="6">
        <f>IFERROR(VLOOKUP($B2293,Platts!$E$5:$M$4994,MATCH(D$3,Platts!$F$5:$M$5,0)+1,FALSE),D2292)</f>
        <v>95.29</v>
      </c>
      <c r="E2293" s="6">
        <f>IFERROR(VLOOKUP($B2293,Platts!$E$5:$M$4994,MATCH(E$3,Platts!$F$5:$M$5,0)+1,FALSE),E2292)</f>
        <v>94.19</v>
      </c>
      <c r="F2293" s="6">
        <f>IFERROR(VLOOKUP($B2293,Platts!$E$5:$M$4994,MATCH(F$3,Platts!$F$5:$M$5,0)+1,FALSE),F2292)</f>
        <v>98.29</v>
      </c>
      <c r="G2293" s="6">
        <f>IFERROR(VLOOKUP($B2293,Platts!$E$5:$M$4994,MATCH(G$3,Platts!$F$5:$M$5,0)+1,FALSE),G2292)</f>
        <v>101.49</v>
      </c>
      <c r="H2293" s="6">
        <f>IFERROR(VLOOKUP($B2293,Platts!$E$5:$M$4994,MATCH(H$3,Platts!$F$5:$M$5,0)+1,FALSE),H2292)</f>
        <v>98.26</v>
      </c>
      <c r="I2293" s="6">
        <f>IFERROR(VLOOKUP($B2293,Platts!$E$5:$M$4994,MATCH(I$3,Platts!$F$5:$M$5,0)+1,FALSE),I2292)</f>
        <v>99.61</v>
      </c>
      <c r="J2293" s="6">
        <f t="shared" si="72"/>
        <v>2.9000000000000057</v>
      </c>
    </row>
    <row r="2294" spans="2:10" x14ac:dyDescent="0.25">
      <c r="B2294" s="5">
        <f t="shared" si="71"/>
        <v>44660</v>
      </c>
      <c r="C2294" s="6">
        <f>IFERROR(VLOOKUP($B2294,Platts!$E$5:$M$4994,MATCH(C$3,Platts!$F$5:$M$5,0)+1,FALSE),C2293)</f>
        <v>95.36</v>
      </c>
      <c r="D2294" s="6">
        <f>IFERROR(VLOOKUP($B2294,Platts!$E$5:$M$4994,MATCH(D$3,Platts!$F$5:$M$5,0)+1,FALSE),D2293)</f>
        <v>95.29</v>
      </c>
      <c r="E2294" s="6">
        <f>IFERROR(VLOOKUP($B2294,Platts!$E$5:$M$4994,MATCH(E$3,Platts!$F$5:$M$5,0)+1,FALSE),E2293)</f>
        <v>94.19</v>
      </c>
      <c r="F2294" s="6">
        <f>IFERROR(VLOOKUP($B2294,Platts!$E$5:$M$4994,MATCH(F$3,Platts!$F$5:$M$5,0)+1,FALSE),F2293)</f>
        <v>98.29</v>
      </c>
      <c r="G2294" s="6">
        <f>IFERROR(VLOOKUP($B2294,Platts!$E$5:$M$4994,MATCH(G$3,Platts!$F$5:$M$5,0)+1,FALSE),G2293)</f>
        <v>101.49</v>
      </c>
      <c r="H2294" s="6">
        <f>IFERROR(VLOOKUP($B2294,Platts!$E$5:$M$4994,MATCH(H$3,Platts!$F$5:$M$5,0)+1,FALSE),H2293)</f>
        <v>98.26</v>
      </c>
      <c r="I2294" s="6">
        <f>IFERROR(VLOOKUP($B2294,Platts!$E$5:$M$4994,MATCH(I$3,Platts!$F$5:$M$5,0)+1,FALSE),I2293)</f>
        <v>99.61</v>
      </c>
      <c r="J2294" s="6">
        <f t="shared" si="72"/>
        <v>2.9000000000000057</v>
      </c>
    </row>
    <row r="2295" spans="2:10" x14ac:dyDescent="0.25">
      <c r="B2295" s="5">
        <f t="shared" si="71"/>
        <v>44661</v>
      </c>
      <c r="C2295" s="6">
        <f>IFERROR(VLOOKUP($B2295,Platts!$E$5:$M$4994,MATCH(C$3,Platts!$F$5:$M$5,0)+1,FALSE),C2294)</f>
        <v>95.36</v>
      </c>
      <c r="D2295" s="6">
        <f>IFERROR(VLOOKUP($B2295,Platts!$E$5:$M$4994,MATCH(D$3,Platts!$F$5:$M$5,0)+1,FALSE),D2294)</f>
        <v>95.29</v>
      </c>
      <c r="E2295" s="6">
        <f>IFERROR(VLOOKUP($B2295,Platts!$E$5:$M$4994,MATCH(E$3,Platts!$F$5:$M$5,0)+1,FALSE),E2294)</f>
        <v>94.19</v>
      </c>
      <c r="F2295" s="6">
        <f>IFERROR(VLOOKUP($B2295,Platts!$E$5:$M$4994,MATCH(F$3,Platts!$F$5:$M$5,0)+1,FALSE),F2294)</f>
        <v>98.29</v>
      </c>
      <c r="G2295" s="6">
        <f>IFERROR(VLOOKUP($B2295,Platts!$E$5:$M$4994,MATCH(G$3,Platts!$F$5:$M$5,0)+1,FALSE),G2294)</f>
        <v>101.49</v>
      </c>
      <c r="H2295" s="6">
        <f>IFERROR(VLOOKUP($B2295,Platts!$E$5:$M$4994,MATCH(H$3,Platts!$F$5:$M$5,0)+1,FALSE),H2294)</f>
        <v>98.26</v>
      </c>
      <c r="I2295" s="6">
        <f>IFERROR(VLOOKUP($B2295,Platts!$E$5:$M$4994,MATCH(I$3,Platts!$F$5:$M$5,0)+1,FALSE),I2294)</f>
        <v>99.61</v>
      </c>
      <c r="J2295" s="6">
        <f t="shared" si="72"/>
        <v>2.9000000000000057</v>
      </c>
    </row>
    <row r="2296" spans="2:10" x14ac:dyDescent="0.25">
      <c r="B2296" s="5">
        <f t="shared" si="71"/>
        <v>44662</v>
      </c>
      <c r="C2296" s="6">
        <f>IFERROR(VLOOKUP($B2296,Platts!$E$5:$M$4994,MATCH(C$3,Platts!$F$5:$M$5,0)+1,FALSE),C2295)</f>
        <v>91.93</v>
      </c>
      <c r="D2296" s="6">
        <f>IFERROR(VLOOKUP($B2296,Platts!$E$5:$M$4994,MATCH(D$3,Platts!$F$5:$M$5,0)+1,FALSE),D2295)</f>
        <v>91.27</v>
      </c>
      <c r="E2296" s="6">
        <f>IFERROR(VLOOKUP($B2296,Platts!$E$5:$M$4994,MATCH(E$3,Platts!$F$5:$M$5,0)+1,FALSE),E2295)</f>
        <v>90.17</v>
      </c>
      <c r="F2296" s="6">
        <f>IFERROR(VLOOKUP($B2296,Platts!$E$5:$M$4994,MATCH(F$3,Platts!$F$5:$M$5,0)+1,FALSE),F2295)</f>
        <v>94.27</v>
      </c>
      <c r="G2296" s="6">
        <f>IFERROR(VLOOKUP($B2296,Platts!$E$5:$M$4994,MATCH(G$3,Platts!$F$5:$M$5,0)+1,FALSE),G2295)</f>
        <v>99.24</v>
      </c>
      <c r="H2296" s="6">
        <f>IFERROR(VLOOKUP($B2296,Platts!$E$5:$M$4994,MATCH(H$3,Platts!$F$5:$M$5,0)+1,FALSE),H2295)</f>
        <v>94.29</v>
      </c>
      <c r="I2296" s="6">
        <f>IFERROR(VLOOKUP($B2296,Platts!$E$5:$M$4994,MATCH(I$3,Platts!$F$5:$M$5,0)+1,FALSE),I2295)</f>
        <v>95.64</v>
      </c>
      <c r="J2296" s="6">
        <f t="shared" si="72"/>
        <v>2.3599999999999994</v>
      </c>
    </row>
    <row r="2297" spans="2:10" x14ac:dyDescent="0.25">
      <c r="B2297" s="5">
        <f t="shared" si="71"/>
        <v>44663</v>
      </c>
      <c r="C2297" s="6">
        <f>IFERROR(VLOOKUP($B2297,Platts!$E$5:$M$4994,MATCH(C$3,Platts!$F$5:$M$5,0)+1,FALSE),C2296)</f>
        <v>97.16</v>
      </c>
      <c r="D2297" s="6">
        <f>IFERROR(VLOOKUP($B2297,Platts!$E$5:$M$4994,MATCH(D$3,Platts!$F$5:$M$5,0)+1,FALSE),D2296)</f>
        <v>97.63</v>
      </c>
      <c r="E2297" s="6">
        <f>IFERROR(VLOOKUP($B2297,Platts!$E$5:$M$4994,MATCH(E$3,Platts!$F$5:$M$5,0)+1,FALSE),E2296)</f>
        <v>96.53</v>
      </c>
      <c r="F2297" s="6">
        <f>IFERROR(VLOOKUP($B2297,Platts!$E$5:$M$4994,MATCH(F$3,Platts!$F$5:$M$5,0)+1,FALSE),F2296)</f>
        <v>100.63</v>
      </c>
      <c r="G2297" s="6">
        <f>IFERROR(VLOOKUP($B2297,Platts!$E$5:$M$4994,MATCH(G$3,Platts!$F$5:$M$5,0)+1,FALSE),G2296)</f>
        <v>105.54</v>
      </c>
      <c r="H2297" s="6">
        <f>IFERROR(VLOOKUP($B2297,Platts!$E$5:$M$4994,MATCH(H$3,Platts!$F$5:$M$5,0)+1,FALSE),H2296)</f>
        <v>100.6</v>
      </c>
      <c r="I2297" s="6">
        <f>IFERROR(VLOOKUP($B2297,Platts!$E$5:$M$4994,MATCH(I$3,Platts!$F$5:$M$5,0)+1,FALSE),I2296)</f>
        <v>102.1</v>
      </c>
      <c r="J2297" s="6">
        <f t="shared" si="72"/>
        <v>3.4399999999999977</v>
      </c>
    </row>
    <row r="2298" spans="2:10" x14ac:dyDescent="0.25">
      <c r="B2298" s="5">
        <f t="shared" si="71"/>
        <v>44664</v>
      </c>
      <c r="C2298" s="6">
        <f>IFERROR(VLOOKUP($B2298,Platts!$E$5:$M$4994,MATCH(C$3,Platts!$F$5:$M$5,0)+1,FALSE),C2297)</f>
        <v>101.14</v>
      </c>
      <c r="D2298" s="6">
        <f>IFERROR(VLOOKUP($B2298,Platts!$E$5:$M$4994,MATCH(D$3,Platts!$F$5:$M$5,0)+1,FALSE),D2297)</f>
        <v>101.48</v>
      </c>
      <c r="E2298" s="6">
        <f>IFERROR(VLOOKUP($B2298,Platts!$E$5:$M$4994,MATCH(E$3,Platts!$F$5:$M$5,0)+1,FALSE),E2297)</f>
        <v>100.38</v>
      </c>
      <c r="F2298" s="6">
        <f>IFERROR(VLOOKUP($B2298,Platts!$E$5:$M$4994,MATCH(F$3,Platts!$F$5:$M$5,0)+1,FALSE),F2297)</f>
        <v>104.48</v>
      </c>
      <c r="G2298" s="6">
        <f>IFERROR(VLOOKUP($B2298,Platts!$E$5:$M$4994,MATCH(G$3,Platts!$F$5:$M$5,0)+1,FALSE),G2297)</f>
        <v>107.01</v>
      </c>
      <c r="H2298" s="6">
        <f>IFERROR(VLOOKUP($B2298,Platts!$E$5:$M$4994,MATCH(H$3,Platts!$F$5:$M$5,0)+1,FALSE),H2297)</f>
        <v>104.25</v>
      </c>
      <c r="I2298" s="6">
        <f>IFERROR(VLOOKUP($B2298,Platts!$E$5:$M$4994,MATCH(I$3,Platts!$F$5:$M$5,0)+1,FALSE),I2297)</f>
        <v>106.1</v>
      </c>
      <c r="J2298" s="6">
        <f t="shared" si="72"/>
        <v>3.1099999999999994</v>
      </c>
    </row>
    <row r="2299" spans="2:10" x14ac:dyDescent="0.25">
      <c r="B2299" s="5">
        <f t="shared" si="71"/>
        <v>44665</v>
      </c>
      <c r="C2299" s="6">
        <f>IFERROR(VLOOKUP($B2299,Platts!$E$5:$M$4994,MATCH(C$3,Platts!$F$5:$M$5,0)+1,FALSE),C2298)</f>
        <v>101.14</v>
      </c>
      <c r="D2299" s="6">
        <f>IFERROR(VLOOKUP($B2299,Platts!$E$5:$M$4994,MATCH(D$3,Platts!$F$5:$M$5,0)+1,FALSE),D2298)</f>
        <v>104.16</v>
      </c>
      <c r="E2299" s="6">
        <f>IFERROR(VLOOKUP($B2299,Platts!$E$5:$M$4994,MATCH(E$3,Platts!$F$5:$M$5,0)+1,FALSE),E2298)</f>
        <v>103.06</v>
      </c>
      <c r="F2299" s="6">
        <f>IFERROR(VLOOKUP($B2299,Platts!$E$5:$M$4994,MATCH(F$3,Platts!$F$5:$M$5,0)+1,FALSE),F2298)</f>
        <v>107.16</v>
      </c>
      <c r="G2299" s="6">
        <f>IFERROR(VLOOKUP($B2299,Platts!$E$5:$M$4994,MATCH(G$3,Platts!$F$5:$M$5,0)+1,FALSE),G2298)</f>
        <v>107.51</v>
      </c>
      <c r="H2299" s="6">
        <f>IFERROR(VLOOKUP($B2299,Platts!$E$5:$M$4994,MATCH(H$3,Platts!$F$5:$M$5,0)+1,FALSE),H2298)</f>
        <v>106.95</v>
      </c>
      <c r="I2299" s="6">
        <f>IFERROR(VLOOKUP($B2299,Platts!$E$5:$M$4994,MATCH(I$3,Platts!$F$5:$M$5,0)+1,FALSE),I2298)</f>
        <v>108.65</v>
      </c>
      <c r="J2299" s="6">
        <f t="shared" si="72"/>
        <v>5.8100000000000023</v>
      </c>
    </row>
    <row r="2300" spans="2:10" x14ac:dyDescent="0.25">
      <c r="B2300" s="5">
        <f t="shared" si="71"/>
        <v>44666</v>
      </c>
      <c r="C2300" s="6">
        <f>IFERROR(VLOOKUP($B2300,Platts!$E$5:$M$4994,MATCH(C$3,Platts!$F$5:$M$5,0)+1,FALSE),C2299)</f>
        <v>101.14</v>
      </c>
      <c r="D2300" s="6">
        <f>IFERROR(VLOOKUP($B2300,Platts!$E$5:$M$4994,MATCH(D$3,Platts!$F$5:$M$5,0)+1,FALSE),D2299)</f>
        <v>104.16</v>
      </c>
      <c r="E2300" s="6">
        <f>IFERROR(VLOOKUP($B2300,Platts!$E$5:$M$4994,MATCH(E$3,Platts!$F$5:$M$5,0)+1,FALSE),E2299)</f>
        <v>103.06</v>
      </c>
      <c r="F2300" s="6">
        <f>IFERROR(VLOOKUP($B2300,Platts!$E$5:$M$4994,MATCH(F$3,Platts!$F$5:$M$5,0)+1,FALSE),F2299)</f>
        <v>107.16</v>
      </c>
      <c r="G2300" s="6">
        <f>IFERROR(VLOOKUP($B2300,Platts!$E$5:$M$4994,MATCH(G$3,Platts!$F$5:$M$5,0)+1,FALSE),G2299)</f>
        <v>107.51</v>
      </c>
      <c r="H2300" s="6">
        <f>IFERROR(VLOOKUP($B2300,Platts!$E$5:$M$4994,MATCH(H$3,Platts!$F$5:$M$5,0)+1,FALSE),H2299)</f>
        <v>106.95</v>
      </c>
      <c r="I2300" s="6">
        <f>IFERROR(VLOOKUP($B2300,Platts!$E$5:$M$4994,MATCH(I$3,Platts!$F$5:$M$5,0)+1,FALSE),I2299)</f>
        <v>108.65</v>
      </c>
      <c r="J2300" s="6">
        <f t="shared" si="72"/>
        <v>5.8100000000000023</v>
      </c>
    </row>
    <row r="2301" spans="2:10" x14ac:dyDescent="0.25">
      <c r="B2301" s="5">
        <f t="shared" si="71"/>
        <v>44667</v>
      </c>
      <c r="C2301" s="6">
        <f>IFERROR(VLOOKUP($B2301,Platts!$E$5:$M$4994,MATCH(C$3,Platts!$F$5:$M$5,0)+1,FALSE),C2300)</f>
        <v>101.14</v>
      </c>
      <c r="D2301" s="6">
        <f>IFERROR(VLOOKUP($B2301,Platts!$E$5:$M$4994,MATCH(D$3,Platts!$F$5:$M$5,0)+1,FALSE),D2300)</f>
        <v>104.16</v>
      </c>
      <c r="E2301" s="6">
        <f>IFERROR(VLOOKUP($B2301,Platts!$E$5:$M$4994,MATCH(E$3,Platts!$F$5:$M$5,0)+1,FALSE),E2300)</f>
        <v>103.06</v>
      </c>
      <c r="F2301" s="6">
        <f>IFERROR(VLOOKUP($B2301,Platts!$E$5:$M$4994,MATCH(F$3,Platts!$F$5:$M$5,0)+1,FALSE),F2300)</f>
        <v>107.16</v>
      </c>
      <c r="G2301" s="6">
        <f>IFERROR(VLOOKUP($B2301,Platts!$E$5:$M$4994,MATCH(G$3,Platts!$F$5:$M$5,0)+1,FALSE),G2300)</f>
        <v>107.51</v>
      </c>
      <c r="H2301" s="6">
        <f>IFERROR(VLOOKUP($B2301,Platts!$E$5:$M$4994,MATCH(H$3,Platts!$F$5:$M$5,0)+1,FALSE),H2300)</f>
        <v>106.95</v>
      </c>
      <c r="I2301" s="6">
        <f>IFERROR(VLOOKUP($B2301,Platts!$E$5:$M$4994,MATCH(I$3,Platts!$F$5:$M$5,0)+1,FALSE),I2300)</f>
        <v>108.65</v>
      </c>
      <c r="J2301" s="6">
        <f t="shared" si="72"/>
        <v>5.8100000000000023</v>
      </c>
    </row>
    <row r="2302" spans="2:10" x14ac:dyDescent="0.25">
      <c r="B2302" s="5">
        <f t="shared" si="71"/>
        <v>44668</v>
      </c>
      <c r="C2302" s="6">
        <f>IFERROR(VLOOKUP($B2302,Platts!$E$5:$M$4994,MATCH(C$3,Platts!$F$5:$M$5,0)+1,FALSE),C2301)</f>
        <v>101.14</v>
      </c>
      <c r="D2302" s="6">
        <f>IFERROR(VLOOKUP($B2302,Platts!$E$5:$M$4994,MATCH(D$3,Platts!$F$5:$M$5,0)+1,FALSE),D2301)</f>
        <v>104.16</v>
      </c>
      <c r="E2302" s="6">
        <f>IFERROR(VLOOKUP($B2302,Platts!$E$5:$M$4994,MATCH(E$3,Platts!$F$5:$M$5,0)+1,FALSE),E2301)</f>
        <v>103.06</v>
      </c>
      <c r="F2302" s="6">
        <f>IFERROR(VLOOKUP($B2302,Platts!$E$5:$M$4994,MATCH(F$3,Platts!$F$5:$M$5,0)+1,FALSE),F2301)</f>
        <v>107.16</v>
      </c>
      <c r="G2302" s="6">
        <f>IFERROR(VLOOKUP($B2302,Platts!$E$5:$M$4994,MATCH(G$3,Platts!$F$5:$M$5,0)+1,FALSE),G2301)</f>
        <v>107.51</v>
      </c>
      <c r="H2302" s="6">
        <f>IFERROR(VLOOKUP($B2302,Platts!$E$5:$M$4994,MATCH(H$3,Platts!$F$5:$M$5,0)+1,FALSE),H2301)</f>
        <v>106.95</v>
      </c>
      <c r="I2302" s="6">
        <f>IFERROR(VLOOKUP($B2302,Platts!$E$5:$M$4994,MATCH(I$3,Platts!$F$5:$M$5,0)+1,FALSE),I2301)</f>
        <v>108.65</v>
      </c>
      <c r="J2302" s="6">
        <f t="shared" si="72"/>
        <v>5.8100000000000023</v>
      </c>
    </row>
    <row r="2303" spans="2:10" x14ac:dyDescent="0.25">
      <c r="B2303" s="5">
        <f t="shared" si="71"/>
        <v>44669</v>
      </c>
      <c r="C2303" s="6">
        <f>IFERROR(VLOOKUP($B2303,Platts!$E$5:$M$4994,MATCH(C$3,Platts!$F$5:$M$5,0)+1,FALSE),C2302)</f>
        <v>105.5</v>
      </c>
      <c r="D2303" s="6">
        <f>IFERROR(VLOOKUP($B2303,Platts!$E$5:$M$4994,MATCH(D$3,Platts!$F$5:$M$5,0)+1,FALSE),D2302)</f>
        <v>105.49</v>
      </c>
      <c r="E2303" s="6">
        <f>IFERROR(VLOOKUP($B2303,Platts!$E$5:$M$4994,MATCH(E$3,Platts!$F$5:$M$5,0)+1,FALSE),E2302)</f>
        <v>104.39</v>
      </c>
      <c r="F2303" s="6">
        <f>IFERROR(VLOOKUP($B2303,Platts!$E$5:$M$4994,MATCH(F$3,Platts!$F$5:$M$5,0)+1,FALSE),F2302)</f>
        <v>108.49</v>
      </c>
      <c r="G2303" s="6">
        <f>IFERROR(VLOOKUP($B2303,Platts!$E$5:$M$4994,MATCH(G$3,Platts!$F$5:$M$5,0)+1,FALSE),G2302)</f>
        <v>107.51</v>
      </c>
      <c r="H2303" s="6">
        <f>IFERROR(VLOOKUP($B2303,Platts!$E$5:$M$4994,MATCH(H$3,Platts!$F$5:$M$5,0)+1,FALSE),H2302)</f>
        <v>108.21</v>
      </c>
      <c r="I2303" s="6">
        <f>IFERROR(VLOOKUP($B2303,Platts!$E$5:$M$4994,MATCH(I$3,Platts!$F$5:$M$5,0)+1,FALSE),I2302)</f>
        <v>109.91</v>
      </c>
      <c r="J2303" s="6">
        <f t="shared" si="72"/>
        <v>2.7099999999999937</v>
      </c>
    </row>
    <row r="2304" spans="2:10" x14ac:dyDescent="0.25">
      <c r="B2304" s="5">
        <f t="shared" si="71"/>
        <v>44670</v>
      </c>
      <c r="C2304" s="6">
        <f>IFERROR(VLOOKUP($B2304,Platts!$E$5:$M$4994,MATCH(C$3,Platts!$F$5:$M$5,0)+1,FALSE),C2303)</f>
        <v>100.92</v>
      </c>
      <c r="D2304" s="6">
        <f>IFERROR(VLOOKUP($B2304,Platts!$E$5:$M$4994,MATCH(D$3,Platts!$F$5:$M$5,0)+1,FALSE),D2303)</f>
        <v>99.65</v>
      </c>
      <c r="E2304" s="6">
        <f>IFERROR(VLOOKUP($B2304,Platts!$E$5:$M$4994,MATCH(E$3,Platts!$F$5:$M$5,0)+1,FALSE),E2303)</f>
        <v>98.55</v>
      </c>
      <c r="F2304" s="6">
        <f>IFERROR(VLOOKUP($B2304,Platts!$E$5:$M$4994,MATCH(F$3,Platts!$F$5:$M$5,0)+1,FALSE),F2303)</f>
        <v>102.65</v>
      </c>
      <c r="G2304" s="6">
        <f>IFERROR(VLOOKUP($B2304,Platts!$E$5:$M$4994,MATCH(G$3,Platts!$F$5:$M$5,0)+1,FALSE),G2303)</f>
        <v>107.3</v>
      </c>
      <c r="H2304" s="6">
        <f>IFERROR(VLOOKUP($B2304,Platts!$E$5:$M$4994,MATCH(H$3,Platts!$F$5:$M$5,0)+1,FALSE),H2303)</f>
        <v>102.56</v>
      </c>
      <c r="I2304" s="6">
        <f>IFERROR(VLOOKUP($B2304,Platts!$E$5:$M$4994,MATCH(I$3,Platts!$F$5:$M$5,0)+1,FALSE),I2303)</f>
        <v>103.46</v>
      </c>
      <c r="J2304" s="6">
        <f t="shared" si="72"/>
        <v>1.6400000000000006</v>
      </c>
    </row>
    <row r="2305" spans="2:10" x14ac:dyDescent="0.25">
      <c r="B2305" s="5">
        <f t="shared" si="71"/>
        <v>44671</v>
      </c>
      <c r="C2305" s="6">
        <f>IFERROR(VLOOKUP($B2305,Platts!$E$5:$M$4994,MATCH(C$3,Platts!$F$5:$M$5,0)+1,FALSE),C2304)</f>
        <v>100.25</v>
      </c>
      <c r="D2305" s="6">
        <f>IFERROR(VLOOKUP($B2305,Platts!$E$5:$M$4994,MATCH(D$3,Platts!$F$5:$M$5,0)+1,FALSE),D2304)</f>
        <v>99.62</v>
      </c>
      <c r="E2305" s="6">
        <f>IFERROR(VLOOKUP($B2305,Platts!$E$5:$M$4994,MATCH(E$3,Platts!$F$5:$M$5,0)+1,FALSE),E2304)</f>
        <v>98.52</v>
      </c>
      <c r="F2305" s="6">
        <f>IFERROR(VLOOKUP($B2305,Platts!$E$5:$M$4994,MATCH(F$3,Platts!$F$5:$M$5,0)+1,FALSE),F2304)</f>
        <v>102.62</v>
      </c>
      <c r="G2305" s="6">
        <f>IFERROR(VLOOKUP($B2305,Platts!$E$5:$M$4994,MATCH(G$3,Platts!$F$5:$M$5,0)+1,FALSE),G2304)</f>
        <v>107.24</v>
      </c>
      <c r="H2305" s="6">
        <f>IFERROR(VLOOKUP($B2305,Platts!$E$5:$M$4994,MATCH(H$3,Platts!$F$5:$M$5,0)+1,FALSE),H2304)</f>
        <v>102.75</v>
      </c>
      <c r="I2305" s="6">
        <f>IFERROR(VLOOKUP($B2305,Platts!$E$5:$M$4994,MATCH(I$3,Platts!$F$5:$M$5,0)+1,FALSE),I2304)</f>
        <v>103.65</v>
      </c>
      <c r="J2305" s="6">
        <f t="shared" si="72"/>
        <v>2.5</v>
      </c>
    </row>
    <row r="2306" spans="2:10" x14ac:dyDescent="0.25">
      <c r="B2306" s="5">
        <f t="shared" si="71"/>
        <v>44672</v>
      </c>
      <c r="C2306" s="6">
        <f>IFERROR(VLOOKUP($B2306,Platts!$E$5:$M$4994,MATCH(C$3,Platts!$F$5:$M$5,0)+1,FALSE),C2305)</f>
        <v>101.68</v>
      </c>
      <c r="D2306" s="6">
        <f>IFERROR(VLOOKUP($B2306,Platts!$E$5:$M$4994,MATCH(D$3,Platts!$F$5:$M$5,0)+1,FALSE),D2305)</f>
        <v>101.45</v>
      </c>
      <c r="E2306" s="6">
        <f>IFERROR(VLOOKUP($B2306,Platts!$E$5:$M$4994,MATCH(E$3,Platts!$F$5:$M$5,0)+1,FALSE),E2305)</f>
        <v>100.35</v>
      </c>
      <c r="F2306" s="6">
        <f>IFERROR(VLOOKUP($B2306,Platts!$E$5:$M$4994,MATCH(F$3,Platts!$F$5:$M$5,0)+1,FALSE),F2305)</f>
        <v>104.45</v>
      </c>
      <c r="G2306" s="6">
        <f>IFERROR(VLOOKUP($B2306,Platts!$E$5:$M$4994,MATCH(G$3,Platts!$F$5:$M$5,0)+1,FALSE),G2305)</f>
        <v>108.05</v>
      </c>
      <c r="H2306" s="6">
        <f>IFERROR(VLOOKUP($B2306,Platts!$E$5:$M$4994,MATCH(H$3,Platts!$F$5:$M$5,0)+1,FALSE),H2305)</f>
        <v>104.59</v>
      </c>
      <c r="I2306" s="6">
        <f>IFERROR(VLOOKUP($B2306,Platts!$E$5:$M$4994,MATCH(I$3,Platts!$F$5:$M$5,0)+1,FALSE),I2305)</f>
        <v>106.29</v>
      </c>
      <c r="J2306" s="6">
        <f t="shared" si="72"/>
        <v>2.9099999999999966</v>
      </c>
    </row>
    <row r="2307" spans="2:10" x14ac:dyDescent="0.25">
      <c r="B2307" s="5">
        <f t="shared" si="71"/>
        <v>44673</v>
      </c>
      <c r="C2307" s="6">
        <f>IFERROR(VLOOKUP($B2307,Platts!$E$5:$M$4994,MATCH(C$3,Platts!$F$5:$M$5,0)+1,FALSE),C2306)</f>
        <v>100.21</v>
      </c>
      <c r="D2307" s="6">
        <f>IFERROR(VLOOKUP($B2307,Platts!$E$5:$M$4994,MATCH(D$3,Platts!$F$5:$M$5,0)+1,FALSE),D2306)</f>
        <v>99.77</v>
      </c>
      <c r="E2307" s="6">
        <f>IFERROR(VLOOKUP($B2307,Platts!$E$5:$M$4994,MATCH(E$3,Platts!$F$5:$M$5,0)+1,FALSE),E2306)</f>
        <v>98.67</v>
      </c>
      <c r="F2307" s="6">
        <f>IFERROR(VLOOKUP($B2307,Platts!$E$5:$M$4994,MATCH(F$3,Platts!$F$5:$M$5,0)+1,FALSE),F2306)</f>
        <v>102.77</v>
      </c>
      <c r="G2307" s="6">
        <f>IFERROR(VLOOKUP($B2307,Platts!$E$5:$M$4994,MATCH(G$3,Platts!$F$5:$M$5,0)+1,FALSE),G2306)</f>
        <v>106.88</v>
      </c>
      <c r="H2307" s="6">
        <f>IFERROR(VLOOKUP($B2307,Platts!$E$5:$M$4994,MATCH(H$3,Platts!$F$5:$M$5,0)+1,FALSE),H2306)</f>
        <v>102.97</v>
      </c>
      <c r="I2307" s="6">
        <f>IFERROR(VLOOKUP($B2307,Platts!$E$5:$M$4994,MATCH(I$3,Platts!$F$5:$M$5,0)+1,FALSE),I2306)</f>
        <v>104.67</v>
      </c>
      <c r="J2307" s="6">
        <f t="shared" si="72"/>
        <v>2.7600000000000051</v>
      </c>
    </row>
    <row r="2308" spans="2:10" x14ac:dyDescent="0.25">
      <c r="B2308" s="5">
        <f t="shared" si="71"/>
        <v>44674</v>
      </c>
      <c r="C2308" s="6">
        <f>IFERROR(VLOOKUP($B2308,Platts!$E$5:$M$4994,MATCH(C$3,Platts!$F$5:$M$5,0)+1,FALSE),C2307)</f>
        <v>100.21</v>
      </c>
      <c r="D2308" s="6">
        <f>IFERROR(VLOOKUP($B2308,Platts!$E$5:$M$4994,MATCH(D$3,Platts!$F$5:$M$5,0)+1,FALSE),D2307)</f>
        <v>99.77</v>
      </c>
      <c r="E2308" s="6">
        <f>IFERROR(VLOOKUP($B2308,Platts!$E$5:$M$4994,MATCH(E$3,Platts!$F$5:$M$5,0)+1,FALSE),E2307)</f>
        <v>98.67</v>
      </c>
      <c r="F2308" s="6">
        <f>IFERROR(VLOOKUP($B2308,Platts!$E$5:$M$4994,MATCH(F$3,Platts!$F$5:$M$5,0)+1,FALSE),F2307)</f>
        <v>102.77</v>
      </c>
      <c r="G2308" s="6">
        <f>IFERROR(VLOOKUP($B2308,Platts!$E$5:$M$4994,MATCH(G$3,Platts!$F$5:$M$5,0)+1,FALSE),G2307)</f>
        <v>106.88</v>
      </c>
      <c r="H2308" s="6">
        <f>IFERROR(VLOOKUP($B2308,Platts!$E$5:$M$4994,MATCH(H$3,Platts!$F$5:$M$5,0)+1,FALSE),H2307)</f>
        <v>102.97</v>
      </c>
      <c r="I2308" s="6">
        <f>IFERROR(VLOOKUP($B2308,Platts!$E$5:$M$4994,MATCH(I$3,Platts!$F$5:$M$5,0)+1,FALSE),I2307)</f>
        <v>104.67</v>
      </c>
      <c r="J2308" s="6">
        <f t="shared" si="72"/>
        <v>2.7600000000000051</v>
      </c>
    </row>
    <row r="2309" spans="2:10" x14ac:dyDescent="0.25">
      <c r="B2309" s="5">
        <f t="shared" si="71"/>
        <v>44675</v>
      </c>
      <c r="C2309" s="6">
        <f>IFERROR(VLOOKUP($B2309,Platts!$E$5:$M$4994,MATCH(C$3,Platts!$F$5:$M$5,0)+1,FALSE),C2308)</f>
        <v>100.21</v>
      </c>
      <c r="D2309" s="6">
        <f>IFERROR(VLOOKUP($B2309,Platts!$E$5:$M$4994,MATCH(D$3,Platts!$F$5:$M$5,0)+1,FALSE),D2308)</f>
        <v>99.77</v>
      </c>
      <c r="E2309" s="6">
        <f>IFERROR(VLOOKUP($B2309,Platts!$E$5:$M$4994,MATCH(E$3,Platts!$F$5:$M$5,0)+1,FALSE),E2308)</f>
        <v>98.67</v>
      </c>
      <c r="F2309" s="6">
        <f>IFERROR(VLOOKUP($B2309,Platts!$E$5:$M$4994,MATCH(F$3,Platts!$F$5:$M$5,0)+1,FALSE),F2308)</f>
        <v>102.77</v>
      </c>
      <c r="G2309" s="6">
        <f>IFERROR(VLOOKUP($B2309,Platts!$E$5:$M$4994,MATCH(G$3,Platts!$F$5:$M$5,0)+1,FALSE),G2308)</f>
        <v>106.88</v>
      </c>
      <c r="H2309" s="6">
        <f>IFERROR(VLOOKUP($B2309,Platts!$E$5:$M$4994,MATCH(H$3,Platts!$F$5:$M$5,0)+1,FALSE),H2308)</f>
        <v>102.97</v>
      </c>
      <c r="I2309" s="6">
        <f>IFERROR(VLOOKUP($B2309,Platts!$E$5:$M$4994,MATCH(I$3,Platts!$F$5:$M$5,0)+1,FALSE),I2308)</f>
        <v>104.67</v>
      </c>
      <c r="J2309" s="6">
        <f t="shared" si="72"/>
        <v>2.7600000000000051</v>
      </c>
    </row>
    <row r="2310" spans="2:10" x14ac:dyDescent="0.25">
      <c r="B2310" s="5">
        <f t="shared" ref="B2310:B2373" si="73">B2309+1</f>
        <v>44676</v>
      </c>
      <c r="C2310" s="6">
        <f>IFERROR(VLOOKUP($B2310,Platts!$E$5:$M$4994,MATCH(C$3,Platts!$F$5:$M$5,0)+1,FALSE),C2309)</f>
        <v>96.06</v>
      </c>
      <c r="D2310" s="6">
        <f>IFERROR(VLOOKUP($B2310,Platts!$E$5:$M$4994,MATCH(D$3,Platts!$F$5:$M$5,0)+1,FALSE),D2309)</f>
        <v>95.96</v>
      </c>
      <c r="E2310" s="6">
        <f>IFERROR(VLOOKUP($B2310,Platts!$E$5:$M$4994,MATCH(E$3,Platts!$F$5:$M$5,0)+1,FALSE),E2309)</f>
        <v>94.86</v>
      </c>
      <c r="F2310" s="6">
        <f>IFERROR(VLOOKUP($B2310,Platts!$E$5:$M$4994,MATCH(F$3,Platts!$F$5:$M$5,0)+1,FALSE),F2309)</f>
        <v>98.96</v>
      </c>
      <c r="G2310" s="6">
        <f>IFERROR(VLOOKUP($B2310,Platts!$E$5:$M$4994,MATCH(G$3,Platts!$F$5:$M$5,0)+1,FALSE),G2309)</f>
        <v>99.83</v>
      </c>
      <c r="H2310" s="6">
        <f>IFERROR(VLOOKUP($B2310,Platts!$E$5:$M$4994,MATCH(H$3,Platts!$F$5:$M$5,0)+1,FALSE),H2309)</f>
        <v>99.54</v>
      </c>
      <c r="I2310" s="6">
        <f>IFERROR(VLOOKUP($B2310,Platts!$E$5:$M$4994,MATCH(I$3,Platts!$F$5:$M$5,0)+1,FALSE),I2309)</f>
        <v>102.19</v>
      </c>
      <c r="J2310" s="6">
        <f t="shared" si="72"/>
        <v>3.480000000000004</v>
      </c>
    </row>
    <row r="2311" spans="2:10" x14ac:dyDescent="0.25">
      <c r="B2311" s="5">
        <f t="shared" si="73"/>
        <v>44677</v>
      </c>
      <c r="C2311" s="6">
        <f>IFERROR(VLOOKUP($B2311,Platts!$E$5:$M$4994,MATCH(C$3,Platts!$F$5:$M$5,0)+1,FALSE),C2310)</f>
        <v>98.02</v>
      </c>
      <c r="D2311" s="6">
        <f>IFERROR(VLOOKUP($B2311,Platts!$E$5:$M$4994,MATCH(D$3,Platts!$F$5:$M$5,0)+1,FALSE),D2310)</f>
        <v>98.4</v>
      </c>
      <c r="E2311" s="6">
        <f>IFERROR(VLOOKUP($B2311,Platts!$E$5:$M$4994,MATCH(E$3,Platts!$F$5:$M$5,0)+1,FALSE),E2310)</f>
        <v>97.3</v>
      </c>
      <c r="F2311" s="6">
        <f>IFERROR(VLOOKUP($B2311,Platts!$E$5:$M$4994,MATCH(F$3,Platts!$F$5:$M$5,0)+1,FALSE),F2310)</f>
        <v>101.4</v>
      </c>
      <c r="G2311" s="6">
        <f>IFERROR(VLOOKUP($B2311,Platts!$E$5:$M$4994,MATCH(G$3,Platts!$F$5:$M$5,0)+1,FALSE),G2310)</f>
        <v>104.13</v>
      </c>
      <c r="H2311" s="6">
        <f>IFERROR(VLOOKUP($B2311,Platts!$E$5:$M$4994,MATCH(H$3,Platts!$F$5:$M$5,0)+1,FALSE),H2310)</f>
        <v>101.7</v>
      </c>
      <c r="I2311" s="6">
        <f>IFERROR(VLOOKUP($B2311,Platts!$E$5:$M$4994,MATCH(I$3,Platts!$F$5:$M$5,0)+1,FALSE),I2310)</f>
        <v>103.7</v>
      </c>
      <c r="J2311" s="6">
        <f t="shared" si="72"/>
        <v>3.6800000000000068</v>
      </c>
    </row>
    <row r="2312" spans="2:10" x14ac:dyDescent="0.25">
      <c r="B2312" s="5">
        <f t="shared" si="73"/>
        <v>44678</v>
      </c>
      <c r="C2312" s="6">
        <f>IFERROR(VLOOKUP($B2312,Platts!$E$5:$M$4994,MATCH(C$3,Platts!$F$5:$M$5,0)+1,FALSE),C2311)</f>
        <v>98.89</v>
      </c>
      <c r="D2312" s="6">
        <f>IFERROR(VLOOKUP($B2312,Platts!$E$5:$M$4994,MATCH(D$3,Platts!$F$5:$M$5,0)+1,FALSE),D2311)</f>
        <v>98.72</v>
      </c>
      <c r="E2312" s="6">
        <f>IFERROR(VLOOKUP($B2312,Platts!$E$5:$M$4994,MATCH(E$3,Platts!$F$5:$M$5,0)+1,FALSE),E2311)</f>
        <v>97.62</v>
      </c>
      <c r="F2312" s="6">
        <f>IFERROR(VLOOKUP($B2312,Platts!$E$5:$M$4994,MATCH(F$3,Platts!$F$5:$M$5,0)+1,FALSE),F2311)</f>
        <v>101.72</v>
      </c>
      <c r="G2312" s="6">
        <f>IFERROR(VLOOKUP($B2312,Platts!$E$5:$M$4994,MATCH(G$3,Platts!$F$5:$M$5,0)+1,FALSE),G2311)</f>
        <v>104.46</v>
      </c>
      <c r="H2312" s="6">
        <f>IFERROR(VLOOKUP($B2312,Platts!$E$5:$M$4994,MATCH(H$3,Platts!$F$5:$M$5,0)+1,FALSE),H2311)</f>
        <v>102.02</v>
      </c>
      <c r="I2312" s="6">
        <f>IFERROR(VLOOKUP($B2312,Platts!$E$5:$M$4994,MATCH(I$3,Platts!$F$5:$M$5,0)+1,FALSE),I2311)</f>
        <v>104.02</v>
      </c>
      <c r="J2312" s="6">
        <f t="shared" si="72"/>
        <v>3.1299999999999955</v>
      </c>
    </row>
    <row r="2313" spans="2:10" x14ac:dyDescent="0.25">
      <c r="B2313" s="5">
        <f t="shared" si="73"/>
        <v>44679</v>
      </c>
      <c r="C2313" s="6">
        <f>IFERROR(VLOOKUP($B2313,Platts!$E$5:$M$4994,MATCH(C$3,Platts!$F$5:$M$5,0)+1,FALSE),C2312)</f>
        <v>101.16</v>
      </c>
      <c r="D2313" s="6">
        <f>IFERROR(VLOOKUP($B2313,Platts!$E$5:$M$4994,MATCH(D$3,Platts!$F$5:$M$5,0)+1,FALSE),D2312)</f>
        <v>101.69</v>
      </c>
      <c r="E2313" s="6">
        <f>IFERROR(VLOOKUP($B2313,Platts!$E$5:$M$4994,MATCH(E$3,Platts!$F$5:$M$5,0)+1,FALSE),E2312)</f>
        <v>100.59</v>
      </c>
      <c r="F2313" s="6">
        <f>IFERROR(VLOOKUP($B2313,Platts!$E$5:$M$4994,MATCH(F$3,Platts!$F$5:$M$5,0)+1,FALSE),F2312)</f>
        <v>104.69</v>
      </c>
      <c r="G2313" s="6">
        <f>IFERROR(VLOOKUP($B2313,Platts!$E$5:$M$4994,MATCH(G$3,Platts!$F$5:$M$5,0)+1,FALSE),G2312)</f>
        <v>106.83</v>
      </c>
      <c r="H2313" s="6">
        <f>IFERROR(VLOOKUP($B2313,Platts!$E$5:$M$4994,MATCH(H$3,Platts!$F$5:$M$5,0)+1,FALSE),H2312)</f>
        <v>105.36</v>
      </c>
      <c r="I2313" s="6">
        <f>IFERROR(VLOOKUP($B2313,Platts!$E$5:$M$4994,MATCH(I$3,Platts!$F$5:$M$5,0)+1,FALSE),I2312)</f>
        <v>107.21</v>
      </c>
      <c r="J2313" s="6">
        <f t="shared" si="72"/>
        <v>4.2000000000000028</v>
      </c>
    </row>
    <row r="2314" spans="2:10" x14ac:dyDescent="0.25">
      <c r="B2314" s="5">
        <f t="shared" si="73"/>
        <v>44680</v>
      </c>
      <c r="C2314" s="6">
        <f>IFERROR(VLOOKUP($B2314,Platts!$E$5:$M$4994,MATCH(C$3,Platts!$F$5:$M$5,0)+1,FALSE),C2313)</f>
        <v>102.02</v>
      </c>
      <c r="D2314" s="6">
        <f>IFERROR(VLOOKUP($B2314,Platts!$E$5:$M$4994,MATCH(D$3,Platts!$F$5:$M$5,0)+1,FALSE),D2313)</f>
        <v>101.8</v>
      </c>
      <c r="E2314" s="6">
        <f>IFERROR(VLOOKUP($B2314,Platts!$E$5:$M$4994,MATCH(E$3,Platts!$F$5:$M$5,0)+1,FALSE),E2313)</f>
        <v>100.7</v>
      </c>
      <c r="F2314" s="6">
        <f>IFERROR(VLOOKUP($B2314,Platts!$E$5:$M$4994,MATCH(F$3,Platts!$F$5:$M$5,0)+1,FALSE),F2313)</f>
        <v>104.8</v>
      </c>
      <c r="G2314" s="6">
        <f>IFERROR(VLOOKUP($B2314,Platts!$E$5:$M$4994,MATCH(G$3,Platts!$F$5:$M$5,0)+1,FALSE),G2313)</f>
        <v>109.36</v>
      </c>
      <c r="H2314" s="6">
        <f>IFERROR(VLOOKUP($B2314,Platts!$E$5:$M$4994,MATCH(H$3,Platts!$F$5:$M$5,0)+1,FALSE),H2313)</f>
        <v>104.69</v>
      </c>
      <c r="I2314" s="6">
        <f>IFERROR(VLOOKUP($B2314,Platts!$E$5:$M$4994,MATCH(I$3,Platts!$F$5:$M$5,0)+1,FALSE),I2313)</f>
        <v>106.44</v>
      </c>
      <c r="J2314" s="6">
        <f t="shared" si="72"/>
        <v>2.6700000000000017</v>
      </c>
    </row>
    <row r="2315" spans="2:10" x14ac:dyDescent="0.25">
      <c r="B2315" s="5">
        <f t="shared" si="73"/>
        <v>44681</v>
      </c>
      <c r="C2315" s="6">
        <f>IFERROR(VLOOKUP($B2315,Platts!$E$5:$M$4994,MATCH(C$3,Platts!$F$5:$M$5,0)+1,FALSE),C2314)</f>
        <v>102.02</v>
      </c>
      <c r="D2315" s="6">
        <f>IFERROR(VLOOKUP($B2315,Platts!$E$5:$M$4994,MATCH(D$3,Platts!$F$5:$M$5,0)+1,FALSE),D2314)</f>
        <v>101.8</v>
      </c>
      <c r="E2315" s="6">
        <f>IFERROR(VLOOKUP($B2315,Platts!$E$5:$M$4994,MATCH(E$3,Platts!$F$5:$M$5,0)+1,FALSE),E2314)</f>
        <v>100.7</v>
      </c>
      <c r="F2315" s="6">
        <f>IFERROR(VLOOKUP($B2315,Platts!$E$5:$M$4994,MATCH(F$3,Platts!$F$5:$M$5,0)+1,FALSE),F2314)</f>
        <v>104.8</v>
      </c>
      <c r="G2315" s="6">
        <f>IFERROR(VLOOKUP($B2315,Platts!$E$5:$M$4994,MATCH(G$3,Platts!$F$5:$M$5,0)+1,FALSE),G2314)</f>
        <v>109.36</v>
      </c>
      <c r="H2315" s="6">
        <f>IFERROR(VLOOKUP($B2315,Platts!$E$5:$M$4994,MATCH(H$3,Platts!$F$5:$M$5,0)+1,FALSE),H2314)</f>
        <v>104.69</v>
      </c>
      <c r="I2315" s="6">
        <f>IFERROR(VLOOKUP($B2315,Platts!$E$5:$M$4994,MATCH(I$3,Platts!$F$5:$M$5,0)+1,FALSE),I2314)</f>
        <v>106.44</v>
      </c>
      <c r="J2315" s="6">
        <f t="shared" si="72"/>
        <v>2.6700000000000017</v>
      </c>
    </row>
    <row r="2316" spans="2:10" x14ac:dyDescent="0.25">
      <c r="B2316" s="5">
        <f t="shared" si="73"/>
        <v>44682</v>
      </c>
      <c r="C2316" s="6">
        <f>IFERROR(VLOOKUP($B2316,Platts!$E$5:$M$4994,MATCH(C$3,Platts!$F$5:$M$5,0)+1,FALSE),C2315)</f>
        <v>102.02</v>
      </c>
      <c r="D2316" s="6">
        <f>IFERROR(VLOOKUP($B2316,Platts!$E$5:$M$4994,MATCH(D$3,Platts!$F$5:$M$5,0)+1,FALSE),D2315)</f>
        <v>101.8</v>
      </c>
      <c r="E2316" s="6">
        <f>IFERROR(VLOOKUP($B2316,Platts!$E$5:$M$4994,MATCH(E$3,Platts!$F$5:$M$5,0)+1,FALSE),E2315)</f>
        <v>100.7</v>
      </c>
      <c r="F2316" s="6">
        <f>IFERROR(VLOOKUP($B2316,Platts!$E$5:$M$4994,MATCH(F$3,Platts!$F$5:$M$5,0)+1,FALSE),F2315)</f>
        <v>104.8</v>
      </c>
      <c r="G2316" s="6">
        <f>IFERROR(VLOOKUP($B2316,Platts!$E$5:$M$4994,MATCH(G$3,Platts!$F$5:$M$5,0)+1,FALSE),G2315)</f>
        <v>109.36</v>
      </c>
      <c r="H2316" s="6">
        <f>IFERROR(VLOOKUP($B2316,Platts!$E$5:$M$4994,MATCH(H$3,Platts!$F$5:$M$5,0)+1,FALSE),H2315)</f>
        <v>104.69</v>
      </c>
      <c r="I2316" s="6">
        <f>IFERROR(VLOOKUP($B2316,Platts!$E$5:$M$4994,MATCH(I$3,Platts!$F$5:$M$5,0)+1,FALSE),I2315)</f>
        <v>106.44</v>
      </c>
      <c r="J2316" s="6">
        <f t="shared" si="72"/>
        <v>2.6700000000000017</v>
      </c>
    </row>
    <row r="2317" spans="2:10" x14ac:dyDescent="0.25">
      <c r="B2317" s="5">
        <f t="shared" si="73"/>
        <v>44683</v>
      </c>
      <c r="C2317" s="6">
        <f>IFERROR(VLOOKUP($B2317,Platts!$E$5:$M$4994,MATCH(C$3,Platts!$F$5:$M$5,0)+1,FALSE),C2316)</f>
        <v>102.02</v>
      </c>
      <c r="D2317" s="6">
        <f>IFERROR(VLOOKUP($B2317,Platts!$E$5:$M$4994,MATCH(D$3,Platts!$F$5:$M$5,0)+1,FALSE),D2316)</f>
        <v>101.83</v>
      </c>
      <c r="E2317" s="6">
        <f>IFERROR(VLOOKUP($B2317,Platts!$E$5:$M$4994,MATCH(E$3,Platts!$F$5:$M$5,0)+1,FALSE),E2316)</f>
        <v>100.53</v>
      </c>
      <c r="F2317" s="6">
        <f>IFERROR(VLOOKUP($B2317,Platts!$E$5:$M$4994,MATCH(F$3,Platts!$F$5:$M$5,0)+1,FALSE),F2316)</f>
        <v>104.13</v>
      </c>
      <c r="G2317" s="6">
        <f>IFERROR(VLOOKUP($B2317,Platts!$E$5:$M$4994,MATCH(G$3,Platts!$F$5:$M$5,0)+1,FALSE),G2316)</f>
        <v>109.36</v>
      </c>
      <c r="H2317" s="6">
        <f>IFERROR(VLOOKUP($B2317,Platts!$E$5:$M$4994,MATCH(H$3,Platts!$F$5:$M$5,0)+1,FALSE),H2316)</f>
        <v>105.17</v>
      </c>
      <c r="I2317" s="6">
        <f>IFERROR(VLOOKUP($B2317,Platts!$E$5:$M$4994,MATCH(I$3,Platts!$F$5:$M$5,0)+1,FALSE),I2316)</f>
        <v>106.92</v>
      </c>
      <c r="J2317" s="6">
        <f t="shared" si="72"/>
        <v>3.1500000000000057</v>
      </c>
    </row>
    <row r="2318" spans="2:10" x14ac:dyDescent="0.25">
      <c r="B2318" s="5">
        <f t="shared" si="73"/>
        <v>44684</v>
      </c>
      <c r="C2318" s="6">
        <f>IFERROR(VLOOKUP($B2318,Platts!$E$5:$M$4994,MATCH(C$3,Platts!$F$5:$M$5,0)+1,FALSE),C2317)</f>
        <v>102.02</v>
      </c>
      <c r="D2318" s="6">
        <f>IFERROR(VLOOKUP($B2318,Platts!$E$5:$M$4994,MATCH(D$3,Platts!$F$5:$M$5,0)+1,FALSE),D2317)</f>
        <v>99.22</v>
      </c>
      <c r="E2318" s="6">
        <f>IFERROR(VLOOKUP($B2318,Platts!$E$5:$M$4994,MATCH(E$3,Platts!$F$5:$M$5,0)+1,FALSE),E2317)</f>
        <v>97.92</v>
      </c>
      <c r="F2318" s="6">
        <f>IFERROR(VLOOKUP($B2318,Platts!$E$5:$M$4994,MATCH(F$3,Platts!$F$5:$M$5,0)+1,FALSE),F2317)</f>
        <v>101.52</v>
      </c>
      <c r="G2318" s="6">
        <f>IFERROR(VLOOKUP($B2318,Platts!$E$5:$M$4994,MATCH(G$3,Platts!$F$5:$M$5,0)+1,FALSE),G2317)</f>
        <v>106.47</v>
      </c>
      <c r="H2318" s="6">
        <f>IFERROR(VLOOKUP($B2318,Platts!$E$5:$M$4994,MATCH(H$3,Platts!$F$5:$M$5,0)+1,FALSE),H2317)</f>
        <v>102.41</v>
      </c>
      <c r="I2318" s="6">
        <f>IFERROR(VLOOKUP($B2318,Platts!$E$5:$M$4994,MATCH(I$3,Platts!$F$5:$M$5,0)+1,FALSE),I2317)</f>
        <v>104.16</v>
      </c>
      <c r="J2318" s="6">
        <f t="shared" si="72"/>
        <v>0.39000000000000057</v>
      </c>
    </row>
    <row r="2319" spans="2:10" x14ac:dyDescent="0.25">
      <c r="B2319" s="5">
        <f t="shared" si="73"/>
        <v>44685</v>
      </c>
      <c r="C2319" s="6">
        <f>IFERROR(VLOOKUP($B2319,Platts!$E$5:$M$4994,MATCH(C$3,Platts!$F$5:$M$5,0)+1,FALSE),C2318)</f>
        <v>104.18</v>
      </c>
      <c r="D2319" s="6">
        <f>IFERROR(VLOOKUP($B2319,Platts!$E$5:$M$4994,MATCH(D$3,Platts!$F$5:$M$5,0)+1,FALSE),D2318)</f>
        <v>104.54</v>
      </c>
      <c r="E2319" s="6">
        <f>IFERROR(VLOOKUP($B2319,Platts!$E$5:$M$4994,MATCH(E$3,Platts!$F$5:$M$5,0)+1,FALSE),E2318)</f>
        <v>103.24</v>
      </c>
      <c r="F2319" s="6">
        <f>IFERROR(VLOOKUP($B2319,Platts!$E$5:$M$4994,MATCH(F$3,Platts!$F$5:$M$5,0)+1,FALSE),F2318)</f>
        <v>106.84</v>
      </c>
      <c r="G2319" s="6">
        <f>IFERROR(VLOOKUP($B2319,Platts!$E$5:$M$4994,MATCH(G$3,Platts!$F$5:$M$5,0)+1,FALSE),G2318)</f>
        <v>108.7</v>
      </c>
      <c r="H2319" s="6">
        <f>IFERROR(VLOOKUP($B2319,Platts!$E$5:$M$4994,MATCH(H$3,Platts!$F$5:$M$5,0)+1,FALSE),H2318)</f>
        <v>107.81</v>
      </c>
      <c r="I2319" s="6">
        <f>IFERROR(VLOOKUP($B2319,Platts!$E$5:$M$4994,MATCH(I$3,Platts!$F$5:$M$5,0)+1,FALSE),I2318)</f>
        <v>109.66</v>
      </c>
      <c r="J2319" s="6">
        <f t="shared" si="72"/>
        <v>3.6299999999999955</v>
      </c>
    </row>
    <row r="2320" spans="2:10" x14ac:dyDescent="0.25">
      <c r="B2320" s="5">
        <f t="shared" si="73"/>
        <v>44686</v>
      </c>
      <c r="C2320" s="6">
        <f>IFERROR(VLOOKUP($B2320,Platts!$E$5:$M$4994,MATCH(C$3,Platts!$F$5:$M$5,0)+1,FALSE),C2319)</f>
        <v>104.18</v>
      </c>
      <c r="D2320" s="6">
        <f>IFERROR(VLOOKUP($B2320,Platts!$E$5:$M$4994,MATCH(D$3,Platts!$F$5:$M$5,0)+1,FALSE),D2319)</f>
        <v>105.09</v>
      </c>
      <c r="E2320" s="6">
        <f>IFERROR(VLOOKUP($B2320,Platts!$E$5:$M$4994,MATCH(E$3,Platts!$F$5:$M$5,0)+1,FALSE),E2319)</f>
        <v>103.79</v>
      </c>
      <c r="F2320" s="6">
        <f>IFERROR(VLOOKUP($B2320,Platts!$E$5:$M$4994,MATCH(F$3,Platts!$F$5:$M$5,0)+1,FALSE),F2319)</f>
        <v>107.39</v>
      </c>
      <c r="G2320" s="6">
        <f>IFERROR(VLOOKUP($B2320,Platts!$E$5:$M$4994,MATCH(G$3,Platts!$F$5:$M$5,0)+1,FALSE),G2319)</f>
        <v>111.37</v>
      </c>
      <c r="H2320" s="6">
        <f>IFERROR(VLOOKUP($B2320,Platts!$E$5:$M$4994,MATCH(H$3,Platts!$F$5:$M$5,0)+1,FALSE),H2319)</f>
        <v>108.26</v>
      </c>
      <c r="I2320" s="6">
        <f>IFERROR(VLOOKUP($B2320,Platts!$E$5:$M$4994,MATCH(I$3,Platts!$F$5:$M$5,0)+1,FALSE),I2319)</f>
        <v>110.11</v>
      </c>
      <c r="J2320" s="6">
        <f t="shared" si="72"/>
        <v>4.0799999999999983</v>
      </c>
    </row>
    <row r="2321" spans="2:10" x14ac:dyDescent="0.25">
      <c r="B2321" s="5">
        <f t="shared" si="73"/>
        <v>44687</v>
      </c>
      <c r="C2321" s="6">
        <f>IFERROR(VLOOKUP($B2321,Platts!$E$5:$M$4994,MATCH(C$3,Platts!$F$5:$M$5,0)+1,FALSE),C2320)</f>
        <v>106.45</v>
      </c>
      <c r="D2321" s="6">
        <f>IFERROR(VLOOKUP($B2321,Platts!$E$5:$M$4994,MATCH(D$3,Platts!$F$5:$M$5,0)+1,FALSE),D2320)</f>
        <v>106.6</v>
      </c>
      <c r="E2321" s="6">
        <f>IFERROR(VLOOKUP($B2321,Platts!$E$5:$M$4994,MATCH(E$3,Platts!$F$5:$M$5,0)+1,FALSE),E2320)</f>
        <v>105.3</v>
      </c>
      <c r="F2321" s="6">
        <f>IFERROR(VLOOKUP($B2321,Platts!$E$5:$M$4994,MATCH(F$3,Platts!$F$5:$M$5,0)+1,FALSE),F2320)</f>
        <v>108.9</v>
      </c>
      <c r="G2321" s="6">
        <f>IFERROR(VLOOKUP($B2321,Platts!$E$5:$M$4994,MATCH(G$3,Platts!$F$5:$M$5,0)+1,FALSE),G2320)</f>
        <v>113.39</v>
      </c>
      <c r="H2321" s="6">
        <f>IFERROR(VLOOKUP($B2321,Platts!$E$5:$M$4994,MATCH(H$3,Platts!$F$5:$M$5,0)+1,FALSE),H2320)</f>
        <v>109.77</v>
      </c>
      <c r="I2321" s="6">
        <f>IFERROR(VLOOKUP($B2321,Platts!$E$5:$M$4994,MATCH(I$3,Platts!$F$5:$M$5,0)+1,FALSE),I2320)</f>
        <v>111.87</v>
      </c>
      <c r="J2321" s="6">
        <f t="shared" si="72"/>
        <v>3.3199999999999932</v>
      </c>
    </row>
    <row r="2322" spans="2:10" x14ac:dyDescent="0.25">
      <c r="B2322" s="5">
        <f t="shared" si="73"/>
        <v>44688</v>
      </c>
      <c r="C2322" s="6">
        <f>IFERROR(VLOOKUP($B2322,Platts!$E$5:$M$4994,MATCH(C$3,Platts!$F$5:$M$5,0)+1,FALSE),C2321)</f>
        <v>106.45</v>
      </c>
      <c r="D2322" s="6">
        <f>IFERROR(VLOOKUP($B2322,Platts!$E$5:$M$4994,MATCH(D$3,Platts!$F$5:$M$5,0)+1,FALSE),D2321)</f>
        <v>106.6</v>
      </c>
      <c r="E2322" s="6">
        <f>IFERROR(VLOOKUP($B2322,Platts!$E$5:$M$4994,MATCH(E$3,Platts!$F$5:$M$5,0)+1,FALSE),E2321)</f>
        <v>105.3</v>
      </c>
      <c r="F2322" s="6">
        <f>IFERROR(VLOOKUP($B2322,Platts!$E$5:$M$4994,MATCH(F$3,Platts!$F$5:$M$5,0)+1,FALSE),F2321)</f>
        <v>108.9</v>
      </c>
      <c r="G2322" s="6">
        <f>IFERROR(VLOOKUP($B2322,Platts!$E$5:$M$4994,MATCH(G$3,Platts!$F$5:$M$5,0)+1,FALSE),G2321)</f>
        <v>113.39</v>
      </c>
      <c r="H2322" s="6">
        <f>IFERROR(VLOOKUP($B2322,Platts!$E$5:$M$4994,MATCH(H$3,Platts!$F$5:$M$5,0)+1,FALSE),H2321)</f>
        <v>109.77</v>
      </c>
      <c r="I2322" s="6">
        <f>IFERROR(VLOOKUP($B2322,Platts!$E$5:$M$4994,MATCH(I$3,Platts!$F$5:$M$5,0)+1,FALSE),I2321)</f>
        <v>111.87</v>
      </c>
      <c r="J2322" s="6">
        <f t="shared" si="72"/>
        <v>3.3199999999999932</v>
      </c>
    </row>
    <row r="2323" spans="2:10" x14ac:dyDescent="0.25">
      <c r="B2323" s="5">
        <f t="shared" si="73"/>
        <v>44689</v>
      </c>
      <c r="C2323" s="6">
        <f>IFERROR(VLOOKUP($B2323,Platts!$E$5:$M$4994,MATCH(C$3,Platts!$F$5:$M$5,0)+1,FALSE),C2322)</f>
        <v>106.45</v>
      </c>
      <c r="D2323" s="6">
        <f>IFERROR(VLOOKUP($B2323,Platts!$E$5:$M$4994,MATCH(D$3,Platts!$F$5:$M$5,0)+1,FALSE),D2322)</f>
        <v>106.6</v>
      </c>
      <c r="E2323" s="6">
        <f>IFERROR(VLOOKUP($B2323,Platts!$E$5:$M$4994,MATCH(E$3,Platts!$F$5:$M$5,0)+1,FALSE),E2322)</f>
        <v>105.3</v>
      </c>
      <c r="F2323" s="6">
        <f>IFERROR(VLOOKUP($B2323,Platts!$E$5:$M$4994,MATCH(F$3,Platts!$F$5:$M$5,0)+1,FALSE),F2322)</f>
        <v>108.9</v>
      </c>
      <c r="G2323" s="6">
        <f>IFERROR(VLOOKUP($B2323,Platts!$E$5:$M$4994,MATCH(G$3,Platts!$F$5:$M$5,0)+1,FALSE),G2322)</f>
        <v>113.39</v>
      </c>
      <c r="H2323" s="6">
        <f>IFERROR(VLOOKUP($B2323,Platts!$E$5:$M$4994,MATCH(H$3,Platts!$F$5:$M$5,0)+1,FALSE),H2322)</f>
        <v>109.77</v>
      </c>
      <c r="I2323" s="6">
        <f>IFERROR(VLOOKUP($B2323,Platts!$E$5:$M$4994,MATCH(I$3,Platts!$F$5:$M$5,0)+1,FALSE),I2322)</f>
        <v>111.87</v>
      </c>
      <c r="J2323" s="6">
        <f t="shared" si="72"/>
        <v>3.3199999999999932</v>
      </c>
    </row>
    <row r="2324" spans="2:10" x14ac:dyDescent="0.25">
      <c r="B2324" s="5">
        <f t="shared" si="73"/>
        <v>44690</v>
      </c>
      <c r="C2324" s="6">
        <f>IFERROR(VLOOKUP($B2324,Platts!$E$5:$M$4994,MATCH(C$3,Platts!$F$5:$M$5,0)+1,FALSE),C2323)</f>
        <v>100.82</v>
      </c>
      <c r="D2324" s="6">
        <f>IFERROR(VLOOKUP($B2324,Platts!$E$5:$M$4994,MATCH(D$3,Platts!$F$5:$M$5,0)+1,FALSE),D2323)</f>
        <v>100.1</v>
      </c>
      <c r="E2324" s="6">
        <f>IFERROR(VLOOKUP($B2324,Platts!$E$5:$M$4994,MATCH(E$3,Platts!$F$5:$M$5,0)+1,FALSE),E2323)</f>
        <v>98.8</v>
      </c>
      <c r="F2324" s="6">
        <f>IFERROR(VLOOKUP($B2324,Platts!$E$5:$M$4994,MATCH(F$3,Platts!$F$5:$M$5,0)+1,FALSE),F2323)</f>
        <v>102.4</v>
      </c>
      <c r="G2324" s="6">
        <f>IFERROR(VLOOKUP($B2324,Platts!$E$5:$M$4994,MATCH(G$3,Platts!$F$5:$M$5,0)+1,FALSE),G2323)</f>
        <v>106.59</v>
      </c>
      <c r="H2324" s="6">
        <f>IFERROR(VLOOKUP($B2324,Platts!$E$5:$M$4994,MATCH(H$3,Platts!$F$5:$M$5,0)+1,FALSE),H2323)</f>
        <v>103.09</v>
      </c>
      <c r="I2324" s="6">
        <f>IFERROR(VLOOKUP($B2324,Platts!$E$5:$M$4994,MATCH(I$3,Platts!$F$5:$M$5,0)+1,FALSE),I2323)</f>
        <v>105.24</v>
      </c>
      <c r="J2324" s="6">
        <f t="shared" si="72"/>
        <v>2.2700000000000102</v>
      </c>
    </row>
    <row r="2325" spans="2:10" x14ac:dyDescent="0.25">
      <c r="B2325" s="5">
        <f t="shared" si="73"/>
        <v>44691</v>
      </c>
      <c r="C2325" s="6">
        <f>IFERROR(VLOOKUP($B2325,Platts!$E$5:$M$4994,MATCH(C$3,Platts!$F$5:$M$5,0)+1,FALSE),C2324)</f>
        <v>97.26</v>
      </c>
      <c r="D2325" s="6">
        <f>IFERROR(VLOOKUP($B2325,Platts!$E$5:$M$4994,MATCH(D$3,Platts!$F$5:$M$5,0)+1,FALSE),D2324)</f>
        <v>96.75</v>
      </c>
      <c r="E2325" s="6">
        <f>IFERROR(VLOOKUP($B2325,Platts!$E$5:$M$4994,MATCH(E$3,Platts!$F$5:$M$5,0)+1,FALSE),E2324)</f>
        <v>95.45</v>
      </c>
      <c r="F2325" s="6">
        <f>IFERROR(VLOOKUP($B2325,Platts!$E$5:$M$4994,MATCH(F$3,Platts!$F$5:$M$5,0)+1,FALSE),F2324)</f>
        <v>99.05</v>
      </c>
      <c r="G2325" s="6">
        <f>IFERROR(VLOOKUP($B2325,Platts!$E$5:$M$4994,MATCH(G$3,Platts!$F$5:$M$5,0)+1,FALSE),G2324)</f>
        <v>104.08</v>
      </c>
      <c r="H2325" s="6">
        <f>IFERROR(VLOOKUP($B2325,Platts!$E$5:$M$4994,MATCH(H$3,Platts!$F$5:$M$5,0)+1,FALSE),H2324)</f>
        <v>99.76</v>
      </c>
      <c r="I2325" s="6">
        <f>IFERROR(VLOOKUP($B2325,Platts!$E$5:$M$4994,MATCH(I$3,Platts!$F$5:$M$5,0)+1,FALSE),I2324)</f>
        <v>102.06</v>
      </c>
      <c r="J2325" s="6">
        <f t="shared" si="72"/>
        <v>2.5</v>
      </c>
    </row>
    <row r="2326" spans="2:10" x14ac:dyDescent="0.25">
      <c r="B2326" s="5">
        <f t="shared" si="73"/>
        <v>44692</v>
      </c>
      <c r="C2326" s="6">
        <f>IFERROR(VLOOKUP($B2326,Platts!$E$5:$M$4994,MATCH(C$3,Platts!$F$5:$M$5,0)+1,FALSE),C2325)</f>
        <v>102.03</v>
      </c>
      <c r="D2326" s="6">
        <f>IFERROR(VLOOKUP($B2326,Platts!$E$5:$M$4994,MATCH(D$3,Platts!$F$5:$M$5,0)+1,FALSE),D2325)</f>
        <v>102.35</v>
      </c>
      <c r="E2326" s="6">
        <f>IFERROR(VLOOKUP($B2326,Platts!$E$5:$M$4994,MATCH(E$3,Platts!$F$5:$M$5,0)+1,FALSE),E2325)</f>
        <v>101.05</v>
      </c>
      <c r="F2326" s="6">
        <f>IFERROR(VLOOKUP($B2326,Platts!$E$5:$M$4994,MATCH(F$3,Platts!$F$5:$M$5,0)+1,FALSE),F2325)</f>
        <v>104.65</v>
      </c>
      <c r="G2326" s="6">
        <f>IFERROR(VLOOKUP($B2326,Platts!$E$5:$M$4994,MATCH(G$3,Platts!$F$5:$M$5,0)+1,FALSE),G2325)</f>
        <v>107.23</v>
      </c>
      <c r="H2326" s="6">
        <f>IFERROR(VLOOKUP($B2326,Platts!$E$5:$M$4994,MATCH(H$3,Platts!$F$5:$M$5,0)+1,FALSE),H2325)</f>
        <v>105.71</v>
      </c>
      <c r="I2326" s="6">
        <f>IFERROR(VLOOKUP($B2326,Platts!$E$5:$M$4994,MATCH(I$3,Platts!$F$5:$M$5,0)+1,FALSE),I2325)</f>
        <v>108.06</v>
      </c>
      <c r="J2326" s="6">
        <f t="shared" si="72"/>
        <v>3.6799999999999926</v>
      </c>
    </row>
    <row r="2327" spans="2:10" x14ac:dyDescent="0.25">
      <c r="B2327" s="5">
        <f t="shared" si="73"/>
        <v>44693</v>
      </c>
      <c r="C2327" s="6">
        <f>IFERROR(VLOOKUP($B2327,Platts!$E$5:$M$4994,MATCH(C$3,Platts!$F$5:$M$5,0)+1,FALSE),C2326)</f>
        <v>102.14</v>
      </c>
      <c r="D2327" s="6">
        <f>IFERROR(VLOOKUP($B2327,Platts!$E$5:$M$4994,MATCH(D$3,Platts!$F$5:$M$5,0)+1,FALSE),D2326)</f>
        <v>102.53</v>
      </c>
      <c r="E2327" s="6">
        <f>IFERROR(VLOOKUP($B2327,Platts!$E$5:$M$4994,MATCH(E$3,Platts!$F$5:$M$5,0)+1,FALSE),E2326)</f>
        <v>101.23</v>
      </c>
      <c r="F2327" s="6">
        <f>IFERROR(VLOOKUP($B2327,Platts!$E$5:$M$4994,MATCH(F$3,Platts!$F$5:$M$5,0)+1,FALSE),F2326)</f>
        <v>104.83</v>
      </c>
      <c r="G2327" s="6">
        <f>IFERROR(VLOOKUP($B2327,Platts!$E$5:$M$4994,MATCH(G$3,Platts!$F$5:$M$5,0)+1,FALSE),G2326)</f>
        <v>108.37</v>
      </c>
      <c r="H2327" s="6">
        <f>IFERROR(VLOOKUP($B2327,Platts!$E$5:$M$4994,MATCH(H$3,Platts!$F$5:$M$5,0)+1,FALSE),H2326)</f>
        <v>106.13</v>
      </c>
      <c r="I2327" s="6">
        <f>IFERROR(VLOOKUP($B2327,Platts!$E$5:$M$4994,MATCH(I$3,Platts!$F$5:$M$5,0)+1,FALSE),I2326)</f>
        <v>108.38</v>
      </c>
      <c r="J2327" s="6">
        <f t="shared" si="72"/>
        <v>3.9899999999999949</v>
      </c>
    </row>
    <row r="2328" spans="2:10" x14ac:dyDescent="0.25">
      <c r="B2328" s="5">
        <f t="shared" si="73"/>
        <v>44694</v>
      </c>
      <c r="C2328" s="6">
        <f>IFERROR(VLOOKUP($B2328,Platts!$E$5:$M$4994,MATCH(C$3,Platts!$F$5:$M$5,0)+1,FALSE),C2327)</f>
        <v>106.36</v>
      </c>
      <c r="D2328" s="6">
        <f>IFERROR(VLOOKUP($B2328,Platts!$E$5:$M$4994,MATCH(D$3,Platts!$F$5:$M$5,0)+1,FALSE),D2327)</f>
        <v>106.9</v>
      </c>
      <c r="E2328" s="6">
        <f>IFERROR(VLOOKUP($B2328,Platts!$E$5:$M$4994,MATCH(E$3,Platts!$F$5:$M$5,0)+1,FALSE),E2327)</f>
        <v>105.6</v>
      </c>
      <c r="F2328" s="6">
        <f>IFERROR(VLOOKUP($B2328,Platts!$E$5:$M$4994,MATCH(F$3,Platts!$F$5:$M$5,0)+1,FALSE),F2327)</f>
        <v>109.2</v>
      </c>
      <c r="G2328" s="6">
        <f>IFERROR(VLOOKUP($B2328,Platts!$E$5:$M$4994,MATCH(G$3,Platts!$F$5:$M$5,0)+1,FALSE),G2327)</f>
        <v>110.83</v>
      </c>
      <c r="H2328" s="6">
        <f>IFERROR(VLOOKUP($B2328,Platts!$E$5:$M$4994,MATCH(H$3,Platts!$F$5:$M$5,0)+1,FALSE),H2327)</f>
        <v>110.49</v>
      </c>
      <c r="I2328" s="6">
        <f>IFERROR(VLOOKUP($B2328,Platts!$E$5:$M$4994,MATCH(I$3,Platts!$F$5:$M$5,0)+1,FALSE),I2327)</f>
        <v>112.74</v>
      </c>
      <c r="J2328" s="6">
        <f t="shared" si="72"/>
        <v>4.1299999999999955</v>
      </c>
    </row>
    <row r="2329" spans="2:10" x14ac:dyDescent="0.25">
      <c r="B2329" s="5">
        <f t="shared" si="73"/>
        <v>44695</v>
      </c>
      <c r="C2329" s="6">
        <f>IFERROR(VLOOKUP($B2329,Platts!$E$5:$M$4994,MATCH(C$3,Platts!$F$5:$M$5,0)+1,FALSE),C2328)</f>
        <v>106.36</v>
      </c>
      <c r="D2329" s="6">
        <f>IFERROR(VLOOKUP($B2329,Platts!$E$5:$M$4994,MATCH(D$3,Platts!$F$5:$M$5,0)+1,FALSE),D2328)</f>
        <v>106.9</v>
      </c>
      <c r="E2329" s="6">
        <f>IFERROR(VLOOKUP($B2329,Platts!$E$5:$M$4994,MATCH(E$3,Platts!$F$5:$M$5,0)+1,FALSE),E2328)</f>
        <v>105.6</v>
      </c>
      <c r="F2329" s="6">
        <f>IFERROR(VLOOKUP($B2329,Platts!$E$5:$M$4994,MATCH(F$3,Platts!$F$5:$M$5,0)+1,FALSE),F2328)</f>
        <v>109.2</v>
      </c>
      <c r="G2329" s="6">
        <f>IFERROR(VLOOKUP($B2329,Platts!$E$5:$M$4994,MATCH(G$3,Platts!$F$5:$M$5,0)+1,FALSE),G2328)</f>
        <v>110.83</v>
      </c>
      <c r="H2329" s="6">
        <f>IFERROR(VLOOKUP($B2329,Platts!$E$5:$M$4994,MATCH(H$3,Platts!$F$5:$M$5,0)+1,FALSE),H2328)</f>
        <v>110.49</v>
      </c>
      <c r="I2329" s="6">
        <f>IFERROR(VLOOKUP($B2329,Platts!$E$5:$M$4994,MATCH(I$3,Platts!$F$5:$M$5,0)+1,FALSE),I2328)</f>
        <v>112.74</v>
      </c>
      <c r="J2329" s="6">
        <f t="shared" si="72"/>
        <v>4.1299999999999955</v>
      </c>
    </row>
    <row r="2330" spans="2:10" x14ac:dyDescent="0.25">
      <c r="B2330" s="5">
        <f t="shared" si="73"/>
        <v>44696</v>
      </c>
      <c r="C2330" s="6">
        <f>IFERROR(VLOOKUP($B2330,Platts!$E$5:$M$4994,MATCH(C$3,Platts!$F$5:$M$5,0)+1,FALSE),C2329)</f>
        <v>106.36</v>
      </c>
      <c r="D2330" s="6">
        <f>IFERROR(VLOOKUP($B2330,Platts!$E$5:$M$4994,MATCH(D$3,Platts!$F$5:$M$5,0)+1,FALSE),D2329)</f>
        <v>106.9</v>
      </c>
      <c r="E2330" s="6">
        <f>IFERROR(VLOOKUP($B2330,Platts!$E$5:$M$4994,MATCH(E$3,Platts!$F$5:$M$5,0)+1,FALSE),E2329)</f>
        <v>105.6</v>
      </c>
      <c r="F2330" s="6">
        <f>IFERROR(VLOOKUP($B2330,Platts!$E$5:$M$4994,MATCH(F$3,Platts!$F$5:$M$5,0)+1,FALSE),F2329)</f>
        <v>109.2</v>
      </c>
      <c r="G2330" s="6">
        <f>IFERROR(VLOOKUP($B2330,Platts!$E$5:$M$4994,MATCH(G$3,Platts!$F$5:$M$5,0)+1,FALSE),G2329)</f>
        <v>110.83</v>
      </c>
      <c r="H2330" s="6">
        <f>IFERROR(VLOOKUP($B2330,Platts!$E$5:$M$4994,MATCH(H$3,Platts!$F$5:$M$5,0)+1,FALSE),H2329)</f>
        <v>110.49</v>
      </c>
      <c r="I2330" s="6">
        <f>IFERROR(VLOOKUP($B2330,Platts!$E$5:$M$4994,MATCH(I$3,Platts!$F$5:$M$5,0)+1,FALSE),I2329)</f>
        <v>112.74</v>
      </c>
      <c r="J2330" s="6">
        <f t="shared" si="72"/>
        <v>4.1299999999999955</v>
      </c>
    </row>
    <row r="2331" spans="2:10" x14ac:dyDescent="0.25">
      <c r="B2331" s="5">
        <f t="shared" si="73"/>
        <v>44697</v>
      </c>
      <c r="C2331" s="6">
        <f>IFERROR(VLOOKUP($B2331,Platts!$E$5:$M$4994,MATCH(C$3,Platts!$F$5:$M$5,0)+1,FALSE),C2330)</f>
        <v>106.36</v>
      </c>
      <c r="D2331" s="6">
        <f>IFERROR(VLOOKUP($B2331,Platts!$E$5:$M$4994,MATCH(D$3,Platts!$F$5:$M$5,0)+1,FALSE),D2330)</f>
        <v>110.19</v>
      </c>
      <c r="E2331" s="6">
        <f>IFERROR(VLOOKUP($B2331,Platts!$E$5:$M$4994,MATCH(E$3,Platts!$F$5:$M$5,0)+1,FALSE),E2330)</f>
        <v>108.89</v>
      </c>
      <c r="F2331" s="6">
        <f>IFERROR(VLOOKUP($B2331,Platts!$E$5:$M$4994,MATCH(F$3,Platts!$F$5:$M$5,0)+1,FALSE),F2330)</f>
        <v>112.49</v>
      </c>
      <c r="G2331" s="6">
        <f>IFERROR(VLOOKUP($B2331,Platts!$E$5:$M$4994,MATCH(G$3,Platts!$F$5:$M$5,0)+1,FALSE),G2330)</f>
        <v>112.38</v>
      </c>
      <c r="H2331" s="6">
        <f>IFERROR(VLOOKUP($B2331,Platts!$E$5:$M$4994,MATCH(H$3,Platts!$F$5:$M$5,0)+1,FALSE),H2330)</f>
        <v>114.2</v>
      </c>
      <c r="I2331" s="6">
        <f>IFERROR(VLOOKUP($B2331,Platts!$E$5:$M$4994,MATCH(I$3,Platts!$F$5:$M$5,0)+1,FALSE),I2330)</f>
        <v>116.35</v>
      </c>
      <c r="J2331" s="6">
        <f t="shared" si="72"/>
        <v>7.8400000000000034</v>
      </c>
    </row>
    <row r="2332" spans="2:10" x14ac:dyDescent="0.25">
      <c r="B2332" s="5">
        <f t="shared" si="73"/>
        <v>44698</v>
      </c>
      <c r="C2332" s="6">
        <f>IFERROR(VLOOKUP($B2332,Platts!$E$5:$M$4994,MATCH(C$3,Platts!$F$5:$M$5,0)+1,FALSE),C2331)</f>
        <v>107.8</v>
      </c>
      <c r="D2332" s="6">
        <f>IFERROR(VLOOKUP($B2332,Platts!$E$5:$M$4994,MATCH(D$3,Platts!$F$5:$M$5,0)+1,FALSE),D2331)</f>
        <v>108.05</v>
      </c>
      <c r="E2332" s="6">
        <f>IFERROR(VLOOKUP($B2332,Platts!$E$5:$M$4994,MATCH(E$3,Platts!$F$5:$M$5,0)+1,FALSE),E2331)</f>
        <v>106.75</v>
      </c>
      <c r="F2332" s="6">
        <f>IFERROR(VLOOKUP($B2332,Platts!$E$5:$M$4994,MATCH(F$3,Platts!$F$5:$M$5,0)+1,FALSE),F2331)</f>
        <v>110.35</v>
      </c>
      <c r="G2332" s="6">
        <f>IFERROR(VLOOKUP($B2332,Platts!$E$5:$M$4994,MATCH(G$3,Platts!$F$5:$M$5,0)+1,FALSE),G2331)</f>
        <v>115.14</v>
      </c>
      <c r="H2332" s="6">
        <f>IFERROR(VLOOKUP($B2332,Platts!$E$5:$M$4994,MATCH(H$3,Platts!$F$5:$M$5,0)+1,FALSE),H2331)</f>
        <v>112.4</v>
      </c>
      <c r="I2332" s="6">
        <f>IFERROR(VLOOKUP($B2332,Platts!$E$5:$M$4994,MATCH(I$3,Platts!$F$5:$M$5,0)+1,FALSE),I2331)</f>
        <v>114.45</v>
      </c>
      <c r="J2332" s="6">
        <f t="shared" si="72"/>
        <v>4.6000000000000085</v>
      </c>
    </row>
    <row r="2333" spans="2:10" x14ac:dyDescent="0.25">
      <c r="B2333" s="5">
        <f t="shared" si="73"/>
        <v>44699</v>
      </c>
      <c r="C2333" s="6">
        <f>IFERROR(VLOOKUP($B2333,Platts!$E$5:$M$4994,MATCH(C$3,Platts!$F$5:$M$5,0)+1,FALSE),C2332)</f>
        <v>105.12</v>
      </c>
      <c r="D2333" s="6">
        <f>IFERROR(VLOOKUP($B2333,Platts!$E$5:$M$4994,MATCH(D$3,Platts!$F$5:$M$5,0)+1,FALSE),D2332)</f>
        <v>105.01</v>
      </c>
      <c r="E2333" s="6">
        <f>IFERROR(VLOOKUP($B2333,Platts!$E$5:$M$4994,MATCH(E$3,Platts!$F$5:$M$5,0)+1,FALSE),E2332)</f>
        <v>103.71</v>
      </c>
      <c r="F2333" s="6">
        <f>IFERROR(VLOOKUP($B2333,Platts!$E$5:$M$4994,MATCH(F$3,Platts!$F$5:$M$5,0)+1,FALSE),F2332)</f>
        <v>107.31</v>
      </c>
      <c r="G2333" s="6">
        <f>IFERROR(VLOOKUP($B2333,Platts!$E$5:$M$4994,MATCH(G$3,Platts!$F$5:$M$5,0)+1,FALSE),G2332)</f>
        <v>110.2</v>
      </c>
      <c r="H2333" s="6">
        <f>IFERROR(VLOOKUP($B2333,Platts!$E$5:$M$4994,MATCH(H$3,Platts!$F$5:$M$5,0)+1,FALSE),H2332)</f>
        <v>109.59</v>
      </c>
      <c r="I2333" s="6">
        <f>IFERROR(VLOOKUP($B2333,Platts!$E$5:$M$4994,MATCH(I$3,Platts!$F$5:$M$5,0)+1,FALSE),I2332)</f>
        <v>111.29</v>
      </c>
      <c r="J2333" s="6">
        <f t="shared" si="72"/>
        <v>4.4699999999999989</v>
      </c>
    </row>
    <row r="2334" spans="2:10" x14ac:dyDescent="0.25">
      <c r="B2334" s="5">
        <f t="shared" si="73"/>
        <v>44700</v>
      </c>
      <c r="C2334" s="6">
        <f>IFERROR(VLOOKUP($B2334,Platts!$E$5:$M$4994,MATCH(C$3,Platts!$F$5:$M$5,0)+1,FALSE),C2333)</f>
        <v>107.02</v>
      </c>
      <c r="D2334" s="6">
        <f>IFERROR(VLOOKUP($B2334,Platts!$E$5:$M$4994,MATCH(D$3,Platts!$F$5:$M$5,0)+1,FALSE),D2333)</f>
        <v>107.9</v>
      </c>
      <c r="E2334" s="6">
        <f>IFERROR(VLOOKUP($B2334,Platts!$E$5:$M$4994,MATCH(E$3,Platts!$F$5:$M$5,0)+1,FALSE),E2333)</f>
        <v>106.6</v>
      </c>
      <c r="F2334" s="6">
        <f>IFERROR(VLOOKUP($B2334,Platts!$E$5:$M$4994,MATCH(F$3,Platts!$F$5:$M$5,0)+1,FALSE),F2333)</f>
        <v>110.2</v>
      </c>
      <c r="G2334" s="6">
        <f>IFERROR(VLOOKUP($B2334,Platts!$E$5:$M$4994,MATCH(G$3,Platts!$F$5:$M$5,0)+1,FALSE),G2333)</f>
        <v>110.21</v>
      </c>
      <c r="H2334" s="6">
        <f>IFERROR(VLOOKUP($B2334,Platts!$E$5:$M$4994,MATCH(H$3,Platts!$F$5:$M$5,0)+1,FALSE),H2333)</f>
        <v>112.21</v>
      </c>
      <c r="I2334" s="6">
        <f>IFERROR(VLOOKUP($B2334,Platts!$E$5:$M$4994,MATCH(I$3,Platts!$F$5:$M$5,0)+1,FALSE),I2333)</f>
        <v>113.51</v>
      </c>
      <c r="J2334" s="6">
        <f t="shared" si="72"/>
        <v>5.1899999999999977</v>
      </c>
    </row>
    <row r="2335" spans="2:10" x14ac:dyDescent="0.25">
      <c r="B2335" s="5">
        <f t="shared" si="73"/>
        <v>44701</v>
      </c>
      <c r="C2335" s="6">
        <f>IFERROR(VLOOKUP($B2335,Platts!$E$5:$M$4994,MATCH(C$3,Platts!$F$5:$M$5,0)+1,FALSE),C2334)</f>
        <v>107.86</v>
      </c>
      <c r="D2335" s="6">
        <f>IFERROR(VLOOKUP($B2335,Platts!$E$5:$M$4994,MATCH(D$3,Platts!$F$5:$M$5,0)+1,FALSE),D2334)</f>
        <v>108.45</v>
      </c>
      <c r="E2335" s="6">
        <f>IFERROR(VLOOKUP($B2335,Platts!$E$5:$M$4994,MATCH(E$3,Platts!$F$5:$M$5,0)+1,FALSE),E2334)</f>
        <v>107.15</v>
      </c>
      <c r="F2335" s="6">
        <f>IFERROR(VLOOKUP($B2335,Platts!$E$5:$M$4994,MATCH(F$3,Platts!$F$5:$M$5,0)+1,FALSE),F2334)</f>
        <v>110.75</v>
      </c>
      <c r="G2335" s="6">
        <f>IFERROR(VLOOKUP($B2335,Platts!$E$5:$M$4994,MATCH(G$3,Platts!$F$5:$M$5,0)+1,FALSE),G2334)</f>
        <v>112.44</v>
      </c>
      <c r="H2335" s="6">
        <f>IFERROR(VLOOKUP($B2335,Platts!$E$5:$M$4994,MATCH(H$3,Platts!$F$5:$M$5,0)+1,FALSE),H2334)</f>
        <v>113.23</v>
      </c>
      <c r="I2335" s="6">
        <f>IFERROR(VLOOKUP($B2335,Platts!$E$5:$M$4994,MATCH(I$3,Platts!$F$5:$M$5,0)+1,FALSE),I2334)</f>
        <v>114.28</v>
      </c>
      <c r="J2335" s="6">
        <f t="shared" si="72"/>
        <v>5.3700000000000045</v>
      </c>
    </row>
    <row r="2336" spans="2:10" x14ac:dyDescent="0.25">
      <c r="B2336" s="5">
        <f t="shared" si="73"/>
        <v>44702</v>
      </c>
      <c r="C2336" s="6">
        <f>IFERROR(VLOOKUP($B2336,Platts!$E$5:$M$4994,MATCH(C$3,Platts!$F$5:$M$5,0)+1,FALSE),C2335)</f>
        <v>107.86</v>
      </c>
      <c r="D2336" s="6">
        <f>IFERROR(VLOOKUP($B2336,Platts!$E$5:$M$4994,MATCH(D$3,Platts!$F$5:$M$5,0)+1,FALSE),D2335)</f>
        <v>108.45</v>
      </c>
      <c r="E2336" s="6">
        <f>IFERROR(VLOOKUP($B2336,Platts!$E$5:$M$4994,MATCH(E$3,Platts!$F$5:$M$5,0)+1,FALSE),E2335)</f>
        <v>107.15</v>
      </c>
      <c r="F2336" s="6">
        <f>IFERROR(VLOOKUP($B2336,Platts!$E$5:$M$4994,MATCH(F$3,Platts!$F$5:$M$5,0)+1,FALSE),F2335)</f>
        <v>110.75</v>
      </c>
      <c r="G2336" s="6">
        <f>IFERROR(VLOOKUP($B2336,Platts!$E$5:$M$4994,MATCH(G$3,Platts!$F$5:$M$5,0)+1,FALSE),G2335)</f>
        <v>112.44</v>
      </c>
      <c r="H2336" s="6">
        <f>IFERROR(VLOOKUP($B2336,Platts!$E$5:$M$4994,MATCH(H$3,Platts!$F$5:$M$5,0)+1,FALSE),H2335)</f>
        <v>113.23</v>
      </c>
      <c r="I2336" s="6">
        <f>IFERROR(VLOOKUP($B2336,Platts!$E$5:$M$4994,MATCH(I$3,Platts!$F$5:$M$5,0)+1,FALSE),I2335)</f>
        <v>114.28</v>
      </c>
      <c r="J2336" s="6">
        <f t="shared" si="72"/>
        <v>5.3700000000000045</v>
      </c>
    </row>
    <row r="2337" spans="2:10" x14ac:dyDescent="0.25">
      <c r="B2337" s="5">
        <f t="shared" si="73"/>
        <v>44703</v>
      </c>
      <c r="C2337" s="6">
        <f>IFERROR(VLOOKUP($B2337,Platts!$E$5:$M$4994,MATCH(C$3,Platts!$F$5:$M$5,0)+1,FALSE),C2336)</f>
        <v>107.86</v>
      </c>
      <c r="D2337" s="6">
        <f>IFERROR(VLOOKUP($B2337,Platts!$E$5:$M$4994,MATCH(D$3,Platts!$F$5:$M$5,0)+1,FALSE),D2336)</f>
        <v>108.45</v>
      </c>
      <c r="E2337" s="6">
        <f>IFERROR(VLOOKUP($B2337,Platts!$E$5:$M$4994,MATCH(E$3,Platts!$F$5:$M$5,0)+1,FALSE),E2336)</f>
        <v>107.15</v>
      </c>
      <c r="F2337" s="6">
        <f>IFERROR(VLOOKUP($B2337,Platts!$E$5:$M$4994,MATCH(F$3,Platts!$F$5:$M$5,0)+1,FALSE),F2336)</f>
        <v>110.75</v>
      </c>
      <c r="G2337" s="6">
        <f>IFERROR(VLOOKUP($B2337,Platts!$E$5:$M$4994,MATCH(G$3,Platts!$F$5:$M$5,0)+1,FALSE),G2336)</f>
        <v>112.44</v>
      </c>
      <c r="H2337" s="6">
        <f>IFERROR(VLOOKUP($B2337,Platts!$E$5:$M$4994,MATCH(H$3,Platts!$F$5:$M$5,0)+1,FALSE),H2336)</f>
        <v>113.23</v>
      </c>
      <c r="I2337" s="6">
        <f>IFERROR(VLOOKUP($B2337,Platts!$E$5:$M$4994,MATCH(I$3,Platts!$F$5:$M$5,0)+1,FALSE),I2336)</f>
        <v>114.28</v>
      </c>
      <c r="J2337" s="6">
        <f t="shared" si="72"/>
        <v>5.3700000000000045</v>
      </c>
    </row>
    <row r="2338" spans="2:10" x14ac:dyDescent="0.25">
      <c r="B2338" s="5">
        <f t="shared" si="73"/>
        <v>44704</v>
      </c>
      <c r="C2338" s="6">
        <f>IFERROR(VLOOKUP($B2338,Platts!$E$5:$M$4994,MATCH(C$3,Platts!$F$5:$M$5,0)+1,FALSE),C2337)</f>
        <v>108.18</v>
      </c>
      <c r="D2338" s="6">
        <f>IFERROR(VLOOKUP($B2338,Platts!$E$5:$M$4994,MATCH(D$3,Platts!$F$5:$M$5,0)+1,FALSE),D2337)</f>
        <v>108.47</v>
      </c>
      <c r="E2338" s="6">
        <f>IFERROR(VLOOKUP($B2338,Platts!$E$5:$M$4994,MATCH(E$3,Platts!$F$5:$M$5,0)+1,FALSE),E2337)</f>
        <v>107.17</v>
      </c>
      <c r="F2338" s="6">
        <f>IFERROR(VLOOKUP($B2338,Platts!$E$5:$M$4994,MATCH(F$3,Platts!$F$5:$M$5,0)+1,FALSE),F2337)</f>
        <v>110.77</v>
      </c>
      <c r="G2338" s="6">
        <f>IFERROR(VLOOKUP($B2338,Platts!$E$5:$M$4994,MATCH(G$3,Platts!$F$5:$M$5,0)+1,FALSE),G2337)</f>
        <v>113.57</v>
      </c>
      <c r="H2338" s="6">
        <f>IFERROR(VLOOKUP($B2338,Platts!$E$5:$M$4994,MATCH(H$3,Platts!$F$5:$M$5,0)+1,FALSE),H2337)</f>
        <v>112.99</v>
      </c>
      <c r="I2338" s="6">
        <f>IFERROR(VLOOKUP($B2338,Platts!$E$5:$M$4994,MATCH(I$3,Platts!$F$5:$M$5,0)+1,FALSE),I2337)</f>
        <v>113.84</v>
      </c>
      <c r="J2338" s="6">
        <f t="shared" si="72"/>
        <v>4.8099999999999881</v>
      </c>
    </row>
    <row r="2339" spans="2:10" x14ac:dyDescent="0.25">
      <c r="B2339" s="5">
        <f t="shared" si="73"/>
        <v>44705</v>
      </c>
      <c r="C2339" s="6">
        <f>IFERROR(VLOOKUP($B2339,Platts!$E$5:$M$4994,MATCH(C$3,Platts!$F$5:$M$5,0)+1,FALSE),C2338)</f>
        <v>107.59</v>
      </c>
      <c r="D2339" s="6">
        <f>IFERROR(VLOOKUP($B2339,Platts!$E$5:$M$4994,MATCH(D$3,Platts!$F$5:$M$5,0)+1,FALSE),D2338)</f>
        <v>107.95</v>
      </c>
      <c r="E2339" s="6">
        <f>IFERROR(VLOOKUP($B2339,Platts!$E$5:$M$4994,MATCH(E$3,Platts!$F$5:$M$5,0)+1,FALSE),E2338)</f>
        <v>106.65</v>
      </c>
      <c r="F2339" s="6">
        <f>IFERROR(VLOOKUP($B2339,Platts!$E$5:$M$4994,MATCH(F$3,Platts!$F$5:$M$5,0)+1,FALSE),F2338)</f>
        <v>110.25</v>
      </c>
      <c r="G2339" s="6">
        <f>IFERROR(VLOOKUP($B2339,Platts!$E$5:$M$4994,MATCH(G$3,Platts!$F$5:$M$5,0)+1,FALSE),G2338)</f>
        <v>113.9</v>
      </c>
      <c r="H2339" s="6">
        <f>IFERROR(VLOOKUP($B2339,Platts!$E$5:$M$4994,MATCH(H$3,Platts!$F$5:$M$5,0)+1,FALSE),H2338)</f>
        <v>112.02</v>
      </c>
      <c r="I2339" s="6">
        <f>IFERROR(VLOOKUP($B2339,Platts!$E$5:$M$4994,MATCH(I$3,Platts!$F$5:$M$5,0)+1,FALSE),I2338)</f>
        <v>112.32</v>
      </c>
      <c r="J2339" s="6">
        <f t="shared" si="72"/>
        <v>4.4299999999999926</v>
      </c>
    </row>
    <row r="2340" spans="2:10" x14ac:dyDescent="0.25">
      <c r="B2340" s="5">
        <f t="shared" si="73"/>
        <v>44706</v>
      </c>
      <c r="C2340" s="6">
        <f>IFERROR(VLOOKUP($B2340,Platts!$E$5:$M$4994,MATCH(C$3,Platts!$F$5:$M$5,0)+1,FALSE),C2339)</f>
        <v>108.21</v>
      </c>
      <c r="D2340" s="6">
        <f>IFERROR(VLOOKUP($B2340,Platts!$E$5:$M$4994,MATCH(D$3,Platts!$F$5:$M$5,0)+1,FALSE),D2339)</f>
        <v>108.48</v>
      </c>
      <c r="E2340" s="6">
        <f>IFERROR(VLOOKUP($B2340,Platts!$E$5:$M$4994,MATCH(E$3,Platts!$F$5:$M$5,0)+1,FALSE),E2339)</f>
        <v>107.18</v>
      </c>
      <c r="F2340" s="6">
        <f>IFERROR(VLOOKUP($B2340,Platts!$E$5:$M$4994,MATCH(F$3,Platts!$F$5:$M$5,0)+1,FALSE),F2339)</f>
        <v>110.78</v>
      </c>
      <c r="G2340" s="6">
        <f>IFERROR(VLOOKUP($B2340,Platts!$E$5:$M$4994,MATCH(G$3,Platts!$F$5:$M$5,0)+1,FALSE),G2339)</f>
        <v>114.02</v>
      </c>
      <c r="H2340" s="6">
        <f>IFERROR(VLOOKUP($B2340,Platts!$E$5:$M$4994,MATCH(H$3,Platts!$F$5:$M$5,0)+1,FALSE),H2339)</f>
        <v>112.63</v>
      </c>
      <c r="I2340" s="6">
        <f>IFERROR(VLOOKUP($B2340,Platts!$E$5:$M$4994,MATCH(I$3,Platts!$F$5:$M$5,0)+1,FALSE),I2339)</f>
        <v>112.13</v>
      </c>
      <c r="J2340" s="6">
        <f t="shared" ref="J2340:J2403" si="74">H2340-C2340</f>
        <v>4.4200000000000017</v>
      </c>
    </row>
    <row r="2341" spans="2:10" x14ac:dyDescent="0.25">
      <c r="B2341" s="5">
        <f t="shared" si="73"/>
        <v>44707</v>
      </c>
      <c r="C2341" s="6">
        <f>IFERROR(VLOOKUP($B2341,Platts!$E$5:$M$4994,MATCH(C$3,Platts!$F$5:$M$5,0)+1,FALSE),C2340)</f>
        <v>110.44</v>
      </c>
      <c r="D2341" s="6">
        <f>IFERROR(VLOOKUP($B2341,Platts!$E$5:$M$4994,MATCH(D$3,Platts!$F$5:$M$5,0)+1,FALSE),D2340)</f>
        <v>110.9</v>
      </c>
      <c r="E2341" s="6">
        <f>IFERROR(VLOOKUP($B2341,Platts!$E$5:$M$4994,MATCH(E$3,Platts!$F$5:$M$5,0)+1,FALSE),E2340)</f>
        <v>109.6</v>
      </c>
      <c r="F2341" s="6">
        <f>IFERROR(VLOOKUP($B2341,Platts!$E$5:$M$4994,MATCH(F$3,Platts!$F$5:$M$5,0)+1,FALSE),F2340)</f>
        <v>113.2</v>
      </c>
      <c r="G2341" s="6">
        <f>IFERROR(VLOOKUP($B2341,Platts!$E$5:$M$4994,MATCH(G$3,Platts!$F$5:$M$5,0)+1,FALSE),G2340)</f>
        <v>117.01</v>
      </c>
      <c r="H2341" s="6">
        <f>IFERROR(VLOOKUP($B2341,Platts!$E$5:$M$4994,MATCH(H$3,Platts!$F$5:$M$5,0)+1,FALSE),H2340)</f>
        <v>114.09</v>
      </c>
      <c r="I2341" s="6">
        <f>IFERROR(VLOOKUP($B2341,Platts!$E$5:$M$4994,MATCH(I$3,Platts!$F$5:$M$5,0)+1,FALSE),I2340)</f>
        <v>115.74</v>
      </c>
      <c r="J2341" s="6">
        <f t="shared" si="74"/>
        <v>3.6500000000000057</v>
      </c>
    </row>
    <row r="2342" spans="2:10" x14ac:dyDescent="0.25">
      <c r="B2342" s="5">
        <f t="shared" si="73"/>
        <v>44708</v>
      </c>
      <c r="C2342" s="6">
        <f>IFERROR(VLOOKUP($B2342,Platts!$E$5:$M$4994,MATCH(C$3,Platts!$F$5:$M$5,0)+1,FALSE),C2341)</f>
        <v>112.2</v>
      </c>
      <c r="D2342" s="6">
        <f>IFERROR(VLOOKUP($B2342,Platts!$E$5:$M$4994,MATCH(D$3,Platts!$F$5:$M$5,0)+1,FALSE),D2341)</f>
        <v>112.34</v>
      </c>
      <c r="E2342" s="6">
        <f>IFERROR(VLOOKUP($B2342,Platts!$E$5:$M$4994,MATCH(E$3,Platts!$F$5:$M$5,0)+1,FALSE),E2341)</f>
        <v>111.04</v>
      </c>
      <c r="F2342" s="6">
        <f>IFERROR(VLOOKUP($B2342,Platts!$E$5:$M$4994,MATCH(F$3,Platts!$F$5:$M$5,0)+1,FALSE),F2341)</f>
        <v>114.64</v>
      </c>
      <c r="G2342" s="6">
        <f>IFERROR(VLOOKUP($B2342,Platts!$E$5:$M$4994,MATCH(G$3,Platts!$F$5:$M$5,0)+1,FALSE),G2341)</f>
        <v>118.16</v>
      </c>
      <c r="H2342" s="6">
        <f>IFERROR(VLOOKUP($B2342,Platts!$E$5:$M$4994,MATCH(H$3,Platts!$F$5:$M$5,0)+1,FALSE),H2341)</f>
        <v>115.07</v>
      </c>
      <c r="I2342" s="6">
        <f>IFERROR(VLOOKUP($B2342,Platts!$E$5:$M$4994,MATCH(I$3,Platts!$F$5:$M$5,0)+1,FALSE),I2341)</f>
        <v>116.67</v>
      </c>
      <c r="J2342" s="6">
        <f t="shared" si="74"/>
        <v>2.8699999999999903</v>
      </c>
    </row>
    <row r="2343" spans="2:10" x14ac:dyDescent="0.25">
      <c r="B2343" s="5">
        <f t="shared" si="73"/>
        <v>44709</v>
      </c>
      <c r="C2343" s="6">
        <f>IFERROR(VLOOKUP($B2343,Platts!$E$5:$M$4994,MATCH(C$3,Platts!$F$5:$M$5,0)+1,FALSE),C2342)</f>
        <v>112.2</v>
      </c>
      <c r="D2343" s="6">
        <f>IFERROR(VLOOKUP($B2343,Platts!$E$5:$M$4994,MATCH(D$3,Platts!$F$5:$M$5,0)+1,FALSE),D2342)</f>
        <v>112.34</v>
      </c>
      <c r="E2343" s="6">
        <f>IFERROR(VLOOKUP($B2343,Platts!$E$5:$M$4994,MATCH(E$3,Platts!$F$5:$M$5,0)+1,FALSE),E2342)</f>
        <v>111.04</v>
      </c>
      <c r="F2343" s="6">
        <f>IFERROR(VLOOKUP($B2343,Platts!$E$5:$M$4994,MATCH(F$3,Platts!$F$5:$M$5,0)+1,FALSE),F2342)</f>
        <v>114.64</v>
      </c>
      <c r="G2343" s="6">
        <f>IFERROR(VLOOKUP($B2343,Platts!$E$5:$M$4994,MATCH(G$3,Platts!$F$5:$M$5,0)+1,FALSE),G2342)</f>
        <v>118.16</v>
      </c>
      <c r="H2343" s="6">
        <f>IFERROR(VLOOKUP($B2343,Platts!$E$5:$M$4994,MATCH(H$3,Platts!$F$5:$M$5,0)+1,FALSE),H2342)</f>
        <v>115.07</v>
      </c>
      <c r="I2343" s="6">
        <f>IFERROR(VLOOKUP($B2343,Platts!$E$5:$M$4994,MATCH(I$3,Platts!$F$5:$M$5,0)+1,FALSE),I2342)</f>
        <v>116.67</v>
      </c>
      <c r="J2343" s="6">
        <f t="shared" si="74"/>
        <v>2.8699999999999903</v>
      </c>
    </row>
    <row r="2344" spans="2:10" x14ac:dyDescent="0.25">
      <c r="B2344" s="5">
        <f t="shared" si="73"/>
        <v>44710</v>
      </c>
      <c r="C2344" s="6">
        <f>IFERROR(VLOOKUP($B2344,Platts!$E$5:$M$4994,MATCH(C$3,Platts!$F$5:$M$5,0)+1,FALSE),C2343)</f>
        <v>112.2</v>
      </c>
      <c r="D2344" s="6">
        <f>IFERROR(VLOOKUP($B2344,Platts!$E$5:$M$4994,MATCH(D$3,Platts!$F$5:$M$5,0)+1,FALSE),D2343)</f>
        <v>112.34</v>
      </c>
      <c r="E2344" s="6">
        <f>IFERROR(VLOOKUP($B2344,Platts!$E$5:$M$4994,MATCH(E$3,Platts!$F$5:$M$5,0)+1,FALSE),E2343)</f>
        <v>111.04</v>
      </c>
      <c r="F2344" s="6">
        <f>IFERROR(VLOOKUP($B2344,Platts!$E$5:$M$4994,MATCH(F$3,Platts!$F$5:$M$5,0)+1,FALSE),F2343)</f>
        <v>114.64</v>
      </c>
      <c r="G2344" s="6">
        <f>IFERROR(VLOOKUP($B2344,Platts!$E$5:$M$4994,MATCH(G$3,Platts!$F$5:$M$5,0)+1,FALSE),G2343)</f>
        <v>118.16</v>
      </c>
      <c r="H2344" s="6">
        <f>IFERROR(VLOOKUP($B2344,Platts!$E$5:$M$4994,MATCH(H$3,Platts!$F$5:$M$5,0)+1,FALSE),H2343)</f>
        <v>115.07</v>
      </c>
      <c r="I2344" s="6">
        <f>IFERROR(VLOOKUP($B2344,Platts!$E$5:$M$4994,MATCH(I$3,Platts!$F$5:$M$5,0)+1,FALSE),I2343)</f>
        <v>116.67</v>
      </c>
      <c r="J2344" s="6">
        <f t="shared" si="74"/>
        <v>2.8699999999999903</v>
      </c>
    </row>
    <row r="2345" spans="2:10" x14ac:dyDescent="0.25">
      <c r="B2345" s="5">
        <f t="shared" si="73"/>
        <v>44711</v>
      </c>
      <c r="C2345" s="6">
        <f>IFERROR(VLOOKUP($B2345,Platts!$E$5:$M$4994,MATCH(C$3,Platts!$F$5:$M$5,0)+1,FALSE),C2344)</f>
        <v>112.2</v>
      </c>
      <c r="D2345" s="6">
        <f>IFERROR(VLOOKUP($B2345,Platts!$E$5:$M$4994,MATCH(D$3,Platts!$F$5:$M$5,0)+1,FALSE),D2344)</f>
        <v>112.34</v>
      </c>
      <c r="E2345" s="6">
        <f>IFERROR(VLOOKUP($B2345,Platts!$E$5:$M$4994,MATCH(E$3,Platts!$F$5:$M$5,0)+1,FALSE),E2344)</f>
        <v>111.04</v>
      </c>
      <c r="F2345" s="6">
        <f>IFERROR(VLOOKUP($B2345,Platts!$E$5:$M$4994,MATCH(F$3,Platts!$F$5:$M$5,0)+1,FALSE),F2344)</f>
        <v>114.64</v>
      </c>
      <c r="G2345" s="6">
        <f>IFERROR(VLOOKUP($B2345,Platts!$E$5:$M$4994,MATCH(G$3,Platts!$F$5:$M$5,0)+1,FALSE),G2344)</f>
        <v>120.63</v>
      </c>
      <c r="H2345" s="6">
        <f>IFERROR(VLOOKUP($B2345,Platts!$E$5:$M$4994,MATCH(H$3,Platts!$F$5:$M$5,0)+1,FALSE),H2344)</f>
        <v>115.07</v>
      </c>
      <c r="I2345" s="6">
        <f>IFERROR(VLOOKUP($B2345,Platts!$E$5:$M$4994,MATCH(I$3,Platts!$F$5:$M$5,0)+1,FALSE),I2344)</f>
        <v>116.67</v>
      </c>
      <c r="J2345" s="6">
        <f t="shared" si="74"/>
        <v>2.8699999999999903</v>
      </c>
    </row>
    <row r="2346" spans="2:10" x14ac:dyDescent="0.25">
      <c r="B2346" s="5">
        <f t="shared" si="73"/>
        <v>44712</v>
      </c>
      <c r="C2346" s="6">
        <f>IFERROR(VLOOKUP($B2346,Platts!$E$5:$M$4994,MATCH(C$3,Platts!$F$5:$M$5,0)+1,FALSE),C2345)</f>
        <v>113.83</v>
      </c>
      <c r="D2346" s="6">
        <f>IFERROR(VLOOKUP($B2346,Platts!$E$5:$M$4994,MATCH(D$3,Platts!$F$5:$M$5,0)+1,FALSE),D2345)</f>
        <v>113.21</v>
      </c>
      <c r="E2346" s="6">
        <f>IFERROR(VLOOKUP($B2346,Platts!$E$5:$M$4994,MATCH(E$3,Platts!$F$5:$M$5,0)+1,FALSE),E2345)</f>
        <v>111.91</v>
      </c>
      <c r="F2346" s="6">
        <f>IFERROR(VLOOKUP($B2346,Platts!$E$5:$M$4994,MATCH(F$3,Platts!$F$5:$M$5,0)+1,FALSE),F2345)</f>
        <v>115.51</v>
      </c>
      <c r="G2346" s="6">
        <f>IFERROR(VLOOKUP($B2346,Platts!$E$5:$M$4994,MATCH(G$3,Platts!$F$5:$M$5,0)+1,FALSE),G2345)</f>
        <v>122.12</v>
      </c>
      <c r="H2346" s="6">
        <f>IFERROR(VLOOKUP($B2346,Platts!$E$5:$M$4994,MATCH(H$3,Platts!$F$5:$M$5,0)+1,FALSE),H2345)</f>
        <v>114.67</v>
      </c>
      <c r="I2346" s="6">
        <f>IFERROR(VLOOKUP($B2346,Platts!$E$5:$M$4994,MATCH(I$3,Platts!$F$5:$M$5,0)+1,FALSE),I2345)</f>
        <v>116.37</v>
      </c>
      <c r="J2346" s="6">
        <f t="shared" si="74"/>
        <v>0.84000000000000341</v>
      </c>
    </row>
    <row r="2347" spans="2:10" x14ac:dyDescent="0.25">
      <c r="B2347" s="5">
        <f t="shared" si="73"/>
        <v>44713</v>
      </c>
      <c r="C2347" s="6">
        <f>IFERROR(VLOOKUP($B2347,Platts!$E$5:$M$4994,MATCH(C$3,Platts!$F$5:$M$5,0)+1,FALSE),C2346)</f>
        <v>109.63</v>
      </c>
      <c r="D2347" s="6">
        <f>IFERROR(VLOOKUP($B2347,Platts!$E$5:$M$4994,MATCH(D$3,Platts!$F$5:$M$5,0)+1,FALSE),D2346)</f>
        <v>111.42</v>
      </c>
      <c r="E2347" s="6">
        <f>IFERROR(VLOOKUP($B2347,Platts!$E$5:$M$4994,MATCH(E$3,Platts!$F$5:$M$5,0)+1,FALSE),E2346)</f>
        <v>108.82</v>
      </c>
      <c r="F2347" s="6">
        <f>IFERROR(VLOOKUP($B2347,Platts!$E$5:$M$4994,MATCH(F$3,Platts!$F$5:$M$5,0)+1,FALSE),F2346)</f>
        <v>113.27</v>
      </c>
      <c r="G2347" s="6">
        <f>IFERROR(VLOOKUP($B2347,Platts!$E$5:$M$4994,MATCH(G$3,Platts!$F$5:$M$5,0)+1,FALSE),G2346)</f>
        <v>117.36</v>
      </c>
      <c r="H2347" s="6">
        <f>IFERROR(VLOOKUP($B2347,Platts!$E$5:$M$4994,MATCH(H$3,Platts!$F$5:$M$5,0)+1,FALSE),H2346)</f>
        <v>115.26</v>
      </c>
      <c r="I2347" s="6">
        <f>IFERROR(VLOOKUP($B2347,Platts!$E$5:$M$4994,MATCH(I$3,Platts!$F$5:$M$5,0)+1,FALSE),I2346)</f>
        <v>116.96</v>
      </c>
      <c r="J2347" s="6">
        <f t="shared" si="74"/>
        <v>5.6300000000000097</v>
      </c>
    </row>
    <row r="2348" spans="2:10" x14ac:dyDescent="0.25">
      <c r="B2348" s="5">
        <f t="shared" si="73"/>
        <v>44714</v>
      </c>
      <c r="C2348" s="6">
        <f>IFERROR(VLOOKUP($B2348,Platts!$E$5:$M$4994,MATCH(C$3,Platts!$F$5:$M$5,0)+1,FALSE),C2347)</f>
        <v>110.55</v>
      </c>
      <c r="D2348" s="6">
        <f>IFERROR(VLOOKUP($B2348,Platts!$E$5:$M$4994,MATCH(D$3,Platts!$F$5:$M$5,0)+1,FALSE),D2347)</f>
        <v>112.99</v>
      </c>
      <c r="E2348" s="6">
        <f>IFERROR(VLOOKUP($B2348,Platts!$E$5:$M$4994,MATCH(E$3,Platts!$F$5:$M$5,0)+1,FALSE),E2347)</f>
        <v>110.39</v>
      </c>
      <c r="F2348" s="6">
        <f>IFERROR(VLOOKUP($B2348,Platts!$E$5:$M$4994,MATCH(F$3,Platts!$F$5:$M$5,0)+1,FALSE),F2347)</f>
        <v>114.84</v>
      </c>
      <c r="G2348" s="6">
        <f>IFERROR(VLOOKUP($B2348,Platts!$E$5:$M$4994,MATCH(G$3,Platts!$F$5:$M$5,0)+1,FALSE),G2347)</f>
        <v>117.36</v>
      </c>
      <c r="H2348" s="6">
        <f>IFERROR(VLOOKUP($B2348,Platts!$E$5:$M$4994,MATCH(H$3,Platts!$F$5:$M$5,0)+1,FALSE),H2347)</f>
        <v>116.87</v>
      </c>
      <c r="I2348" s="6">
        <f>IFERROR(VLOOKUP($B2348,Platts!$E$5:$M$4994,MATCH(I$3,Platts!$F$5:$M$5,0)+1,FALSE),I2347)</f>
        <v>118.72</v>
      </c>
      <c r="J2348" s="6">
        <f t="shared" si="74"/>
        <v>6.3200000000000074</v>
      </c>
    </row>
    <row r="2349" spans="2:10" x14ac:dyDescent="0.25">
      <c r="B2349" s="5">
        <f t="shared" si="73"/>
        <v>44715</v>
      </c>
      <c r="C2349" s="6">
        <f>IFERROR(VLOOKUP($B2349,Platts!$E$5:$M$4994,MATCH(C$3,Platts!$F$5:$M$5,0)+1,FALSE),C2348)</f>
        <v>112.7</v>
      </c>
      <c r="D2349" s="6">
        <f>IFERROR(VLOOKUP($B2349,Platts!$E$5:$M$4994,MATCH(D$3,Platts!$F$5:$M$5,0)+1,FALSE),D2348)</f>
        <v>114.97</v>
      </c>
      <c r="E2349" s="6">
        <f>IFERROR(VLOOKUP($B2349,Platts!$E$5:$M$4994,MATCH(E$3,Platts!$F$5:$M$5,0)+1,FALSE),E2348)</f>
        <v>112.37</v>
      </c>
      <c r="F2349" s="6">
        <f>IFERROR(VLOOKUP($B2349,Platts!$E$5:$M$4994,MATCH(F$3,Platts!$F$5:$M$5,0)+1,FALSE),F2348)</f>
        <v>116.82</v>
      </c>
      <c r="G2349" s="6">
        <f>IFERROR(VLOOKUP($B2349,Platts!$E$5:$M$4994,MATCH(G$3,Platts!$F$5:$M$5,0)+1,FALSE),G2348)</f>
        <v>117.36</v>
      </c>
      <c r="H2349" s="6">
        <f>IFERROR(VLOOKUP($B2349,Platts!$E$5:$M$4994,MATCH(H$3,Platts!$F$5:$M$5,0)+1,FALSE),H2348)</f>
        <v>118.87</v>
      </c>
      <c r="I2349" s="6">
        <f>IFERROR(VLOOKUP($B2349,Platts!$E$5:$M$4994,MATCH(I$3,Platts!$F$5:$M$5,0)+1,FALSE),I2348)</f>
        <v>120.62</v>
      </c>
      <c r="J2349" s="6">
        <f t="shared" si="74"/>
        <v>6.1700000000000017</v>
      </c>
    </row>
    <row r="2350" spans="2:10" x14ac:dyDescent="0.25">
      <c r="B2350" s="5">
        <f t="shared" si="73"/>
        <v>44716</v>
      </c>
      <c r="C2350" s="6">
        <f>IFERROR(VLOOKUP($B2350,Platts!$E$5:$M$4994,MATCH(C$3,Platts!$F$5:$M$5,0)+1,FALSE),C2349)</f>
        <v>112.7</v>
      </c>
      <c r="D2350" s="6">
        <f>IFERROR(VLOOKUP($B2350,Platts!$E$5:$M$4994,MATCH(D$3,Platts!$F$5:$M$5,0)+1,FALSE),D2349)</f>
        <v>114.97</v>
      </c>
      <c r="E2350" s="6">
        <f>IFERROR(VLOOKUP($B2350,Platts!$E$5:$M$4994,MATCH(E$3,Platts!$F$5:$M$5,0)+1,FALSE),E2349)</f>
        <v>112.37</v>
      </c>
      <c r="F2350" s="6">
        <f>IFERROR(VLOOKUP($B2350,Platts!$E$5:$M$4994,MATCH(F$3,Platts!$F$5:$M$5,0)+1,FALSE),F2349)</f>
        <v>116.82</v>
      </c>
      <c r="G2350" s="6">
        <f>IFERROR(VLOOKUP($B2350,Platts!$E$5:$M$4994,MATCH(G$3,Platts!$F$5:$M$5,0)+1,FALSE),G2349)</f>
        <v>117.36</v>
      </c>
      <c r="H2350" s="6">
        <f>IFERROR(VLOOKUP($B2350,Platts!$E$5:$M$4994,MATCH(H$3,Platts!$F$5:$M$5,0)+1,FALSE),H2349)</f>
        <v>118.87</v>
      </c>
      <c r="I2350" s="6">
        <f>IFERROR(VLOOKUP($B2350,Platts!$E$5:$M$4994,MATCH(I$3,Platts!$F$5:$M$5,0)+1,FALSE),I2349)</f>
        <v>120.62</v>
      </c>
      <c r="J2350" s="6">
        <f t="shared" si="74"/>
        <v>6.1700000000000017</v>
      </c>
    </row>
    <row r="2351" spans="2:10" x14ac:dyDescent="0.25">
      <c r="B2351" s="5">
        <f t="shared" si="73"/>
        <v>44717</v>
      </c>
      <c r="C2351" s="6">
        <f>IFERROR(VLOOKUP($B2351,Platts!$E$5:$M$4994,MATCH(C$3,Platts!$F$5:$M$5,0)+1,FALSE),C2350)</f>
        <v>112.7</v>
      </c>
      <c r="D2351" s="6">
        <f>IFERROR(VLOOKUP($B2351,Platts!$E$5:$M$4994,MATCH(D$3,Platts!$F$5:$M$5,0)+1,FALSE),D2350)</f>
        <v>114.97</v>
      </c>
      <c r="E2351" s="6">
        <f>IFERROR(VLOOKUP($B2351,Platts!$E$5:$M$4994,MATCH(E$3,Platts!$F$5:$M$5,0)+1,FALSE),E2350)</f>
        <v>112.37</v>
      </c>
      <c r="F2351" s="6">
        <f>IFERROR(VLOOKUP($B2351,Platts!$E$5:$M$4994,MATCH(F$3,Platts!$F$5:$M$5,0)+1,FALSE),F2350)</f>
        <v>116.82</v>
      </c>
      <c r="G2351" s="6">
        <f>IFERROR(VLOOKUP($B2351,Platts!$E$5:$M$4994,MATCH(G$3,Platts!$F$5:$M$5,0)+1,FALSE),G2350)</f>
        <v>117.36</v>
      </c>
      <c r="H2351" s="6">
        <f>IFERROR(VLOOKUP($B2351,Platts!$E$5:$M$4994,MATCH(H$3,Platts!$F$5:$M$5,0)+1,FALSE),H2350)</f>
        <v>118.87</v>
      </c>
      <c r="I2351" s="6">
        <f>IFERROR(VLOOKUP($B2351,Platts!$E$5:$M$4994,MATCH(I$3,Platts!$F$5:$M$5,0)+1,FALSE),I2350)</f>
        <v>120.62</v>
      </c>
      <c r="J2351" s="6">
        <f t="shared" si="74"/>
        <v>6.1700000000000017</v>
      </c>
    </row>
    <row r="2352" spans="2:10" x14ac:dyDescent="0.25">
      <c r="B2352" s="5">
        <f t="shared" si="73"/>
        <v>44718</v>
      </c>
      <c r="C2352" s="6">
        <f>IFERROR(VLOOKUP($B2352,Platts!$E$5:$M$4994,MATCH(C$3,Platts!$F$5:$M$5,0)+1,FALSE),C2351)</f>
        <v>112.75</v>
      </c>
      <c r="D2352" s="6">
        <f>IFERROR(VLOOKUP($B2352,Platts!$E$5:$M$4994,MATCH(D$3,Platts!$F$5:$M$5,0)+1,FALSE),D2351)</f>
        <v>114.52</v>
      </c>
      <c r="E2352" s="6">
        <f>IFERROR(VLOOKUP($B2352,Platts!$E$5:$M$4994,MATCH(E$3,Platts!$F$5:$M$5,0)+1,FALSE),E2351)</f>
        <v>111.92</v>
      </c>
      <c r="F2352" s="6">
        <f>IFERROR(VLOOKUP($B2352,Platts!$E$5:$M$4994,MATCH(F$3,Platts!$F$5:$M$5,0)+1,FALSE),F2351)</f>
        <v>116.37</v>
      </c>
      <c r="G2352" s="6">
        <f>IFERROR(VLOOKUP($B2352,Platts!$E$5:$M$4994,MATCH(G$3,Platts!$F$5:$M$5,0)+1,FALSE),G2351)</f>
        <v>119.39</v>
      </c>
      <c r="H2352" s="6">
        <f>IFERROR(VLOOKUP($B2352,Platts!$E$5:$M$4994,MATCH(H$3,Platts!$F$5:$M$5,0)+1,FALSE),H2351)</f>
        <v>118.5</v>
      </c>
      <c r="I2352" s="6">
        <f>IFERROR(VLOOKUP($B2352,Platts!$E$5:$M$4994,MATCH(I$3,Platts!$F$5:$M$5,0)+1,FALSE),I2351)</f>
        <v>120.05</v>
      </c>
      <c r="J2352" s="6">
        <f t="shared" si="74"/>
        <v>5.75</v>
      </c>
    </row>
    <row r="2353" spans="2:10" x14ac:dyDescent="0.25">
      <c r="B2353" s="5">
        <f t="shared" si="73"/>
        <v>44719</v>
      </c>
      <c r="C2353" s="6">
        <f>IFERROR(VLOOKUP($B2353,Platts!$E$5:$M$4994,MATCH(C$3,Platts!$F$5:$M$5,0)+1,FALSE),C2352)</f>
        <v>113.59</v>
      </c>
      <c r="D2353" s="6">
        <f>IFERROR(VLOOKUP($B2353,Platts!$E$5:$M$4994,MATCH(D$3,Platts!$F$5:$M$5,0)+1,FALSE),D2352)</f>
        <v>115.52</v>
      </c>
      <c r="E2353" s="6">
        <f>IFERROR(VLOOKUP($B2353,Platts!$E$5:$M$4994,MATCH(E$3,Platts!$F$5:$M$5,0)+1,FALSE),E2352)</f>
        <v>112.92</v>
      </c>
      <c r="F2353" s="6">
        <f>IFERROR(VLOOKUP($B2353,Platts!$E$5:$M$4994,MATCH(F$3,Platts!$F$5:$M$5,0)+1,FALSE),F2352)</f>
        <v>117.37</v>
      </c>
      <c r="G2353" s="6">
        <f>IFERROR(VLOOKUP($B2353,Platts!$E$5:$M$4994,MATCH(G$3,Platts!$F$5:$M$5,0)+1,FALSE),G2352)</f>
        <v>120.18</v>
      </c>
      <c r="H2353" s="6">
        <f>IFERROR(VLOOKUP($B2353,Platts!$E$5:$M$4994,MATCH(H$3,Platts!$F$5:$M$5,0)+1,FALSE),H2352)</f>
        <v>119.41</v>
      </c>
      <c r="I2353" s="6">
        <f>IFERROR(VLOOKUP($B2353,Platts!$E$5:$M$4994,MATCH(I$3,Platts!$F$5:$M$5,0)+1,FALSE),I2352)</f>
        <v>120.91</v>
      </c>
      <c r="J2353" s="6">
        <f t="shared" si="74"/>
        <v>5.8199999999999932</v>
      </c>
    </row>
    <row r="2354" spans="2:10" x14ac:dyDescent="0.25">
      <c r="B2354" s="5">
        <f t="shared" si="73"/>
        <v>44720</v>
      </c>
      <c r="C2354" s="6">
        <f>IFERROR(VLOOKUP($B2354,Platts!$E$5:$M$4994,MATCH(C$3,Platts!$F$5:$M$5,0)+1,FALSE),C2353)</f>
        <v>116.28</v>
      </c>
      <c r="D2354" s="6">
        <f>IFERROR(VLOOKUP($B2354,Platts!$E$5:$M$4994,MATCH(D$3,Platts!$F$5:$M$5,0)+1,FALSE),D2353)</f>
        <v>118.36</v>
      </c>
      <c r="E2354" s="6">
        <f>IFERROR(VLOOKUP($B2354,Platts!$E$5:$M$4994,MATCH(E$3,Platts!$F$5:$M$5,0)+1,FALSE),E2353)</f>
        <v>115.76</v>
      </c>
      <c r="F2354" s="6">
        <f>IFERROR(VLOOKUP($B2354,Platts!$E$5:$M$4994,MATCH(F$3,Platts!$F$5:$M$5,0)+1,FALSE),F2353)</f>
        <v>120.21</v>
      </c>
      <c r="G2354" s="6">
        <f>IFERROR(VLOOKUP($B2354,Platts!$E$5:$M$4994,MATCH(G$3,Platts!$F$5:$M$5,0)+1,FALSE),G2353)</f>
        <v>122.72</v>
      </c>
      <c r="H2354" s="6">
        <f>IFERROR(VLOOKUP($B2354,Platts!$E$5:$M$4994,MATCH(H$3,Platts!$F$5:$M$5,0)+1,FALSE),H2353)</f>
        <v>122.11</v>
      </c>
      <c r="I2354" s="6">
        <f>IFERROR(VLOOKUP($B2354,Platts!$E$5:$M$4994,MATCH(I$3,Platts!$F$5:$M$5,0)+1,FALSE),I2353)</f>
        <v>123.66</v>
      </c>
      <c r="J2354" s="6">
        <f t="shared" si="74"/>
        <v>5.8299999999999983</v>
      </c>
    </row>
    <row r="2355" spans="2:10" x14ac:dyDescent="0.25">
      <c r="B2355" s="5">
        <f t="shared" si="73"/>
        <v>44721</v>
      </c>
      <c r="C2355" s="6">
        <f>IFERROR(VLOOKUP($B2355,Platts!$E$5:$M$4994,MATCH(C$3,Platts!$F$5:$M$5,0)+1,FALSE),C2354)</f>
        <v>115.98</v>
      </c>
      <c r="D2355" s="6">
        <f>IFERROR(VLOOKUP($B2355,Platts!$E$5:$M$4994,MATCH(D$3,Platts!$F$5:$M$5,0)+1,FALSE),D2354)</f>
        <v>117.72</v>
      </c>
      <c r="E2355" s="6">
        <f>IFERROR(VLOOKUP($B2355,Platts!$E$5:$M$4994,MATCH(E$3,Platts!$F$5:$M$5,0)+1,FALSE),E2354)</f>
        <v>115.12</v>
      </c>
      <c r="F2355" s="6">
        <f>IFERROR(VLOOKUP($B2355,Platts!$E$5:$M$4994,MATCH(F$3,Platts!$F$5:$M$5,0)+1,FALSE),F2354)</f>
        <v>119.57</v>
      </c>
      <c r="G2355" s="6">
        <f>IFERROR(VLOOKUP($B2355,Platts!$E$5:$M$4994,MATCH(G$3,Platts!$F$5:$M$5,0)+1,FALSE),G2354)</f>
        <v>123.86</v>
      </c>
      <c r="H2355" s="6">
        <f>IFERROR(VLOOKUP($B2355,Platts!$E$5:$M$4994,MATCH(H$3,Platts!$F$5:$M$5,0)+1,FALSE),H2354)</f>
        <v>121.51</v>
      </c>
      <c r="I2355" s="6">
        <f>IFERROR(VLOOKUP($B2355,Platts!$E$5:$M$4994,MATCH(I$3,Platts!$F$5:$M$5,0)+1,FALSE),I2354)</f>
        <v>123.01</v>
      </c>
      <c r="J2355" s="6">
        <f t="shared" si="74"/>
        <v>5.5300000000000011</v>
      </c>
    </row>
    <row r="2356" spans="2:10" x14ac:dyDescent="0.25">
      <c r="B2356" s="5">
        <f t="shared" si="73"/>
        <v>44722</v>
      </c>
      <c r="C2356" s="6">
        <f>IFERROR(VLOOKUP($B2356,Platts!$E$5:$M$4994,MATCH(C$3,Platts!$F$5:$M$5,0)+1,FALSE),C2355)</f>
        <v>115.2</v>
      </c>
      <c r="D2356" s="6">
        <f>IFERROR(VLOOKUP($B2356,Platts!$E$5:$M$4994,MATCH(D$3,Platts!$F$5:$M$5,0)+1,FALSE),D2355)</f>
        <v>116.84</v>
      </c>
      <c r="E2356" s="6">
        <f>IFERROR(VLOOKUP($B2356,Platts!$E$5:$M$4994,MATCH(E$3,Platts!$F$5:$M$5,0)+1,FALSE),E2355)</f>
        <v>114.24</v>
      </c>
      <c r="F2356" s="6">
        <f>IFERROR(VLOOKUP($B2356,Platts!$E$5:$M$4994,MATCH(F$3,Platts!$F$5:$M$5,0)+1,FALSE),F2355)</f>
        <v>118.69</v>
      </c>
      <c r="G2356" s="6">
        <f>IFERROR(VLOOKUP($B2356,Platts!$E$5:$M$4994,MATCH(G$3,Platts!$F$5:$M$5,0)+1,FALSE),G2355)</f>
        <v>121.32</v>
      </c>
      <c r="H2356" s="6">
        <f>IFERROR(VLOOKUP($B2356,Platts!$E$5:$M$4994,MATCH(H$3,Platts!$F$5:$M$5,0)+1,FALSE),H2355)</f>
        <v>120.67</v>
      </c>
      <c r="I2356" s="6">
        <f>IFERROR(VLOOKUP($B2356,Platts!$E$5:$M$4994,MATCH(I$3,Platts!$F$5:$M$5,0)+1,FALSE),I2355)</f>
        <v>122.12</v>
      </c>
      <c r="J2356" s="6">
        <f t="shared" si="74"/>
        <v>5.4699999999999989</v>
      </c>
    </row>
    <row r="2357" spans="2:10" x14ac:dyDescent="0.25">
      <c r="B2357" s="5">
        <f t="shared" si="73"/>
        <v>44723</v>
      </c>
      <c r="C2357" s="6">
        <f>IFERROR(VLOOKUP($B2357,Platts!$E$5:$M$4994,MATCH(C$3,Platts!$F$5:$M$5,0)+1,FALSE),C2356)</f>
        <v>115.2</v>
      </c>
      <c r="D2357" s="6">
        <f>IFERROR(VLOOKUP($B2357,Platts!$E$5:$M$4994,MATCH(D$3,Platts!$F$5:$M$5,0)+1,FALSE),D2356)</f>
        <v>116.84</v>
      </c>
      <c r="E2357" s="6">
        <f>IFERROR(VLOOKUP($B2357,Platts!$E$5:$M$4994,MATCH(E$3,Platts!$F$5:$M$5,0)+1,FALSE),E2356)</f>
        <v>114.24</v>
      </c>
      <c r="F2357" s="6">
        <f>IFERROR(VLOOKUP($B2357,Platts!$E$5:$M$4994,MATCH(F$3,Platts!$F$5:$M$5,0)+1,FALSE),F2356)</f>
        <v>118.69</v>
      </c>
      <c r="G2357" s="6">
        <f>IFERROR(VLOOKUP($B2357,Platts!$E$5:$M$4994,MATCH(G$3,Platts!$F$5:$M$5,0)+1,FALSE),G2356)</f>
        <v>121.32</v>
      </c>
      <c r="H2357" s="6">
        <f>IFERROR(VLOOKUP($B2357,Platts!$E$5:$M$4994,MATCH(H$3,Platts!$F$5:$M$5,0)+1,FALSE),H2356)</f>
        <v>120.67</v>
      </c>
      <c r="I2357" s="6">
        <f>IFERROR(VLOOKUP($B2357,Platts!$E$5:$M$4994,MATCH(I$3,Platts!$F$5:$M$5,0)+1,FALSE),I2356)</f>
        <v>122.12</v>
      </c>
      <c r="J2357" s="6">
        <f t="shared" si="74"/>
        <v>5.4699999999999989</v>
      </c>
    </row>
    <row r="2358" spans="2:10" x14ac:dyDescent="0.25">
      <c r="B2358" s="5">
        <f t="shared" si="73"/>
        <v>44724</v>
      </c>
      <c r="C2358" s="6">
        <f>IFERROR(VLOOKUP($B2358,Platts!$E$5:$M$4994,MATCH(C$3,Platts!$F$5:$M$5,0)+1,FALSE),C2357)</f>
        <v>115.2</v>
      </c>
      <c r="D2358" s="6">
        <f>IFERROR(VLOOKUP($B2358,Platts!$E$5:$M$4994,MATCH(D$3,Platts!$F$5:$M$5,0)+1,FALSE),D2357)</f>
        <v>116.84</v>
      </c>
      <c r="E2358" s="6">
        <f>IFERROR(VLOOKUP($B2358,Platts!$E$5:$M$4994,MATCH(E$3,Platts!$F$5:$M$5,0)+1,FALSE),E2357)</f>
        <v>114.24</v>
      </c>
      <c r="F2358" s="6">
        <f>IFERROR(VLOOKUP($B2358,Platts!$E$5:$M$4994,MATCH(F$3,Platts!$F$5:$M$5,0)+1,FALSE),F2357)</f>
        <v>118.69</v>
      </c>
      <c r="G2358" s="6">
        <f>IFERROR(VLOOKUP($B2358,Platts!$E$5:$M$4994,MATCH(G$3,Platts!$F$5:$M$5,0)+1,FALSE),G2357)</f>
        <v>121.32</v>
      </c>
      <c r="H2358" s="6">
        <f>IFERROR(VLOOKUP($B2358,Platts!$E$5:$M$4994,MATCH(H$3,Platts!$F$5:$M$5,0)+1,FALSE),H2357)</f>
        <v>120.67</v>
      </c>
      <c r="I2358" s="6">
        <f>IFERROR(VLOOKUP($B2358,Platts!$E$5:$M$4994,MATCH(I$3,Platts!$F$5:$M$5,0)+1,FALSE),I2357)</f>
        <v>122.12</v>
      </c>
      <c r="J2358" s="6">
        <f t="shared" si="74"/>
        <v>5.4699999999999989</v>
      </c>
    </row>
    <row r="2359" spans="2:10" x14ac:dyDescent="0.25">
      <c r="B2359" s="5">
        <f t="shared" si="73"/>
        <v>44725</v>
      </c>
      <c r="C2359" s="6">
        <f>IFERROR(VLOOKUP($B2359,Platts!$E$5:$M$4994,MATCH(C$3,Platts!$F$5:$M$5,0)+1,FALSE),C2358)</f>
        <v>115.06</v>
      </c>
      <c r="D2359" s="6">
        <f>IFERROR(VLOOKUP($B2359,Platts!$E$5:$M$4994,MATCH(D$3,Platts!$F$5:$M$5,0)+1,FALSE),D2358)</f>
        <v>117.1</v>
      </c>
      <c r="E2359" s="6">
        <f>IFERROR(VLOOKUP($B2359,Platts!$E$5:$M$4994,MATCH(E$3,Platts!$F$5:$M$5,0)+1,FALSE),E2358)</f>
        <v>114.5</v>
      </c>
      <c r="F2359" s="6">
        <f>IFERROR(VLOOKUP($B2359,Platts!$E$5:$M$4994,MATCH(F$3,Platts!$F$5:$M$5,0)+1,FALSE),F2358)</f>
        <v>118.95</v>
      </c>
      <c r="G2359" s="6">
        <f>IFERROR(VLOOKUP($B2359,Platts!$E$5:$M$4994,MATCH(G$3,Platts!$F$5:$M$5,0)+1,FALSE),G2358)</f>
        <v>120.99</v>
      </c>
      <c r="H2359" s="6">
        <f>IFERROR(VLOOKUP($B2359,Platts!$E$5:$M$4994,MATCH(H$3,Platts!$F$5:$M$5,0)+1,FALSE),H2358)</f>
        <v>120.93</v>
      </c>
      <c r="I2359" s="6">
        <f>IFERROR(VLOOKUP($B2359,Platts!$E$5:$M$4994,MATCH(I$3,Platts!$F$5:$M$5,0)+1,FALSE),I2358)</f>
        <v>122.38</v>
      </c>
      <c r="J2359" s="6">
        <f t="shared" si="74"/>
        <v>5.8700000000000045</v>
      </c>
    </row>
    <row r="2360" spans="2:10" x14ac:dyDescent="0.25">
      <c r="B2360" s="5">
        <f t="shared" si="73"/>
        <v>44726</v>
      </c>
      <c r="C2360" s="6">
        <f>IFERROR(VLOOKUP($B2360,Platts!$E$5:$M$4994,MATCH(C$3,Platts!$F$5:$M$5,0)+1,FALSE),C2359)</f>
        <v>113.96</v>
      </c>
      <c r="D2360" s="6">
        <f>IFERROR(VLOOKUP($B2360,Platts!$E$5:$M$4994,MATCH(D$3,Platts!$F$5:$M$5,0)+1,FALSE),D2359)</f>
        <v>115.35</v>
      </c>
      <c r="E2360" s="6">
        <f>IFERROR(VLOOKUP($B2360,Platts!$E$5:$M$4994,MATCH(E$3,Platts!$F$5:$M$5,0)+1,FALSE),E2359)</f>
        <v>112.75</v>
      </c>
      <c r="F2360" s="6">
        <f>IFERROR(VLOOKUP($B2360,Platts!$E$5:$M$4994,MATCH(F$3,Platts!$F$5:$M$5,0)+1,FALSE),F2359)</f>
        <v>117.2</v>
      </c>
      <c r="G2360" s="6">
        <f>IFERROR(VLOOKUP($B2360,Platts!$E$5:$M$4994,MATCH(G$3,Platts!$F$5:$M$5,0)+1,FALSE),G2359)</f>
        <v>124.73</v>
      </c>
      <c r="H2360" s="6">
        <f>IFERROR(VLOOKUP($B2360,Platts!$E$5:$M$4994,MATCH(H$3,Platts!$F$5:$M$5,0)+1,FALSE),H2359)</f>
        <v>118.93</v>
      </c>
      <c r="I2360" s="6">
        <f>IFERROR(VLOOKUP($B2360,Platts!$E$5:$M$4994,MATCH(I$3,Platts!$F$5:$M$5,0)+1,FALSE),I2359)</f>
        <v>120.28</v>
      </c>
      <c r="J2360" s="6">
        <f t="shared" si="74"/>
        <v>4.9700000000000131</v>
      </c>
    </row>
    <row r="2361" spans="2:10" x14ac:dyDescent="0.25">
      <c r="B2361" s="5">
        <f t="shared" si="73"/>
        <v>44727</v>
      </c>
      <c r="C2361" s="6">
        <f>IFERROR(VLOOKUP($B2361,Platts!$E$5:$M$4994,MATCH(C$3,Platts!$F$5:$M$5,0)+1,FALSE),C2360)</f>
        <v>110.92</v>
      </c>
      <c r="D2361" s="6">
        <f>IFERROR(VLOOKUP($B2361,Platts!$E$5:$M$4994,MATCH(D$3,Platts!$F$5:$M$5,0)+1,FALSE),D2360)</f>
        <v>112.16</v>
      </c>
      <c r="E2361" s="6">
        <f>IFERROR(VLOOKUP($B2361,Platts!$E$5:$M$4994,MATCH(E$3,Platts!$F$5:$M$5,0)+1,FALSE),E2360)</f>
        <v>109.56</v>
      </c>
      <c r="F2361" s="6">
        <f>IFERROR(VLOOKUP($B2361,Platts!$E$5:$M$4994,MATCH(F$3,Platts!$F$5:$M$5,0)+1,FALSE),F2360)</f>
        <v>114.01</v>
      </c>
      <c r="G2361" s="6">
        <f>IFERROR(VLOOKUP($B2361,Platts!$E$5:$M$4994,MATCH(G$3,Platts!$F$5:$M$5,0)+1,FALSE),G2360)</f>
        <v>121.24</v>
      </c>
      <c r="H2361" s="6">
        <f>IFERROR(VLOOKUP($B2361,Platts!$E$5:$M$4994,MATCH(H$3,Platts!$F$5:$M$5,0)+1,FALSE),H2360)</f>
        <v>115.31</v>
      </c>
      <c r="I2361" s="6">
        <f>IFERROR(VLOOKUP($B2361,Platts!$E$5:$M$4994,MATCH(I$3,Platts!$F$5:$M$5,0)+1,FALSE),I2360)</f>
        <v>116.81</v>
      </c>
      <c r="J2361" s="6">
        <f t="shared" si="74"/>
        <v>4.3900000000000006</v>
      </c>
    </row>
    <row r="2362" spans="2:10" x14ac:dyDescent="0.25">
      <c r="B2362" s="5">
        <f t="shared" si="73"/>
        <v>44728</v>
      </c>
      <c r="C2362" s="6">
        <f>IFERROR(VLOOKUP($B2362,Platts!$E$5:$M$4994,MATCH(C$3,Platts!$F$5:$M$5,0)+1,FALSE),C2361)</f>
        <v>112.4</v>
      </c>
      <c r="D2362" s="6">
        <f>IFERROR(VLOOKUP($B2362,Platts!$E$5:$M$4994,MATCH(D$3,Platts!$F$5:$M$5,0)+1,FALSE),D2361)</f>
        <v>114.13</v>
      </c>
      <c r="E2362" s="6">
        <f>IFERROR(VLOOKUP($B2362,Platts!$E$5:$M$4994,MATCH(E$3,Platts!$F$5:$M$5,0)+1,FALSE),E2361)</f>
        <v>111.53</v>
      </c>
      <c r="F2362" s="6">
        <f>IFERROR(VLOOKUP($B2362,Platts!$E$5:$M$4994,MATCH(F$3,Platts!$F$5:$M$5,0)+1,FALSE),F2361)</f>
        <v>115.98</v>
      </c>
      <c r="G2362" s="6">
        <f>IFERROR(VLOOKUP($B2362,Platts!$E$5:$M$4994,MATCH(G$3,Platts!$F$5:$M$5,0)+1,FALSE),G2361)</f>
        <v>117.95</v>
      </c>
      <c r="H2362" s="6">
        <f>IFERROR(VLOOKUP($B2362,Platts!$E$5:$M$4994,MATCH(H$3,Platts!$F$5:$M$5,0)+1,FALSE),H2361)</f>
        <v>117.58</v>
      </c>
      <c r="I2362" s="6">
        <f>IFERROR(VLOOKUP($B2362,Platts!$E$5:$M$4994,MATCH(I$3,Platts!$F$5:$M$5,0)+1,FALSE),I2361)</f>
        <v>118.53</v>
      </c>
      <c r="J2362" s="6">
        <f t="shared" si="74"/>
        <v>5.1799999999999926</v>
      </c>
    </row>
    <row r="2363" spans="2:10" x14ac:dyDescent="0.25">
      <c r="B2363" s="5">
        <f t="shared" si="73"/>
        <v>44729</v>
      </c>
      <c r="C2363" s="6">
        <f>IFERROR(VLOOKUP($B2363,Platts!$E$5:$M$4994,MATCH(C$3,Platts!$F$5:$M$5,0)+1,FALSE),C2362)</f>
        <v>105.9</v>
      </c>
      <c r="D2363" s="6">
        <f>IFERROR(VLOOKUP($B2363,Platts!$E$5:$M$4994,MATCH(D$3,Platts!$F$5:$M$5,0)+1,FALSE),D2362)</f>
        <v>106.44</v>
      </c>
      <c r="E2363" s="6">
        <f>IFERROR(VLOOKUP($B2363,Platts!$E$5:$M$4994,MATCH(E$3,Platts!$F$5:$M$5,0)+1,FALSE),E2362)</f>
        <v>103.84</v>
      </c>
      <c r="F2363" s="6">
        <f>IFERROR(VLOOKUP($B2363,Platts!$E$5:$M$4994,MATCH(F$3,Platts!$F$5:$M$5,0)+1,FALSE),F2362)</f>
        <v>108.29</v>
      </c>
      <c r="G2363" s="6">
        <f>IFERROR(VLOOKUP($B2363,Platts!$E$5:$M$4994,MATCH(G$3,Platts!$F$5:$M$5,0)+1,FALSE),G2362)</f>
        <v>114.42</v>
      </c>
      <c r="H2363" s="6">
        <f>IFERROR(VLOOKUP($B2363,Platts!$E$5:$M$4994,MATCH(H$3,Platts!$F$5:$M$5,0)+1,FALSE),H2362)</f>
        <v>109.56</v>
      </c>
      <c r="I2363" s="6">
        <f>IFERROR(VLOOKUP($B2363,Platts!$E$5:$M$4994,MATCH(I$3,Platts!$F$5:$M$5,0)+1,FALSE),I2362)</f>
        <v>110.46</v>
      </c>
      <c r="J2363" s="6">
        <f t="shared" si="74"/>
        <v>3.6599999999999966</v>
      </c>
    </row>
    <row r="2364" spans="2:10" x14ac:dyDescent="0.25">
      <c r="B2364" s="5">
        <f t="shared" si="73"/>
        <v>44730</v>
      </c>
      <c r="C2364" s="6">
        <f>IFERROR(VLOOKUP($B2364,Platts!$E$5:$M$4994,MATCH(C$3,Platts!$F$5:$M$5,0)+1,FALSE),C2363)</f>
        <v>105.9</v>
      </c>
      <c r="D2364" s="6">
        <f>IFERROR(VLOOKUP($B2364,Platts!$E$5:$M$4994,MATCH(D$3,Platts!$F$5:$M$5,0)+1,FALSE),D2363)</f>
        <v>106.44</v>
      </c>
      <c r="E2364" s="6">
        <f>IFERROR(VLOOKUP($B2364,Platts!$E$5:$M$4994,MATCH(E$3,Platts!$F$5:$M$5,0)+1,FALSE),E2363)</f>
        <v>103.84</v>
      </c>
      <c r="F2364" s="6">
        <f>IFERROR(VLOOKUP($B2364,Platts!$E$5:$M$4994,MATCH(F$3,Platts!$F$5:$M$5,0)+1,FALSE),F2363)</f>
        <v>108.29</v>
      </c>
      <c r="G2364" s="6">
        <f>IFERROR(VLOOKUP($B2364,Platts!$E$5:$M$4994,MATCH(G$3,Platts!$F$5:$M$5,0)+1,FALSE),G2363)</f>
        <v>114.42</v>
      </c>
      <c r="H2364" s="6">
        <f>IFERROR(VLOOKUP($B2364,Platts!$E$5:$M$4994,MATCH(H$3,Platts!$F$5:$M$5,0)+1,FALSE),H2363)</f>
        <v>109.56</v>
      </c>
      <c r="I2364" s="6">
        <f>IFERROR(VLOOKUP($B2364,Platts!$E$5:$M$4994,MATCH(I$3,Platts!$F$5:$M$5,0)+1,FALSE),I2363)</f>
        <v>110.46</v>
      </c>
      <c r="J2364" s="6">
        <f t="shared" si="74"/>
        <v>3.6599999999999966</v>
      </c>
    </row>
    <row r="2365" spans="2:10" x14ac:dyDescent="0.25">
      <c r="B2365" s="5">
        <f t="shared" si="73"/>
        <v>44731</v>
      </c>
      <c r="C2365" s="6">
        <f>IFERROR(VLOOKUP($B2365,Platts!$E$5:$M$4994,MATCH(C$3,Platts!$F$5:$M$5,0)+1,FALSE),C2364)</f>
        <v>105.9</v>
      </c>
      <c r="D2365" s="6">
        <f>IFERROR(VLOOKUP($B2365,Platts!$E$5:$M$4994,MATCH(D$3,Platts!$F$5:$M$5,0)+1,FALSE),D2364)</f>
        <v>106.44</v>
      </c>
      <c r="E2365" s="6">
        <f>IFERROR(VLOOKUP($B2365,Platts!$E$5:$M$4994,MATCH(E$3,Platts!$F$5:$M$5,0)+1,FALSE),E2364)</f>
        <v>103.84</v>
      </c>
      <c r="F2365" s="6">
        <f>IFERROR(VLOOKUP($B2365,Platts!$E$5:$M$4994,MATCH(F$3,Platts!$F$5:$M$5,0)+1,FALSE),F2364)</f>
        <v>108.29</v>
      </c>
      <c r="G2365" s="6">
        <f>IFERROR(VLOOKUP($B2365,Platts!$E$5:$M$4994,MATCH(G$3,Platts!$F$5:$M$5,0)+1,FALSE),G2364)</f>
        <v>114.42</v>
      </c>
      <c r="H2365" s="6">
        <f>IFERROR(VLOOKUP($B2365,Platts!$E$5:$M$4994,MATCH(H$3,Platts!$F$5:$M$5,0)+1,FALSE),H2364)</f>
        <v>109.56</v>
      </c>
      <c r="I2365" s="6">
        <f>IFERROR(VLOOKUP($B2365,Platts!$E$5:$M$4994,MATCH(I$3,Platts!$F$5:$M$5,0)+1,FALSE),I2364)</f>
        <v>110.46</v>
      </c>
      <c r="J2365" s="6">
        <f t="shared" si="74"/>
        <v>3.6599999999999966</v>
      </c>
    </row>
    <row r="2366" spans="2:10" x14ac:dyDescent="0.25">
      <c r="B2366" s="5">
        <f t="shared" si="73"/>
        <v>44732</v>
      </c>
      <c r="C2366" s="6">
        <f>IFERROR(VLOOKUP($B2366,Platts!$E$5:$M$4994,MATCH(C$3,Platts!$F$5:$M$5,0)+1,FALSE),C2365)</f>
        <v>105.9</v>
      </c>
      <c r="D2366" s="6">
        <f>IFERROR(VLOOKUP($B2366,Platts!$E$5:$M$4994,MATCH(D$3,Platts!$F$5:$M$5,0)+1,FALSE),D2365)</f>
        <v>106.44</v>
      </c>
      <c r="E2366" s="6">
        <f>IFERROR(VLOOKUP($B2366,Platts!$E$5:$M$4994,MATCH(E$3,Platts!$F$5:$M$5,0)+1,FALSE),E2365)</f>
        <v>103.84</v>
      </c>
      <c r="F2366" s="6">
        <f>IFERROR(VLOOKUP($B2366,Platts!$E$5:$M$4994,MATCH(F$3,Platts!$F$5:$M$5,0)+1,FALSE),F2365)</f>
        <v>108.29</v>
      </c>
      <c r="G2366" s="6">
        <f>IFERROR(VLOOKUP($B2366,Platts!$E$5:$M$4994,MATCH(G$3,Platts!$F$5:$M$5,0)+1,FALSE),G2365)</f>
        <v>113.97</v>
      </c>
      <c r="H2366" s="6">
        <f>IFERROR(VLOOKUP($B2366,Platts!$E$5:$M$4994,MATCH(H$3,Platts!$F$5:$M$5,0)+1,FALSE),H2365)</f>
        <v>109.56</v>
      </c>
      <c r="I2366" s="6">
        <f>IFERROR(VLOOKUP($B2366,Platts!$E$5:$M$4994,MATCH(I$3,Platts!$F$5:$M$5,0)+1,FALSE),I2365)</f>
        <v>110.46</v>
      </c>
      <c r="J2366" s="6">
        <f t="shared" si="74"/>
        <v>3.6599999999999966</v>
      </c>
    </row>
    <row r="2367" spans="2:10" x14ac:dyDescent="0.25">
      <c r="B2367" s="5">
        <f t="shared" si="73"/>
        <v>44733</v>
      </c>
      <c r="C2367" s="6">
        <f>IFERROR(VLOOKUP($B2367,Platts!$E$5:$M$4994,MATCH(C$3,Platts!$F$5:$M$5,0)+1,FALSE),C2366)</f>
        <v>106.72</v>
      </c>
      <c r="D2367" s="6">
        <f>IFERROR(VLOOKUP($B2367,Platts!$E$5:$M$4994,MATCH(D$3,Platts!$F$5:$M$5,0)+1,FALSE),D2366)</f>
        <v>107.85</v>
      </c>
      <c r="E2367" s="6">
        <f>IFERROR(VLOOKUP($B2367,Platts!$E$5:$M$4994,MATCH(E$3,Platts!$F$5:$M$5,0)+1,FALSE),E2366)</f>
        <v>105.25</v>
      </c>
      <c r="F2367" s="6">
        <f>IFERROR(VLOOKUP($B2367,Platts!$E$5:$M$4994,MATCH(F$3,Platts!$F$5:$M$5,0)+1,FALSE),F2366)</f>
        <v>109.7</v>
      </c>
      <c r="G2367" s="6">
        <f>IFERROR(VLOOKUP($B2367,Platts!$E$5:$M$4994,MATCH(G$3,Platts!$F$5:$M$5,0)+1,FALSE),G2366)</f>
        <v>114.98</v>
      </c>
      <c r="H2367" s="6">
        <f>IFERROR(VLOOKUP($B2367,Platts!$E$5:$M$4994,MATCH(H$3,Platts!$F$5:$M$5,0)+1,FALSE),H2366)</f>
        <v>110.65</v>
      </c>
      <c r="I2367" s="6">
        <f>IFERROR(VLOOKUP($B2367,Platts!$E$5:$M$4994,MATCH(I$3,Platts!$F$5:$M$5,0)+1,FALSE),I2366)</f>
        <v>111.15</v>
      </c>
      <c r="J2367" s="6">
        <f t="shared" si="74"/>
        <v>3.9300000000000068</v>
      </c>
    </row>
    <row r="2368" spans="2:10" x14ac:dyDescent="0.25">
      <c r="B2368" s="5">
        <f t="shared" si="73"/>
        <v>44734</v>
      </c>
      <c r="C2368" s="6">
        <f>IFERROR(VLOOKUP($B2368,Platts!$E$5:$M$4994,MATCH(C$3,Platts!$F$5:$M$5,0)+1,FALSE),C2367)</f>
        <v>103.79</v>
      </c>
      <c r="D2368" s="6">
        <f>IFERROR(VLOOKUP($B2368,Platts!$E$5:$M$4994,MATCH(D$3,Platts!$F$5:$M$5,0)+1,FALSE),D2367)</f>
        <v>105.2</v>
      </c>
      <c r="E2368" s="6">
        <f>IFERROR(VLOOKUP($B2368,Platts!$E$5:$M$4994,MATCH(E$3,Platts!$F$5:$M$5,0)+1,FALSE),E2367)</f>
        <v>102.6</v>
      </c>
      <c r="F2368" s="6">
        <f>IFERROR(VLOOKUP($B2368,Platts!$E$5:$M$4994,MATCH(F$3,Platts!$F$5:$M$5,0)+1,FALSE),F2367)</f>
        <v>107.05</v>
      </c>
      <c r="G2368" s="6">
        <f>IFERROR(VLOOKUP($B2368,Platts!$E$5:$M$4994,MATCH(G$3,Platts!$F$5:$M$5,0)+1,FALSE),G2367)</f>
        <v>111.12</v>
      </c>
      <c r="H2368" s="6">
        <f>IFERROR(VLOOKUP($B2368,Platts!$E$5:$M$4994,MATCH(H$3,Platts!$F$5:$M$5,0)+1,FALSE),H2367)</f>
        <v>107.69</v>
      </c>
      <c r="I2368" s="6">
        <f>IFERROR(VLOOKUP($B2368,Platts!$E$5:$M$4994,MATCH(I$3,Platts!$F$5:$M$5,0)+1,FALSE),I2367)</f>
        <v>108.44</v>
      </c>
      <c r="J2368" s="6">
        <f t="shared" si="74"/>
        <v>3.8999999999999915</v>
      </c>
    </row>
    <row r="2369" spans="2:10" x14ac:dyDescent="0.25">
      <c r="B2369" s="5">
        <f t="shared" si="73"/>
        <v>44735</v>
      </c>
      <c r="C2369" s="6">
        <f>IFERROR(VLOOKUP($B2369,Platts!$E$5:$M$4994,MATCH(C$3,Platts!$F$5:$M$5,0)+1,FALSE),C2368)</f>
        <v>102.39</v>
      </c>
      <c r="D2369" s="6">
        <f>IFERROR(VLOOKUP($B2369,Platts!$E$5:$M$4994,MATCH(D$3,Platts!$F$5:$M$5,0)+1,FALSE),D2368)</f>
        <v>103.75</v>
      </c>
      <c r="E2369" s="6">
        <f>IFERROR(VLOOKUP($B2369,Platts!$E$5:$M$4994,MATCH(E$3,Platts!$F$5:$M$5,0)+1,FALSE),E2368)</f>
        <v>101.15</v>
      </c>
      <c r="F2369" s="6">
        <f>IFERROR(VLOOKUP($B2369,Platts!$E$5:$M$4994,MATCH(F$3,Platts!$F$5:$M$5,0)+1,FALSE),F2368)</f>
        <v>105.6</v>
      </c>
      <c r="G2369" s="6">
        <f>IFERROR(VLOOKUP($B2369,Platts!$E$5:$M$4994,MATCH(G$3,Platts!$F$5:$M$5,0)+1,FALSE),G2368)</f>
        <v>111.63</v>
      </c>
      <c r="H2369" s="6">
        <f>IFERROR(VLOOKUP($B2369,Platts!$E$5:$M$4994,MATCH(H$3,Platts!$F$5:$M$5,0)+1,FALSE),H2368)</f>
        <v>106.07</v>
      </c>
      <c r="I2369" s="6">
        <f>IFERROR(VLOOKUP($B2369,Platts!$E$5:$M$4994,MATCH(I$3,Platts!$F$5:$M$5,0)+1,FALSE),I2368)</f>
        <v>106.97</v>
      </c>
      <c r="J2369" s="6">
        <f t="shared" si="74"/>
        <v>3.6799999999999926</v>
      </c>
    </row>
    <row r="2370" spans="2:10" x14ac:dyDescent="0.25">
      <c r="B2370" s="5">
        <f t="shared" si="73"/>
        <v>44736</v>
      </c>
      <c r="C2370" s="6">
        <f>IFERROR(VLOOKUP($B2370,Platts!$E$5:$M$4994,MATCH(C$3,Platts!$F$5:$M$5,0)+1,FALSE),C2369)</f>
        <v>105.61</v>
      </c>
      <c r="D2370" s="6">
        <f>IFERROR(VLOOKUP($B2370,Platts!$E$5:$M$4994,MATCH(D$3,Platts!$F$5:$M$5,0)+1,FALSE),D2369)</f>
        <v>108.04</v>
      </c>
      <c r="E2370" s="6">
        <f>IFERROR(VLOOKUP($B2370,Platts!$E$5:$M$4994,MATCH(E$3,Platts!$F$5:$M$5,0)+1,FALSE),E2369)</f>
        <v>105.44</v>
      </c>
      <c r="F2370" s="6">
        <f>IFERROR(VLOOKUP($B2370,Platts!$E$5:$M$4994,MATCH(F$3,Platts!$F$5:$M$5,0)+1,FALSE),F2369)</f>
        <v>109.89</v>
      </c>
      <c r="G2370" s="6">
        <f>IFERROR(VLOOKUP($B2370,Platts!$E$5:$M$4994,MATCH(G$3,Platts!$F$5:$M$5,0)+1,FALSE),G2369)</f>
        <v>114.24</v>
      </c>
      <c r="H2370" s="6">
        <f>IFERROR(VLOOKUP($B2370,Platts!$E$5:$M$4994,MATCH(H$3,Platts!$F$5:$M$5,0)+1,FALSE),H2369)</f>
        <v>109.67</v>
      </c>
      <c r="I2370" s="6">
        <f>IFERROR(VLOOKUP($B2370,Platts!$E$5:$M$4994,MATCH(I$3,Platts!$F$5:$M$5,0)+1,FALSE),I2369)</f>
        <v>110.52</v>
      </c>
      <c r="J2370" s="6">
        <f t="shared" si="74"/>
        <v>4.0600000000000023</v>
      </c>
    </row>
    <row r="2371" spans="2:10" x14ac:dyDescent="0.25">
      <c r="B2371" s="5">
        <f t="shared" si="73"/>
        <v>44737</v>
      </c>
      <c r="C2371" s="6">
        <f>IFERROR(VLOOKUP($B2371,Platts!$E$5:$M$4994,MATCH(C$3,Platts!$F$5:$M$5,0)+1,FALSE),C2370)</f>
        <v>105.61</v>
      </c>
      <c r="D2371" s="6">
        <f>IFERROR(VLOOKUP($B2371,Platts!$E$5:$M$4994,MATCH(D$3,Platts!$F$5:$M$5,0)+1,FALSE),D2370)</f>
        <v>108.04</v>
      </c>
      <c r="E2371" s="6">
        <f>IFERROR(VLOOKUP($B2371,Platts!$E$5:$M$4994,MATCH(E$3,Platts!$F$5:$M$5,0)+1,FALSE),E2370)</f>
        <v>105.44</v>
      </c>
      <c r="F2371" s="6">
        <f>IFERROR(VLOOKUP($B2371,Platts!$E$5:$M$4994,MATCH(F$3,Platts!$F$5:$M$5,0)+1,FALSE),F2370)</f>
        <v>109.89</v>
      </c>
      <c r="G2371" s="6">
        <f>IFERROR(VLOOKUP($B2371,Platts!$E$5:$M$4994,MATCH(G$3,Platts!$F$5:$M$5,0)+1,FALSE),G2370)</f>
        <v>114.24</v>
      </c>
      <c r="H2371" s="6">
        <f>IFERROR(VLOOKUP($B2371,Platts!$E$5:$M$4994,MATCH(H$3,Platts!$F$5:$M$5,0)+1,FALSE),H2370)</f>
        <v>109.67</v>
      </c>
      <c r="I2371" s="6">
        <f>IFERROR(VLOOKUP($B2371,Platts!$E$5:$M$4994,MATCH(I$3,Platts!$F$5:$M$5,0)+1,FALSE),I2370)</f>
        <v>110.52</v>
      </c>
      <c r="J2371" s="6">
        <f t="shared" si="74"/>
        <v>4.0600000000000023</v>
      </c>
    </row>
    <row r="2372" spans="2:10" x14ac:dyDescent="0.25">
      <c r="B2372" s="5">
        <f t="shared" si="73"/>
        <v>44738</v>
      </c>
      <c r="C2372" s="6">
        <f>IFERROR(VLOOKUP($B2372,Platts!$E$5:$M$4994,MATCH(C$3,Platts!$F$5:$M$5,0)+1,FALSE),C2371)</f>
        <v>105.61</v>
      </c>
      <c r="D2372" s="6">
        <f>IFERROR(VLOOKUP($B2372,Platts!$E$5:$M$4994,MATCH(D$3,Platts!$F$5:$M$5,0)+1,FALSE),D2371)</f>
        <v>108.04</v>
      </c>
      <c r="E2372" s="6">
        <f>IFERROR(VLOOKUP($B2372,Platts!$E$5:$M$4994,MATCH(E$3,Platts!$F$5:$M$5,0)+1,FALSE),E2371)</f>
        <v>105.44</v>
      </c>
      <c r="F2372" s="6">
        <f>IFERROR(VLOOKUP($B2372,Platts!$E$5:$M$4994,MATCH(F$3,Platts!$F$5:$M$5,0)+1,FALSE),F2371)</f>
        <v>109.89</v>
      </c>
      <c r="G2372" s="6">
        <f>IFERROR(VLOOKUP($B2372,Platts!$E$5:$M$4994,MATCH(G$3,Platts!$F$5:$M$5,0)+1,FALSE),G2371)</f>
        <v>114.24</v>
      </c>
      <c r="H2372" s="6">
        <f>IFERROR(VLOOKUP($B2372,Platts!$E$5:$M$4994,MATCH(H$3,Platts!$F$5:$M$5,0)+1,FALSE),H2371)</f>
        <v>109.67</v>
      </c>
      <c r="I2372" s="6">
        <f>IFERROR(VLOOKUP($B2372,Platts!$E$5:$M$4994,MATCH(I$3,Platts!$F$5:$M$5,0)+1,FALSE),I2371)</f>
        <v>110.52</v>
      </c>
      <c r="J2372" s="6">
        <f t="shared" si="74"/>
        <v>4.0600000000000023</v>
      </c>
    </row>
    <row r="2373" spans="2:10" x14ac:dyDescent="0.25">
      <c r="B2373" s="5">
        <f t="shared" si="73"/>
        <v>44739</v>
      </c>
      <c r="C2373" s="6">
        <f>IFERROR(VLOOKUP($B2373,Platts!$E$5:$M$4994,MATCH(C$3,Platts!$F$5:$M$5,0)+1,FALSE),C2372)</f>
        <v>106.25</v>
      </c>
      <c r="D2373" s="6">
        <f>IFERROR(VLOOKUP($B2373,Platts!$E$5:$M$4994,MATCH(D$3,Platts!$F$5:$M$5,0)+1,FALSE),D2372)</f>
        <v>107.43</v>
      </c>
      <c r="E2373" s="6">
        <f>IFERROR(VLOOKUP($B2373,Platts!$E$5:$M$4994,MATCH(E$3,Platts!$F$5:$M$5,0)+1,FALSE),E2372)</f>
        <v>104.83</v>
      </c>
      <c r="F2373" s="6">
        <f>IFERROR(VLOOKUP($B2373,Platts!$E$5:$M$4994,MATCH(F$3,Platts!$F$5:$M$5,0)+1,FALSE),F2372)</f>
        <v>109.28</v>
      </c>
      <c r="G2373" s="6">
        <f>IFERROR(VLOOKUP($B2373,Platts!$E$5:$M$4994,MATCH(G$3,Platts!$F$5:$M$5,0)+1,FALSE),G2372)</f>
        <v>114.96</v>
      </c>
      <c r="H2373" s="6">
        <f>IFERROR(VLOOKUP($B2373,Platts!$E$5:$M$4994,MATCH(H$3,Platts!$F$5:$M$5,0)+1,FALSE),H2372)</f>
        <v>109.57</v>
      </c>
      <c r="I2373" s="6">
        <f>IFERROR(VLOOKUP($B2373,Platts!$E$5:$M$4994,MATCH(I$3,Platts!$F$5:$M$5,0)+1,FALSE),I2372)</f>
        <v>110.77</v>
      </c>
      <c r="J2373" s="6">
        <f t="shared" si="74"/>
        <v>3.3199999999999932</v>
      </c>
    </row>
    <row r="2374" spans="2:10" x14ac:dyDescent="0.25">
      <c r="B2374" s="5">
        <f t="shared" ref="B2374:B2437" si="75">B2373+1</f>
        <v>44740</v>
      </c>
      <c r="C2374" s="6">
        <f>IFERROR(VLOOKUP($B2374,Platts!$E$5:$M$4994,MATCH(C$3,Platts!$F$5:$M$5,0)+1,FALSE),C2373)</f>
        <v>108.77</v>
      </c>
      <c r="D2374" s="6">
        <f>IFERROR(VLOOKUP($B2374,Platts!$E$5:$M$4994,MATCH(D$3,Platts!$F$5:$M$5,0)+1,FALSE),D2373)</f>
        <v>109.83</v>
      </c>
      <c r="E2374" s="6">
        <f>IFERROR(VLOOKUP($B2374,Platts!$E$5:$M$4994,MATCH(E$3,Platts!$F$5:$M$5,0)+1,FALSE),E2373)</f>
        <v>107.23</v>
      </c>
      <c r="F2374" s="6">
        <f>IFERROR(VLOOKUP($B2374,Platts!$E$5:$M$4994,MATCH(F$3,Platts!$F$5:$M$5,0)+1,FALSE),F2373)</f>
        <v>111.68</v>
      </c>
      <c r="G2374" s="6">
        <f>IFERROR(VLOOKUP($B2374,Platts!$E$5:$M$4994,MATCH(G$3,Platts!$F$5:$M$5,0)+1,FALSE),G2373)</f>
        <v>117.38</v>
      </c>
      <c r="H2374" s="6">
        <f>IFERROR(VLOOKUP($B2374,Platts!$E$5:$M$4994,MATCH(H$3,Platts!$F$5:$M$5,0)+1,FALSE),H2373)</f>
        <v>111.76</v>
      </c>
      <c r="I2374" s="6">
        <f>IFERROR(VLOOKUP($B2374,Platts!$E$5:$M$4994,MATCH(I$3,Platts!$F$5:$M$5,0)+1,FALSE),I2373)</f>
        <v>112.96</v>
      </c>
      <c r="J2374" s="6">
        <f t="shared" si="74"/>
        <v>2.9900000000000091</v>
      </c>
    </row>
    <row r="2375" spans="2:10" x14ac:dyDescent="0.25">
      <c r="B2375" s="5">
        <f t="shared" si="75"/>
        <v>44741</v>
      </c>
      <c r="C2375" s="6">
        <f>IFERROR(VLOOKUP($B2375,Platts!$E$5:$M$4994,MATCH(C$3,Platts!$F$5:$M$5,0)+1,FALSE),C2374)</f>
        <v>107.35</v>
      </c>
      <c r="D2375" s="6">
        <f>IFERROR(VLOOKUP($B2375,Platts!$E$5:$M$4994,MATCH(D$3,Platts!$F$5:$M$5,0)+1,FALSE),D2374)</f>
        <v>107.98</v>
      </c>
      <c r="E2375" s="6">
        <f>IFERROR(VLOOKUP($B2375,Platts!$E$5:$M$4994,MATCH(E$3,Platts!$F$5:$M$5,0)+1,FALSE),E2374)</f>
        <v>105.38</v>
      </c>
      <c r="F2375" s="6">
        <f>IFERROR(VLOOKUP($B2375,Platts!$E$5:$M$4994,MATCH(F$3,Platts!$F$5:$M$5,0)+1,FALSE),F2374)</f>
        <v>109.83</v>
      </c>
      <c r="G2375" s="6">
        <f>IFERROR(VLOOKUP($B2375,Platts!$E$5:$M$4994,MATCH(G$3,Platts!$F$5:$M$5,0)+1,FALSE),G2374)</f>
        <v>118.46</v>
      </c>
      <c r="H2375" s="6">
        <f>IFERROR(VLOOKUP($B2375,Platts!$E$5:$M$4994,MATCH(H$3,Platts!$F$5:$M$5,0)+1,FALSE),H2374)</f>
        <v>109.78</v>
      </c>
      <c r="I2375" s="6">
        <f>IFERROR(VLOOKUP($B2375,Platts!$E$5:$M$4994,MATCH(I$3,Platts!$F$5:$M$5,0)+1,FALSE),I2374)</f>
        <v>111.28</v>
      </c>
      <c r="J2375" s="6">
        <f t="shared" si="74"/>
        <v>2.4300000000000068</v>
      </c>
    </row>
    <row r="2376" spans="2:10" x14ac:dyDescent="0.25">
      <c r="B2376" s="5">
        <f t="shared" si="75"/>
        <v>44742</v>
      </c>
      <c r="C2376" s="6">
        <f>IFERROR(VLOOKUP($B2376,Platts!$E$5:$M$4994,MATCH(C$3,Platts!$F$5:$M$5,0)+1,FALSE),C2375)</f>
        <v>104.79</v>
      </c>
      <c r="D2376" s="6">
        <f>IFERROR(VLOOKUP($B2376,Platts!$E$5:$M$4994,MATCH(D$3,Platts!$F$5:$M$5,0)+1,FALSE),D2375)</f>
        <v>104.95</v>
      </c>
      <c r="E2376" s="6">
        <f>IFERROR(VLOOKUP($B2376,Platts!$E$5:$M$4994,MATCH(E$3,Platts!$F$5:$M$5,0)+1,FALSE),E2375)</f>
        <v>102.35</v>
      </c>
      <c r="F2376" s="6">
        <f>IFERROR(VLOOKUP($B2376,Platts!$E$5:$M$4994,MATCH(F$3,Platts!$F$5:$M$5,0)+1,FALSE),F2375)</f>
        <v>106.8</v>
      </c>
      <c r="G2376" s="6">
        <f>IFERROR(VLOOKUP($B2376,Platts!$E$5:$M$4994,MATCH(G$3,Platts!$F$5:$M$5,0)+1,FALSE),G2375)</f>
        <v>114.45</v>
      </c>
      <c r="H2376" s="6">
        <f>IFERROR(VLOOKUP($B2376,Platts!$E$5:$M$4994,MATCH(H$3,Platts!$F$5:$M$5,0)+1,FALSE),H2375)</f>
        <v>105.76</v>
      </c>
      <c r="I2376" s="6">
        <f>IFERROR(VLOOKUP($B2376,Platts!$E$5:$M$4994,MATCH(I$3,Platts!$F$5:$M$5,0)+1,FALSE),I2375)</f>
        <v>107.41</v>
      </c>
      <c r="J2376" s="6">
        <f t="shared" si="74"/>
        <v>0.96999999999999886</v>
      </c>
    </row>
    <row r="2377" spans="2:10" x14ac:dyDescent="0.25">
      <c r="B2377" s="5">
        <f t="shared" si="75"/>
        <v>44743</v>
      </c>
      <c r="C2377" s="6">
        <f>IFERROR(VLOOKUP($B2377,Platts!$E$5:$M$4994,MATCH(C$3,Platts!$F$5:$M$5,0)+1,FALSE),C2376)</f>
        <v>103.02</v>
      </c>
      <c r="D2377" s="6">
        <f>IFERROR(VLOOKUP($B2377,Platts!$E$5:$M$4994,MATCH(D$3,Platts!$F$5:$M$5,0)+1,FALSE),D2376)</f>
        <v>104.46</v>
      </c>
      <c r="E2377" s="6">
        <f>IFERROR(VLOOKUP($B2377,Platts!$E$5:$M$4994,MATCH(E$3,Platts!$F$5:$M$5,0)+1,FALSE),E2376)</f>
        <v>101.11</v>
      </c>
      <c r="F2377" s="6">
        <f>IFERROR(VLOOKUP($B2377,Platts!$E$5:$M$4994,MATCH(F$3,Platts!$F$5:$M$5,0)+1,FALSE),F2376)</f>
        <v>106.81</v>
      </c>
      <c r="G2377" s="6">
        <f>IFERROR(VLOOKUP($B2377,Platts!$E$5:$M$4994,MATCH(G$3,Platts!$F$5:$M$5,0)+1,FALSE),G2376)</f>
        <v>111.12</v>
      </c>
      <c r="H2377" s="6">
        <f>IFERROR(VLOOKUP($B2377,Platts!$E$5:$M$4994,MATCH(H$3,Platts!$F$5:$M$5,0)+1,FALSE),H2376)</f>
        <v>108.43</v>
      </c>
      <c r="I2377" s="6">
        <f>IFERROR(VLOOKUP($B2377,Platts!$E$5:$M$4994,MATCH(I$3,Platts!$F$5:$M$5,0)+1,FALSE),I2376)</f>
        <v>110.08</v>
      </c>
      <c r="J2377" s="6">
        <f t="shared" si="74"/>
        <v>5.4100000000000108</v>
      </c>
    </row>
    <row r="2378" spans="2:10" x14ac:dyDescent="0.25">
      <c r="B2378" s="5">
        <f t="shared" si="75"/>
        <v>44744</v>
      </c>
      <c r="C2378" s="6">
        <f>IFERROR(VLOOKUP($B2378,Platts!$E$5:$M$4994,MATCH(C$3,Platts!$F$5:$M$5,0)+1,FALSE),C2377)</f>
        <v>103.02</v>
      </c>
      <c r="D2378" s="6">
        <f>IFERROR(VLOOKUP($B2378,Platts!$E$5:$M$4994,MATCH(D$3,Platts!$F$5:$M$5,0)+1,FALSE),D2377)</f>
        <v>104.46</v>
      </c>
      <c r="E2378" s="6">
        <f>IFERROR(VLOOKUP($B2378,Platts!$E$5:$M$4994,MATCH(E$3,Platts!$F$5:$M$5,0)+1,FALSE),E2377)</f>
        <v>101.11</v>
      </c>
      <c r="F2378" s="6">
        <f>IFERROR(VLOOKUP($B2378,Platts!$E$5:$M$4994,MATCH(F$3,Platts!$F$5:$M$5,0)+1,FALSE),F2377)</f>
        <v>106.81</v>
      </c>
      <c r="G2378" s="6">
        <f>IFERROR(VLOOKUP($B2378,Platts!$E$5:$M$4994,MATCH(G$3,Platts!$F$5:$M$5,0)+1,FALSE),G2377)</f>
        <v>111.12</v>
      </c>
      <c r="H2378" s="6">
        <f>IFERROR(VLOOKUP($B2378,Platts!$E$5:$M$4994,MATCH(H$3,Platts!$F$5:$M$5,0)+1,FALSE),H2377)</f>
        <v>108.43</v>
      </c>
      <c r="I2378" s="6">
        <f>IFERROR(VLOOKUP($B2378,Platts!$E$5:$M$4994,MATCH(I$3,Platts!$F$5:$M$5,0)+1,FALSE),I2377)</f>
        <v>110.08</v>
      </c>
      <c r="J2378" s="6">
        <f t="shared" si="74"/>
        <v>5.4100000000000108</v>
      </c>
    </row>
    <row r="2379" spans="2:10" x14ac:dyDescent="0.25">
      <c r="B2379" s="5">
        <f t="shared" si="75"/>
        <v>44745</v>
      </c>
      <c r="C2379" s="6">
        <f>IFERROR(VLOOKUP($B2379,Platts!$E$5:$M$4994,MATCH(C$3,Platts!$F$5:$M$5,0)+1,FALSE),C2378)</f>
        <v>103.02</v>
      </c>
      <c r="D2379" s="6">
        <f>IFERROR(VLOOKUP($B2379,Platts!$E$5:$M$4994,MATCH(D$3,Platts!$F$5:$M$5,0)+1,FALSE),D2378)</f>
        <v>104.46</v>
      </c>
      <c r="E2379" s="6">
        <f>IFERROR(VLOOKUP($B2379,Platts!$E$5:$M$4994,MATCH(E$3,Platts!$F$5:$M$5,0)+1,FALSE),E2378)</f>
        <v>101.11</v>
      </c>
      <c r="F2379" s="6">
        <f>IFERROR(VLOOKUP($B2379,Platts!$E$5:$M$4994,MATCH(F$3,Platts!$F$5:$M$5,0)+1,FALSE),F2378)</f>
        <v>106.81</v>
      </c>
      <c r="G2379" s="6">
        <f>IFERROR(VLOOKUP($B2379,Platts!$E$5:$M$4994,MATCH(G$3,Platts!$F$5:$M$5,0)+1,FALSE),G2378)</f>
        <v>111.12</v>
      </c>
      <c r="H2379" s="6">
        <f>IFERROR(VLOOKUP($B2379,Platts!$E$5:$M$4994,MATCH(H$3,Platts!$F$5:$M$5,0)+1,FALSE),H2378)</f>
        <v>108.43</v>
      </c>
      <c r="I2379" s="6">
        <f>IFERROR(VLOOKUP($B2379,Platts!$E$5:$M$4994,MATCH(I$3,Platts!$F$5:$M$5,0)+1,FALSE),I2378)</f>
        <v>110.08</v>
      </c>
      <c r="J2379" s="6">
        <f t="shared" si="74"/>
        <v>5.4100000000000108</v>
      </c>
    </row>
    <row r="2380" spans="2:10" x14ac:dyDescent="0.25">
      <c r="B2380" s="5">
        <f t="shared" si="75"/>
        <v>44746</v>
      </c>
      <c r="C2380" s="6">
        <f>IFERROR(VLOOKUP($B2380,Platts!$E$5:$M$4994,MATCH(C$3,Platts!$F$5:$M$5,0)+1,FALSE),C2379)</f>
        <v>103.02</v>
      </c>
      <c r="D2380" s="6">
        <f>IFERROR(VLOOKUP($B2380,Platts!$E$5:$M$4994,MATCH(D$3,Platts!$F$5:$M$5,0)+1,FALSE),D2379)</f>
        <v>104.46</v>
      </c>
      <c r="E2380" s="6">
        <f>IFERROR(VLOOKUP($B2380,Platts!$E$5:$M$4994,MATCH(E$3,Platts!$F$5:$M$5,0)+1,FALSE),E2379)</f>
        <v>101.11</v>
      </c>
      <c r="F2380" s="6">
        <f>IFERROR(VLOOKUP($B2380,Platts!$E$5:$M$4994,MATCH(F$3,Platts!$F$5:$M$5,0)+1,FALSE),F2379)</f>
        <v>106.81</v>
      </c>
      <c r="G2380" s="6">
        <f>IFERROR(VLOOKUP($B2380,Platts!$E$5:$M$4994,MATCH(G$3,Platts!$F$5:$M$5,0)+1,FALSE),G2379)</f>
        <v>111.12</v>
      </c>
      <c r="H2380" s="6">
        <f>IFERROR(VLOOKUP($B2380,Platts!$E$5:$M$4994,MATCH(H$3,Platts!$F$5:$M$5,0)+1,FALSE),H2379)</f>
        <v>108.43</v>
      </c>
      <c r="I2380" s="6">
        <f>IFERROR(VLOOKUP($B2380,Platts!$E$5:$M$4994,MATCH(I$3,Platts!$F$5:$M$5,0)+1,FALSE),I2379)</f>
        <v>110.08</v>
      </c>
      <c r="J2380" s="6">
        <f t="shared" si="74"/>
        <v>5.4100000000000108</v>
      </c>
    </row>
    <row r="2381" spans="2:10" x14ac:dyDescent="0.25">
      <c r="B2381" s="5">
        <f t="shared" si="75"/>
        <v>44747</v>
      </c>
      <c r="C2381" s="6">
        <f>IFERROR(VLOOKUP($B2381,Platts!$E$5:$M$4994,MATCH(C$3,Platts!$F$5:$M$5,0)+1,FALSE),C2380)</f>
        <v>95.13</v>
      </c>
      <c r="D2381" s="6">
        <f>IFERROR(VLOOKUP($B2381,Platts!$E$5:$M$4994,MATCH(D$3,Platts!$F$5:$M$5,0)+1,FALSE),D2380)</f>
        <v>95.78</v>
      </c>
      <c r="E2381" s="6">
        <f>IFERROR(VLOOKUP($B2381,Platts!$E$5:$M$4994,MATCH(E$3,Platts!$F$5:$M$5,0)+1,FALSE),E2380)</f>
        <v>92.43</v>
      </c>
      <c r="F2381" s="6">
        <f>IFERROR(VLOOKUP($B2381,Platts!$E$5:$M$4994,MATCH(F$3,Platts!$F$5:$M$5,0)+1,FALSE),F2380)</f>
        <v>98.13</v>
      </c>
      <c r="G2381" s="6">
        <f>IFERROR(VLOOKUP($B2381,Platts!$E$5:$M$4994,MATCH(G$3,Platts!$F$5:$M$5,0)+1,FALSE),G2380)</f>
        <v>103.06</v>
      </c>
      <c r="H2381" s="6">
        <f>IFERROR(VLOOKUP($B2381,Platts!$E$5:$M$4994,MATCH(H$3,Platts!$F$5:$M$5,0)+1,FALSE),H2380)</f>
        <v>99.5</v>
      </c>
      <c r="I2381" s="6">
        <f>IFERROR(VLOOKUP($B2381,Platts!$E$5:$M$4994,MATCH(I$3,Platts!$F$5:$M$5,0)+1,FALSE),I2380)</f>
        <v>101.15</v>
      </c>
      <c r="J2381" s="6">
        <f t="shared" si="74"/>
        <v>4.3700000000000045</v>
      </c>
    </row>
    <row r="2382" spans="2:10" x14ac:dyDescent="0.25">
      <c r="B2382" s="5">
        <f t="shared" si="75"/>
        <v>44748</v>
      </c>
      <c r="C2382" s="6">
        <f>IFERROR(VLOOKUP($B2382,Platts!$E$5:$M$4994,MATCH(C$3,Platts!$F$5:$M$5,0)+1,FALSE),C2381)</f>
        <v>93.08</v>
      </c>
      <c r="D2382" s="6">
        <f>IFERROR(VLOOKUP($B2382,Platts!$E$5:$M$4994,MATCH(D$3,Platts!$F$5:$M$5,0)+1,FALSE),D2381)</f>
        <v>94.45</v>
      </c>
      <c r="E2382" s="6">
        <f>IFERROR(VLOOKUP($B2382,Platts!$E$5:$M$4994,MATCH(E$3,Platts!$F$5:$M$5,0)+1,FALSE),E2381)</f>
        <v>91.1</v>
      </c>
      <c r="F2382" s="6">
        <f>IFERROR(VLOOKUP($B2382,Platts!$E$5:$M$4994,MATCH(F$3,Platts!$F$5:$M$5,0)+1,FALSE),F2381)</f>
        <v>96.8</v>
      </c>
      <c r="G2382" s="6">
        <f>IFERROR(VLOOKUP($B2382,Platts!$E$5:$M$4994,MATCH(G$3,Platts!$F$5:$M$5,0)+1,FALSE),G2381)</f>
        <v>100.52</v>
      </c>
      <c r="H2382" s="6">
        <f>IFERROR(VLOOKUP($B2382,Platts!$E$5:$M$4994,MATCH(H$3,Platts!$F$5:$M$5,0)+1,FALSE),H2381)</f>
        <v>98.53</v>
      </c>
      <c r="I2382" s="6">
        <f>IFERROR(VLOOKUP($B2382,Platts!$E$5:$M$4994,MATCH(I$3,Platts!$F$5:$M$5,0)+1,FALSE),I2381)</f>
        <v>100.23</v>
      </c>
      <c r="J2382" s="6">
        <f t="shared" si="74"/>
        <v>5.4500000000000028</v>
      </c>
    </row>
    <row r="2383" spans="2:10" x14ac:dyDescent="0.25">
      <c r="B2383" s="5">
        <f t="shared" si="75"/>
        <v>44749</v>
      </c>
      <c r="C2383" s="6">
        <f>IFERROR(VLOOKUP($B2383,Platts!$E$5:$M$4994,MATCH(C$3,Platts!$F$5:$M$5,0)+1,FALSE),C2382)</f>
        <v>96.53</v>
      </c>
      <c r="D2383" s="6">
        <f>IFERROR(VLOOKUP($B2383,Platts!$E$5:$M$4994,MATCH(D$3,Platts!$F$5:$M$5,0)+1,FALSE),D2382)</f>
        <v>98.34</v>
      </c>
      <c r="E2383" s="6">
        <f>IFERROR(VLOOKUP($B2383,Platts!$E$5:$M$4994,MATCH(E$3,Platts!$F$5:$M$5,0)+1,FALSE),E2382)</f>
        <v>94.99</v>
      </c>
      <c r="F2383" s="6">
        <f>IFERROR(VLOOKUP($B2383,Platts!$E$5:$M$4994,MATCH(F$3,Platts!$F$5:$M$5,0)+1,FALSE),F2382)</f>
        <v>100.69</v>
      </c>
      <c r="G2383" s="6">
        <f>IFERROR(VLOOKUP($B2383,Platts!$E$5:$M$4994,MATCH(G$3,Platts!$F$5:$M$5,0)+1,FALSE),G2382)</f>
        <v>105.68</v>
      </c>
      <c r="H2383" s="6">
        <f>IFERROR(VLOOKUP($B2383,Platts!$E$5:$M$4994,MATCH(H$3,Platts!$F$5:$M$5,0)+1,FALSE),H2382)</f>
        <v>102.73</v>
      </c>
      <c r="I2383" s="6">
        <f>IFERROR(VLOOKUP($B2383,Platts!$E$5:$M$4994,MATCH(I$3,Platts!$F$5:$M$5,0)+1,FALSE),I2382)</f>
        <v>104.33</v>
      </c>
      <c r="J2383" s="6">
        <f t="shared" si="74"/>
        <v>6.2000000000000028</v>
      </c>
    </row>
    <row r="2384" spans="2:10" x14ac:dyDescent="0.25">
      <c r="B2384" s="5">
        <f t="shared" si="75"/>
        <v>44750</v>
      </c>
      <c r="C2384" s="6">
        <f>IFERROR(VLOOKUP($B2384,Platts!$E$5:$M$4994,MATCH(C$3,Platts!$F$5:$M$5,0)+1,FALSE),C2383)</f>
        <v>98.99</v>
      </c>
      <c r="D2384" s="6">
        <f>IFERROR(VLOOKUP($B2384,Platts!$E$5:$M$4994,MATCH(D$3,Platts!$F$5:$M$5,0)+1,FALSE),D2383)</f>
        <v>100.51</v>
      </c>
      <c r="E2384" s="6">
        <f>IFERROR(VLOOKUP($B2384,Platts!$E$5:$M$4994,MATCH(E$3,Platts!$F$5:$M$5,0)+1,FALSE),E2383)</f>
        <v>97.16</v>
      </c>
      <c r="F2384" s="6">
        <f>IFERROR(VLOOKUP($B2384,Platts!$E$5:$M$4994,MATCH(F$3,Platts!$F$5:$M$5,0)+1,FALSE),F2383)</f>
        <v>102.86</v>
      </c>
      <c r="G2384" s="6">
        <f>IFERROR(VLOOKUP($B2384,Platts!$E$5:$M$4994,MATCH(G$3,Platts!$F$5:$M$5,0)+1,FALSE),G2383)</f>
        <v>107.06</v>
      </c>
      <c r="H2384" s="6">
        <f>IFERROR(VLOOKUP($B2384,Platts!$E$5:$M$4994,MATCH(H$3,Platts!$F$5:$M$5,0)+1,FALSE),H2383)</f>
        <v>104.79</v>
      </c>
      <c r="I2384" s="6">
        <f>IFERROR(VLOOKUP($B2384,Platts!$E$5:$M$4994,MATCH(I$3,Platts!$F$5:$M$5,0)+1,FALSE),I2383)</f>
        <v>106.34</v>
      </c>
      <c r="J2384" s="6">
        <f t="shared" si="74"/>
        <v>5.8000000000000114</v>
      </c>
    </row>
    <row r="2385" spans="2:10" x14ac:dyDescent="0.25">
      <c r="B2385" s="5">
        <f t="shared" si="75"/>
        <v>44751</v>
      </c>
      <c r="C2385" s="6">
        <f>IFERROR(VLOOKUP($B2385,Platts!$E$5:$M$4994,MATCH(C$3,Platts!$F$5:$M$5,0)+1,FALSE),C2384)</f>
        <v>98.99</v>
      </c>
      <c r="D2385" s="6">
        <f>IFERROR(VLOOKUP($B2385,Platts!$E$5:$M$4994,MATCH(D$3,Platts!$F$5:$M$5,0)+1,FALSE),D2384)</f>
        <v>100.51</v>
      </c>
      <c r="E2385" s="6">
        <f>IFERROR(VLOOKUP($B2385,Platts!$E$5:$M$4994,MATCH(E$3,Platts!$F$5:$M$5,0)+1,FALSE),E2384)</f>
        <v>97.16</v>
      </c>
      <c r="F2385" s="6">
        <f>IFERROR(VLOOKUP($B2385,Platts!$E$5:$M$4994,MATCH(F$3,Platts!$F$5:$M$5,0)+1,FALSE),F2384)</f>
        <v>102.86</v>
      </c>
      <c r="G2385" s="6">
        <f>IFERROR(VLOOKUP($B2385,Platts!$E$5:$M$4994,MATCH(G$3,Platts!$F$5:$M$5,0)+1,FALSE),G2384)</f>
        <v>107.06</v>
      </c>
      <c r="H2385" s="6">
        <f>IFERROR(VLOOKUP($B2385,Platts!$E$5:$M$4994,MATCH(H$3,Platts!$F$5:$M$5,0)+1,FALSE),H2384)</f>
        <v>104.79</v>
      </c>
      <c r="I2385" s="6">
        <f>IFERROR(VLOOKUP($B2385,Platts!$E$5:$M$4994,MATCH(I$3,Platts!$F$5:$M$5,0)+1,FALSE),I2384)</f>
        <v>106.34</v>
      </c>
      <c r="J2385" s="6">
        <f t="shared" si="74"/>
        <v>5.8000000000000114</v>
      </c>
    </row>
    <row r="2386" spans="2:10" x14ac:dyDescent="0.25">
      <c r="B2386" s="5">
        <f t="shared" si="75"/>
        <v>44752</v>
      </c>
      <c r="C2386" s="6">
        <f>IFERROR(VLOOKUP($B2386,Platts!$E$5:$M$4994,MATCH(C$3,Platts!$F$5:$M$5,0)+1,FALSE),C2385)</f>
        <v>98.99</v>
      </c>
      <c r="D2386" s="6">
        <f>IFERROR(VLOOKUP($B2386,Platts!$E$5:$M$4994,MATCH(D$3,Platts!$F$5:$M$5,0)+1,FALSE),D2385)</f>
        <v>100.51</v>
      </c>
      <c r="E2386" s="6">
        <f>IFERROR(VLOOKUP($B2386,Platts!$E$5:$M$4994,MATCH(E$3,Platts!$F$5:$M$5,0)+1,FALSE),E2385)</f>
        <v>97.16</v>
      </c>
      <c r="F2386" s="6">
        <f>IFERROR(VLOOKUP($B2386,Platts!$E$5:$M$4994,MATCH(F$3,Platts!$F$5:$M$5,0)+1,FALSE),F2385)</f>
        <v>102.86</v>
      </c>
      <c r="G2386" s="6">
        <f>IFERROR(VLOOKUP($B2386,Platts!$E$5:$M$4994,MATCH(G$3,Platts!$F$5:$M$5,0)+1,FALSE),G2385)</f>
        <v>107.06</v>
      </c>
      <c r="H2386" s="6">
        <f>IFERROR(VLOOKUP($B2386,Platts!$E$5:$M$4994,MATCH(H$3,Platts!$F$5:$M$5,0)+1,FALSE),H2385)</f>
        <v>104.79</v>
      </c>
      <c r="I2386" s="6">
        <f>IFERROR(VLOOKUP($B2386,Platts!$E$5:$M$4994,MATCH(I$3,Platts!$F$5:$M$5,0)+1,FALSE),I2385)</f>
        <v>106.34</v>
      </c>
      <c r="J2386" s="6">
        <f t="shared" si="74"/>
        <v>5.8000000000000114</v>
      </c>
    </row>
    <row r="2387" spans="2:10" x14ac:dyDescent="0.25">
      <c r="B2387" s="5">
        <f t="shared" si="75"/>
        <v>44753</v>
      </c>
      <c r="C2387" s="6">
        <f>IFERROR(VLOOKUP($B2387,Platts!$E$5:$M$4994,MATCH(C$3,Platts!$F$5:$M$5,0)+1,FALSE),C2386)</f>
        <v>98.99</v>
      </c>
      <c r="D2387" s="6">
        <f>IFERROR(VLOOKUP($B2387,Platts!$E$5:$M$4994,MATCH(D$3,Platts!$F$5:$M$5,0)+1,FALSE),D2386)</f>
        <v>100.08</v>
      </c>
      <c r="E2387" s="6">
        <f>IFERROR(VLOOKUP($B2387,Platts!$E$5:$M$4994,MATCH(E$3,Platts!$F$5:$M$5,0)+1,FALSE),E2386)</f>
        <v>96.73</v>
      </c>
      <c r="F2387" s="6">
        <f>IFERROR(VLOOKUP($B2387,Platts!$E$5:$M$4994,MATCH(F$3,Platts!$F$5:$M$5,0)+1,FALSE),F2386)</f>
        <v>102.43</v>
      </c>
      <c r="G2387" s="6">
        <f>IFERROR(VLOOKUP($B2387,Platts!$E$5:$M$4994,MATCH(G$3,Platts!$F$5:$M$5,0)+1,FALSE),G2386)</f>
        <v>106.63</v>
      </c>
      <c r="H2387" s="6">
        <f>IFERROR(VLOOKUP($B2387,Platts!$E$5:$M$4994,MATCH(H$3,Platts!$F$5:$M$5,0)+1,FALSE),H2386)</f>
        <v>104.09</v>
      </c>
      <c r="I2387" s="6">
        <f>IFERROR(VLOOKUP($B2387,Platts!$E$5:$M$4994,MATCH(I$3,Platts!$F$5:$M$5,0)+1,FALSE),I2386)</f>
        <v>105.64</v>
      </c>
      <c r="J2387" s="6">
        <f t="shared" si="74"/>
        <v>5.1000000000000085</v>
      </c>
    </row>
    <row r="2388" spans="2:10" x14ac:dyDescent="0.25">
      <c r="B2388" s="5">
        <f t="shared" si="75"/>
        <v>44754</v>
      </c>
      <c r="C2388" s="6">
        <f>IFERROR(VLOOKUP($B2388,Platts!$E$5:$M$4994,MATCH(C$3,Platts!$F$5:$M$5,0)+1,FALSE),C2387)</f>
        <v>91.3</v>
      </c>
      <c r="D2388" s="6">
        <f>IFERROR(VLOOKUP($B2388,Platts!$E$5:$M$4994,MATCH(D$3,Platts!$F$5:$M$5,0)+1,FALSE),D2387)</f>
        <v>92.16</v>
      </c>
      <c r="E2388" s="6">
        <f>IFERROR(VLOOKUP($B2388,Platts!$E$5:$M$4994,MATCH(E$3,Platts!$F$5:$M$5,0)+1,FALSE),E2387)</f>
        <v>88.81</v>
      </c>
      <c r="F2388" s="6">
        <f>IFERROR(VLOOKUP($B2388,Platts!$E$5:$M$4994,MATCH(F$3,Platts!$F$5:$M$5,0)+1,FALSE),F2387)</f>
        <v>94.51</v>
      </c>
      <c r="G2388" s="6">
        <f>IFERROR(VLOOKUP($B2388,Platts!$E$5:$M$4994,MATCH(G$3,Platts!$F$5:$M$5,0)+1,FALSE),G2387)</f>
        <v>100.51</v>
      </c>
      <c r="H2388" s="6">
        <f>IFERROR(VLOOKUP($B2388,Platts!$E$5:$M$4994,MATCH(H$3,Platts!$F$5:$M$5,0)+1,FALSE),H2387)</f>
        <v>95.84</v>
      </c>
      <c r="I2388" s="6">
        <f>IFERROR(VLOOKUP($B2388,Platts!$E$5:$M$4994,MATCH(I$3,Platts!$F$5:$M$5,0)+1,FALSE),I2387)</f>
        <v>97.59</v>
      </c>
      <c r="J2388" s="6">
        <f t="shared" si="74"/>
        <v>4.5400000000000063</v>
      </c>
    </row>
    <row r="2389" spans="2:10" x14ac:dyDescent="0.25">
      <c r="B2389" s="5">
        <f t="shared" si="75"/>
        <v>44755</v>
      </c>
      <c r="C2389" s="6">
        <f>IFERROR(VLOOKUP($B2389,Platts!$E$5:$M$4994,MATCH(C$3,Platts!$F$5:$M$5,0)+1,FALSE),C2388)</f>
        <v>91.37</v>
      </c>
      <c r="D2389" s="6">
        <f>IFERROR(VLOOKUP($B2389,Platts!$E$5:$M$4994,MATCH(D$3,Platts!$F$5:$M$5,0)+1,FALSE),D2388)</f>
        <v>92.48</v>
      </c>
      <c r="E2389" s="6">
        <f>IFERROR(VLOOKUP($B2389,Platts!$E$5:$M$4994,MATCH(E$3,Platts!$F$5:$M$5,0)+1,FALSE),E2388)</f>
        <v>89.13</v>
      </c>
      <c r="F2389" s="6">
        <f>IFERROR(VLOOKUP($B2389,Platts!$E$5:$M$4994,MATCH(F$3,Platts!$F$5:$M$5,0)+1,FALSE),F2388)</f>
        <v>94.83</v>
      </c>
      <c r="G2389" s="6">
        <f>IFERROR(VLOOKUP($B2389,Platts!$E$5:$M$4994,MATCH(G$3,Platts!$F$5:$M$5,0)+1,FALSE),G2388)</f>
        <v>100.05</v>
      </c>
      <c r="H2389" s="6">
        <f>IFERROR(VLOOKUP($B2389,Platts!$E$5:$M$4994,MATCH(H$3,Platts!$F$5:$M$5,0)+1,FALSE),H2388)</f>
        <v>96.3</v>
      </c>
      <c r="I2389" s="6">
        <f>IFERROR(VLOOKUP($B2389,Platts!$E$5:$M$4994,MATCH(I$3,Platts!$F$5:$M$5,0)+1,FALSE),I2388)</f>
        <v>98.05</v>
      </c>
      <c r="J2389" s="6">
        <f t="shared" si="74"/>
        <v>4.9299999999999926</v>
      </c>
    </row>
    <row r="2390" spans="2:10" x14ac:dyDescent="0.25">
      <c r="B2390" s="5">
        <f t="shared" si="75"/>
        <v>44756</v>
      </c>
      <c r="C2390" s="6">
        <f>IFERROR(VLOOKUP($B2390,Platts!$E$5:$M$4994,MATCH(C$3,Platts!$F$5:$M$5,0)+1,FALSE),C2389)</f>
        <v>90.87</v>
      </c>
      <c r="D2390" s="6">
        <f>IFERROR(VLOOKUP($B2390,Platts!$E$5:$M$4994,MATCH(D$3,Platts!$F$5:$M$5,0)+1,FALSE),D2389)</f>
        <v>92.11</v>
      </c>
      <c r="E2390" s="6">
        <f>IFERROR(VLOOKUP($B2390,Platts!$E$5:$M$4994,MATCH(E$3,Platts!$F$5:$M$5,0)+1,FALSE),E2389)</f>
        <v>88.76</v>
      </c>
      <c r="F2390" s="6">
        <f>IFERROR(VLOOKUP($B2390,Platts!$E$5:$M$4994,MATCH(F$3,Platts!$F$5:$M$5,0)+1,FALSE),F2389)</f>
        <v>94.46</v>
      </c>
      <c r="G2390" s="6">
        <f>IFERROR(VLOOKUP($B2390,Platts!$E$5:$M$4994,MATCH(G$3,Platts!$F$5:$M$5,0)+1,FALSE),G2389)</f>
        <v>97.22</v>
      </c>
      <c r="H2390" s="6">
        <f>IFERROR(VLOOKUP($B2390,Platts!$E$5:$M$4994,MATCH(H$3,Platts!$F$5:$M$5,0)+1,FALSE),H2389)</f>
        <v>95.78</v>
      </c>
      <c r="I2390" s="6">
        <f>IFERROR(VLOOKUP($B2390,Platts!$E$5:$M$4994,MATCH(I$3,Platts!$F$5:$M$5,0)+1,FALSE),I2389)</f>
        <v>97.73</v>
      </c>
      <c r="J2390" s="6">
        <f t="shared" si="74"/>
        <v>4.9099999999999966</v>
      </c>
    </row>
    <row r="2391" spans="2:10" x14ac:dyDescent="0.25">
      <c r="B2391" s="5">
        <f t="shared" si="75"/>
        <v>44757</v>
      </c>
      <c r="C2391" s="6">
        <f>IFERROR(VLOOKUP($B2391,Platts!$E$5:$M$4994,MATCH(C$3,Platts!$F$5:$M$5,0)+1,FALSE),C2390)</f>
        <v>91.68</v>
      </c>
      <c r="D2391" s="6">
        <f>IFERROR(VLOOKUP($B2391,Platts!$E$5:$M$4994,MATCH(D$3,Platts!$F$5:$M$5,0)+1,FALSE),D2390)</f>
        <v>93.94</v>
      </c>
      <c r="E2391" s="6">
        <f>IFERROR(VLOOKUP($B2391,Platts!$E$5:$M$4994,MATCH(E$3,Platts!$F$5:$M$5,0)+1,FALSE),E2390)</f>
        <v>90.59</v>
      </c>
      <c r="F2391" s="6">
        <f>IFERROR(VLOOKUP($B2391,Platts!$E$5:$M$4994,MATCH(F$3,Platts!$F$5:$M$5,0)+1,FALSE),F2390)</f>
        <v>96.29</v>
      </c>
      <c r="G2391" s="6">
        <f>IFERROR(VLOOKUP($B2391,Platts!$E$5:$M$4994,MATCH(G$3,Platts!$F$5:$M$5,0)+1,FALSE),G2390)</f>
        <v>101.89</v>
      </c>
      <c r="H2391" s="6">
        <f>IFERROR(VLOOKUP($B2391,Platts!$E$5:$M$4994,MATCH(H$3,Platts!$F$5:$M$5,0)+1,FALSE),H2390)</f>
        <v>97.59</v>
      </c>
      <c r="I2391" s="6">
        <f>IFERROR(VLOOKUP($B2391,Platts!$E$5:$M$4994,MATCH(I$3,Platts!$F$5:$M$5,0)+1,FALSE),I2390)</f>
        <v>99.54</v>
      </c>
      <c r="J2391" s="6">
        <f t="shared" si="74"/>
        <v>5.9099999999999966</v>
      </c>
    </row>
    <row r="2392" spans="2:10" x14ac:dyDescent="0.25">
      <c r="B2392" s="5">
        <f t="shared" si="75"/>
        <v>44758</v>
      </c>
      <c r="C2392" s="6">
        <f>IFERROR(VLOOKUP($B2392,Platts!$E$5:$M$4994,MATCH(C$3,Platts!$F$5:$M$5,0)+1,FALSE),C2391)</f>
        <v>91.68</v>
      </c>
      <c r="D2392" s="6">
        <f>IFERROR(VLOOKUP($B2392,Platts!$E$5:$M$4994,MATCH(D$3,Platts!$F$5:$M$5,0)+1,FALSE),D2391)</f>
        <v>93.94</v>
      </c>
      <c r="E2392" s="6">
        <f>IFERROR(VLOOKUP($B2392,Platts!$E$5:$M$4994,MATCH(E$3,Platts!$F$5:$M$5,0)+1,FALSE),E2391)</f>
        <v>90.59</v>
      </c>
      <c r="F2392" s="6">
        <f>IFERROR(VLOOKUP($B2392,Platts!$E$5:$M$4994,MATCH(F$3,Platts!$F$5:$M$5,0)+1,FALSE),F2391)</f>
        <v>96.29</v>
      </c>
      <c r="G2392" s="6">
        <f>IFERROR(VLOOKUP($B2392,Platts!$E$5:$M$4994,MATCH(G$3,Platts!$F$5:$M$5,0)+1,FALSE),G2391)</f>
        <v>101.89</v>
      </c>
      <c r="H2392" s="6">
        <f>IFERROR(VLOOKUP($B2392,Platts!$E$5:$M$4994,MATCH(H$3,Platts!$F$5:$M$5,0)+1,FALSE),H2391)</f>
        <v>97.59</v>
      </c>
      <c r="I2392" s="6">
        <f>IFERROR(VLOOKUP($B2392,Platts!$E$5:$M$4994,MATCH(I$3,Platts!$F$5:$M$5,0)+1,FALSE),I2391)</f>
        <v>99.54</v>
      </c>
      <c r="J2392" s="6">
        <f t="shared" si="74"/>
        <v>5.9099999999999966</v>
      </c>
    </row>
    <row r="2393" spans="2:10" x14ac:dyDescent="0.25">
      <c r="B2393" s="5">
        <f t="shared" si="75"/>
        <v>44759</v>
      </c>
      <c r="C2393" s="6">
        <f>IFERROR(VLOOKUP($B2393,Platts!$E$5:$M$4994,MATCH(C$3,Platts!$F$5:$M$5,0)+1,FALSE),C2392)</f>
        <v>91.68</v>
      </c>
      <c r="D2393" s="6">
        <f>IFERROR(VLOOKUP($B2393,Platts!$E$5:$M$4994,MATCH(D$3,Platts!$F$5:$M$5,0)+1,FALSE),D2392)</f>
        <v>93.94</v>
      </c>
      <c r="E2393" s="6">
        <f>IFERROR(VLOOKUP($B2393,Platts!$E$5:$M$4994,MATCH(E$3,Platts!$F$5:$M$5,0)+1,FALSE),E2392)</f>
        <v>90.59</v>
      </c>
      <c r="F2393" s="6">
        <f>IFERROR(VLOOKUP($B2393,Platts!$E$5:$M$4994,MATCH(F$3,Platts!$F$5:$M$5,0)+1,FALSE),F2392)</f>
        <v>96.29</v>
      </c>
      <c r="G2393" s="6">
        <f>IFERROR(VLOOKUP($B2393,Platts!$E$5:$M$4994,MATCH(G$3,Platts!$F$5:$M$5,0)+1,FALSE),G2392)</f>
        <v>101.89</v>
      </c>
      <c r="H2393" s="6">
        <f>IFERROR(VLOOKUP($B2393,Platts!$E$5:$M$4994,MATCH(H$3,Platts!$F$5:$M$5,0)+1,FALSE),H2392)</f>
        <v>97.59</v>
      </c>
      <c r="I2393" s="6">
        <f>IFERROR(VLOOKUP($B2393,Platts!$E$5:$M$4994,MATCH(I$3,Platts!$F$5:$M$5,0)+1,FALSE),I2392)</f>
        <v>99.54</v>
      </c>
      <c r="J2393" s="6">
        <f t="shared" si="74"/>
        <v>5.9099999999999966</v>
      </c>
    </row>
    <row r="2394" spans="2:10" x14ac:dyDescent="0.25">
      <c r="B2394" s="5">
        <f t="shared" si="75"/>
        <v>44760</v>
      </c>
      <c r="C2394" s="6">
        <f>IFERROR(VLOOKUP($B2394,Platts!$E$5:$M$4994,MATCH(C$3,Platts!$F$5:$M$5,0)+1,FALSE),C2393)</f>
        <v>97.63</v>
      </c>
      <c r="D2394" s="6">
        <f>IFERROR(VLOOKUP($B2394,Platts!$E$5:$M$4994,MATCH(D$3,Platts!$F$5:$M$5,0)+1,FALSE),D2393)</f>
        <v>98.99</v>
      </c>
      <c r="E2394" s="6">
        <f>IFERROR(VLOOKUP($B2394,Platts!$E$5:$M$4994,MATCH(E$3,Platts!$F$5:$M$5,0)+1,FALSE),E2393)</f>
        <v>95.64</v>
      </c>
      <c r="F2394" s="6">
        <f>IFERROR(VLOOKUP($B2394,Platts!$E$5:$M$4994,MATCH(F$3,Platts!$F$5:$M$5,0)+1,FALSE),F2393)</f>
        <v>101.34</v>
      </c>
      <c r="G2394" s="6">
        <f>IFERROR(VLOOKUP($B2394,Platts!$E$5:$M$4994,MATCH(G$3,Platts!$F$5:$M$5,0)+1,FALSE),G2393)</f>
        <v>106.48</v>
      </c>
      <c r="H2394" s="6">
        <f>IFERROR(VLOOKUP($B2394,Platts!$E$5:$M$4994,MATCH(H$3,Platts!$F$5:$M$5,0)+1,FALSE),H2393)</f>
        <v>102.6</v>
      </c>
      <c r="I2394" s="6">
        <f>IFERROR(VLOOKUP($B2394,Platts!$E$5:$M$4994,MATCH(I$3,Platts!$F$5:$M$5,0)+1,FALSE),I2393)</f>
        <v>104.55</v>
      </c>
      <c r="J2394" s="6">
        <f t="shared" si="74"/>
        <v>4.9699999999999989</v>
      </c>
    </row>
    <row r="2395" spans="2:10" x14ac:dyDescent="0.25">
      <c r="B2395" s="5">
        <f t="shared" si="75"/>
        <v>44761</v>
      </c>
      <c r="C2395" s="6">
        <f>IFERROR(VLOOKUP($B2395,Platts!$E$5:$M$4994,MATCH(C$3,Platts!$F$5:$M$5,0)+1,FALSE),C2394)</f>
        <v>99.36</v>
      </c>
      <c r="D2395" s="6">
        <f>IFERROR(VLOOKUP($B2395,Platts!$E$5:$M$4994,MATCH(D$3,Platts!$F$5:$M$5,0)+1,FALSE),D2394)</f>
        <v>100.71</v>
      </c>
      <c r="E2395" s="6">
        <f>IFERROR(VLOOKUP($B2395,Platts!$E$5:$M$4994,MATCH(E$3,Platts!$F$5:$M$5,0)+1,FALSE),E2394)</f>
        <v>97.36</v>
      </c>
      <c r="F2395" s="6">
        <f>IFERROR(VLOOKUP($B2395,Platts!$E$5:$M$4994,MATCH(F$3,Platts!$F$5:$M$5,0)+1,FALSE),F2394)</f>
        <v>103.06</v>
      </c>
      <c r="G2395" s="6">
        <f>IFERROR(VLOOKUP($B2395,Platts!$E$5:$M$4994,MATCH(G$3,Platts!$F$5:$M$5,0)+1,FALSE),G2394)</f>
        <v>105.81</v>
      </c>
      <c r="H2395" s="6">
        <f>IFERROR(VLOOKUP($B2395,Platts!$E$5:$M$4994,MATCH(H$3,Platts!$F$5:$M$5,0)+1,FALSE),H2394)</f>
        <v>104.22</v>
      </c>
      <c r="I2395" s="6">
        <f>IFERROR(VLOOKUP($B2395,Platts!$E$5:$M$4994,MATCH(I$3,Platts!$F$5:$M$5,0)+1,FALSE),I2394)</f>
        <v>106.37</v>
      </c>
      <c r="J2395" s="6">
        <f t="shared" si="74"/>
        <v>4.8599999999999994</v>
      </c>
    </row>
    <row r="2396" spans="2:10" x14ac:dyDescent="0.25">
      <c r="B2396" s="5">
        <f t="shared" si="75"/>
        <v>44762</v>
      </c>
      <c r="C2396" s="6">
        <f>IFERROR(VLOOKUP($B2396,Platts!$E$5:$M$4994,MATCH(C$3,Platts!$F$5:$M$5,0)+1,FALSE),C2395)</f>
        <v>98.15</v>
      </c>
      <c r="D2396" s="6">
        <f>IFERROR(VLOOKUP($B2396,Platts!$E$5:$M$4994,MATCH(D$3,Platts!$F$5:$M$5,0)+1,FALSE),D2395)</f>
        <v>99.25</v>
      </c>
      <c r="E2396" s="6">
        <f>IFERROR(VLOOKUP($B2396,Platts!$E$5:$M$4994,MATCH(E$3,Platts!$F$5:$M$5,0)+1,FALSE),E2395)</f>
        <v>95.9</v>
      </c>
      <c r="F2396" s="6">
        <f>IFERROR(VLOOKUP($B2396,Platts!$E$5:$M$4994,MATCH(F$3,Platts!$F$5:$M$5,0)+1,FALSE),F2395)</f>
        <v>101.6</v>
      </c>
      <c r="G2396" s="6">
        <f>IFERROR(VLOOKUP($B2396,Platts!$E$5:$M$4994,MATCH(G$3,Platts!$F$5:$M$5,0)+1,FALSE),G2395)</f>
        <v>106.87</v>
      </c>
      <c r="H2396" s="6">
        <f>IFERROR(VLOOKUP($B2396,Platts!$E$5:$M$4994,MATCH(H$3,Platts!$F$5:$M$5,0)+1,FALSE),H2395)</f>
        <v>102.26</v>
      </c>
      <c r="I2396" s="6">
        <f>IFERROR(VLOOKUP($B2396,Platts!$E$5:$M$4994,MATCH(I$3,Platts!$F$5:$M$5,0)+1,FALSE),I2395)</f>
        <v>105.31</v>
      </c>
      <c r="J2396" s="6">
        <f t="shared" si="74"/>
        <v>4.1099999999999994</v>
      </c>
    </row>
    <row r="2397" spans="2:10" x14ac:dyDescent="0.25">
      <c r="B2397" s="5">
        <f t="shared" si="75"/>
        <v>44763</v>
      </c>
      <c r="C2397" s="6">
        <f>IFERROR(VLOOKUP($B2397,Platts!$E$5:$M$4994,MATCH(C$3,Platts!$F$5:$M$5,0)+1,FALSE),C2396)</f>
        <v>95.18</v>
      </c>
      <c r="D2397" s="6">
        <f>IFERROR(VLOOKUP($B2397,Platts!$E$5:$M$4994,MATCH(D$3,Platts!$F$5:$M$5,0)+1,FALSE),D2396)</f>
        <v>96.29</v>
      </c>
      <c r="E2397" s="6">
        <f>IFERROR(VLOOKUP($B2397,Platts!$E$5:$M$4994,MATCH(E$3,Platts!$F$5:$M$5,0)+1,FALSE),E2396)</f>
        <v>92.94</v>
      </c>
      <c r="F2397" s="6">
        <f>IFERROR(VLOOKUP($B2397,Platts!$E$5:$M$4994,MATCH(F$3,Platts!$F$5:$M$5,0)+1,FALSE),F2396)</f>
        <v>98.64</v>
      </c>
      <c r="G2397" s="6">
        <f>IFERROR(VLOOKUP($B2397,Platts!$E$5:$M$4994,MATCH(G$3,Platts!$F$5:$M$5,0)+1,FALSE),G2396)</f>
        <v>104.08</v>
      </c>
      <c r="H2397" s="6">
        <f>IFERROR(VLOOKUP($B2397,Platts!$E$5:$M$4994,MATCH(H$3,Platts!$F$5:$M$5,0)+1,FALSE),H2396)</f>
        <v>99.35</v>
      </c>
      <c r="I2397" s="6">
        <f>IFERROR(VLOOKUP($B2397,Platts!$E$5:$M$4994,MATCH(I$3,Platts!$F$5:$M$5,0)+1,FALSE),I2396)</f>
        <v>102.4</v>
      </c>
      <c r="J2397" s="6">
        <f t="shared" si="74"/>
        <v>4.1699999999999875</v>
      </c>
    </row>
    <row r="2398" spans="2:10" x14ac:dyDescent="0.25">
      <c r="B2398" s="5">
        <f t="shared" si="75"/>
        <v>44764</v>
      </c>
      <c r="C2398" s="6">
        <f>IFERROR(VLOOKUP($B2398,Platts!$E$5:$M$4994,MATCH(C$3,Platts!$F$5:$M$5,0)+1,FALSE),C2397)</f>
        <v>95.54</v>
      </c>
      <c r="D2398" s="6">
        <f>IFERROR(VLOOKUP($B2398,Platts!$E$5:$M$4994,MATCH(D$3,Platts!$F$5:$M$5,0)+1,FALSE),D2397)</f>
        <v>95.57</v>
      </c>
      <c r="E2398" s="6">
        <f>IFERROR(VLOOKUP($B2398,Platts!$E$5:$M$4994,MATCH(E$3,Platts!$F$5:$M$5,0)+1,FALSE),E2397)</f>
        <v>92.22</v>
      </c>
      <c r="F2398" s="6">
        <f>IFERROR(VLOOKUP($B2398,Platts!$E$5:$M$4994,MATCH(F$3,Platts!$F$5:$M$5,0)+1,FALSE),F2397)</f>
        <v>97.92</v>
      </c>
      <c r="G2398" s="6">
        <f>IFERROR(VLOOKUP($B2398,Platts!$E$5:$M$4994,MATCH(G$3,Platts!$F$5:$M$5,0)+1,FALSE),G2397)</f>
        <v>105.46</v>
      </c>
      <c r="H2398" s="6">
        <f>IFERROR(VLOOKUP($B2398,Platts!$E$5:$M$4994,MATCH(H$3,Platts!$F$5:$M$5,0)+1,FALSE),H2397)</f>
        <v>98</v>
      </c>
      <c r="I2398" s="6">
        <f>IFERROR(VLOOKUP($B2398,Platts!$E$5:$M$4994,MATCH(I$3,Platts!$F$5:$M$5,0)+1,FALSE),I2397)</f>
        <v>101.35</v>
      </c>
      <c r="J2398" s="6">
        <f t="shared" si="74"/>
        <v>2.4599999999999937</v>
      </c>
    </row>
    <row r="2399" spans="2:10" x14ac:dyDescent="0.25">
      <c r="B2399" s="5">
        <f t="shared" si="75"/>
        <v>44765</v>
      </c>
      <c r="C2399" s="6">
        <f>IFERROR(VLOOKUP($B2399,Platts!$E$5:$M$4994,MATCH(C$3,Platts!$F$5:$M$5,0)+1,FALSE),C2398)</f>
        <v>95.54</v>
      </c>
      <c r="D2399" s="6">
        <f>IFERROR(VLOOKUP($B2399,Platts!$E$5:$M$4994,MATCH(D$3,Platts!$F$5:$M$5,0)+1,FALSE),D2398)</f>
        <v>95.57</v>
      </c>
      <c r="E2399" s="6">
        <f>IFERROR(VLOOKUP($B2399,Platts!$E$5:$M$4994,MATCH(E$3,Platts!$F$5:$M$5,0)+1,FALSE),E2398)</f>
        <v>92.22</v>
      </c>
      <c r="F2399" s="6">
        <f>IFERROR(VLOOKUP($B2399,Platts!$E$5:$M$4994,MATCH(F$3,Platts!$F$5:$M$5,0)+1,FALSE),F2398)</f>
        <v>97.92</v>
      </c>
      <c r="G2399" s="6">
        <f>IFERROR(VLOOKUP($B2399,Platts!$E$5:$M$4994,MATCH(G$3,Platts!$F$5:$M$5,0)+1,FALSE),G2398)</f>
        <v>105.46</v>
      </c>
      <c r="H2399" s="6">
        <f>IFERROR(VLOOKUP($B2399,Platts!$E$5:$M$4994,MATCH(H$3,Platts!$F$5:$M$5,0)+1,FALSE),H2398)</f>
        <v>98</v>
      </c>
      <c r="I2399" s="6">
        <f>IFERROR(VLOOKUP($B2399,Platts!$E$5:$M$4994,MATCH(I$3,Platts!$F$5:$M$5,0)+1,FALSE),I2398)</f>
        <v>101.35</v>
      </c>
      <c r="J2399" s="6">
        <f t="shared" si="74"/>
        <v>2.4599999999999937</v>
      </c>
    </row>
    <row r="2400" spans="2:10" x14ac:dyDescent="0.25">
      <c r="B2400" s="5">
        <f t="shared" si="75"/>
        <v>44766</v>
      </c>
      <c r="C2400" s="6">
        <f>IFERROR(VLOOKUP($B2400,Platts!$E$5:$M$4994,MATCH(C$3,Platts!$F$5:$M$5,0)+1,FALSE),C2399)</f>
        <v>95.54</v>
      </c>
      <c r="D2400" s="6">
        <f>IFERROR(VLOOKUP($B2400,Platts!$E$5:$M$4994,MATCH(D$3,Platts!$F$5:$M$5,0)+1,FALSE),D2399)</f>
        <v>95.57</v>
      </c>
      <c r="E2400" s="6">
        <f>IFERROR(VLOOKUP($B2400,Platts!$E$5:$M$4994,MATCH(E$3,Platts!$F$5:$M$5,0)+1,FALSE),E2399)</f>
        <v>92.22</v>
      </c>
      <c r="F2400" s="6">
        <f>IFERROR(VLOOKUP($B2400,Platts!$E$5:$M$4994,MATCH(F$3,Platts!$F$5:$M$5,0)+1,FALSE),F2399)</f>
        <v>97.92</v>
      </c>
      <c r="G2400" s="6">
        <f>IFERROR(VLOOKUP($B2400,Platts!$E$5:$M$4994,MATCH(G$3,Platts!$F$5:$M$5,0)+1,FALSE),G2399)</f>
        <v>105.46</v>
      </c>
      <c r="H2400" s="6">
        <f>IFERROR(VLOOKUP($B2400,Platts!$E$5:$M$4994,MATCH(H$3,Platts!$F$5:$M$5,0)+1,FALSE),H2399)</f>
        <v>98</v>
      </c>
      <c r="I2400" s="6">
        <f>IFERROR(VLOOKUP($B2400,Platts!$E$5:$M$4994,MATCH(I$3,Platts!$F$5:$M$5,0)+1,FALSE),I2399)</f>
        <v>101.35</v>
      </c>
      <c r="J2400" s="6">
        <f t="shared" si="74"/>
        <v>2.4599999999999937</v>
      </c>
    </row>
    <row r="2401" spans="2:10" x14ac:dyDescent="0.25">
      <c r="B2401" s="5">
        <f t="shared" si="75"/>
        <v>44767</v>
      </c>
      <c r="C2401" s="6">
        <f>IFERROR(VLOOKUP($B2401,Platts!$E$5:$M$4994,MATCH(C$3,Platts!$F$5:$M$5,0)+1,FALSE),C2400)</f>
        <v>96.09</v>
      </c>
      <c r="D2401" s="6">
        <f>IFERROR(VLOOKUP($B2401,Platts!$E$5:$M$4994,MATCH(D$3,Platts!$F$5:$M$5,0)+1,FALSE),D2400)</f>
        <v>95.57</v>
      </c>
      <c r="E2401" s="6">
        <f>IFERROR(VLOOKUP($B2401,Platts!$E$5:$M$4994,MATCH(E$3,Platts!$F$5:$M$5,0)+1,FALSE),E2400)</f>
        <v>92.22</v>
      </c>
      <c r="F2401" s="6">
        <f>IFERROR(VLOOKUP($B2401,Platts!$E$5:$M$4994,MATCH(F$3,Platts!$F$5:$M$5,0)+1,FALSE),F2400)</f>
        <v>97.92</v>
      </c>
      <c r="G2401" s="6">
        <f>IFERROR(VLOOKUP($B2401,Platts!$E$5:$M$4994,MATCH(G$3,Platts!$F$5:$M$5,0)+1,FALSE),G2400)</f>
        <v>105.46</v>
      </c>
      <c r="H2401" s="6">
        <f>IFERROR(VLOOKUP($B2401,Platts!$E$5:$M$4994,MATCH(H$3,Platts!$F$5:$M$5,0)+1,FALSE),H2400)</f>
        <v>98</v>
      </c>
      <c r="I2401" s="6">
        <f>IFERROR(VLOOKUP($B2401,Platts!$E$5:$M$4994,MATCH(I$3,Platts!$F$5:$M$5,0)+1,FALSE),I2400)</f>
        <v>101.35</v>
      </c>
      <c r="J2401" s="6">
        <f t="shared" si="74"/>
        <v>1.9099999999999966</v>
      </c>
    </row>
    <row r="2402" spans="2:10" x14ac:dyDescent="0.25">
      <c r="B2402" s="5">
        <f t="shared" si="75"/>
        <v>44768</v>
      </c>
      <c r="C2402" s="6">
        <f>IFERROR(VLOOKUP($B2402,Platts!$E$5:$M$4994,MATCH(C$3,Platts!$F$5:$M$5,0)+1,FALSE),C2401)</f>
        <v>93.61</v>
      </c>
      <c r="D2402" s="6">
        <f>IFERROR(VLOOKUP($B2402,Platts!$E$5:$M$4994,MATCH(D$3,Platts!$F$5:$M$5,0)+1,FALSE),D2401)</f>
        <v>93.25</v>
      </c>
      <c r="E2402" s="6">
        <f>IFERROR(VLOOKUP($B2402,Platts!$E$5:$M$4994,MATCH(E$3,Platts!$F$5:$M$5,0)+1,FALSE),E2401)</f>
        <v>89.9</v>
      </c>
      <c r="F2402" s="6">
        <f>IFERROR(VLOOKUP($B2402,Platts!$E$5:$M$4994,MATCH(F$3,Platts!$F$5:$M$5,0)+1,FALSE),F2401)</f>
        <v>95.6</v>
      </c>
      <c r="G2402" s="6">
        <f>IFERROR(VLOOKUP($B2402,Platts!$E$5:$M$4994,MATCH(G$3,Platts!$F$5:$M$5,0)+1,FALSE),G2401)</f>
        <v>105.46</v>
      </c>
      <c r="H2402" s="6">
        <f>IFERROR(VLOOKUP($B2402,Platts!$E$5:$M$4994,MATCH(H$3,Platts!$F$5:$M$5,0)+1,FALSE),H2401)</f>
        <v>94.98</v>
      </c>
      <c r="I2402" s="6">
        <f>IFERROR(VLOOKUP($B2402,Platts!$E$5:$M$4994,MATCH(I$3,Platts!$F$5:$M$5,0)+1,FALSE),I2401)</f>
        <v>97.08</v>
      </c>
      <c r="J2402" s="6">
        <f t="shared" si="74"/>
        <v>1.3700000000000045</v>
      </c>
    </row>
    <row r="2403" spans="2:10" x14ac:dyDescent="0.25">
      <c r="B2403" s="5">
        <f t="shared" si="75"/>
        <v>44769</v>
      </c>
      <c r="C2403" s="6">
        <f>IFERROR(VLOOKUP($B2403,Platts!$E$5:$M$4994,MATCH(C$3,Platts!$F$5:$M$5,0)+1,FALSE),C2402)</f>
        <v>95.55</v>
      </c>
      <c r="D2403" s="6">
        <f>IFERROR(VLOOKUP($B2403,Platts!$E$5:$M$4994,MATCH(D$3,Platts!$F$5:$M$5,0)+1,FALSE),D2402)</f>
        <v>95.67</v>
      </c>
      <c r="E2403" s="6">
        <f>IFERROR(VLOOKUP($B2403,Platts!$E$5:$M$4994,MATCH(E$3,Platts!$F$5:$M$5,0)+1,FALSE),E2402)</f>
        <v>92.32</v>
      </c>
      <c r="F2403" s="6">
        <f>IFERROR(VLOOKUP($B2403,Platts!$E$5:$M$4994,MATCH(F$3,Platts!$F$5:$M$5,0)+1,FALSE),F2402)</f>
        <v>98.02</v>
      </c>
      <c r="G2403" s="6">
        <f>IFERROR(VLOOKUP($B2403,Platts!$E$5:$M$4994,MATCH(G$3,Platts!$F$5:$M$5,0)+1,FALSE),G2402)</f>
        <v>106.69</v>
      </c>
      <c r="H2403" s="6">
        <f>IFERROR(VLOOKUP($B2403,Platts!$E$5:$M$4994,MATCH(H$3,Platts!$F$5:$M$5,0)+1,FALSE),H2402)</f>
        <v>97.26</v>
      </c>
      <c r="I2403" s="6">
        <f>IFERROR(VLOOKUP($B2403,Platts!$E$5:$M$4994,MATCH(I$3,Platts!$F$5:$M$5,0)+1,FALSE),I2402)</f>
        <v>99.56</v>
      </c>
      <c r="J2403" s="6">
        <f t="shared" si="74"/>
        <v>1.710000000000008</v>
      </c>
    </row>
    <row r="2404" spans="2:10" x14ac:dyDescent="0.25">
      <c r="B2404" s="5">
        <f t="shared" si="75"/>
        <v>44770</v>
      </c>
      <c r="C2404" s="6">
        <f>IFERROR(VLOOKUP($B2404,Platts!$E$5:$M$4994,MATCH(C$3,Platts!$F$5:$M$5,0)+1,FALSE),C2403)</f>
        <v>95.75</v>
      </c>
      <c r="D2404" s="6">
        <f>IFERROR(VLOOKUP($B2404,Platts!$E$5:$M$4994,MATCH(D$3,Platts!$F$5:$M$5,0)+1,FALSE),D2403)</f>
        <v>95.34</v>
      </c>
      <c r="E2404" s="6">
        <f>IFERROR(VLOOKUP($B2404,Platts!$E$5:$M$4994,MATCH(E$3,Platts!$F$5:$M$5,0)+1,FALSE),E2403)</f>
        <v>91.99</v>
      </c>
      <c r="F2404" s="6">
        <f>IFERROR(VLOOKUP($B2404,Platts!$E$5:$M$4994,MATCH(F$3,Platts!$F$5:$M$5,0)+1,FALSE),F2403)</f>
        <v>97.69</v>
      </c>
      <c r="G2404" s="6">
        <f>IFERROR(VLOOKUP($B2404,Platts!$E$5:$M$4994,MATCH(G$3,Platts!$F$5:$M$5,0)+1,FALSE),G2403)</f>
        <v>107.87</v>
      </c>
      <c r="H2404" s="6">
        <f>IFERROR(VLOOKUP($B2404,Platts!$E$5:$M$4994,MATCH(H$3,Platts!$F$5:$M$5,0)+1,FALSE),H2403)</f>
        <v>96.42</v>
      </c>
      <c r="I2404" s="6">
        <f>IFERROR(VLOOKUP($B2404,Platts!$E$5:$M$4994,MATCH(I$3,Platts!$F$5:$M$5,0)+1,FALSE),I2403)</f>
        <v>98.72</v>
      </c>
      <c r="J2404" s="6">
        <f t="shared" ref="J2404:J2467" si="76">H2404-C2404</f>
        <v>0.67000000000000171</v>
      </c>
    </row>
    <row r="2405" spans="2:10" x14ac:dyDescent="0.25">
      <c r="B2405" s="5">
        <f t="shared" si="75"/>
        <v>44771</v>
      </c>
      <c r="C2405" s="6">
        <f>IFERROR(VLOOKUP($B2405,Platts!$E$5:$M$4994,MATCH(C$3,Platts!$F$5:$M$5,0)+1,FALSE),C2404)</f>
        <v>98.33</v>
      </c>
      <c r="D2405" s="6">
        <f>IFERROR(VLOOKUP($B2405,Platts!$E$5:$M$4994,MATCH(D$3,Platts!$F$5:$M$5,0)+1,FALSE),D2404)</f>
        <v>97.77</v>
      </c>
      <c r="E2405" s="6">
        <f>IFERROR(VLOOKUP($B2405,Platts!$E$5:$M$4994,MATCH(E$3,Platts!$F$5:$M$5,0)+1,FALSE),E2404)</f>
        <v>94.42</v>
      </c>
      <c r="F2405" s="6">
        <f>IFERROR(VLOOKUP($B2405,Platts!$E$5:$M$4994,MATCH(F$3,Platts!$F$5:$M$5,0)+1,FALSE),F2404)</f>
        <v>100.12</v>
      </c>
      <c r="G2405" s="6">
        <f>IFERROR(VLOOKUP($B2405,Platts!$E$5:$M$4994,MATCH(G$3,Platts!$F$5:$M$5,0)+1,FALSE),G2404)</f>
        <v>111.11</v>
      </c>
      <c r="H2405" s="6">
        <f>IFERROR(VLOOKUP($B2405,Platts!$E$5:$M$4994,MATCH(H$3,Platts!$F$5:$M$5,0)+1,FALSE),H2404)</f>
        <v>98.62</v>
      </c>
      <c r="I2405" s="6">
        <f>IFERROR(VLOOKUP($B2405,Platts!$E$5:$M$4994,MATCH(I$3,Platts!$F$5:$M$5,0)+1,FALSE),I2404)</f>
        <v>100.92</v>
      </c>
      <c r="J2405" s="6">
        <f t="shared" si="76"/>
        <v>0.29000000000000625</v>
      </c>
    </row>
    <row r="2406" spans="2:10" x14ac:dyDescent="0.25">
      <c r="B2406" s="5">
        <f t="shared" si="75"/>
        <v>44772</v>
      </c>
      <c r="C2406" s="6">
        <f>IFERROR(VLOOKUP($B2406,Platts!$E$5:$M$4994,MATCH(C$3,Platts!$F$5:$M$5,0)+1,FALSE),C2405)</f>
        <v>98.33</v>
      </c>
      <c r="D2406" s="6">
        <f>IFERROR(VLOOKUP($B2406,Platts!$E$5:$M$4994,MATCH(D$3,Platts!$F$5:$M$5,0)+1,FALSE),D2405)</f>
        <v>97.77</v>
      </c>
      <c r="E2406" s="6">
        <f>IFERROR(VLOOKUP($B2406,Platts!$E$5:$M$4994,MATCH(E$3,Platts!$F$5:$M$5,0)+1,FALSE),E2405)</f>
        <v>94.42</v>
      </c>
      <c r="F2406" s="6">
        <f>IFERROR(VLOOKUP($B2406,Platts!$E$5:$M$4994,MATCH(F$3,Platts!$F$5:$M$5,0)+1,FALSE),F2405)</f>
        <v>100.12</v>
      </c>
      <c r="G2406" s="6">
        <f>IFERROR(VLOOKUP($B2406,Platts!$E$5:$M$4994,MATCH(G$3,Platts!$F$5:$M$5,0)+1,FALSE),G2405)</f>
        <v>111.11</v>
      </c>
      <c r="H2406" s="6">
        <f>IFERROR(VLOOKUP($B2406,Platts!$E$5:$M$4994,MATCH(H$3,Platts!$F$5:$M$5,0)+1,FALSE),H2405)</f>
        <v>98.62</v>
      </c>
      <c r="I2406" s="6">
        <f>IFERROR(VLOOKUP($B2406,Platts!$E$5:$M$4994,MATCH(I$3,Platts!$F$5:$M$5,0)+1,FALSE),I2405)</f>
        <v>100.92</v>
      </c>
      <c r="J2406" s="6">
        <f t="shared" si="76"/>
        <v>0.29000000000000625</v>
      </c>
    </row>
    <row r="2407" spans="2:10" x14ac:dyDescent="0.25">
      <c r="B2407" s="5">
        <f t="shared" si="75"/>
        <v>44773</v>
      </c>
      <c r="C2407" s="6">
        <f>IFERROR(VLOOKUP($B2407,Platts!$E$5:$M$4994,MATCH(C$3,Platts!$F$5:$M$5,0)+1,FALSE),C2406)</f>
        <v>98.33</v>
      </c>
      <c r="D2407" s="6">
        <f>IFERROR(VLOOKUP($B2407,Platts!$E$5:$M$4994,MATCH(D$3,Platts!$F$5:$M$5,0)+1,FALSE),D2406)</f>
        <v>97.77</v>
      </c>
      <c r="E2407" s="6">
        <f>IFERROR(VLOOKUP($B2407,Platts!$E$5:$M$4994,MATCH(E$3,Platts!$F$5:$M$5,0)+1,FALSE),E2406)</f>
        <v>94.42</v>
      </c>
      <c r="F2407" s="6">
        <f>IFERROR(VLOOKUP($B2407,Platts!$E$5:$M$4994,MATCH(F$3,Platts!$F$5:$M$5,0)+1,FALSE),F2406)</f>
        <v>100.12</v>
      </c>
      <c r="G2407" s="6">
        <f>IFERROR(VLOOKUP($B2407,Platts!$E$5:$M$4994,MATCH(G$3,Platts!$F$5:$M$5,0)+1,FALSE),G2406)</f>
        <v>111.11</v>
      </c>
      <c r="H2407" s="6">
        <f>IFERROR(VLOOKUP($B2407,Platts!$E$5:$M$4994,MATCH(H$3,Platts!$F$5:$M$5,0)+1,FALSE),H2406)</f>
        <v>98.62</v>
      </c>
      <c r="I2407" s="6">
        <f>IFERROR(VLOOKUP($B2407,Platts!$E$5:$M$4994,MATCH(I$3,Platts!$F$5:$M$5,0)+1,FALSE),I2406)</f>
        <v>100.92</v>
      </c>
      <c r="J2407" s="6">
        <f t="shared" si="76"/>
        <v>0.29000000000000625</v>
      </c>
    </row>
    <row r="2408" spans="2:10" x14ac:dyDescent="0.25">
      <c r="B2408" s="5">
        <f t="shared" si="75"/>
        <v>44774</v>
      </c>
      <c r="C2408" s="6">
        <f>IFERROR(VLOOKUP($B2408,Platts!$E$5:$M$4994,MATCH(C$3,Platts!$F$5:$M$5,0)+1,FALSE),C2407)</f>
        <v>89.96</v>
      </c>
      <c r="D2408" s="6">
        <f>IFERROR(VLOOKUP($B2408,Platts!$E$5:$M$4994,MATCH(D$3,Platts!$F$5:$M$5,0)+1,FALSE),D2407)</f>
        <v>90.77</v>
      </c>
      <c r="E2408" s="6">
        <f>IFERROR(VLOOKUP($B2408,Platts!$E$5:$M$4994,MATCH(E$3,Platts!$F$5:$M$5,0)+1,FALSE),E2407)</f>
        <v>85.39</v>
      </c>
      <c r="F2408" s="6">
        <f>IFERROR(VLOOKUP($B2408,Platts!$E$5:$M$4994,MATCH(F$3,Platts!$F$5:$M$5,0)+1,FALSE),F2407)</f>
        <v>91.19</v>
      </c>
      <c r="G2408" s="6">
        <f>IFERROR(VLOOKUP($B2408,Platts!$E$5:$M$4994,MATCH(G$3,Platts!$F$5:$M$5,0)+1,FALSE),G2407)</f>
        <v>100.01</v>
      </c>
      <c r="H2408" s="6">
        <f>IFERROR(VLOOKUP($B2408,Platts!$E$5:$M$4994,MATCH(H$3,Platts!$F$5:$M$5,0)+1,FALSE),H2407)</f>
        <v>93.89</v>
      </c>
      <c r="I2408" s="6">
        <f>IFERROR(VLOOKUP($B2408,Platts!$E$5:$M$4994,MATCH(I$3,Platts!$F$5:$M$5,0)+1,FALSE),I2407)</f>
        <v>96.94</v>
      </c>
      <c r="J2408" s="6">
        <f t="shared" si="76"/>
        <v>3.9300000000000068</v>
      </c>
    </row>
    <row r="2409" spans="2:10" x14ac:dyDescent="0.25">
      <c r="B2409" s="5">
        <f t="shared" si="75"/>
        <v>44775</v>
      </c>
      <c r="C2409" s="6">
        <f>IFERROR(VLOOKUP($B2409,Platts!$E$5:$M$4994,MATCH(C$3,Platts!$F$5:$M$5,0)+1,FALSE),C2408)</f>
        <v>89.97</v>
      </c>
      <c r="D2409" s="6">
        <f>IFERROR(VLOOKUP($B2409,Platts!$E$5:$M$4994,MATCH(D$3,Platts!$F$5:$M$5,0)+1,FALSE),D2408)</f>
        <v>91.19</v>
      </c>
      <c r="E2409" s="6">
        <f>IFERROR(VLOOKUP($B2409,Platts!$E$5:$M$4994,MATCH(E$3,Platts!$F$5:$M$5,0)+1,FALSE),E2408)</f>
        <v>86.54</v>
      </c>
      <c r="F2409" s="6">
        <f>IFERROR(VLOOKUP($B2409,Platts!$E$5:$M$4994,MATCH(F$3,Platts!$F$5:$M$5,0)+1,FALSE),F2408)</f>
        <v>92.34</v>
      </c>
      <c r="G2409" s="6">
        <f>IFERROR(VLOOKUP($B2409,Platts!$E$5:$M$4994,MATCH(G$3,Platts!$F$5:$M$5,0)+1,FALSE),G2408)</f>
        <v>100.72</v>
      </c>
      <c r="H2409" s="6">
        <f>IFERROR(VLOOKUP($B2409,Platts!$E$5:$M$4994,MATCH(H$3,Platts!$F$5:$M$5,0)+1,FALSE),H2408)</f>
        <v>94.42</v>
      </c>
      <c r="I2409" s="6">
        <f>IFERROR(VLOOKUP($B2409,Platts!$E$5:$M$4994,MATCH(I$3,Platts!$F$5:$M$5,0)+1,FALSE),I2408)</f>
        <v>97.47</v>
      </c>
      <c r="J2409" s="6">
        <f t="shared" si="76"/>
        <v>4.4500000000000028</v>
      </c>
    </row>
    <row r="2410" spans="2:10" x14ac:dyDescent="0.25">
      <c r="B2410" s="5">
        <f t="shared" si="75"/>
        <v>44776</v>
      </c>
      <c r="C2410" s="6">
        <f>IFERROR(VLOOKUP($B2410,Platts!$E$5:$M$4994,MATCH(C$3,Platts!$F$5:$M$5,0)+1,FALSE),C2409)</f>
        <v>86.67</v>
      </c>
      <c r="D2410" s="6">
        <f>IFERROR(VLOOKUP($B2410,Platts!$E$5:$M$4994,MATCH(D$3,Platts!$F$5:$M$5,0)+1,FALSE),D2409)</f>
        <v>87.43</v>
      </c>
      <c r="E2410" s="6">
        <f>IFERROR(VLOOKUP($B2410,Platts!$E$5:$M$4994,MATCH(E$3,Platts!$F$5:$M$5,0)+1,FALSE),E2409)</f>
        <v>82.78</v>
      </c>
      <c r="F2410" s="6">
        <f>IFERROR(VLOOKUP($B2410,Platts!$E$5:$M$4994,MATCH(F$3,Platts!$F$5:$M$5,0)+1,FALSE),F2409)</f>
        <v>88.58</v>
      </c>
      <c r="G2410" s="6">
        <f>IFERROR(VLOOKUP($B2410,Platts!$E$5:$M$4994,MATCH(G$3,Platts!$F$5:$M$5,0)+1,FALSE),G2409)</f>
        <v>98.73</v>
      </c>
      <c r="H2410" s="6">
        <f>IFERROR(VLOOKUP($B2410,Platts!$E$5:$M$4994,MATCH(H$3,Platts!$F$5:$M$5,0)+1,FALSE),H2409)</f>
        <v>90.66</v>
      </c>
      <c r="I2410" s="6">
        <f>IFERROR(VLOOKUP($B2410,Platts!$E$5:$M$4994,MATCH(I$3,Platts!$F$5:$M$5,0)+1,FALSE),I2409)</f>
        <v>93.71</v>
      </c>
      <c r="J2410" s="6">
        <f t="shared" si="76"/>
        <v>3.9899999999999949</v>
      </c>
    </row>
    <row r="2411" spans="2:10" x14ac:dyDescent="0.25">
      <c r="B2411" s="5">
        <f t="shared" si="75"/>
        <v>44777</v>
      </c>
      <c r="C2411" s="6">
        <f>IFERROR(VLOOKUP($B2411,Platts!$E$5:$M$4994,MATCH(C$3,Platts!$F$5:$M$5,0)+1,FALSE),C2410)</f>
        <v>84.2</v>
      </c>
      <c r="D2411" s="6">
        <f>IFERROR(VLOOKUP($B2411,Platts!$E$5:$M$4994,MATCH(D$3,Platts!$F$5:$M$5,0)+1,FALSE),D2410)</f>
        <v>85.06</v>
      </c>
      <c r="E2411" s="6">
        <f>IFERROR(VLOOKUP($B2411,Platts!$E$5:$M$4994,MATCH(E$3,Platts!$F$5:$M$5,0)+1,FALSE),E2410)</f>
        <v>80.41</v>
      </c>
      <c r="F2411" s="6">
        <f>IFERROR(VLOOKUP($B2411,Platts!$E$5:$M$4994,MATCH(F$3,Platts!$F$5:$M$5,0)+1,FALSE),F2410)</f>
        <v>86.21</v>
      </c>
      <c r="G2411" s="6">
        <f>IFERROR(VLOOKUP($B2411,Platts!$E$5:$M$4994,MATCH(G$3,Platts!$F$5:$M$5,0)+1,FALSE),G2410)</f>
        <v>94.1</v>
      </c>
      <c r="H2411" s="6">
        <f>IFERROR(VLOOKUP($B2411,Platts!$E$5:$M$4994,MATCH(H$3,Platts!$F$5:$M$5,0)+1,FALSE),H2410)</f>
        <v>88.54</v>
      </c>
      <c r="I2411" s="6">
        <f>IFERROR(VLOOKUP($B2411,Platts!$E$5:$M$4994,MATCH(I$3,Platts!$F$5:$M$5,0)+1,FALSE),I2410)</f>
        <v>91.49</v>
      </c>
      <c r="J2411" s="6">
        <f t="shared" si="76"/>
        <v>4.3400000000000034</v>
      </c>
    </row>
    <row r="2412" spans="2:10" x14ac:dyDescent="0.25">
      <c r="B2412" s="5">
        <f t="shared" si="75"/>
        <v>44778</v>
      </c>
      <c r="C2412" s="6">
        <f>IFERROR(VLOOKUP($B2412,Platts!$E$5:$M$4994,MATCH(C$3,Platts!$F$5:$M$5,0)+1,FALSE),C2411)</f>
        <v>84.54</v>
      </c>
      <c r="D2412" s="6">
        <f>IFERROR(VLOOKUP($B2412,Platts!$E$5:$M$4994,MATCH(D$3,Platts!$F$5:$M$5,0)+1,FALSE),D2411)</f>
        <v>85.65</v>
      </c>
      <c r="E2412" s="6">
        <f>IFERROR(VLOOKUP($B2412,Platts!$E$5:$M$4994,MATCH(E$3,Platts!$F$5:$M$5,0)+1,FALSE),E2411)</f>
        <v>81</v>
      </c>
      <c r="F2412" s="6">
        <f>IFERROR(VLOOKUP($B2412,Platts!$E$5:$M$4994,MATCH(F$3,Platts!$F$5:$M$5,0)+1,FALSE),F2411)</f>
        <v>86.8</v>
      </c>
      <c r="G2412" s="6">
        <f>IFERROR(VLOOKUP($B2412,Platts!$E$5:$M$4994,MATCH(G$3,Platts!$F$5:$M$5,0)+1,FALSE),G2411)</f>
        <v>96.06</v>
      </c>
      <c r="H2412" s="6">
        <f>IFERROR(VLOOKUP($B2412,Platts!$E$5:$M$4994,MATCH(H$3,Platts!$F$5:$M$5,0)+1,FALSE),H2411)</f>
        <v>89.01</v>
      </c>
      <c r="I2412" s="6">
        <f>IFERROR(VLOOKUP($B2412,Platts!$E$5:$M$4994,MATCH(I$3,Platts!$F$5:$M$5,0)+1,FALSE),I2411)</f>
        <v>91.96</v>
      </c>
      <c r="J2412" s="6">
        <f t="shared" si="76"/>
        <v>4.4699999999999989</v>
      </c>
    </row>
    <row r="2413" spans="2:10" x14ac:dyDescent="0.25">
      <c r="B2413" s="5">
        <f t="shared" si="75"/>
        <v>44779</v>
      </c>
      <c r="C2413" s="6">
        <f>IFERROR(VLOOKUP($B2413,Platts!$E$5:$M$4994,MATCH(C$3,Platts!$F$5:$M$5,0)+1,FALSE),C2412)</f>
        <v>84.54</v>
      </c>
      <c r="D2413" s="6">
        <f>IFERROR(VLOOKUP($B2413,Platts!$E$5:$M$4994,MATCH(D$3,Platts!$F$5:$M$5,0)+1,FALSE),D2412)</f>
        <v>85.65</v>
      </c>
      <c r="E2413" s="6">
        <f>IFERROR(VLOOKUP($B2413,Platts!$E$5:$M$4994,MATCH(E$3,Platts!$F$5:$M$5,0)+1,FALSE),E2412)</f>
        <v>81</v>
      </c>
      <c r="F2413" s="6">
        <f>IFERROR(VLOOKUP($B2413,Platts!$E$5:$M$4994,MATCH(F$3,Platts!$F$5:$M$5,0)+1,FALSE),F2412)</f>
        <v>86.8</v>
      </c>
      <c r="G2413" s="6">
        <f>IFERROR(VLOOKUP($B2413,Platts!$E$5:$M$4994,MATCH(G$3,Platts!$F$5:$M$5,0)+1,FALSE),G2412)</f>
        <v>96.06</v>
      </c>
      <c r="H2413" s="6">
        <f>IFERROR(VLOOKUP($B2413,Platts!$E$5:$M$4994,MATCH(H$3,Platts!$F$5:$M$5,0)+1,FALSE),H2412)</f>
        <v>89.01</v>
      </c>
      <c r="I2413" s="6">
        <f>IFERROR(VLOOKUP($B2413,Platts!$E$5:$M$4994,MATCH(I$3,Platts!$F$5:$M$5,0)+1,FALSE),I2412)</f>
        <v>91.96</v>
      </c>
      <c r="J2413" s="6">
        <f t="shared" si="76"/>
        <v>4.4699999999999989</v>
      </c>
    </row>
    <row r="2414" spans="2:10" x14ac:dyDescent="0.25">
      <c r="B2414" s="5">
        <f t="shared" si="75"/>
        <v>44780</v>
      </c>
      <c r="C2414" s="6">
        <f>IFERROR(VLOOKUP($B2414,Platts!$E$5:$M$4994,MATCH(C$3,Platts!$F$5:$M$5,0)+1,FALSE),C2413)</f>
        <v>84.54</v>
      </c>
      <c r="D2414" s="6">
        <f>IFERROR(VLOOKUP($B2414,Platts!$E$5:$M$4994,MATCH(D$3,Platts!$F$5:$M$5,0)+1,FALSE),D2413)</f>
        <v>85.65</v>
      </c>
      <c r="E2414" s="6">
        <f>IFERROR(VLOOKUP($B2414,Platts!$E$5:$M$4994,MATCH(E$3,Platts!$F$5:$M$5,0)+1,FALSE),E2413)</f>
        <v>81</v>
      </c>
      <c r="F2414" s="6">
        <f>IFERROR(VLOOKUP($B2414,Platts!$E$5:$M$4994,MATCH(F$3,Platts!$F$5:$M$5,0)+1,FALSE),F2413)</f>
        <v>86.8</v>
      </c>
      <c r="G2414" s="6">
        <f>IFERROR(VLOOKUP($B2414,Platts!$E$5:$M$4994,MATCH(G$3,Platts!$F$5:$M$5,0)+1,FALSE),G2413)</f>
        <v>96.06</v>
      </c>
      <c r="H2414" s="6">
        <f>IFERROR(VLOOKUP($B2414,Platts!$E$5:$M$4994,MATCH(H$3,Platts!$F$5:$M$5,0)+1,FALSE),H2413)</f>
        <v>89.01</v>
      </c>
      <c r="I2414" s="6">
        <f>IFERROR(VLOOKUP($B2414,Platts!$E$5:$M$4994,MATCH(I$3,Platts!$F$5:$M$5,0)+1,FALSE),I2413)</f>
        <v>91.96</v>
      </c>
      <c r="J2414" s="6">
        <f t="shared" si="76"/>
        <v>4.4699999999999989</v>
      </c>
    </row>
    <row r="2415" spans="2:10" x14ac:dyDescent="0.25">
      <c r="B2415" s="5">
        <f t="shared" si="75"/>
        <v>44781</v>
      </c>
      <c r="C2415" s="6">
        <f>IFERROR(VLOOKUP($B2415,Platts!$E$5:$M$4994,MATCH(C$3,Platts!$F$5:$M$5,0)+1,FALSE),C2414)</f>
        <v>86.11</v>
      </c>
      <c r="D2415" s="6">
        <f>IFERROR(VLOOKUP($B2415,Platts!$E$5:$M$4994,MATCH(D$3,Platts!$F$5:$M$5,0)+1,FALSE),D2414)</f>
        <v>87.39</v>
      </c>
      <c r="E2415" s="6">
        <f>IFERROR(VLOOKUP($B2415,Platts!$E$5:$M$4994,MATCH(E$3,Platts!$F$5:$M$5,0)+1,FALSE),E2414)</f>
        <v>82.74</v>
      </c>
      <c r="F2415" s="6">
        <f>IFERROR(VLOOKUP($B2415,Platts!$E$5:$M$4994,MATCH(F$3,Platts!$F$5:$M$5,0)+1,FALSE),F2414)</f>
        <v>88.54</v>
      </c>
      <c r="G2415" s="6">
        <f>IFERROR(VLOOKUP($B2415,Platts!$E$5:$M$4994,MATCH(G$3,Platts!$F$5:$M$5,0)+1,FALSE),G2414)</f>
        <v>96.75</v>
      </c>
      <c r="H2415" s="6">
        <f>IFERROR(VLOOKUP($B2415,Platts!$E$5:$M$4994,MATCH(H$3,Platts!$F$5:$M$5,0)+1,FALSE),H2414)</f>
        <v>90.76</v>
      </c>
      <c r="I2415" s="6">
        <f>IFERROR(VLOOKUP($B2415,Platts!$E$5:$M$4994,MATCH(I$3,Platts!$F$5:$M$5,0)+1,FALSE),I2414)</f>
        <v>93.51</v>
      </c>
      <c r="J2415" s="6">
        <f t="shared" si="76"/>
        <v>4.6500000000000057</v>
      </c>
    </row>
    <row r="2416" spans="2:10" x14ac:dyDescent="0.25">
      <c r="B2416" s="5">
        <f t="shared" si="75"/>
        <v>44782</v>
      </c>
      <c r="C2416" s="6">
        <f>IFERROR(VLOOKUP($B2416,Platts!$E$5:$M$4994,MATCH(C$3,Platts!$F$5:$M$5,0)+1,FALSE),C2415)</f>
        <v>86.11</v>
      </c>
      <c r="D2416" s="6">
        <f>IFERROR(VLOOKUP($B2416,Platts!$E$5:$M$4994,MATCH(D$3,Platts!$F$5:$M$5,0)+1,FALSE),D2415)</f>
        <v>87.07</v>
      </c>
      <c r="E2416" s="6">
        <f>IFERROR(VLOOKUP($B2416,Platts!$E$5:$M$4994,MATCH(E$3,Platts!$F$5:$M$5,0)+1,FALSE),E2415)</f>
        <v>82.42</v>
      </c>
      <c r="F2416" s="6">
        <f>IFERROR(VLOOKUP($B2416,Platts!$E$5:$M$4994,MATCH(F$3,Platts!$F$5:$M$5,0)+1,FALSE),F2415)</f>
        <v>88.22</v>
      </c>
      <c r="G2416" s="6">
        <f>IFERROR(VLOOKUP($B2416,Platts!$E$5:$M$4994,MATCH(G$3,Platts!$F$5:$M$5,0)+1,FALSE),G2415)</f>
        <v>97.5</v>
      </c>
      <c r="H2416" s="6">
        <f>IFERROR(VLOOKUP($B2416,Platts!$E$5:$M$4994,MATCH(H$3,Platts!$F$5:$M$5,0)+1,FALSE),H2415)</f>
        <v>90.5</v>
      </c>
      <c r="I2416" s="6">
        <f>IFERROR(VLOOKUP($B2416,Platts!$E$5:$M$4994,MATCH(I$3,Platts!$F$5:$M$5,0)+1,FALSE),I2415)</f>
        <v>93.15</v>
      </c>
      <c r="J2416" s="6">
        <f t="shared" si="76"/>
        <v>4.3900000000000006</v>
      </c>
    </row>
    <row r="2417" spans="2:10" x14ac:dyDescent="0.25">
      <c r="B2417" s="5">
        <f t="shared" si="75"/>
        <v>44783</v>
      </c>
      <c r="C2417" s="6">
        <f>IFERROR(VLOOKUP($B2417,Platts!$E$5:$M$4994,MATCH(C$3,Platts!$F$5:$M$5,0)+1,FALSE),C2416)</f>
        <v>86.96</v>
      </c>
      <c r="D2417" s="6">
        <f>IFERROR(VLOOKUP($B2417,Platts!$E$5:$M$4994,MATCH(D$3,Platts!$F$5:$M$5,0)+1,FALSE),D2416)</f>
        <v>88.25</v>
      </c>
      <c r="E2417" s="6">
        <f>IFERROR(VLOOKUP($B2417,Platts!$E$5:$M$4994,MATCH(E$3,Platts!$F$5:$M$5,0)+1,FALSE),E2416)</f>
        <v>83.6</v>
      </c>
      <c r="F2417" s="6">
        <f>IFERROR(VLOOKUP($B2417,Platts!$E$5:$M$4994,MATCH(F$3,Platts!$F$5:$M$5,0)+1,FALSE),F2416)</f>
        <v>89.4</v>
      </c>
      <c r="G2417" s="6">
        <f>IFERROR(VLOOKUP($B2417,Platts!$E$5:$M$4994,MATCH(G$3,Platts!$F$5:$M$5,0)+1,FALSE),G2416)</f>
        <v>95.79</v>
      </c>
      <c r="H2417" s="6">
        <f>IFERROR(VLOOKUP($B2417,Platts!$E$5:$M$4994,MATCH(H$3,Platts!$F$5:$M$5,0)+1,FALSE),H2416)</f>
        <v>91.93</v>
      </c>
      <c r="I2417" s="6">
        <f>IFERROR(VLOOKUP($B2417,Platts!$E$5:$M$4994,MATCH(I$3,Platts!$F$5:$M$5,0)+1,FALSE),I2416)</f>
        <v>94.38</v>
      </c>
      <c r="J2417" s="6">
        <f t="shared" si="76"/>
        <v>4.9700000000000131</v>
      </c>
    </row>
    <row r="2418" spans="2:10" x14ac:dyDescent="0.25">
      <c r="B2418" s="5">
        <f t="shared" si="75"/>
        <v>44784</v>
      </c>
      <c r="C2418" s="6">
        <f>IFERROR(VLOOKUP($B2418,Platts!$E$5:$M$4994,MATCH(C$3,Platts!$F$5:$M$5,0)+1,FALSE),C2417)</f>
        <v>89.14</v>
      </c>
      <c r="D2418" s="6">
        <f>IFERROR(VLOOKUP($B2418,Platts!$E$5:$M$4994,MATCH(D$3,Platts!$F$5:$M$5,0)+1,FALSE),D2417)</f>
        <v>90.59</v>
      </c>
      <c r="E2418" s="6">
        <f>IFERROR(VLOOKUP($B2418,Platts!$E$5:$M$4994,MATCH(E$3,Platts!$F$5:$M$5,0)+1,FALSE),E2417)</f>
        <v>85.94</v>
      </c>
      <c r="F2418" s="6">
        <f>IFERROR(VLOOKUP($B2418,Platts!$E$5:$M$4994,MATCH(F$3,Platts!$F$5:$M$5,0)+1,FALSE),F2417)</f>
        <v>91.74</v>
      </c>
      <c r="G2418" s="6">
        <f>IFERROR(VLOOKUP($B2418,Platts!$E$5:$M$4994,MATCH(G$3,Platts!$F$5:$M$5,0)+1,FALSE),G2417)</f>
        <v>99.06</v>
      </c>
      <c r="H2418" s="6">
        <f>IFERROR(VLOOKUP($B2418,Platts!$E$5:$M$4994,MATCH(H$3,Platts!$F$5:$M$5,0)+1,FALSE),H2417)</f>
        <v>94.34</v>
      </c>
      <c r="I2418" s="6">
        <f>IFERROR(VLOOKUP($B2418,Platts!$E$5:$M$4994,MATCH(I$3,Platts!$F$5:$M$5,0)+1,FALSE),I2417)</f>
        <v>96.79</v>
      </c>
      <c r="J2418" s="6">
        <f t="shared" si="76"/>
        <v>5.2000000000000028</v>
      </c>
    </row>
    <row r="2419" spans="2:10" x14ac:dyDescent="0.25">
      <c r="B2419" s="5">
        <f t="shared" si="75"/>
        <v>44785</v>
      </c>
      <c r="C2419" s="6">
        <f>IFERROR(VLOOKUP($B2419,Platts!$E$5:$M$4994,MATCH(C$3,Platts!$F$5:$M$5,0)+1,FALSE),C2418)</f>
        <v>87.74</v>
      </c>
      <c r="D2419" s="6">
        <f>IFERROR(VLOOKUP($B2419,Platts!$E$5:$M$4994,MATCH(D$3,Platts!$F$5:$M$5,0)+1,FALSE),D2418)</f>
        <v>88.65</v>
      </c>
      <c r="E2419" s="6">
        <f>IFERROR(VLOOKUP($B2419,Platts!$E$5:$M$4994,MATCH(E$3,Platts!$F$5:$M$5,0)+1,FALSE),E2418)</f>
        <v>84</v>
      </c>
      <c r="F2419" s="6">
        <f>IFERROR(VLOOKUP($B2419,Platts!$E$5:$M$4994,MATCH(F$3,Platts!$F$5:$M$5,0)+1,FALSE),F2418)</f>
        <v>89.8</v>
      </c>
      <c r="G2419" s="6">
        <f>IFERROR(VLOOKUP($B2419,Platts!$E$5:$M$4994,MATCH(G$3,Platts!$F$5:$M$5,0)+1,FALSE),G2418)</f>
        <v>98.03</v>
      </c>
      <c r="H2419" s="6">
        <f>IFERROR(VLOOKUP($B2419,Platts!$E$5:$M$4994,MATCH(H$3,Platts!$F$5:$M$5,0)+1,FALSE),H2418)</f>
        <v>92.09</v>
      </c>
      <c r="I2419" s="6">
        <f>IFERROR(VLOOKUP($B2419,Platts!$E$5:$M$4994,MATCH(I$3,Platts!$F$5:$M$5,0)+1,FALSE),I2418)</f>
        <v>94.54</v>
      </c>
      <c r="J2419" s="6">
        <f t="shared" si="76"/>
        <v>4.3500000000000085</v>
      </c>
    </row>
    <row r="2420" spans="2:10" x14ac:dyDescent="0.25">
      <c r="B2420" s="5">
        <f t="shared" si="75"/>
        <v>44786</v>
      </c>
      <c r="C2420" s="6">
        <f>IFERROR(VLOOKUP($B2420,Platts!$E$5:$M$4994,MATCH(C$3,Platts!$F$5:$M$5,0)+1,FALSE),C2419)</f>
        <v>87.74</v>
      </c>
      <c r="D2420" s="6">
        <f>IFERROR(VLOOKUP($B2420,Platts!$E$5:$M$4994,MATCH(D$3,Platts!$F$5:$M$5,0)+1,FALSE),D2419)</f>
        <v>88.65</v>
      </c>
      <c r="E2420" s="6">
        <f>IFERROR(VLOOKUP($B2420,Platts!$E$5:$M$4994,MATCH(E$3,Platts!$F$5:$M$5,0)+1,FALSE),E2419)</f>
        <v>84</v>
      </c>
      <c r="F2420" s="6">
        <f>IFERROR(VLOOKUP($B2420,Platts!$E$5:$M$4994,MATCH(F$3,Platts!$F$5:$M$5,0)+1,FALSE),F2419)</f>
        <v>89.8</v>
      </c>
      <c r="G2420" s="6">
        <f>IFERROR(VLOOKUP($B2420,Platts!$E$5:$M$4994,MATCH(G$3,Platts!$F$5:$M$5,0)+1,FALSE),G2419)</f>
        <v>98.03</v>
      </c>
      <c r="H2420" s="6">
        <f>IFERROR(VLOOKUP($B2420,Platts!$E$5:$M$4994,MATCH(H$3,Platts!$F$5:$M$5,0)+1,FALSE),H2419)</f>
        <v>92.09</v>
      </c>
      <c r="I2420" s="6">
        <f>IFERROR(VLOOKUP($B2420,Platts!$E$5:$M$4994,MATCH(I$3,Platts!$F$5:$M$5,0)+1,FALSE),I2419)</f>
        <v>94.54</v>
      </c>
      <c r="J2420" s="6">
        <f t="shared" si="76"/>
        <v>4.3500000000000085</v>
      </c>
    </row>
    <row r="2421" spans="2:10" x14ac:dyDescent="0.25">
      <c r="B2421" s="5">
        <f t="shared" si="75"/>
        <v>44787</v>
      </c>
      <c r="C2421" s="6">
        <f>IFERROR(VLOOKUP($B2421,Platts!$E$5:$M$4994,MATCH(C$3,Platts!$F$5:$M$5,0)+1,FALSE),C2420)</f>
        <v>87.74</v>
      </c>
      <c r="D2421" s="6">
        <f>IFERROR(VLOOKUP($B2421,Platts!$E$5:$M$4994,MATCH(D$3,Platts!$F$5:$M$5,0)+1,FALSE),D2420)</f>
        <v>88.65</v>
      </c>
      <c r="E2421" s="6">
        <f>IFERROR(VLOOKUP($B2421,Platts!$E$5:$M$4994,MATCH(E$3,Platts!$F$5:$M$5,0)+1,FALSE),E2420)</f>
        <v>84</v>
      </c>
      <c r="F2421" s="6">
        <f>IFERROR(VLOOKUP($B2421,Platts!$E$5:$M$4994,MATCH(F$3,Platts!$F$5:$M$5,0)+1,FALSE),F2420)</f>
        <v>89.8</v>
      </c>
      <c r="G2421" s="6">
        <f>IFERROR(VLOOKUP($B2421,Platts!$E$5:$M$4994,MATCH(G$3,Platts!$F$5:$M$5,0)+1,FALSE),G2420)</f>
        <v>98.03</v>
      </c>
      <c r="H2421" s="6">
        <f>IFERROR(VLOOKUP($B2421,Platts!$E$5:$M$4994,MATCH(H$3,Platts!$F$5:$M$5,0)+1,FALSE),H2420)</f>
        <v>92.09</v>
      </c>
      <c r="I2421" s="6">
        <f>IFERROR(VLOOKUP($B2421,Platts!$E$5:$M$4994,MATCH(I$3,Platts!$F$5:$M$5,0)+1,FALSE),I2420)</f>
        <v>94.54</v>
      </c>
      <c r="J2421" s="6">
        <f t="shared" si="76"/>
        <v>4.3500000000000085</v>
      </c>
    </row>
    <row r="2422" spans="2:10" x14ac:dyDescent="0.25">
      <c r="B2422" s="5">
        <f t="shared" si="75"/>
        <v>44788</v>
      </c>
      <c r="C2422" s="6">
        <f>IFERROR(VLOOKUP($B2422,Platts!$E$5:$M$4994,MATCH(C$3,Platts!$F$5:$M$5,0)+1,FALSE),C2421)</f>
        <v>84.79</v>
      </c>
      <c r="D2422" s="6">
        <f>IFERROR(VLOOKUP($B2422,Platts!$E$5:$M$4994,MATCH(D$3,Platts!$F$5:$M$5,0)+1,FALSE),D2421)</f>
        <v>85.84</v>
      </c>
      <c r="E2422" s="6">
        <f>IFERROR(VLOOKUP($B2422,Platts!$E$5:$M$4994,MATCH(E$3,Platts!$F$5:$M$5,0)+1,FALSE),E2421)</f>
        <v>81.19</v>
      </c>
      <c r="F2422" s="6">
        <f>IFERROR(VLOOKUP($B2422,Platts!$E$5:$M$4994,MATCH(F$3,Platts!$F$5:$M$5,0)+1,FALSE),F2421)</f>
        <v>86.99</v>
      </c>
      <c r="G2422" s="6">
        <f>IFERROR(VLOOKUP($B2422,Platts!$E$5:$M$4994,MATCH(G$3,Platts!$F$5:$M$5,0)+1,FALSE),G2421)</f>
        <v>94.49</v>
      </c>
      <c r="H2422" s="6">
        <f>IFERROR(VLOOKUP($B2422,Platts!$E$5:$M$4994,MATCH(H$3,Platts!$F$5:$M$5,0)+1,FALSE),H2421)</f>
        <v>89.41</v>
      </c>
      <c r="I2422" s="6">
        <f>IFERROR(VLOOKUP($B2422,Platts!$E$5:$M$4994,MATCH(I$3,Platts!$F$5:$M$5,0)+1,FALSE),I2421)</f>
        <v>91.76</v>
      </c>
      <c r="J2422" s="6">
        <f t="shared" si="76"/>
        <v>4.6199999999999903</v>
      </c>
    </row>
    <row r="2423" spans="2:10" x14ac:dyDescent="0.25">
      <c r="B2423" s="5">
        <f t="shared" si="75"/>
        <v>44789</v>
      </c>
      <c r="C2423" s="6">
        <f>IFERROR(VLOOKUP($B2423,Platts!$E$5:$M$4994,MATCH(C$3,Platts!$F$5:$M$5,0)+1,FALSE),C2422)</f>
        <v>81.95</v>
      </c>
      <c r="D2423" s="6">
        <f>IFERROR(VLOOKUP($B2423,Platts!$E$5:$M$4994,MATCH(D$3,Platts!$F$5:$M$5,0)+1,FALSE),D2422)</f>
        <v>82.97</v>
      </c>
      <c r="E2423" s="6">
        <f>IFERROR(VLOOKUP($B2423,Platts!$E$5:$M$4994,MATCH(E$3,Platts!$F$5:$M$5,0)+1,FALSE),E2422)</f>
        <v>78.319999999999993</v>
      </c>
      <c r="F2423" s="6">
        <f>IFERROR(VLOOKUP($B2423,Platts!$E$5:$M$4994,MATCH(F$3,Platts!$F$5:$M$5,0)+1,FALSE),F2422)</f>
        <v>84.12</v>
      </c>
      <c r="G2423" s="6">
        <f>IFERROR(VLOOKUP($B2423,Platts!$E$5:$M$4994,MATCH(G$3,Platts!$F$5:$M$5,0)+1,FALSE),G2422)</f>
        <v>93.34</v>
      </c>
      <c r="H2423" s="6">
        <f>IFERROR(VLOOKUP($B2423,Platts!$E$5:$M$4994,MATCH(H$3,Platts!$F$5:$M$5,0)+1,FALSE),H2422)</f>
        <v>86.53</v>
      </c>
      <c r="I2423" s="6">
        <f>IFERROR(VLOOKUP($B2423,Platts!$E$5:$M$4994,MATCH(I$3,Platts!$F$5:$M$5,0)+1,FALSE),I2422)</f>
        <v>88.93</v>
      </c>
      <c r="J2423" s="6">
        <f t="shared" si="76"/>
        <v>4.5799999999999983</v>
      </c>
    </row>
    <row r="2424" spans="2:10" x14ac:dyDescent="0.25">
      <c r="B2424" s="5">
        <f t="shared" si="75"/>
        <v>44790</v>
      </c>
      <c r="C2424" s="6">
        <f>IFERROR(VLOOKUP($B2424,Platts!$E$5:$M$4994,MATCH(C$3,Platts!$F$5:$M$5,0)+1,FALSE),C2423)</f>
        <v>83.05</v>
      </c>
      <c r="D2424" s="6">
        <f>IFERROR(VLOOKUP($B2424,Platts!$E$5:$M$4994,MATCH(D$3,Platts!$F$5:$M$5,0)+1,FALSE),D2423)</f>
        <v>84.36</v>
      </c>
      <c r="E2424" s="6">
        <f>IFERROR(VLOOKUP($B2424,Platts!$E$5:$M$4994,MATCH(E$3,Platts!$F$5:$M$5,0)+1,FALSE),E2423)</f>
        <v>79.709999999999994</v>
      </c>
      <c r="F2424" s="6">
        <f>IFERROR(VLOOKUP($B2424,Platts!$E$5:$M$4994,MATCH(F$3,Platts!$F$5:$M$5,0)+1,FALSE),F2423)</f>
        <v>85.51</v>
      </c>
      <c r="G2424" s="6">
        <f>IFERROR(VLOOKUP($B2424,Platts!$E$5:$M$4994,MATCH(G$3,Platts!$F$5:$M$5,0)+1,FALSE),G2423)</f>
        <v>93.15</v>
      </c>
      <c r="H2424" s="6">
        <f>IFERROR(VLOOKUP($B2424,Platts!$E$5:$M$4994,MATCH(H$3,Platts!$F$5:$M$5,0)+1,FALSE),H2423)</f>
        <v>88.11</v>
      </c>
      <c r="I2424" s="6">
        <f>IFERROR(VLOOKUP($B2424,Platts!$E$5:$M$4994,MATCH(I$3,Platts!$F$5:$M$5,0)+1,FALSE),I2423)</f>
        <v>90.41</v>
      </c>
      <c r="J2424" s="6">
        <f t="shared" si="76"/>
        <v>5.0600000000000023</v>
      </c>
    </row>
    <row r="2425" spans="2:10" x14ac:dyDescent="0.25">
      <c r="B2425" s="5">
        <f t="shared" si="75"/>
        <v>44791</v>
      </c>
      <c r="C2425" s="6">
        <f>IFERROR(VLOOKUP($B2425,Platts!$E$5:$M$4994,MATCH(C$3,Platts!$F$5:$M$5,0)+1,FALSE),C2424)</f>
        <v>85.71</v>
      </c>
      <c r="D2425" s="6">
        <f>IFERROR(VLOOKUP($B2425,Platts!$E$5:$M$4994,MATCH(D$3,Platts!$F$5:$M$5,0)+1,FALSE),D2424)</f>
        <v>86.94</v>
      </c>
      <c r="E2425" s="6">
        <f>IFERROR(VLOOKUP($B2425,Platts!$E$5:$M$4994,MATCH(E$3,Platts!$F$5:$M$5,0)+1,FALSE),E2424)</f>
        <v>82.29</v>
      </c>
      <c r="F2425" s="6">
        <f>IFERROR(VLOOKUP($B2425,Platts!$E$5:$M$4994,MATCH(F$3,Platts!$F$5:$M$5,0)+1,FALSE),F2424)</f>
        <v>88.09</v>
      </c>
      <c r="G2425" s="6">
        <f>IFERROR(VLOOKUP($B2425,Platts!$E$5:$M$4994,MATCH(G$3,Platts!$F$5:$M$5,0)+1,FALSE),G2424)</f>
        <v>96.33</v>
      </c>
      <c r="H2425" s="6">
        <f>IFERROR(VLOOKUP($B2425,Platts!$E$5:$M$4994,MATCH(H$3,Platts!$F$5:$M$5,0)+1,FALSE),H2424)</f>
        <v>90.5</v>
      </c>
      <c r="I2425" s="6">
        <f>IFERROR(VLOOKUP($B2425,Platts!$E$5:$M$4994,MATCH(I$3,Platts!$F$5:$M$5,0)+1,FALSE),I2424)</f>
        <v>92.8</v>
      </c>
      <c r="J2425" s="6">
        <f t="shared" si="76"/>
        <v>4.7900000000000063</v>
      </c>
    </row>
    <row r="2426" spans="2:10" x14ac:dyDescent="0.25">
      <c r="B2426" s="5">
        <f t="shared" si="75"/>
        <v>44792</v>
      </c>
      <c r="C2426" s="6">
        <f>IFERROR(VLOOKUP($B2426,Platts!$E$5:$M$4994,MATCH(C$3,Platts!$F$5:$M$5,0)+1,FALSE),C2425)</f>
        <v>86.09</v>
      </c>
      <c r="D2426" s="6">
        <f>IFERROR(VLOOKUP($B2426,Platts!$E$5:$M$4994,MATCH(D$3,Platts!$F$5:$M$5,0)+1,FALSE),D2425)</f>
        <v>87.29</v>
      </c>
      <c r="E2426" s="6">
        <f>IFERROR(VLOOKUP($B2426,Platts!$E$5:$M$4994,MATCH(E$3,Platts!$F$5:$M$5,0)+1,FALSE),E2425)</f>
        <v>82.64</v>
      </c>
      <c r="F2426" s="6">
        <f>IFERROR(VLOOKUP($B2426,Platts!$E$5:$M$4994,MATCH(F$3,Platts!$F$5:$M$5,0)+1,FALSE),F2425)</f>
        <v>88.44</v>
      </c>
      <c r="G2426" s="6">
        <f>IFERROR(VLOOKUP($B2426,Platts!$E$5:$M$4994,MATCH(G$3,Platts!$F$5:$M$5,0)+1,FALSE),G2425)</f>
        <v>96.86</v>
      </c>
      <c r="H2426" s="6">
        <f>IFERROR(VLOOKUP($B2426,Platts!$E$5:$M$4994,MATCH(H$3,Platts!$F$5:$M$5,0)+1,FALSE),H2425)</f>
        <v>90.77</v>
      </c>
      <c r="I2426" s="6">
        <f>IFERROR(VLOOKUP($B2426,Platts!$E$5:$M$4994,MATCH(I$3,Platts!$F$5:$M$5,0)+1,FALSE),I2425)</f>
        <v>93.17</v>
      </c>
      <c r="J2426" s="6">
        <f t="shared" si="76"/>
        <v>4.6799999999999926</v>
      </c>
    </row>
    <row r="2427" spans="2:10" x14ac:dyDescent="0.25">
      <c r="B2427" s="5">
        <f t="shared" si="75"/>
        <v>44793</v>
      </c>
      <c r="C2427" s="6">
        <f>IFERROR(VLOOKUP($B2427,Platts!$E$5:$M$4994,MATCH(C$3,Platts!$F$5:$M$5,0)+1,FALSE),C2426)</f>
        <v>86.09</v>
      </c>
      <c r="D2427" s="6">
        <f>IFERROR(VLOOKUP($B2427,Platts!$E$5:$M$4994,MATCH(D$3,Platts!$F$5:$M$5,0)+1,FALSE),D2426)</f>
        <v>87.29</v>
      </c>
      <c r="E2427" s="6">
        <f>IFERROR(VLOOKUP($B2427,Platts!$E$5:$M$4994,MATCH(E$3,Platts!$F$5:$M$5,0)+1,FALSE),E2426)</f>
        <v>82.64</v>
      </c>
      <c r="F2427" s="6">
        <f>IFERROR(VLOOKUP($B2427,Platts!$E$5:$M$4994,MATCH(F$3,Platts!$F$5:$M$5,0)+1,FALSE),F2426)</f>
        <v>88.44</v>
      </c>
      <c r="G2427" s="6">
        <f>IFERROR(VLOOKUP($B2427,Platts!$E$5:$M$4994,MATCH(G$3,Platts!$F$5:$M$5,0)+1,FALSE),G2426)</f>
        <v>96.86</v>
      </c>
      <c r="H2427" s="6">
        <f>IFERROR(VLOOKUP($B2427,Platts!$E$5:$M$4994,MATCH(H$3,Platts!$F$5:$M$5,0)+1,FALSE),H2426)</f>
        <v>90.77</v>
      </c>
      <c r="I2427" s="6">
        <f>IFERROR(VLOOKUP($B2427,Platts!$E$5:$M$4994,MATCH(I$3,Platts!$F$5:$M$5,0)+1,FALSE),I2426)</f>
        <v>93.17</v>
      </c>
      <c r="J2427" s="6">
        <f t="shared" si="76"/>
        <v>4.6799999999999926</v>
      </c>
    </row>
    <row r="2428" spans="2:10" x14ac:dyDescent="0.25">
      <c r="B2428" s="5">
        <f t="shared" si="75"/>
        <v>44794</v>
      </c>
      <c r="C2428" s="6">
        <f>IFERROR(VLOOKUP($B2428,Platts!$E$5:$M$4994,MATCH(C$3,Platts!$F$5:$M$5,0)+1,FALSE),C2427)</f>
        <v>86.09</v>
      </c>
      <c r="D2428" s="6">
        <f>IFERROR(VLOOKUP($B2428,Platts!$E$5:$M$4994,MATCH(D$3,Platts!$F$5:$M$5,0)+1,FALSE),D2427)</f>
        <v>87.29</v>
      </c>
      <c r="E2428" s="6">
        <f>IFERROR(VLOOKUP($B2428,Platts!$E$5:$M$4994,MATCH(E$3,Platts!$F$5:$M$5,0)+1,FALSE),E2427)</f>
        <v>82.64</v>
      </c>
      <c r="F2428" s="6">
        <f>IFERROR(VLOOKUP($B2428,Platts!$E$5:$M$4994,MATCH(F$3,Platts!$F$5:$M$5,0)+1,FALSE),F2427)</f>
        <v>88.44</v>
      </c>
      <c r="G2428" s="6">
        <f>IFERROR(VLOOKUP($B2428,Platts!$E$5:$M$4994,MATCH(G$3,Platts!$F$5:$M$5,0)+1,FALSE),G2427)</f>
        <v>96.86</v>
      </c>
      <c r="H2428" s="6">
        <f>IFERROR(VLOOKUP($B2428,Platts!$E$5:$M$4994,MATCH(H$3,Platts!$F$5:$M$5,0)+1,FALSE),H2427)</f>
        <v>90.77</v>
      </c>
      <c r="I2428" s="6">
        <f>IFERROR(VLOOKUP($B2428,Platts!$E$5:$M$4994,MATCH(I$3,Platts!$F$5:$M$5,0)+1,FALSE),I2427)</f>
        <v>93.17</v>
      </c>
      <c r="J2428" s="6">
        <f t="shared" si="76"/>
        <v>4.6799999999999926</v>
      </c>
    </row>
    <row r="2429" spans="2:10" x14ac:dyDescent="0.25">
      <c r="B2429" s="5">
        <f t="shared" si="75"/>
        <v>44795</v>
      </c>
      <c r="C2429" s="6">
        <f>IFERROR(VLOOKUP($B2429,Platts!$E$5:$M$4994,MATCH(C$3,Platts!$F$5:$M$5,0)+1,FALSE),C2428)</f>
        <v>85.89</v>
      </c>
      <c r="D2429" s="6">
        <f>IFERROR(VLOOKUP($B2429,Platts!$E$5:$M$4994,MATCH(D$3,Platts!$F$5:$M$5,0)+1,FALSE),D2428)</f>
        <v>87.02</v>
      </c>
      <c r="E2429" s="6">
        <f>IFERROR(VLOOKUP($B2429,Platts!$E$5:$M$4994,MATCH(E$3,Platts!$F$5:$M$5,0)+1,FALSE),E2428)</f>
        <v>82.37</v>
      </c>
      <c r="F2429" s="6">
        <f>IFERROR(VLOOKUP($B2429,Platts!$E$5:$M$4994,MATCH(F$3,Platts!$F$5:$M$5,0)+1,FALSE),F2428)</f>
        <v>88.17</v>
      </c>
      <c r="G2429" s="6">
        <f>IFERROR(VLOOKUP($B2429,Platts!$E$5:$M$4994,MATCH(G$3,Platts!$F$5:$M$5,0)+1,FALSE),G2428)</f>
        <v>94.62</v>
      </c>
      <c r="H2429" s="6">
        <f>IFERROR(VLOOKUP($B2429,Platts!$E$5:$M$4994,MATCH(H$3,Platts!$F$5:$M$5,0)+1,FALSE),H2428)</f>
        <v>90.23</v>
      </c>
      <c r="I2429" s="6">
        <f>IFERROR(VLOOKUP($B2429,Platts!$E$5:$M$4994,MATCH(I$3,Platts!$F$5:$M$5,0)+1,FALSE),I2428)</f>
        <v>92.78</v>
      </c>
      <c r="J2429" s="6">
        <f t="shared" si="76"/>
        <v>4.3400000000000034</v>
      </c>
    </row>
    <row r="2430" spans="2:10" x14ac:dyDescent="0.25">
      <c r="B2430" s="5">
        <f t="shared" si="75"/>
        <v>44796</v>
      </c>
      <c r="C2430" s="6">
        <f>IFERROR(VLOOKUP($B2430,Platts!$E$5:$M$4994,MATCH(C$3,Platts!$F$5:$M$5,0)+1,FALSE),C2429)</f>
        <v>89.96</v>
      </c>
      <c r="D2430" s="6">
        <f>IFERROR(VLOOKUP($B2430,Platts!$E$5:$M$4994,MATCH(D$3,Platts!$F$5:$M$5,0)+1,FALSE),D2429)</f>
        <v>91.49</v>
      </c>
      <c r="E2430" s="6">
        <f>IFERROR(VLOOKUP($B2430,Platts!$E$5:$M$4994,MATCH(E$3,Platts!$F$5:$M$5,0)+1,FALSE),E2429)</f>
        <v>86.84</v>
      </c>
      <c r="F2430" s="6">
        <f>IFERROR(VLOOKUP($B2430,Platts!$E$5:$M$4994,MATCH(F$3,Platts!$F$5:$M$5,0)+1,FALSE),F2429)</f>
        <v>92.64</v>
      </c>
      <c r="G2430" s="6">
        <f>IFERROR(VLOOKUP($B2430,Platts!$E$5:$M$4994,MATCH(G$3,Platts!$F$5:$M$5,0)+1,FALSE),G2429)</f>
        <v>99.65</v>
      </c>
      <c r="H2430" s="6">
        <f>IFERROR(VLOOKUP($B2430,Platts!$E$5:$M$4994,MATCH(H$3,Platts!$F$5:$M$5,0)+1,FALSE),H2429)</f>
        <v>94.39</v>
      </c>
      <c r="I2430" s="6">
        <f>IFERROR(VLOOKUP($B2430,Platts!$E$5:$M$4994,MATCH(I$3,Platts!$F$5:$M$5,0)+1,FALSE),I2429)</f>
        <v>97.09</v>
      </c>
      <c r="J2430" s="6">
        <f t="shared" si="76"/>
        <v>4.4300000000000068</v>
      </c>
    </row>
    <row r="2431" spans="2:10" x14ac:dyDescent="0.25">
      <c r="B2431" s="5">
        <f t="shared" si="75"/>
        <v>44797</v>
      </c>
      <c r="C2431" s="6">
        <f>IFERROR(VLOOKUP($B2431,Platts!$E$5:$M$4994,MATCH(C$3,Platts!$F$5:$M$5,0)+1,FALSE),C2430)</f>
        <v>91.11</v>
      </c>
      <c r="D2431" s="6">
        <f>IFERROR(VLOOKUP($B2431,Platts!$E$5:$M$4994,MATCH(D$3,Platts!$F$5:$M$5,0)+1,FALSE),D2430)</f>
        <v>92.49</v>
      </c>
      <c r="E2431" s="6">
        <f>IFERROR(VLOOKUP($B2431,Platts!$E$5:$M$4994,MATCH(E$3,Platts!$F$5:$M$5,0)+1,FALSE),E2430)</f>
        <v>87.84</v>
      </c>
      <c r="F2431" s="6">
        <f>IFERROR(VLOOKUP($B2431,Platts!$E$5:$M$4994,MATCH(F$3,Platts!$F$5:$M$5,0)+1,FALSE),F2430)</f>
        <v>93.64</v>
      </c>
      <c r="G2431" s="6">
        <f>IFERROR(VLOOKUP($B2431,Platts!$E$5:$M$4994,MATCH(G$3,Platts!$F$5:$M$5,0)+1,FALSE),G2430)</f>
        <v>99.69</v>
      </c>
      <c r="H2431" s="6">
        <f>IFERROR(VLOOKUP($B2431,Platts!$E$5:$M$4994,MATCH(H$3,Platts!$F$5:$M$5,0)+1,FALSE),H2430)</f>
        <v>95.69</v>
      </c>
      <c r="I2431" s="6">
        <f>IFERROR(VLOOKUP($B2431,Platts!$E$5:$M$4994,MATCH(I$3,Platts!$F$5:$M$5,0)+1,FALSE),I2430)</f>
        <v>98.24</v>
      </c>
      <c r="J2431" s="6">
        <f t="shared" si="76"/>
        <v>4.5799999999999983</v>
      </c>
    </row>
    <row r="2432" spans="2:10" x14ac:dyDescent="0.25">
      <c r="B2432" s="5">
        <f t="shared" si="75"/>
        <v>44798</v>
      </c>
      <c r="C2432" s="6">
        <f>IFERROR(VLOOKUP($B2432,Platts!$E$5:$M$4994,MATCH(C$3,Platts!$F$5:$M$5,0)+1,FALSE),C2431)</f>
        <v>89.45</v>
      </c>
      <c r="D2432" s="6">
        <f>IFERROR(VLOOKUP($B2432,Platts!$E$5:$M$4994,MATCH(D$3,Platts!$F$5:$M$5,0)+1,FALSE),D2431)</f>
        <v>92.49</v>
      </c>
      <c r="E2432" s="6">
        <f>IFERROR(VLOOKUP($B2432,Platts!$E$5:$M$4994,MATCH(E$3,Platts!$F$5:$M$5,0)+1,FALSE),E2431)</f>
        <v>87.84</v>
      </c>
      <c r="F2432" s="6">
        <f>IFERROR(VLOOKUP($B2432,Platts!$E$5:$M$4994,MATCH(F$3,Platts!$F$5:$M$5,0)+1,FALSE),F2431)</f>
        <v>93.64</v>
      </c>
      <c r="G2432" s="6">
        <f>IFERROR(VLOOKUP($B2432,Platts!$E$5:$M$4994,MATCH(G$3,Platts!$F$5:$M$5,0)+1,FALSE),G2431)</f>
        <v>100.52</v>
      </c>
      <c r="H2432" s="6">
        <f>IFERROR(VLOOKUP($B2432,Platts!$E$5:$M$4994,MATCH(H$3,Platts!$F$5:$M$5,0)+1,FALSE),H2431)</f>
        <v>92.97</v>
      </c>
      <c r="I2432" s="6">
        <f>IFERROR(VLOOKUP($B2432,Platts!$E$5:$M$4994,MATCH(I$3,Platts!$F$5:$M$5,0)+1,FALSE),I2431)</f>
        <v>98.24</v>
      </c>
      <c r="J2432" s="6">
        <f t="shared" si="76"/>
        <v>3.519999999999996</v>
      </c>
    </row>
    <row r="2433" spans="2:10" x14ac:dyDescent="0.25">
      <c r="B2433" s="5">
        <f t="shared" si="75"/>
        <v>44799</v>
      </c>
      <c r="C2433" s="6">
        <f>IFERROR(VLOOKUP($B2433,Platts!$E$5:$M$4994,MATCH(C$3,Platts!$F$5:$M$5,0)+1,FALSE),C2432)</f>
        <v>89.73</v>
      </c>
      <c r="D2433" s="6">
        <f>IFERROR(VLOOKUP($B2433,Platts!$E$5:$M$4994,MATCH(D$3,Platts!$F$5:$M$5,0)+1,FALSE),D2432)</f>
        <v>90.53</v>
      </c>
      <c r="E2433" s="6">
        <f>IFERROR(VLOOKUP($B2433,Platts!$E$5:$M$4994,MATCH(E$3,Platts!$F$5:$M$5,0)+1,FALSE),E2432)</f>
        <v>85.88</v>
      </c>
      <c r="F2433" s="6">
        <f>IFERROR(VLOOKUP($B2433,Platts!$E$5:$M$4994,MATCH(F$3,Platts!$F$5:$M$5,0)+1,FALSE),F2432)</f>
        <v>91.68</v>
      </c>
      <c r="G2433" s="6">
        <f>IFERROR(VLOOKUP($B2433,Platts!$E$5:$M$4994,MATCH(G$3,Platts!$F$5:$M$5,0)+1,FALSE),G2432)</f>
        <v>99.72</v>
      </c>
      <c r="H2433" s="6">
        <f>IFERROR(VLOOKUP($B2433,Platts!$E$5:$M$4994,MATCH(H$3,Platts!$F$5:$M$5,0)+1,FALSE),H2432)</f>
        <v>93.06</v>
      </c>
      <c r="I2433" s="6">
        <f>IFERROR(VLOOKUP($B2433,Platts!$E$5:$M$4994,MATCH(I$3,Platts!$F$5:$M$5,0)+1,FALSE),I2432)</f>
        <v>95.31</v>
      </c>
      <c r="J2433" s="6">
        <f t="shared" si="76"/>
        <v>3.3299999999999983</v>
      </c>
    </row>
    <row r="2434" spans="2:10" x14ac:dyDescent="0.25">
      <c r="B2434" s="5">
        <f t="shared" si="75"/>
        <v>44800</v>
      </c>
      <c r="C2434" s="6">
        <f>IFERROR(VLOOKUP($B2434,Platts!$E$5:$M$4994,MATCH(C$3,Platts!$F$5:$M$5,0)+1,FALSE),C2433)</f>
        <v>89.73</v>
      </c>
      <c r="D2434" s="6">
        <f>IFERROR(VLOOKUP($B2434,Platts!$E$5:$M$4994,MATCH(D$3,Platts!$F$5:$M$5,0)+1,FALSE),D2433)</f>
        <v>90.53</v>
      </c>
      <c r="E2434" s="6">
        <f>IFERROR(VLOOKUP($B2434,Platts!$E$5:$M$4994,MATCH(E$3,Platts!$F$5:$M$5,0)+1,FALSE),E2433)</f>
        <v>85.88</v>
      </c>
      <c r="F2434" s="6">
        <f>IFERROR(VLOOKUP($B2434,Platts!$E$5:$M$4994,MATCH(F$3,Platts!$F$5:$M$5,0)+1,FALSE),F2433)</f>
        <v>91.68</v>
      </c>
      <c r="G2434" s="6">
        <f>IFERROR(VLOOKUP($B2434,Platts!$E$5:$M$4994,MATCH(G$3,Platts!$F$5:$M$5,0)+1,FALSE),G2433)</f>
        <v>99.72</v>
      </c>
      <c r="H2434" s="6">
        <f>IFERROR(VLOOKUP($B2434,Platts!$E$5:$M$4994,MATCH(H$3,Platts!$F$5:$M$5,0)+1,FALSE),H2433)</f>
        <v>93.06</v>
      </c>
      <c r="I2434" s="6">
        <f>IFERROR(VLOOKUP($B2434,Platts!$E$5:$M$4994,MATCH(I$3,Platts!$F$5:$M$5,0)+1,FALSE),I2433)</f>
        <v>95.31</v>
      </c>
      <c r="J2434" s="6">
        <f t="shared" si="76"/>
        <v>3.3299999999999983</v>
      </c>
    </row>
    <row r="2435" spans="2:10" x14ac:dyDescent="0.25">
      <c r="B2435" s="5">
        <f t="shared" si="75"/>
        <v>44801</v>
      </c>
      <c r="C2435" s="6">
        <f>IFERROR(VLOOKUP($B2435,Platts!$E$5:$M$4994,MATCH(C$3,Platts!$F$5:$M$5,0)+1,FALSE),C2434)</f>
        <v>89.73</v>
      </c>
      <c r="D2435" s="6">
        <f>IFERROR(VLOOKUP($B2435,Platts!$E$5:$M$4994,MATCH(D$3,Platts!$F$5:$M$5,0)+1,FALSE),D2434)</f>
        <v>90.53</v>
      </c>
      <c r="E2435" s="6">
        <f>IFERROR(VLOOKUP($B2435,Platts!$E$5:$M$4994,MATCH(E$3,Platts!$F$5:$M$5,0)+1,FALSE),E2434)</f>
        <v>85.88</v>
      </c>
      <c r="F2435" s="6">
        <f>IFERROR(VLOOKUP($B2435,Platts!$E$5:$M$4994,MATCH(F$3,Platts!$F$5:$M$5,0)+1,FALSE),F2434)</f>
        <v>91.68</v>
      </c>
      <c r="G2435" s="6">
        <f>IFERROR(VLOOKUP($B2435,Platts!$E$5:$M$4994,MATCH(G$3,Platts!$F$5:$M$5,0)+1,FALSE),G2434)</f>
        <v>99.72</v>
      </c>
      <c r="H2435" s="6">
        <f>IFERROR(VLOOKUP($B2435,Platts!$E$5:$M$4994,MATCH(H$3,Platts!$F$5:$M$5,0)+1,FALSE),H2434)</f>
        <v>93.06</v>
      </c>
      <c r="I2435" s="6">
        <f>IFERROR(VLOOKUP($B2435,Platts!$E$5:$M$4994,MATCH(I$3,Platts!$F$5:$M$5,0)+1,FALSE),I2434)</f>
        <v>95.31</v>
      </c>
      <c r="J2435" s="6">
        <f t="shared" si="76"/>
        <v>3.3299999999999983</v>
      </c>
    </row>
    <row r="2436" spans="2:10" x14ac:dyDescent="0.25">
      <c r="B2436" s="5">
        <f t="shared" si="75"/>
        <v>44802</v>
      </c>
      <c r="C2436" s="6">
        <f>IFERROR(VLOOKUP($B2436,Platts!$E$5:$M$4994,MATCH(C$3,Platts!$F$5:$M$5,0)+1,FALSE),C2435)</f>
        <v>93.38</v>
      </c>
      <c r="D2436" s="6">
        <f>IFERROR(VLOOKUP($B2436,Platts!$E$5:$M$4994,MATCH(D$3,Platts!$F$5:$M$5,0)+1,FALSE),D2435)</f>
        <v>94.63</v>
      </c>
      <c r="E2436" s="6">
        <f>IFERROR(VLOOKUP($B2436,Platts!$E$5:$M$4994,MATCH(E$3,Platts!$F$5:$M$5,0)+1,FALSE),E2435)</f>
        <v>89.98</v>
      </c>
      <c r="F2436" s="6">
        <f>IFERROR(VLOOKUP($B2436,Platts!$E$5:$M$4994,MATCH(F$3,Platts!$F$5:$M$5,0)+1,FALSE),F2435)</f>
        <v>95.78</v>
      </c>
      <c r="G2436" s="6">
        <f>IFERROR(VLOOKUP($B2436,Platts!$E$5:$M$4994,MATCH(G$3,Platts!$F$5:$M$5,0)+1,FALSE),G2435)</f>
        <v>99.72</v>
      </c>
      <c r="H2436" s="6">
        <f>IFERROR(VLOOKUP($B2436,Platts!$E$5:$M$4994,MATCH(H$3,Platts!$F$5:$M$5,0)+1,FALSE),H2435)</f>
        <v>97.01</v>
      </c>
      <c r="I2436" s="6">
        <f>IFERROR(VLOOKUP($B2436,Platts!$E$5:$M$4994,MATCH(I$3,Platts!$F$5:$M$5,0)+1,FALSE),I2435)</f>
        <v>99.46</v>
      </c>
      <c r="J2436" s="6">
        <f t="shared" si="76"/>
        <v>3.6300000000000097</v>
      </c>
    </row>
    <row r="2437" spans="2:10" x14ac:dyDescent="0.25">
      <c r="B2437" s="5">
        <f t="shared" si="75"/>
        <v>44803</v>
      </c>
      <c r="C2437" s="6">
        <f>IFERROR(VLOOKUP($B2437,Platts!$E$5:$M$4994,MATCH(C$3,Platts!$F$5:$M$5,0)+1,FALSE),C2436)</f>
        <v>88.65</v>
      </c>
      <c r="D2437" s="6">
        <f>IFERROR(VLOOKUP($B2437,Platts!$E$5:$M$4994,MATCH(D$3,Platts!$F$5:$M$5,0)+1,FALSE),D2436)</f>
        <v>89.02</v>
      </c>
      <c r="E2437" s="6">
        <f>IFERROR(VLOOKUP($B2437,Platts!$E$5:$M$4994,MATCH(E$3,Platts!$F$5:$M$5,0)+1,FALSE),E2436)</f>
        <v>84.37</v>
      </c>
      <c r="F2437" s="6">
        <f>IFERROR(VLOOKUP($B2437,Platts!$E$5:$M$4994,MATCH(F$3,Platts!$F$5:$M$5,0)+1,FALSE),F2436)</f>
        <v>90.17</v>
      </c>
      <c r="G2437" s="6">
        <f>IFERROR(VLOOKUP($B2437,Platts!$E$5:$M$4994,MATCH(G$3,Platts!$F$5:$M$5,0)+1,FALSE),G2436)</f>
        <v>100.13</v>
      </c>
      <c r="H2437" s="6">
        <f>IFERROR(VLOOKUP($B2437,Platts!$E$5:$M$4994,MATCH(H$3,Platts!$F$5:$M$5,0)+1,FALSE),H2436)</f>
        <v>91.64</v>
      </c>
      <c r="I2437" s="6">
        <f>IFERROR(VLOOKUP($B2437,Platts!$E$5:$M$4994,MATCH(I$3,Platts!$F$5:$M$5,0)+1,FALSE),I2436)</f>
        <v>94.09</v>
      </c>
      <c r="J2437" s="6">
        <f t="shared" si="76"/>
        <v>2.9899999999999949</v>
      </c>
    </row>
    <row r="2438" spans="2:10" x14ac:dyDescent="0.25">
      <c r="B2438" s="5">
        <f t="shared" ref="B2438:B2501" si="77">B2437+1</f>
        <v>44804</v>
      </c>
      <c r="C2438" s="6">
        <f>IFERROR(VLOOKUP($B2438,Platts!$E$5:$M$4994,MATCH(C$3,Platts!$F$5:$M$5,0)+1,FALSE),C2437)</f>
        <v>85.96</v>
      </c>
      <c r="D2438" s="6">
        <f>IFERROR(VLOOKUP($B2438,Platts!$E$5:$M$4994,MATCH(D$3,Platts!$F$5:$M$5,0)+1,FALSE),D2437)</f>
        <v>86.71</v>
      </c>
      <c r="E2438" s="6">
        <f>IFERROR(VLOOKUP($B2438,Platts!$E$5:$M$4994,MATCH(E$3,Platts!$F$5:$M$5,0)+1,FALSE),E2437)</f>
        <v>82.06</v>
      </c>
      <c r="F2438" s="6">
        <f>IFERROR(VLOOKUP($B2438,Platts!$E$5:$M$4994,MATCH(F$3,Platts!$F$5:$M$5,0)+1,FALSE),F2437)</f>
        <v>87.86</v>
      </c>
      <c r="G2438" s="6">
        <f>IFERROR(VLOOKUP($B2438,Platts!$E$5:$M$4994,MATCH(G$3,Platts!$F$5:$M$5,0)+1,FALSE),G2437)</f>
        <v>97.06</v>
      </c>
      <c r="H2438" s="6">
        <f>IFERROR(VLOOKUP($B2438,Platts!$E$5:$M$4994,MATCH(H$3,Platts!$F$5:$M$5,0)+1,FALSE),H2437)</f>
        <v>89.55</v>
      </c>
      <c r="I2438" s="6">
        <f>IFERROR(VLOOKUP($B2438,Platts!$E$5:$M$4994,MATCH(I$3,Platts!$F$5:$M$5,0)+1,FALSE),I2437)</f>
        <v>92.05</v>
      </c>
      <c r="J2438" s="6">
        <f t="shared" si="76"/>
        <v>3.5900000000000034</v>
      </c>
    </row>
    <row r="2439" spans="2:10" x14ac:dyDescent="0.25">
      <c r="B2439" s="5">
        <f t="shared" si="77"/>
        <v>44805</v>
      </c>
      <c r="C2439" s="6">
        <f>IFERROR(VLOOKUP($B2439,Platts!$E$5:$M$4994,MATCH(C$3,Platts!$F$5:$M$5,0)+1,FALSE),C2438)</f>
        <v>82.56</v>
      </c>
      <c r="D2439" s="6">
        <f>IFERROR(VLOOKUP($B2439,Platts!$E$5:$M$4994,MATCH(D$3,Platts!$F$5:$M$5,0)+1,FALSE),D2438)</f>
        <v>84.77</v>
      </c>
      <c r="E2439" s="6">
        <f>IFERROR(VLOOKUP($B2439,Platts!$E$5:$M$4994,MATCH(E$3,Platts!$F$5:$M$5,0)+1,FALSE),E2438)</f>
        <v>78.569999999999993</v>
      </c>
      <c r="F2439" s="6">
        <f>IFERROR(VLOOKUP($B2439,Platts!$E$5:$M$4994,MATCH(F$3,Platts!$F$5:$M$5,0)+1,FALSE),F2438)</f>
        <v>85.42</v>
      </c>
      <c r="G2439" s="6">
        <f>IFERROR(VLOOKUP($B2439,Platts!$E$5:$M$4994,MATCH(G$3,Platts!$F$5:$M$5,0)+1,FALSE),G2438)</f>
        <v>92.82</v>
      </c>
      <c r="H2439" s="6">
        <f>IFERROR(VLOOKUP($B2439,Platts!$E$5:$M$4994,MATCH(H$3,Platts!$F$5:$M$5,0)+1,FALSE),H2438)</f>
        <v>86.61</v>
      </c>
      <c r="I2439" s="6">
        <f>IFERROR(VLOOKUP($B2439,Platts!$E$5:$M$4994,MATCH(I$3,Platts!$F$5:$M$5,0)+1,FALSE),I2438)</f>
        <v>89.11</v>
      </c>
      <c r="J2439" s="6">
        <f t="shared" si="76"/>
        <v>4.0499999999999972</v>
      </c>
    </row>
    <row r="2440" spans="2:10" x14ac:dyDescent="0.25">
      <c r="B2440" s="5">
        <f t="shared" si="77"/>
        <v>44806</v>
      </c>
      <c r="C2440" s="6">
        <f>IFERROR(VLOOKUP($B2440,Platts!$E$5:$M$4994,MATCH(C$3,Platts!$F$5:$M$5,0)+1,FALSE),C2439)</f>
        <v>83.09</v>
      </c>
      <c r="D2440" s="6">
        <f>IFERROR(VLOOKUP($B2440,Platts!$E$5:$M$4994,MATCH(D$3,Platts!$F$5:$M$5,0)+1,FALSE),D2439)</f>
        <v>85.24</v>
      </c>
      <c r="E2440" s="6">
        <f>IFERROR(VLOOKUP($B2440,Platts!$E$5:$M$4994,MATCH(E$3,Platts!$F$5:$M$5,0)+1,FALSE),E2439)</f>
        <v>79.040000000000006</v>
      </c>
      <c r="F2440" s="6">
        <f>IFERROR(VLOOKUP($B2440,Platts!$E$5:$M$4994,MATCH(F$3,Platts!$F$5:$M$5,0)+1,FALSE),F2439)</f>
        <v>85.89</v>
      </c>
      <c r="G2440" s="6">
        <f>IFERROR(VLOOKUP($B2440,Platts!$E$5:$M$4994,MATCH(G$3,Platts!$F$5:$M$5,0)+1,FALSE),G2439)</f>
        <v>94.28</v>
      </c>
      <c r="H2440" s="6">
        <f>IFERROR(VLOOKUP($B2440,Platts!$E$5:$M$4994,MATCH(H$3,Platts!$F$5:$M$5,0)+1,FALSE),H2439)</f>
        <v>86.87</v>
      </c>
      <c r="I2440" s="6">
        <f>IFERROR(VLOOKUP($B2440,Platts!$E$5:$M$4994,MATCH(I$3,Platts!$F$5:$M$5,0)+1,FALSE),I2439)</f>
        <v>89.37</v>
      </c>
      <c r="J2440" s="6">
        <f t="shared" si="76"/>
        <v>3.7800000000000011</v>
      </c>
    </row>
    <row r="2441" spans="2:10" x14ac:dyDescent="0.25">
      <c r="B2441" s="5">
        <f t="shared" si="77"/>
        <v>44807</v>
      </c>
      <c r="C2441" s="6">
        <f>IFERROR(VLOOKUP($B2441,Platts!$E$5:$M$4994,MATCH(C$3,Platts!$F$5:$M$5,0)+1,FALSE),C2440)</f>
        <v>83.09</v>
      </c>
      <c r="D2441" s="6">
        <f>IFERROR(VLOOKUP($B2441,Platts!$E$5:$M$4994,MATCH(D$3,Platts!$F$5:$M$5,0)+1,FALSE),D2440)</f>
        <v>85.24</v>
      </c>
      <c r="E2441" s="6">
        <f>IFERROR(VLOOKUP($B2441,Platts!$E$5:$M$4994,MATCH(E$3,Platts!$F$5:$M$5,0)+1,FALSE),E2440)</f>
        <v>79.040000000000006</v>
      </c>
      <c r="F2441" s="6">
        <f>IFERROR(VLOOKUP($B2441,Platts!$E$5:$M$4994,MATCH(F$3,Platts!$F$5:$M$5,0)+1,FALSE),F2440)</f>
        <v>85.89</v>
      </c>
      <c r="G2441" s="6">
        <f>IFERROR(VLOOKUP($B2441,Platts!$E$5:$M$4994,MATCH(G$3,Platts!$F$5:$M$5,0)+1,FALSE),G2440)</f>
        <v>94.28</v>
      </c>
      <c r="H2441" s="6">
        <f>IFERROR(VLOOKUP($B2441,Platts!$E$5:$M$4994,MATCH(H$3,Platts!$F$5:$M$5,0)+1,FALSE),H2440)</f>
        <v>86.87</v>
      </c>
      <c r="I2441" s="6">
        <f>IFERROR(VLOOKUP($B2441,Platts!$E$5:$M$4994,MATCH(I$3,Platts!$F$5:$M$5,0)+1,FALSE),I2440)</f>
        <v>89.37</v>
      </c>
      <c r="J2441" s="6">
        <f t="shared" si="76"/>
        <v>3.7800000000000011</v>
      </c>
    </row>
    <row r="2442" spans="2:10" x14ac:dyDescent="0.25">
      <c r="B2442" s="5">
        <f t="shared" si="77"/>
        <v>44808</v>
      </c>
      <c r="C2442" s="6">
        <f>IFERROR(VLOOKUP($B2442,Platts!$E$5:$M$4994,MATCH(C$3,Platts!$F$5:$M$5,0)+1,FALSE),C2441)</f>
        <v>83.09</v>
      </c>
      <c r="D2442" s="6">
        <f>IFERROR(VLOOKUP($B2442,Platts!$E$5:$M$4994,MATCH(D$3,Platts!$F$5:$M$5,0)+1,FALSE),D2441)</f>
        <v>85.24</v>
      </c>
      <c r="E2442" s="6">
        <f>IFERROR(VLOOKUP($B2442,Platts!$E$5:$M$4994,MATCH(E$3,Platts!$F$5:$M$5,0)+1,FALSE),E2441)</f>
        <v>79.040000000000006</v>
      </c>
      <c r="F2442" s="6">
        <f>IFERROR(VLOOKUP($B2442,Platts!$E$5:$M$4994,MATCH(F$3,Platts!$F$5:$M$5,0)+1,FALSE),F2441)</f>
        <v>85.89</v>
      </c>
      <c r="G2442" s="6">
        <f>IFERROR(VLOOKUP($B2442,Platts!$E$5:$M$4994,MATCH(G$3,Platts!$F$5:$M$5,0)+1,FALSE),G2441)</f>
        <v>94.28</v>
      </c>
      <c r="H2442" s="6">
        <f>IFERROR(VLOOKUP($B2442,Platts!$E$5:$M$4994,MATCH(H$3,Platts!$F$5:$M$5,0)+1,FALSE),H2441)</f>
        <v>86.87</v>
      </c>
      <c r="I2442" s="6">
        <f>IFERROR(VLOOKUP($B2442,Platts!$E$5:$M$4994,MATCH(I$3,Platts!$F$5:$M$5,0)+1,FALSE),I2441)</f>
        <v>89.37</v>
      </c>
      <c r="J2442" s="6">
        <f t="shared" si="76"/>
        <v>3.7800000000000011</v>
      </c>
    </row>
    <row r="2443" spans="2:10" x14ac:dyDescent="0.25">
      <c r="B2443" s="5">
        <f t="shared" si="77"/>
        <v>44809</v>
      </c>
      <c r="C2443" s="6">
        <f>IFERROR(VLOOKUP($B2443,Platts!$E$5:$M$4994,MATCH(C$3,Platts!$F$5:$M$5,0)+1,FALSE),C2442)</f>
        <v>83.09</v>
      </c>
      <c r="D2443" s="6">
        <f>IFERROR(VLOOKUP($B2443,Platts!$E$5:$M$4994,MATCH(D$3,Platts!$F$5:$M$5,0)+1,FALSE),D2442)</f>
        <v>85.24</v>
      </c>
      <c r="E2443" s="6">
        <f>IFERROR(VLOOKUP($B2443,Platts!$E$5:$M$4994,MATCH(E$3,Platts!$F$5:$M$5,0)+1,FALSE),E2442)</f>
        <v>79.040000000000006</v>
      </c>
      <c r="F2443" s="6">
        <f>IFERROR(VLOOKUP($B2443,Platts!$E$5:$M$4994,MATCH(F$3,Platts!$F$5:$M$5,0)+1,FALSE),F2442)</f>
        <v>85.89</v>
      </c>
      <c r="G2443" s="6">
        <f>IFERROR(VLOOKUP($B2443,Platts!$E$5:$M$4994,MATCH(G$3,Platts!$F$5:$M$5,0)+1,FALSE),G2442)</f>
        <v>94.28</v>
      </c>
      <c r="H2443" s="6">
        <f>IFERROR(VLOOKUP($B2443,Platts!$E$5:$M$4994,MATCH(H$3,Platts!$F$5:$M$5,0)+1,FALSE),H2442)</f>
        <v>86.87</v>
      </c>
      <c r="I2443" s="6">
        <f>IFERROR(VLOOKUP($B2443,Platts!$E$5:$M$4994,MATCH(I$3,Platts!$F$5:$M$5,0)+1,FALSE),I2442)</f>
        <v>89.37</v>
      </c>
      <c r="J2443" s="6">
        <f t="shared" si="76"/>
        <v>3.7800000000000011</v>
      </c>
    </row>
    <row r="2444" spans="2:10" x14ac:dyDescent="0.25">
      <c r="B2444" s="5">
        <f t="shared" si="77"/>
        <v>44810</v>
      </c>
      <c r="C2444" s="6">
        <f>IFERROR(VLOOKUP($B2444,Platts!$E$5:$M$4994,MATCH(C$3,Platts!$F$5:$M$5,0)+1,FALSE),C2443)</f>
        <v>83.13</v>
      </c>
      <c r="D2444" s="6">
        <f>IFERROR(VLOOKUP($B2444,Platts!$E$5:$M$4994,MATCH(D$3,Platts!$F$5:$M$5,0)+1,FALSE),D2443)</f>
        <v>85.24</v>
      </c>
      <c r="E2444" s="6">
        <f>IFERROR(VLOOKUP($B2444,Platts!$E$5:$M$4994,MATCH(E$3,Platts!$F$5:$M$5,0)+1,FALSE),E2443)</f>
        <v>79.040000000000006</v>
      </c>
      <c r="F2444" s="6">
        <f>IFERROR(VLOOKUP($B2444,Platts!$E$5:$M$4994,MATCH(F$3,Platts!$F$5:$M$5,0)+1,FALSE),F2443)</f>
        <v>85.89</v>
      </c>
      <c r="G2444" s="6">
        <f>IFERROR(VLOOKUP($B2444,Platts!$E$5:$M$4994,MATCH(G$3,Platts!$F$5:$M$5,0)+1,FALSE),G2443)</f>
        <v>93.34</v>
      </c>
      <c r="H2444" s="6">
        <f>IFERROR(VLOOKUP($B2444,Platts!$E$5:$M$4994,MATCH(H$3,Platts!$F$5:$M$5,0)+1,FALSE),H2443)</f>
        <v>86.88</v>
      </c>
      <c r="I2444" s="6">
        <f>IFERROR(VLOOKUP($B2444,Platts!$E$5:$M$4994,MATCH(I$3,Platts!$F$5:$M$5,0)+1,FALSE),I2443)</f>
        <v>89.28</v>
      </c>
      <c r="J2444" s="6">
        <f t="shared" si="76"/>
        <v>3.75</v>
      </c>
    </row>
    <row r="2445" spans="2:10" x14ac:dyDescent="0.25">
      <c r="B2445" s="5">
        <f t="shared" si="77"/>
        <v>44811</v>
      </c>
      <c r="C2445" s="6">
        <f>IFERROR(VLOOKUP($B2445,Platts!$E$5:$M$4994,MATCH(C$3,Platts!$F$5:$M$5,0)+1,FALSE),C2444)</f>
        <v>78.48</v>
      </c>
      <c r="D2445" s="6">
        <f>IFERROR(VLOOKUP($B2445,Platts!$E$5:$M$4994,MATCH(D$3,Platts!$F$5:$M$5,0)+1,FALSE),D2444)</f>
        <v>80.34</v>
      </c>
      <c r="E2445" s="6">
        <f>IFERROR(VLOOKUP($B2445,Platts!$E$5:$M$4994,MATCH(E$3,Platts!$F$5:$M$5,0)+1,FALSE),E2444)</f>
        <v>74.14</v>
      </c>
      <c r="F2445" s="6">
        <f>IFERROR(VLOOKUP($B2445,Platts!$E$5:$M$4994,MATCH(F$3,Platts!$F$5:$M$5,0)+1,FALSE),F2444)</f>
        <v>80.989999999999995</v>
      </c>
      <c r="G2445" s="6">
        <f>IFERROR(VLOOKUP($B2445,Platts!$E$5:$M$4994,MATCH(G$3,Platts!$F$5:$M$5,0)+1,FALSE),G2444)</f>
        <v>89.61</v>
      </c>
      <c r="H2445" s="6">
        <f>IFERROR(VLOOKUP($B2445,Platts!$E$5:$M$4994,MATCH(H$3,Platts!$F$5:$M$5,0)+1,FALSE),H2444)</f>
        <v>81.94</v>
      </c>
      <c r="I2445" s="6">
        <f>IFERROR(VLOOKUP($B2445,Platts!$E$5:$M$4994,MATCH(I$3,Platts!$F$5:$M$5,0)+1,FALSE),I2444)</f>
        <v>84.34</v>
      </c>
      <c r="J2445" s="6">
        <f t="shared" si="76"/>
        <v>3.4599999999999937</v>
      </c>
    </row>
    <row r="2446" spans="2:10" x14ac:dyDescent="0.25">
      <c r="B2446" s="5">
        <f t="shared" si="77"/>
        <v>44812</v>
      </c>
      <c r="C2446" s="6">
        <f>IFERROR(VLOOKUP($B2446,Platts!$E$5:$M$4994,MATCH(C$3,Platts!$F$5:$M$5,0)+1,FALSE),C2445)</f>
        <v>79.180000000000007</v>
      </c>
      <c r="D2446" s="6">
        <f>IFERROR(VLOOKUP($B2446,Platts!$E$5:$M$4994,MATCH(D$3,Platts!$F$5:$M$5,0)+1,FALSE),D2445)</f>
        <v>81.819999999999993</v>
      </c>
      <c r="E2446" s="6">
        <f>IFERROR(VLOOKUP($B2446,Platts!$E$5:$M$4994,MATCH(E$3,Platts!$F$5:$M$5,0)+1,FALSE),E2445)</f>
        <v>75.62</v>
      </c>
      <c r="F2446" s="6">
        <f>IFERROR(VLOOKUP($B2446,Platts!$E$5:$M$4994,MATCH(F$3,Platts!$F$5:$M$5,0)+1,FALSE),F2445)</f>
        <v>82.47</v>
      </c>
      <c r="G2446" s="6">
        <f>IFERROR(VLOOKUP($B2446,Platts!$E$5:$M$4994,MATCH(G$3,Platts!$F$5:$M$5,0)+1,FALSE),G2445)</f>
        <v>89.01</v>
      </c>
      <c r="H2446" s="6">
        <f>IFERROR(VLOOKUP($B2446,Platts!$E$5:$M$4994,MATCH(H$3,Platts!$F$5:$M$5,0)+1,FALSE),H2445)</f>
        <v>83.54</v>
      </c>
      <c r="I2446" s="6">
        <f>IFERROR(VLOOKUP($B2446,Platts!$E$5:$M$4994,MATCH(I$3,Platts!$F$5:$M$5,0)+1,FALSE),I2445)</f>
        <v>85.94</v>
      </c>
      <c r="J2446" s="6">
        <f t="shared" si="76"/>
        <v>4.3599999999999994</v>
      </c>
    </row>
    <row r="2447" spans="2:10" x14ac:dyDescent="0.25">
      <c r="B2447" s="5">
        <f t="shared" si="77"/>
        <v>44813</v>
      </c>
      <c r="C2447" s="6">
        <f>IFERROR(VLOOKUP($B2447,Platts!$E$5:$M$4994,MATCH(C$3,Platts!$F$5:$M$5,0)+1,FALSE),C2446)</f>
        <v>82.5</v>
      </c>
      <c r="D2447" s="6">
        <f>IFERROR(VLOOKUP($B2447,Platts!$E$5:$M$4994,MATCH(D$3,Platts!$F$5:$M$5,0)+1,FALSE),D2446)</f>
        <v>85.22</v>
      </c>
      <c r="E2447" s="6">
        <f>IFERROR(VLOOKUP($B2447,Platts!$E$5:$M$4994,MATCH(E$3,Platts!$F$5:$M$5,0)+1,FALSE),E2446)</f>
        <v>79.02</v>
      </c>
      <c r="F2447" s="6">
        <f>IFERROR(VLOOKUP($B2447,Platts!$E$5:$M$4994,MATCH(F$3,Platts!$F$5:$M$5,0)+1,FALSE),F2446)</f>
        <v>85.87</v>
      </c>
      <c r="G2447" s="6">
        <f>IFERROR(VLOOKUP($B2447,Platts!$E$5:$M$4994,MATCH(G$3,Platts!$F$5:$M$5,0)+1,FALSE),G2446)</f>
        <v>91.59</v>
      </c>
      <c r="H2447" s="6">
        <f>IFERROR(VLOOKUP($B2447,Platts!$E$5:$M$4994,MATCH(H$3,Platts!$F$5:$M$5,0)+1,FALSE),H2446)</f>
        <v>86.79</v>
      </c>
      <c r="I2447" s="6">
        <f>IFERROR(VLOOKUP($B2447,Platts!$E$5:$M$4994,MATCH(I$3,Platts!$F$5:$M$5,0)+1,FALSE),I2446)</f>
        <v>89.19</v>
      </c>
      <c r="J2447" s="6">
        <f t="shared" si="76"/>
        <v>4.2900000000000063</v>
      </c>
    </row>
    <row r="2448" spans="2:10" x14ac:dyDescent="0.25">
      <c r="B2448" s="5">
        <f t="shared" si="77"/>
        <v>44814</v>
      </c>
      <c r="C2448" s="6">
        <f>IFERROR(VLOOKUP($B2448,Platts!$E$5:$M$4994,MATCH(C$3,Platts!$F$5:$M$5,0)+1,FALSE),C2447)</f>
        <v>82.5</v>
      </c>
      <c r="D2448" s="6">
        <f>IFERROR(VLOOKUP($B2448,Platts!$E$5:$M$4994,MATCH(D$3,Platts!$F$5:$M$5,0)+1,FALSE),D2447)</f>
        <v>85.22</v>
      </c>
      <c r="E2448" s="6">
        <f>IFERROR(VLOOKUP($B2448,Platts!$E$5:$M$4994,MATCH(E$3,Platts!$F$5:$M$5,0)+1,FALSE),E2447)</f>
        <v>79.02</v>
      </c>
      <c r="F2448" s="6">
        <f>IFERROR(VLOOKUP($B2448,Platts!$E$5:$M$4994,MATCH(F$3,Platts!$F$5:$M$5,0)+1,FALSE),F2447)</f>
        <v>85.87</v>
      </c>
      <c r="G2448" s="6">
        <f>IFERROR(VLOOKUP($B2448,Platts!$E$5:$M$4994,MATCH(G$3,Platts!$F$5:$M$5,0)+1,FALSE),G2447)</f>
        <v>91.59</v>
      </c>
      <c r="H2448" s="6">
        <f>IFERROR(VLOOKUP($B2448,Platts!$E$5:$M$4994,MATCH(H$3,Platts!$F$5:$M$5,0)+1,FALSE),H2447)</f>
        <v>86.79</v>
      </c>
      <c r="I2448" s="6">
        <f>IFERROR(VLOOKUP($B2448,Platts!$E$5:$M$4994,MATCH(I$3,Platts!$F$5:$M$5,0)+1,FALSE),I2447)</f>
        <v>89.19</v>
      </c>
      <c r="J2448" s="6">
        <f t="shared" si="76"/>
        <v>4.2900000000000063</v>
      </c>
    </row>
    <row r="2449" spans="2:10" x14ac:dyDescent="0.25">
      <c r="B2449" s="5">
        <f t="shared" si="77"/>
        <v>44815</v>
      </c>
      <c r="C2449" s="6">
        <f>IFERROR(VLOOKUP($B2449,Platts!$E$5:$M$4994,MATCH(C$3,Platts!$F$5:$M$5,0)+1,FALSE),C2448)</f>
        <v>82.5</v>
      </c>
      <c r="D2449" s="6">
        <f>IFERROR(VLOOKUP($B2449,Platts!$E$5:$M$4994,MATCH(D$3,Platts!$F$5:$M$5,0)+1,FALSE),D2448)</f>
        <v>85.22</v>
      </c>
      <c r="E2449" s="6">
        <f>IFERROR(VLOOKUP($B2449,Platts!$E$5:$M$4994,MATCH(E$3,Platts!$F$5:$M$5,0)+1,FALSE),E2448)</f>
        <v>79.02</v>
      </c>
      <c r="F2449" s="6">
        <f>IFERROR(VLOOKUP($B2449,Platts!$E$5:$M$4994,MATCH(F$3,Platts!$F$5:$M$5,0)+1,FALSE),F2448)</f>
        <v>85.87</v>
      </c>
      <c r="G2449" s="6">
        <f>IFERROR(VLOOKUP($B2449,Platts!$E$5:$M$4994,MATCH(G$3,Platts!$F$5:$M$5,0)+1,FALSE),G2448)</f>
        <v>91.59</v>
      </c>
      <c r="H2449" s="6">
        <f>IFERROR(VLOOKUP($B2449,Platts!$E$5:$M$4994,MATCH(H$3,Platts!$F$5:$M$5,0)+1,FALSE),H2448)</f>
        <v>86.79</v>
      </c>
      <c r="I2449" s="6">
        <f>IFERROR(VLOOKUP($B2449,Platts!$E$5:$M$4994,MATCH(I$3,Platts!$F$5:$M$5,0)+1,FALSE),I2448)</f>
        <v>89.19</v>
      </c>
      <c r="J2449" s="6">
        <f t="shared" si="76"/>
        <v>4.2900000000000063</v>
      </c>
    </row>
    <row r="2450" spans="2:10" x14ac:dyDescent="0.25">
      <c r="B2450" s="5">
        <f t="shared" si="77"/>
        <v>44816</v>
      </c>
      <c r="C2450" s="6">
        <f>IFERROR(VLOOKUP($B2450,Platts!$E$5:$M$4994,MATCH(C$3,Platts!$F$5:$M$5,0)+1,FALSE),C2449)</f>
        <v>83.71</v>
      </c>
      <c r="D2450" s="6">
        <f>IFERROR(VLOOKUP($B2450,Platts!$E$5:$M$4994,MATCH(D$3,Platts!$F$5:$M$5,0)+1,FALSE),D2449)</f>
        <v>85.22</v>
      </c>
      <c r="E2450" s="6">
        <f>IFERROR(VLOOKUP($B2450,Platts!$E$5:$M$4994,MATCH(E$3,Platts!$F$5:$M$5,0)+1,FALSE),E2449)</f>
        <v>79.02</v>
      </c>
      <c r="F2450" s="6">
        <f>IFERROR(VLOOKUP($B2450,Platts!$E$5:$M$4994,MATCH(F$3,Platts!$F$5:$M$5,0)+1,FALSE),F2449)</f>
        <v>85.87</v>
      </c>
      <c r="G2450" s="6">
        <f>IFERROR(VLOOKUP($B2450,Platts!$E$5:$M$4994,MATCH(G$3,Platts!$F$5:$M$5,0)+1,FALSE),G2449)</f>
        <v>91.59</v>
      </c>
      <c r="H2450" s="6">
        <f>IFERROR(VLOOKUP($B2450,Platts!$E$5:$M$4994,MATCH(H$3,Platts!$F$5:$M$5,0)+1,FALSE),H2449)</f>
        <v>86.79</v>
      </c>
      <c r="I2450" s="6">
        <f>IFERROR(VLOOKUP($B2450,Platts!$E$5:$M$4994,MATCH(I$3,Platts!$F$5:$M$5,0)+1,FALSE),I2449)</f>
        <v>89.19</v>
      </c>
      <c r="J2450" s="6">
        <f t="shared" si="76"/>
        <v>3.0800000000000125</v>
      </c>
    </row>
    <row r="2451" spans="2:10" x14ac:dyDescent="0.25">
      <c r="B2451" s="5">
        <f t="shared" si="77"/>
        <v>44817</v>
      </c>
      <c r="C2451" s="6">
        <f>IFERROR(VLOOKUP($B2451,Platts!$E$5:$M$4994,MATCH(C$3,Platts!$F$5:$M$5,0)+1,FALSE),C2450)</f>
        <v>83.46</v>
      </c>
      <c r="D2451" s="6">
        <f>IFERROR(VLOOKUP($B2451,Platts!$E$5:$M$4994,MATCH(D$3,Platts!$F$5:$M$5,0)+1,FALSE),D2450)</f>
        <v>85.77</v>
      </c>
      <c r="E2451" s="6">
        <f>IFERROR(VLOOKUP($B2451,Platts!$E$5:$M$4994,MATCH(E$3,Platts!$F$5:$M$5,0)+1,FALSE),E2450)</f>
        <v>79.569999999999993</v>
      </c>
      <c r="F2451" s="6">
        <f>IFERROR(VLOOKUP($B2451,Platts!$E$5:$M$4994,MATCH(F$3,Platts!$F$5:$M$5,0)+1,FALSE),F2450)</f>
        <v>86.42</v>
      </c>
      <c r="G2451" s="6">
        <f>IFERROR(VLOOKUP($B2451,Platts!$E$5:$M$4994,MATCH(G$3,Platts!$F$5:$M$5,0)+1,FALSE),G2450)</f>
        <v>92.84</v>
      </c>
      <c r="H2451" s="6">
        <f>IFERROR(VLOOKUP($B2451,Platts!$E$5:$M$4994,MATCH(H$3,Platts!$F$5:$M$5,0)+1,FALSE),H2450)</f>
        <v>87.31</v>
      </c>
      <c r="I2451" s="6">
        <f>IFERROR(VLOOKUP($B2451,Platts!$E$5:$M$4994,MATCH(I$3,Platts!$F$5:$M$5,0)+1,FALSE),I2450)</f>
        <v>89.56</v>
      </c>
      <c r="J2451" s="6">
        <f t="shared" si="76"/>
        <v>3.8500000000000085</v>
      </c>
    </row>
    <row r="2452" spans="2:10" x14ac:dyDescent="0.25">
      <c r="B2452" s="5">
        <f t="shared" si="77"/>
        <v>44818</v>
      </c>
      <c r="C2452" s="6">
        <f>IFERROR(VLOOKUP($B2452,Platts!$E$5:$M$4994,MATCH(C$3,Platts!$F$5:$M$5,0)+1,FALSE),C2451)</f>
        <v>84.13</v>
      </c>
      <c r="D2452" s="6">
        <f>IFERROR(VLOOKUP($B2452,Platts!$E$5:$M$4994,MATCH(D$3,Platts!$F$5:$M$5,0)+1,FALSE),D2451)</f>
        <v>86.82</v>
      </c>
      <c r="E2452" s="6">
        <f>IFERROR(VLOOKUP($B2452,Platts!$E$5:$M$4994,MATCH(E$3,Platts!$F$5:$M$5,0)+1,FALSE),E2451)</f>
        <v>80.62</v>
      </c>
      <c r="F2452" s="6">
        <f>IFERROR(VLOOKUP($B2452,Platts!$E$5:$M$4994,MATCH(F$3,Platts!$F$5:$M$5,0)+1,FALSE),F2451)</f>
        <v>87.47</v>
      </c>
      <c r="G2452" s="6">
        <f>IFERROR(VLOOKUP($B2452,Platts!$E$5:$M$4994,MATCH(G$3,Platts!$F$5:$M$5,0)+1,FALSE),G2451)</f>
        <v>94.51</v>
      </c>
      <c r="H2452" s="6">
        <f>IFERROR(VLOOKUP($B2452,Platts!$E$5:$M$4994,MATCH(H$3,Platts!$F$5:$M$5,0)+1,FALSE),H2451)</f>
        <v>88.48</v>
      </c>
      <c r="I2452" s="6">
        <f>IFERROR(VLOOKUP($B2452,Platts!$E$5:$M$4994,MATCH(I$3,Platts!$F$5:$M$5,0)+1,FALSE),I2451)</f>
        <v>90.63</v>
      </c>
      <c r="J2452" s="6">
        <f t="shared" si="76"/>
        <v>4.3500000000000085</v>
      </c>
    </row>
    <row r="2453" spans="2:10" x14ac:dyDescent="0.25">
      <c r="B2453" s="5">
        <f t="shared" si="77"/>
        <v>44819</v>
      </c>
      <c r="C2453" s="6">
        <f>IFERROR(VLOOKUP($B2453,Platts!$E$5:$M$4994,MATCH(C$3,Platts!$F$5:$M$5,0)+1,FALSE),C2452)</f>
        <v>81.39</v>
      </c>
      <c r="D2453" s="6">
        <f>IFERROR(VLOOKUP($B2453,Platts!$E$5:$M$4994,MATCH(D$3,Platts!$F$5:$M$5,0)+1,FALSE),D2452)</f>
        <v>83.52</v>
      </c>
      <c r="E2453" s="6">
        <f>IFERROR(VLOOKUP($B2453,Platts!$E$5:$M$4994,MATCH(E$3,Platts!$F$5:$M$5,0)+1,FALSE),E2452)</f>
        <v>77.319999999999993</v>
      </c>
      <c r="F2453" s="6">
        <f>IFERROR(VLOOKUP($B2453,Platts!$E$5:$M$4994,MATCH(F$3,Platts!$F$5:$M$5,0)+1,FALSE),F2452)</f>
        <v>84.17</v>
      </c>
      <c r="G2453" s="6">
        <f>IFERROR(VLOOKUP($B2453,Platts!$E$5:$M$4994,MATCH(G$3,Platts!$F$5:$M$5,0)+1,FALSE),G2452)</f>
        <v>90.81</v>
      </c>
      <c r="H2453" s="6">
        <f>IFERROR(VLOOKUP($B2453,Platts!$E$5:$M$4994,MATCH(H$3,Platts!$F$5:$M$5,0)+1,FALSE),H2452)</f>
        <v>85.1</v>
      </c>
      <c r="I2453" s="6">
        <f>IFERROR(VLOOKUP($B2453,Platts!$E$5:$M$4994,MATCH(I$3,Platts!$F$5:$M$5,0)+1,FALSE),I2452)</f>
        <v>87.25</v>
      </c>
      <c r="J2453" s="6">
        <f t="shared" si="76"/>
        <v>3.7099999999999937</v>
      </c>
    </row>
    <row r="2454" spans="2:10" x14ac:dyDescent="0.25">
      <c r="B2454" s="5">
        <f t="shared" si="77"/>
        <v>44820</v>
      </c>
      <c r="C2454" s="6">
        <f>IFERROR(VLOOKUP($B2454,Platts!$E$5:$M$4994,MATCH(C$3,Platts!$F$5:$M$5,0)+1,FALSE),C2453)</f>
        <v>81.39</v>
      </c>
      <c r="D2454" s="6">
        <f>IFERROR(VLOOKUP($B2454,Platts!$E$5:$M$4994,MATCH(D$3,Platts!$F$5:$M$5,0)+1,FALSE),D2453)</f>
        <v>83.9</v>
      </c>
      <c r="E2454" s="6">
        <f>IFERROR(VLOOKUP($B2454,Platts!$E$5:$M$4994,MATCH(E$3,Platts!$F$5:$M$5,0)+1,FALSE),E2453)</f>
        <v>77.7</v>
      </c>
      <c r="F2454" s="6">
        <f>IFERROR(VLOOKUP($B2454,Platts!$E$5:$M$4994,MATCH(F$3,Platts!$F$5:$M$5,0)+1,FALSE),F2453)</f>
        <v>84.55</v>
      </c>
      <c r="G2454" s="6">
        <f>IFERROR(VLOOKUP($B2454,Platts!$E$5:$M$4994,MATCH(G$3,Platts!$F$5:$M$5,0)+1,FALSE),G2453)</f>
        <v>92.25</v>
      </c>
      <c r="H2454" s="6">
        <f>IFERROR(VLOOKUP($B2454,Platts!$E$5:$M$4994,MATCH(H$3,Platts!$F$5:$M$5,0)+1,FALSE),H2453)</f>
        <v>85.11</v>
      </c>
      <c r="I2454" s="6">
        <f>IFERROR(VLOOKUP($B2454,Platts!$E$5:$M$4994,MATCH(I$3,Platts!$F$5:$M$5,0)+1,FALSE),I2453)</f>
        <v>87.11</v>
      </c>
      <c r="J2454" s="6">
        <f t="shared" si="76"/>
        <v>3.7199999999999989</v>
      </c>
    </row>
    <row r="2455" spans="2:10" x14ac:dyDescent="0.25">
      <c r="B2455" s="5">
        <f t="shared" si="77"/>
        <v>44821</v>
      </c>
      <c r="C2455" s="6">
        <f>IFERROR(VLOOKUP($B2455,Platts!$E$5:$M$4994,MATCH(C$3,Platts!$F$5:$M$5,0)+1,FALSE),C2454)</f>
        <v>81.39</v>
      </c>
      <c r="D2455" s="6">
        <f>IFERROR(VLOOKUP($B2455,Platts!$E$5:$M$4994,MATCH(D$3,Platts!$F$5:$M$5,0)+1,FALSE),D2454)</f>
        <v>83.9</v>
      </c>
      <c r="E2455" s="6">
        <f>IFERROR(VLOOKUP($B2455,Platts!$E$5:$M$4994,MATCH(E$3,Platts!$F$5:$M$5,0)+1,FALSE),E2454)</f>
        <v>77.7</v>
      </c>
      <c r="F2455" s="6">
        <f>IFERROR(VLOOKUP($B2455,Platts!$E$5:$M$4994,MATCH(F$3,Platts!$F$5:$M$5,0)+1,FALSE),F2454)</f>
        <v>84.55</v>
      </c>
      <c r="G2455" s="6">
        <f>IFERROR(VLOOKUP($B2455,Platts!$E$5:$M$4994,MATCH(G$3,Platts!$F$5:$M$5,0)+1,FALSE),G2454)</f>
        <v>92.25</v>
      </c>
      <c r="H2455" s="6">
        <f>IFERROR(VLOOKUP($B2455,Platts!$E$5:$M$4994,MATCH(H$3,Platts!$F$5:$M$5,0)+1,FALSE),H2454)</f>
        <v>85.11</v>
      </c>
      <c r="I2455" s="6">
        <f>IFERROR(VLOOKUP($B2455,Platts!$E$5:$M$4994,MATCH(I$3,Platts!$F$5:$M$5,0)+1,FALSE),I2454)</f>
        <v>87.11</v>
      </c>
      <c r="J2455" s="6">
        <f t="shared" si="76"/>
        <v>3.7199999999999989</v>
      </c>
    </row>
    <row r="2456" spans="2:10" x14ac:dyDescent="0.25">
      <c r="B2456" s="5">
        <f t="shared" si="77"/>
        <v>44822</v>
      </c>
      <c r="C2456" s="6">
        <f>IFERROR(VLOOKUP($B2456,Platts!$E$5:$M$4994,MATCH(C$3,Platts!$F$5:$M$5,0)+1,FALSE),C2455)</f>
        <v>81.39</v>
      </c>
      <c r="D2456" s="6">
        <f>IFERROR(VLOOKUP($B2456,Platts!$E$5:$M$4994,MATCH(D$3,Platts!$F$5:$M$5,0)+1,FALSE),D2455)</f>
        <v>83.9</v>
      </c>
      <c r="E2456" s="6">
        <f>IFERROR(VLOOKUP($B2456,Platts!$E$5:$M$4994,MATCH(E$3,Platts!$F$5:$M$5,0)+1,FALSE),E2455)</f>
        <v>77.7</v>
      </c>
      <c r="F2456" s="6">
        <f>IFERROR(VLOOKUP($B2456,Platts!$E$5:$M$4994,MATCH(F$3,Platts!$F$5:$M$5,0)+1,FALSE),F2455)</f>
        <v>84.55</v>
      </c>
      <c r="G2456" s="6">
        <f>IFERROR(VLOOKUP($B2456,Platts!$E$5:$M$4994,MATCH(G$3,Platts!$F$5:$M$5,0)+1,FALSE),G2455)</f>
        <v>92.25</v>
      </c>
      <c r="H2456" s="6">
        <f>IFERROR(VLOOKUP($B2456,Platts!$E$5:$M$4994,MATCH(H$3,Platts!$F$5:$M$5,0)+1,FALSE),H2455)</f>
        <v>85.11</v>
      </c>
      <c r="I2456" s="6">
        <f>IFERROR(VLOOKUP($B2456,Platts!$E$5:$M$4994,MATCH(I$3,Platts!$F$5:$M$5,0)+1,FALSE),I2455)</f>
        <v>87.11</v>
      </c>
      <c r="J2456" s="6">
        <f t="shared" si="76"/>
        <v>3.7199999999999989</v>
      </c>
    </row>
    <row r="2457" spans="2:10" x14ac:dyDescent="0.25">
      <c r="B2457" s="5">
        <f t="shared" si="77"/>
        <v>44823</v>
      </c>
      <c r="C2457" s="6">
        <f>IFERROR(VLOOKUP($B2457,Platts!$E$5:$M$4994,MATCH(C$3,Platts!$F$5:$M$5,0)+1,FALSE),C2456)</f>
        <v>82.04</v>
      </c>
      <c r="D2457" s="6">
        <f>IFERROR(VLOOKUP($B2457,Platts!$E$5:$M$4994,MATCH(D$3,Platts!$F$5:$M$5,0)+1,FALSE),D2456)</f>
        <v>84.69</v>
      </c>
      <c r="E2457" s="6">
        <f>IFERROR(VLOOKUP($B2457,Platts!$E$5:$M$4994,MATCH(E$3,Platts!$F$5:$M$5,0)+1,FALSE),E2456)</f>
        <v>78.489999999999995</v>
      </c>
      <c r="F2457" s="6">
        <f>IFERROR(VLOOKUP($B2457,Platts!$E$5:$M$4994,MATCH(F$3,Platts!$F$5:$M$5,0)+1,FALSE),F2456)</f>
        <v>85.34</v>
      </c>
      <c r="G2457" s="6">
        <f>IFERROR(VLOOKUP($B2457,Platts!$E$5:$M$4994,MATCH(G$3,Platts!$F$5:$M$5,0)+1,FALSE),G2456)</f>
        <v>92.25</v>
      </c>
      <c r="H2457" s="6">
        <f>IFERROR(VLOOKUP($B2457,Platts!$E$5:$M$4994,MATCH(H$3,Platts!$F$5:$M$5,0)+1,FALSE),H2456)</f>
        <v>85.73</v>
      </c>
      <c r="I2457" s="6">
        <f>IFERROR(VLOOKUP($B2457,Platts!$E$5:$M$4994,MATCH(I$3,Platts!$F$5:$M$5,0)+1,FALSE),I2456)</f>
        <v>87.73</v>
      </c>
      <c r="J2457" s="6">
        <f t="shared" si="76"/>
        <v>3.6899999999999977</v>
      </c>
    </row>
    <row r="2458" spans="2:10" x14ac:dyDescent="0.25">
      <c r="B2458" s="5">
        <f t="shared" si="77"/>
        <v>44824</v>
      </c>
      <c r="C2458" s="6">
        <f>IFERROR(VLOOKUP($B2458,Platts!$E$5:$M$4994,MATCH(C$3,Platts!$F$5:$M$5,0)+1,FALSE),C2457)</f>
        <v>81.05</v>
      </c>
      <c r="D2458" s="6">
        <f>IFERROR(VLOOKUP($B2458,Platts!$E$5:$M$4994,MATCH(D$3,Platts!$F$5:$M$5,0)+1,FALSE),D2457)</f>
        <v>83.25</v>
      </c>
      <c r="E2458" s="6">
        <f>IFERROR(VLOOKUP($B2458,Platts!$E$5:$M$4994,MATCH(E$3,Platts!$F$5:$M$5,0)+1,FALSE),E2457)</f>
        <v>77.05</v>
      </c>
      <c r="F2458" s="6">
        <f>IFERROR(VLOOKUP($B2458,Platts!$E$5:$M$4994,MATCH(F$3,Platts!$F$5:$M$5,0)+1,FALSE),F2457)</f>
        <v>83.9</v>
      </c>
      <c r="G2458" s="6">
        <f>IFERROR(VLOOKUP($B2458,Platts!$E$5:$M$4994,MATCH(G$3,Platts!$F$5:$M$5,0)+1,FALSE),G2457)</f>
        <v>90.63</v>
      </c>
      <c r="H2458" s="6">
        <f>IFERROR(VLOOKUP($B2458,Platts!$E$5:$M$4994,MATCH(H$3,Platts!$F$5:$M$5,0)+1,FALSE),H2457)</f>
        <v>84.45</v>
      </c>
      <c r="I2458" s="6">
        <f>IFERROR(VLOOKUP($B2458,Platts!$E$5:$M$4994,MATCH(I$3,Platts!$F$5:$M$5,0)+1,FALSE),I2457)</f>
        <v>87.05</v>
      </c>
      <c r="J2458" s="6">
        <f t="shared" si="76"/>
        <v>3.4000000000000057</v>
      </c>
    </row>
    <row r="2459" spans="2:10" x14ac:dyDescent="0.25">
      <c r="B2459" s="5">
        <f t="shared" si="77"/>
        <v>44825</v>
      </c>
      <c r="C2459" s="6">
        <f>IFERROR(VLOOKUP($B2459,Platts!$E$5:$M$4994,MATCH(C$3,Platts!$F$5:$M$5,0)+1,FALSE),C2458)</f>
        <v>80.08</v>
      </c>
      <c r="D2459" s="6">
        <f>IFERROR(VLOOKUP($B2459,Platts!$E$5:$M$4994,MATCH(D$3,Platts!$F$5:$M$5,0)+1,FALSE),D2458)</f>
        <v>82.15</v>
      </c>
      <c r="E2459" s="6">
        <f>IFERROR(VLOOKUP($B2459,Platts!$E$5:$M$4994,MATCH(E$3,Platts!$F$5:$M$5,0)+1,FALSE),E2458)</f>
        <v>75.95</v>
      </c>
      <c r="F2459" s="6">
        <f>IFERROR(VLOOKUP($B2459,Platts!$E$5:$M$4994,MATCH(F$3,Platts!$F$5:$M$5,0)+1,FALSE),F2458)</f>
        <v>82.8</v>
      </c>
      <c r="G2459" s="6">
        <f>IFERROR(VLOOKUP($B2459,Platts!$E$5:$M$4994,MATCH(G$3,Platts!$F$5:$M$5,0)+1,FALSE),G2458)</f>
        <v>89.62</v>
      </c>
      <c r="H2459" s="6">
        <f>IFERROR(VLOOKUP($B2459,Platts!$E$5:$M$4994,MATCH(H$3,Platts!$F$5:$M$5,0)+1,FALSE),H2458)</f>
        <v>83.44</v>
      </c>
      <c r="I2459" s="6">
        <f>IFERROR(VLOOKUP($B2459,Platts!$E$5:$M$4994,MATCH(I$3,Platts!$F$5:$M$5,0)+1,FALSE),I2458)</f>
        <v>86.04</v>
      </c>
      <c r="J2459" s="6">
        <f t="shared" si="76"/>
        <v>3.3599999999999994</v>
      </c>
    </row>
    <row r="2460" spans="2:10" x14ac:dyDescent="0.25">
      <c r="B2460" s="5">
        <f t="shared" si="77"/>
        <v>44826</v>
      </c>
      <c r="C2460" s="6">
        <f>IFERROR(VLOOKUP($B2460,Platts!$E$5:$M$4994,MATCH(C$3,Platts!$F$5:$M$5,0)+1,FALSE),C2459)</f>
        <v>80.2</v>
      </c>
      <c r="D2460" s="6">
        <f>IFERROR(VLOOKUP($B2460,Platts!$E$5:$M$4994,MATCH(D$3,Platts!$F$5:$M$5,0)+1,FALSE),D2459)</f>
        <v>82.47</v>
      </c>
      <c r="E2460" s="6">
        <f>IFERROR(VLOOKUP($B2460,Platts!$E$5:$M$4994,MATCH(E$3,Platts!$F$5:$M$5,0)+1,FALSE),E2459)</f>
        <v>76.27</v>
      </c>
      <c r="F2460" s="6">
        <f>IFERROR(VLOOKUP($B2460,Platts!$E$5:$M$4994,MATCH(F$3,Platts!$F$5:$M$5,0)+1,FALSE),F2459)</f>
        <v>83.12</v>
      </c>
      <c r="G2460" s="6">
        <f>IFERROR(VLOOKUP($B2460,Platts!$E$5:$M$4994,MATCH(G$3,Platts!$F$5:$M$5,0)+1,FALSE),G2459)</f>
        <v>90.73</v>
      </c>
      <c r="H2460" s="6">
        <f>IFERROR(VLOOKUP($B2460,Platts!$E$5:$M$4994,MATCH(H$3,Platts!$F$5:$M$5,0)+1,FALSE),H2459)</f>
        <v>83.89</v>
      </c>
      <c r="I2460" s="6">
        <f>IFERROR(VLOOKUP($B2460,Platts!$E$5:$M$4994,MATCH(I$3,Platts!$F$5:$M$5,0)+1,FALSE),I2459)</f>
        <v>86.39</v>
      </c>
      <c r="J2460" s="6">
        <f t="shared" si="76"/>
        <v>3.6899999999999977</v>
      </c>
    </row>
    <row r="2461" spans="2:10" x14ac:dyDescent="0.25">
      <c r="B2461" s="5">
        <f t="shared" si="77"/>
        <v>44827</v>
      </c>
      <c r="C2461" s="6">
        <f>IFERROR(VLOOKUP($B2461,Platts!$E$5:$M$4994,MATCH(C$3,Platts!$F$5:$M$5,0)+1,FALSE),C2460)</f>
        <v>76.03</v>
      </c>
      <c r="D2461" s="6">
        <f>IFERROR(VLOOKUP($B2461,Platts!$E$5:$M$4994,MATCH(D$3,Platts!$F$5:$M$5,0)+1,FALSE),D2460)</f>
        <v>77.91</v>
      </c>
      <c r="E2461" s="6">
        <f>IFERROR(VLOOKUP($B2461,Platts!$E$5:$M$4994,MATCH(E$3,Platts!$F$5:$M$5,0)+1,FALSE),E2460)</f>
        <v>71.709999999999994</v>
      </c>
      <c r="F2461" s="6">
        <f>IFERROR(VLOOKUP($B2461,Platts!$E$5:$M$4994,MATCH(F$3,Platts!$F$5:$M$5,0)+1,FALSE),F2460)</f>
        <v>78.56</v>
      </c>
      <c r="G2461" s="6">
        <f>IFERROR(VLOOKUP($B2461,Platts!$E$5:$M$4994,MATCH(G$3,Platts!$F$5:$M$5,0)+1,FALSE),G2460)</f>
        <v>86.81</v>
      </c>
      <c r="H2461" s="6">
        <f>IFERROR(VLOOKUP($B2461,Platts!$E$5:$M$4994,MATCH(H$3,Platts!$F$5:$M$5,0)+1,FALSE),H2460)</f>
        <v>79.19</v>
      </c>
      <c r="I2461" s="6">
        <f>IFERROR(VLOOKUP($B2461,Platts!$E$5:$M$4994,MATCH(I$3,Platts!$F$5:$M$5,0)+1,FALSE),I2460)</f>
        <v>81.69</v>
      </c>
      <c r="J2461" s="6">
        <f t="shared" si="76"/>
        <v>3.1599999999999966</v>
      </c>
    </row>
    <row r="2462" spans="2:10" x14ac:dyDescent="0.25">
      <c r="B2462" s="5">
        <f t="shared" si="77"/>
        <v>44828</v>
      </c>
      <c r="C2462" s="6">
        <f>IFERROR(VLOOKUP($B2462,Platts!$E$5:$M$4994,MATCH(C$3,Platts!$F$5:$M$5,0)+1,FALSE),C2461)</f>
        <v>76.03</v>
      </c>
      <c r="D2462" s="6">
        <f>IFERROR(VLOOKUP($B2462,Platts!$E$5:$M$4994,MATCH(D$3,Platts!$F$5:$M$5,0)+1,FALSE),D2461)</f>
        <v>77.91</v>
      </c>
      <c r="E2462" s="6">
        <f>IFERROR(VLOOKUP($B2462,Platts!$E$5:$M$4994,MATCH(E$3,Platts!$F$5:$M$5,0)+1,FALSE),E2461)</f>
        <v>71.709999999999994</v>
      </c>
      <c r="F2462" s="6">
        <f>IFERROR(VLOOKUP($B2462,Platts!$E$5:$M$4994,MATCH(F$3,Platts!$F$5:$M$5,0)+1,FALSE),F2461)</f>
        <v>78.56</v>
      </c>
      <c r="G2462" s="6">
        <f>IFERROR(VLOOKUP($B2462,Platts!$E$5:$M$4994,MATCH(G$3,Platts!$F$5:$M$5,0)+1,FALSE),G2461)</f>
        <v>86.81</v>
      </c>
      <c r="H2462" s="6">
        <f>IFERROR(VLOOKUP($B2462,Platts!$E$5:$M$4994,MATCH(H$3,Platts!$F$5:$M$5,0)+1,FALSE),H2461)</f>
        <v>79.19</v>
      </c>
      <c r="I2462" s="6">
        <f>IFERROR(VLOOKUP($B2462,Platts!$E$5:$M$4994,MATCH(I$3,Platts!$F$5:$M$5,0)+1,FALSE),I2461)</f>
        <v>81.69</v>
      </c>
      <c r="J2462" s="6">
        <f t="shared" si="76"/>
        <v>3.1599999999999966</v>
      </c>
    </row>
    <row r="2463" spans="2:10" x14ac:dyDescent="0.25">
      <c r="B2463" s="5">
        <f t="shared" si="77"/>
        <v>44829</v>
      </c>
      <c r="C2463" s="6">
        <f>IFERROR(VLOOKUP($B2463,Platts!$E$5:$M$4994,MATCH(C$3,Platts!$F$5:$M$5,0)+1,FALSE),C2462)</f>
        <v>76.03</v>
      </c>
      <c r="D2463" s="6">
        <f>IFERROR(VLOOKUP($B2463,Platts!$E$5:$M$4994,MATCH(D$3,Platts!$F$5:$M$5,0)+1,FALSE),D2462)</f>
        <v>77.91</v>
      </c>
      <c r="E2463" s="6">
        <f>IFERROR(VLOOKUP($B2463,Platts!$E$5:$M$4994,MATCH(E$3,Platts!$F$5:$M$5,0)+1,FALSE),E2462)</f>
        <v>71.709999999999994</v>
      </c>
      <c r="F2463" s="6">
        <f>IFERROR(VLOOKUP($B2463,Platts!$E$5:$M$4994,MATCH(F$3,Platts!$F$5:$M$5,0)+1,FALSE),F2462)</f>
        <v>78.56</v>
      </c>
      <c r="G2463" s="6">
        <f>IFERROR(VLOOKUP($B2463,Platts!$E$5:$M$4994,MATCH(G$3,Platts!$F$5:$M$5,0)+1,FALSE),G2462)</f>
        <v>86.81</v>
      </c>
      <c r="H2463" s="6">
        <f>IFERROR(VLOOKUP($B2463,Platts!$E$5:$M$4994,MATCH(H$3,Platts!$F$5:$M$5,0)+1,FALSE),H2462)</f>
        <v>79.19</v>
      </c>
      <c r="I2463" s="6">
        <f>IFERROR(VLOOKUP($B2463,Platts!$E$5:$M$4994,MATCH(I$3,Platts!$F$5:$M$5,0)+1,FALSE),I2462)</f>
        <v>81.69</v>
      </c>
      <c r="J2463" s="6">
        <f t="shared" si="76"/>
        <v>3.1599999999999966</v>
      </c>
    </row>
    <row r="2464" spans="2:10" x14ac:dyDescent="0.25">
      <c r="B2464" s="5">
        <f t="shared" si="77"/>
        <v>44830</v>
      </c>
      <c r="C2464" s="6">
        <f>IFERROR(VLOOKUP($B2464,Platts!$E$5:$M$4994,MATCH(C$3,Platts!$F$5:$M$5,0)+1,FALSE),C2463)</f>
        <v>73.66</v>
      </c>
      <c r="D2464" s="6">
        <f>IFERROR(VLOOKUP($B2464,Platts!$E$5:$M$4994,MATCH(D$3,Platts!$F$5:$M$5,0)+1,FALSE),D2463)</f>
        <v>75.73</v>
      </c>
      <c r="E2464" s="6">
        <f>IFERROR(VLOOKUP($B2464,Platts!$E$5:$M$4994,MATCH(E$3,Platts!$F$5:$M$5,0)+1,FALSE),E2463)</f>
        <v>69.53</v>
      </c>
      <c r="F2464" s="6">
        <f>IFERROR(VLOOKUP($B2464,Platts!$E$5:$M$4994,MATCH(F$3,Platts!$F$5:$M$5,0)+1,FALSE),F2463)</f>
        <v>76.38</v>
      </c>
      <c r="G2464" s="6">
        <f>IFERROR(VLOOKUP($B2464,Platts!$E$5:$M$4994,MATCH(G$3,Platts!$F$5:$M$5,0)+1,FALSE),G2463)</f>
        <v>85.74</v>
      </c>
      <c r="H2464" s="6">
        <f>IFERROR(VLOOKUP($B2464,Platts!$E$5:$M$4994,MATCH(H$3,Platts!$F$5:$M$5,0)+1,FALSE),H2463)</f>
        <v>76.709999999999994</v>
      </c>
      <c r="I2464" s="6">
        <f>IFERROR(VLOOKUP($B2464,Platts!$E$5:$M$4994,MATCH(I$3,Platts!$F$5:$M$5,0)+1,FALSE),I2463)</f>
        <v>79.260000000000005</v>
      </c>
      <c r="J2464" s="6">
        <f t="shared" si="76"/>
        <v>3.0499999999999972</v>
      </c>
    </row>
    <row r="2465" spans="2:10" x14ac:dyDescent="0.25">
      <c r="B2465" s="5">
        <f t="shared" si="77"/>
        <v>44831</v>
      </c>
      <c r="C2465" s="6">
        <f>IFERROR(VLOOKUP($B2465,Platts!$E$5:$M$4994,MATCH(C$3,Platts!$F$5:$M$5,0)+1,FALSE),C2464)</f>
        <v>73.58</v>
      </c>
      <c r="D2465" s="6">
        <f>IFERROR(VLOOKUP($B2465,Platts!$E$5:$M$4994,MATCH(D$3,Platts!$F$5:$M$5,0)+1,FALSE),D2464)</f>
        <v>77.69</v>
      </c>
      <c r="E2465" s="6">
        <f>IFERROR(VLOOKUP($B2465,Platts!$E$5:$M$4994,MATCH(E$3,Platts!$F$5:$M$5,0)+1,FALSE),E2464)</f>
        <v>71.489999999999995</v>
      </c>
      <c r="F2465" s="6">
        <f>IFERROR(VLOOKUP($B2465,Platts!$E$5:$M$4994,MATCH(F$3,Platts!$F$5:$M$5,0)+1,FALSE),F2464)</f>
        <v>78.34</v>
      </c>
      <c r="G2465" s="6">
        <f>IFERROR(VLOOKUP($B2465,Platts!$E$5:$M$4994,MATCH(G$3,Platts!$F$5:$M$5,0)+1,FALSE),G2464)</f>
        <v>86.46</v>
      </c>
      <c r="H2465" s="6">
        <f>IFERROR(VLOOKUP($B2465,Platts!$E$5:$M$4994,MATCH(H$3,Platts!$F$5:$M$5,0)+1,FALSE),H2464)</f>
        <v>78.5</v>
      </c>
      <c r="I2465" s="6">
        <f>IFERROR(VLOOKUP($B2465,Platts!$E$5:$M$4994,MATCH(I$3,Platts!$F$5:$M$5,0)+1,FALSE),I2464)</f>
        <v>81.150000000000006</v>
      </c>
      <c r="J2465" s="6">
        <f t="shared" si="76"/>
        <v>4.9200000000000017</v>
      </c>
    </row>
    <row r="2466" spans="2:10" x14ac:dyDescent="0.25">
      <c r="B2466" s="5">
        <f t="shared" si="77"/>
        <v>44832</v>
      </c>
      <c r="C2466" s="6">
        <f>IFERROR(VLOOKUP($B2466,Platts!$E$5:$M$4994,MATCH(C$3,Platts!$F$5:$M$5,0)+1,FALSE),C2465)</f>
        <v>78.260000000000005</v>
      </c>
      <c r="D2466" s="6">
        <f>IFERROR(VLOOKUP($B2466,Platts!$E$5:$M$4994,MATCH(D$3,Platts!$F$5:$M$5,0)+1,FALSE),D2465)</f>
        <v>81.069999999999993</v>
      </c>
      <c r="E2466" s="6">
        <f>IFERROR(VLOOKUP($B2466,Platts!$E$5:$M$4994,MATCH(E$3,Platts!$F$5:$M$5,0)+1,FALSE),E2465)</f>
        <v>74.87</v>
      </c>
      <c r="F2466" s="6">
        <f>IFERROR(VLOOKUP($B2466,Platts!$E$5:$M$4994,MATCH(F$3,Platts!$F$5:$M$5,0)+1,FALSE),F2465)</f>
        <v>81.72</v>
      </c>
      <c r="G2466" s="6">
        <f>IFERROR(VLOOKUP($B2466,Platts!$E$5:$M$4994,MATCH(G$3,Platts!$F$5:$M$5,0)+1,FALSE),G2465)</f>
        <v>88.22</v>
      </c>
      <c r="H2466" s="6">
        <f>IFERROR(VLOOKUP($B2466,Platts!$E$5:$M$4994,MATCH(H$3,Platts!$F$5:$M$5,0)+1,FALSE),H2465)</f>
        <v>82.15</v>
      </c>
      <c r="I2466" s="6">
        <f>IFERROR(VLOOKUP($B2466,Platts!$E$5:$M$4994,MATCH(I$3,Platts!$F$5:$M$5,0)+1,FALSE),I2465)</f>
        <v>84.75</v>
      </c>
      <c r="J2466" s="6">
        <f t="shared" si="76"/>
        <v>3.8900000000000006</v>
      </c>
    </row>
    <row r="2467" spans="2:10" x14ac:dyDescent="0.25">
      <c r="B2467" s="5">
        <f t="shared" si="77"/>
        <v>44833</v>
      </c>
      <c r="C2467" s="6">
        <f>IFERROR(VLOOKUP($B2467,Platts!$E$5:$M$4994,MATCH(C$3,Platts!$F$5:$M$5,0)+1,FALSE),C2466)</f>
        <v>77.790000000000006</v>
      </c>
      <c r="D2467" s="6">
        <f>IFERROR(VLOOKUP($B2467,Platts!$E$5:$M$4994,MATCH(D$3,Platts!$F$5:$M$5,0)+1,FALSE),D2466)</f>
        <v>81.069999999999993</v>
      </c>
      <c r="E2467" s="6">
        <f>IFERROR(VLOOKUP($B2467,Platts!$E$5:$M$4994,MATCH(E$3,Platts!$F$5:$M$5,0)+1,FALSE),E2466)</f>
        <v>74.87</v>
      </c>
      <c r="F2467" s="6">
        <f>IFERROR(VLOOKUP($B2467,Platts!$E$5:$M$4994,MATCH(F$3,Platts!$F$5:$M$5,0)+1,FALSE),F2466)</f>
        <v>81.72</v>
      </c>
      <c r="G2467" s="6">
        <f>IFERROR(VLOOKUP($B2467,Platts!$E$5:$M$4994,MATCH(G$3,Platts!$F$5:$M$5,0)+1,FALSE),G2466)</f>
        <v>88.22</v>
      </c>
      <c r="H2467" s="6">
        <f>IFERROR(VLOOKUP($B2467,Platts!$E$5:$M$4994,MATCH(H$3,Platts!$F$5:$M$5,0)+1,FALSE),H2466)</f>
        <v>82.15</v>
      </c>
      <c r="I2467" s="6">
        <f>IFERROR(VLOOKUP($B2467,Platts!$E$5:$M$4994,MATCH(I$3,Platts!$F$5:$M$5,0)+1,FALSE),I2466)</f>
        <v>84.75</v>
      </c>
      <c r="J2467" s="6">
        <f t="shared" si="76"/>
        <v>4.3599999999999994</v>
      </c>
    </row>
    <row r="2468" spans="2:10" x14ac:dyDescent="0.25">
      <c r="B2468" s="5">
        <f t="shared" si="77"/>
        <v>44834</v>
      </c>
      <c r="C2468" s="6">
        <f>IFERROR(VLOOKUP($B2468,Platts!$E$5:$M$4994,MATCH(C$3,Platts!$F$5:$M$5,0)+1,FALSE),C2467)</f>
        <v>77.16</v>
      </c>
      <c r="D2468" s="6">
        <f>IFERROR(VLOOKUP($B2468,Platts!$E$5:$M$4994,MATCH(D$3,Platts!$F$5:$M$5,0)+1,FALSE),D2467)</f>
        <v>78.900000000000006</v>
      </c>
      <c r="E2468" s="6">
        <f>IFERROR(VLOOKUP($B2468,Platts!$E$5:$M$4994,MATCH(E$3,Platts!$F$5:$M$5,0)+1,FALSE),E2467)</f>
        <v>72.7</v>
      </c>
      <c r="F2468" s="6">
        <f>IFERROR(VLOOKUP($B2468,Platts!$E$5:$M$4994,MATCH(F$3,Platts!$F$5:$M$5,0)+1,FALSE),F2467)</f>
        <v>79.55</v>
      </c>
      <c r="G2468" s="6">
        <f>IFERROR(VLOOKUP($B2468,Platts!$E$5:$M$4994,MATCH(G$3,Platts!$F$5:$M$5,0)+1,FALSE),G2467)</f>
        <v>87.4</v>
      </c>
      <c r="H2468" s="6">
        <f>IFERROR(VLOOKUP($B2468,Platts!$E$5:$M$4994,MATCH(H$3,Platts!$F$5:$M$5,0)+1,FALSE),H2467)</f>
        <v>79.489999999999995</v>
      </c>
      <c r="I2468" s="6">
        <f>IFERROR(VLOOKUP($B2468,Platts!$E$5:$M$4994,MATCH(I$3,Platts!$F$5:$M$5,0)+1,FALSE),I2467)</f>
        <v>81.94</v>
      </c>
      <c r="J2468" s="6">
        <f t="shared" ref="J2468:J2531" si="78">H2468-C2468</f>
        <v>2.3299999999999983</v>
      </c>
    </row>
    <row r="2469" spans="2:10" x14ac:dyDescent="0.25">
      <c r="B2469" s="5">
        <f t="shared" si="77"/>
        <v>44835</v>
      </c>
      <c r="C2469" s="6">
        <f>IFERROR(VLOOKUP($B2469,Platts!$E$5:$M$4994,MATCH(C$3,Platts!$F$5:$M$5,0)+1,FALSE),C2468)</f>
        <v>77.16</v>
      </c>
      <c r="D2469" s="6">
        <f>IFERROR(VLOOKUP($B2469,Platts!$E$5:$M$4994,MATCH(D$3,Platts!$F$5:$M$5,0)+1,FALSE),D2468)</f>
        <v>78.900000000000006</v>
      </c>
      <c r="E2469" s="6">
        <f>IFERROR(VLOOKUP($B2469,Platts!$E$5:$M$4994,MATCH(E$3,Platts!$F$5:$M$5,0)+1,FALSE),E2468)</f>
        <v>72.7</v>
      </c>
      <c r="F2469" s="6">
        <f>IFERROR(VLOOKUP($B2469,Platts!$E$5:$M$4994,MATCH(F$3,Platts!$F$5:$M$5,0)+1,FALSE),F2468)</f>
        <v>79.55</v>
      </c>
      <c r="G2469" s="6">
        <f>IFERROR(VLOOKUP($B2469,Platts!$E$5:$M$4994,MATCH(G$3,Platts!$F$5:$M$5,0)+1,FALSE),G2468)</f>
        <v>87.4</v>
      </c>
      <c r="H2469" s="6">
        <f>IFERROR(VLOOKUP($B2469,Platts!$E$5:$M$4994,MATCH(H$3,Platts!$F$5:$M$5,0)+1,FALSE),H2468)</f>
        <v>79.489999999999995</v>
      </c>
      <c r="I2469" s="6">
        <f>IFERROR(VLOOKUP($B2469,Platts!$E$5:$M$4994,MATCH(I$3,Platts!$F$5:$M$5,0)+1,FALSE),I2468)</f>
        <v>81.94</v>
      </c>
      <c r="J2469" s="6">
        <f t="shared" si="78"/>
        <v>2.3299999999999983</v>
      </c>
    </row>
    <row r="2470" spans="2:10" x14ac:dyDescent="0.25">
      <c r="B2470" s="5">
        <f t="shared" si="77"/>
        <v>44836</v>
      </c>
      <c r="C2470" s="6">
        <f>IFERROR(VLOOKUP($B2470,Platts!$E$5:$M$4994,MATCH(C$3,Platts!$F$5:$M$5,0)+1,FALSE),C2469)</f>
        <v>77.16</v>
      </c>
      <c r="D2470" s="6">
        <f>IFERROR(VLOOKUP($B2470,Platts!$E$5:$M$4994,MATCH(D$3,Platts!$F$5:$M$5,0)+1,FALSE),D2469)</f>
        <v>78.900000000000006</v>
      </c>
      <c r="E2470" s="6">
        <f>IFERROR(VLOOKUP($B2470,Platts!$E$5:$M$4994,MATCH(E$3,Platts!$F$5:$M$5,0)+1,FALSE),E2469)</f>
        <v>72.7</v>
      </c>
      <c r="F2470" s="6">
        <f>IFERROR(VLOOKUP($B2470,Platts!$E$5:$M$4994,MATCH(F$3,Platts!$F$5:$M$5,0)+1,FALSE),F2469)</f>
        <v>79.55</v>
      </c>
      <c r="G2470" s="6">
        <f>IFERROR(VLOOKUP($B2470,Platts!$E$5:$M$4994,MATCH(G$3,Platts!$F$5:$M$5,0)+1,FALSE),G2469)</f>
        <v>87.4</v>
      </c>
      <c r="H2470" s="6">
        <f>IFERROR(VLOOKUP($B2470,Platts!$E$5:$M$4994,MATCH(H$3,Platts!$F$5:$M$5,0)+1,FALSE),H2469)</f>
        <v>79.489999999999995</v>
      </c>
      <c r="I2470" s="6">
        <f>IFERROR(VLOOKUP($B2470,Platts!$E$5:$M$4994,MATCH(I$3,Platts!$F$5:$M$5,0)+1,FALSE),I2469)</f>
        <v>81.94</v>
      </c>
      <c r="J2470" s="6">
        <f t="shared" si="78"/>
        <v>2.3299999999999983</v>
      </c>
    </row>
    <row r="2471" spans="2:10" x14ac:dyDescent="0.25">
      <c r="B2471" s="5">
        <f t="shared" si="77"/>
        <v>44837</v>
      </c>
      <c r="C2471" s="6">
        <f>IFERROR(VLOOKUP($B2471,Platts!$E$5:$M$4994,MATCH(C$3,Platts!$F$5:$M$5,0)+1,FALSE),C2470)</f>
        <v>77.099999999999994</v>
      </c>
      <c r="D2471" s="6">
        <f>IFERROR(VLOOKUP($B2471,Platts!$E$5:$M$4994,MATCH(D$3,Platts!$F$5:$M$5,0)+1,FALSE),D2470)</f>
        <v>80</v>
      </c>
      <c r="E2471" s="6">
        <f>IFERROR(VLOOKUP($B2471,Platts!$E$5:$M$4994,MATCH(E$3,Platts!$F$5:$M$5,0)+1,FALSE),E2470)</f>
        <v>73.8</v>
      </c>
      <c r="F2471" s="6">
        <f>IFERROR(VLOOKUP($B2471,Platts!$E$5:$M$4994,MATCH(F$3,Platts!$F$5:$M$5,0)+1,FALSE),F2470)</f>
        <v>81.400000000000006</v>
      </c>
      <c r="G2471" s="6">
        <f>IFERROR(VLOOKUP($B2471,Platts!$E$5:$M$4994,MATCH(G$3,Platts!$F$5:$M$5,0)+1,FALSE),G2470)</f>
        <v>88.5</v>
      </c>
      <c r="H2471" s="6">
        <f>IFERROR(VLOOKUP($B2471,Platts!$E$5:$M$4994,MATCH(H$3,Platts!$F$5:$M$5,0)+1,FALSE),H2470)</f>
        <v>83.63</v>
      </c>
      <c r="I2471" s="6">
        <f>IFERROR(VLOOKUP($B2471,Platts!$E$5:$M$4994,MATCH(I$3,Platts!$F$5:$M$5,0)+1,FALSE),I2470)</f>
        <v>86.08</v>
      </c>
      <c r="J2471" s="6">
        <f t="shared" si="78"/>
        <v>6.5300000000000011</v>
      </c>
    </row>
    <row r="2472" spans="2:10" x14ac:dyDescent="0.25">
      <c r="B2472" s="5">
        <f t="shared" si="77"/>
        <v>44838</v>
      </c>
      <c r="C2472" s="6">
        <f>IFERROR(VLOOKUP($B2472,Platts!$E$5:$M$4994,MATCH(C$3,Platts!$F$5:$M$5,0)+1,FALSE),C2471)</f>
        <v>79.78</v>
      </c>
      <c r="D2472" s="6">
        <f>IFERROR(VLOOKUP($B2472,Platts!$E$5:$M$4994,MATCH(D$3,Platts!$F$5:$M$5,0)+1,FALSE),D2471)</f>
        <v>82.88</v>
      </c>
      <c r="E2472" s="6">
        <f>IFERROR(VLOOKUP($B2472,Platts!$E$5:$M$4994,MATCH(E$3,Platts!$F$5:$M$5,0)+1,FALSE),E2471)</f>
        <v>76.680000000000007</v>
      </c>
      <c r="F2472" s="6">
        <f>IFERROR(VLOOKUP($B2472,Platts!$E$5:$M$4994,MATCH(F$3,Platts!$F$5:$M$5,0)+1,FALSE),F2471)</f>
        <v>84.28</v>
      </c>
      <c r="G2472" s="6">
        <f>IFERROR(VLOOKUP($B2472,Platts!$E$5:$M$4994,MATCH(G$3,Platts!$F$5:$M$5,0)+1,FALSE),G2471)</f>
        <v>91.89</v>
      </c>
      <c r="H2472" s="6">
        <f>IFERROR(VLOOKUP($B2472,Platts!$E$5:$M$4994,MATCH(H$3,Platts!$F$5:$M$5,0)+1,FALSE),H2471)</f>
        <v>86.52</v>
      </c>
      <c r="I2472" s="6">
        <f>IFERROR(VLOOKUP($B2472,Platts!$E$5:$M$4994,MATCH(I$3,Platts!$F$5:$M$5,0)+1,FALSE),I2471)</f>
        <v>89.12</v>
      </c>
      <c r="J2472" s="6">
        <f t="shared" si="78"/>
        <v>6.7399999999999949</v>
      </c>
    </row>
    <row r="2473" spans="2:10" x14ac:dyDescent="0.25">
      <c r="B2473" s="5">
        <f t="shared" si="77"/>
        <v>44839</v>
      </c>
      <c r="C2473" s="6">
        <f>IFERROR(VLOOKUP($B2473,Platts!$E$5:$M$4994,MATCH(C$3,Platts!$F$5:$M$5,0)+1,FALSE),C2472)</f>
        <v>81.33</v>
      </c>
      <c r="D2473" s="6">
        <f>IFERROR(VLOOKUP($B2473,Platts!$E$5:$M$4994,MATCH(D$3,Platts!$F$5:$M$5,0)+1,FALSE),D2472)</f>
        <v>84.33</v>
      </c>
      <c r="E2473" s="6">
        <f>IFERROR(VLOOKUP($B2473,Platts!$E$5:$M$4994,MATCH(E$3,Platts!$F$5:$M$5,0)+1,FALSE),E2472)</f>
        <v>78.13</v>
      </c>
      <c r="F2473" s="6">
        <f>IFERROR(VLOOKUP($B2473,Platts!$E$5:$M$4994,MATCH(F$3,Platts!$F$5:$M$5,0)+1,FALSE),F2472)</f>
        <v>85.73</v>
      </c>
      <c r="G2473" s="6">
        <f>IFERROR(VLOOKUP($B2473,Platts!$E$5:$M$4994,MATCH(G$3,Platts!$F$5:$M$5,0)+1,FALSE),G2472)</f>
        <v>93.71</v>
      </c>
      <c r="H2473" s="6">
        <f>IFERROR(VLOOKUP($B2473,Platts!$E$5:$M$4994,MATCH(H$3,Platts!$F$5:$M$5,0)+1,FALSE),H2472)</f>
        <v>87.76</v>
      </c>
      <c r="I2473" s="6">
        <f>IFERROR(VLOOKUP($B2473,Platts!$E$5:$M$4994,MATCH(I$3,Platts!$F$5:$M$5,0)+1,FALSE),I2472)</f>
        <v>90.46</v>
      </c>
      <c r="J2473" s="6">
        <f t="shared" si="78"/>
        <v>6.4300000000000068</v>
      </c>
    </row>
    <row r="2474" spans="2:10" x14ac:dyDescent="0.25">
      <c r="B2474" s="5">
        <f t="shared" si="77"/>
        <v>44840</v>
      </c>
      <c r="C2474" s="6">
        <f>IFERROR(VLOOKUP($B2474,Platts!$E$5:$M$4994,MATCH(C$3,Platts!$F$5:$M$5,0)+1,FALSE),C2473)</f>
        <v>82.34</v>
      </c>
      <c r="D2474" s="6">
        <f>IFERROR(VLOOKUP($B2474,Platts!$E$5:$M$4994,MATCH(D$3,Platts!$F$5:$M$5,0)+1,FALSE),D2473)</f>
        <v>85.15</v>
      </c>
      <c r="E2474" s="6">
        <f>IFERROR(VLOOKUP($B2474,Platts!$E$5:$M$4994,MATCH(E$3,Platts!$F$5:$M$5,0)+1,FALSE),E2473)</f>
        <v>78.95</v>
      </c>
      <c r="F2474" s="6">
        <f>IFERROR(VLOOKUP($B2474,Platts!$E$5:$M$4994,MATCH(F$3,Platts!$F$5:$M$5,0)+1,FALSE),F2473)</f>
        <v>86.55</v>
      </c>
      <c r="G2474" s="6">
        <f>IFERROR(VLOOKUP($B2474,Platts!$E$5:$M$4994,MATCH(G$3,Platts!$F$5:$M$5,0)+1,FALSE),G2473)</f>
        <v>94.54</v>
      </c>
      <c r="H2474" s="6">
        <f>IFERROR(VLOOKUP($B2474,Platts!$E$5:$M$4994,MATCH(H$3,Platts!$F$5:$M$5,0)+1,FALSE),H2473)</f>
        <v>88.45</v>
      </c>
      <c r="I2474" s="6">
        <f>IFERROR(VLOOKUP($B2474,Platts!$E$5:$M$4994,MATCH(I$3,Platts!$F$5:$M$5,0)+1,FALSE),I2473)</f>
        <v>91.15</v>
      </c>
      <c r="J2474" s="6">
        <f t="shared" si="78"/>
        <v>6.1099999999999994</v>
      </c>
    </row>
    <row r="2475" spans="2:10" x14ac:dyDescent="0.25">
      <c r="B2475" s="5">
        <f t="shared" si="77"/>
        <v>44841</v>
      </c>
      <c r="C2475" s="6">
        <f>IFERROR(VLOOKUP($B2475,Platts!$E$5:$M$4994,MATCH(C$3,Platts!$F$5:$M$5,0)+1,FALSE),C2474)</f>
        <v>85.87</v>
      </c>
      <c r="D2475" s="6">
        <f>IFERROR(VLOOKUP($B2475,Platts!$E$5:$M$4994,MATCH(D$3,Platts!$F$5:$M$5,0)+1,FALSE),D2474)</f>
        <v>89</v>
      </c>
      <c r="E2475" s="6">
        <f>IFERROR(VLOOKUP($B2475,Platts!$E$5:$M$4994,MATCH(E$3,Platts!$F$5:$M$5,0)+1,FALSE),E2474)</f>
        <v>82.8</v>
      </c>
      <c r="F2475" s="6">
        <f>IFERROR(VLOOKUP($B2475,Platts!$E$5:$M$4994,MATCH(F$3,Platts!$F$5:$M$5,0)+1,FALSE),F2474)</f>
        <v>90.4</v>
      </c>
      <c r="G2475" s="6">
        <f>IFERROR(VLOOKUP($B2475,Platts!$E$5:$M$4994,MATCH(G$3,Platts!$F$5:$M$5,0)+1,FALSE),G2474)</f>
        <v>97.76</v>
      </c>
      <c r="H2475" s="6">
        <f>IFERROR(VLOOKUP($B2475,Platts!$E$5:$M$4994,MATCH(H$3,Platts!$F$5:$M$5,0)+1,FALSE),H2474)</f>
        <v>92.64</v>
      </c>
      <c r="I2475" s="6">
        <f>IFERROR(VLOOKUP($B2475,Platts!$E$5:$M$4994,MATCH(I$3,Platts!$F$5:$M$5,0)+1,FALSE),I2474)</f>
        <v>95.34</v>
      </c>
      <c r="J2475" s="6">
        <f t="shared" si="78"/>
        <v>6.769999999999996</v>
      </c>
    </row>
    <row r="2476" spans="2:10" x14ac:dyDescent="0.25">
      <c r="B2476" s="5">
        <f t="shared" si="77"/>
        <v>44842</v>
      </c>
      <c r="C2476" s="6">
        <f>IFERROR(VLOOKUP($B2476,Platts!$E$5:$M$4994,MATCH(C$3,Platts!$F$5:$M$5,0)+1,FALSE),C2475)</f>
        <v>85.87</v>
      </c>
      <c r="D2476" s="6">
        <f>IFERROR(VLOOKUP($B2476,Platts!$E$5:$M$4994,MATCH(D$3,Platts!$F$5:$M$5,0)+1,FALSE),D2475)</f>
        <v>89</v>
      </c>
      <c r="E2476" s="6">
        <f>IFERROR(VLOOKUP($B2476,Platts!$E$5:$M$4994,MATCH(E$3,Platts!$F$5:$M$5,0)+1,FALSE),E2475)</f>
        <v>82.8</v>
      </c>
      <c r="F2476" s="6">
        <f>IFERROR(VLOOKUP($B2476,Platts!$E$5:$M$4994,MATCH(F$3,Platts!$F$5:$M$5,0)+1,FALSE),F2475)</f>
        <v>90.4</v>
      </c>
      <c r="G2476" s="6">
        <f>IFERROR(VLOOKUP($B2476,Platts!$E$5:$M$4994,MATCH(G$3,Platts!$F$5:$M$5,0)+1,FALSE),G2475)</f>
        <v>97.76</v>
      </c>
      <c r="H2476" s="6">
        <f>IFERROR(VLOOKUP($B2476,Platts!$E$5:$M$4994,MATCH(H$3,Platts!$F$5:$M$5,0)+1,FALSE),H2475)</f>
        <v>92.64</v>
      </c>
      <c r="I2476" s="6">
        <f>IFERROR(VLOOKUP($B2476,Platts!$E$5:$M$4994,MATCH(I$3,Platts!$F$5:$M$5,0)+1,FALSE),I2475)</f>
        <v>95.34</v>
      </c>
      <c r="J2476" s="6">
        <f t="shared" si="78"/>
        <v>6.769999999999996</v>
      </c>
    </row>
    <row r="2477" spans="2:10" x14ac:dyDescent="0.25">
      <c r="B2477" s="5">
        <f t="shared" si="77"/>
        <v>44843</v>
      </c>
      <c r="C2477" s="6">
        <f>IFERROR(VLOOKUP($B2477,Platts!$E$5:$M$4994,MATCH(C$3,Platts!$F$5:$M$5,0)+1,FALSE),C2476)</f>
        <v>85.87</v>
      </c>
      <c r="D2477" s="6">
        <f>IFERROR(VLOOKUP($B2477,Platts!$E$5:$M$4994,MATCH(D$3,Platts!$F$5:$M$5,0)+1,FALSE),D2476)</f>
        <v>89</v>
      </c>
      <c r="E2477" s="6">
        <f>IFERROR(VLOOKUP($B2477,Platts!$E$5:$M$4994,MATCH(E$3,Platts!$F$5:$M$5,0)+1,FALSE),E2476)</f>
        <v>82.8</v>
      </c>
      <c r="F2477" s="6">
        <f>IFERROR(VLOOKUP($B2477,Platts!$E$5:$M$4994,MATCH(F$3,Platts!$F$5:$M$5,0)+1,FALSE),F2476)</f>
        <v>90.4</v>
      </c>
      <c r="G2477" s="6">
        <f>IFERROR(VLOOKUP($B2477,Platts!$E$5:$M$4994,MATCH(G$3,Platts!$F$5:$M$5,0)+1,FALSE),G2476)</f>
        <v>97.76</v>
      </c>
      <c r="H2477" s="6">
        <f>IFERROR(VLOOKUP($B2477,Platts!$E$5:$M$4994,MATCH(H$3,Platts!$F$5:$M$5,0)+1,FALSE),H2476)</f>
        <v>92.64</v>
      </c>
      <c r="I2477" s="6">
        <f>IFERROR(VLOOKUP($B2477,Platts!$E$5:$M$4994,MATCH(I$3,Platts!$F$5:$M$5,0)+1,FALSE),I2476)</f>
        <v>95.34</v>
      </c>
      <c r="J2477" s="6">
        <f t="shared" si="78"/>
        <v>6.769999999999996</v>
      </c>
    </row>
    <row r="2478" spans="2:10" x14ac:dyDescent="0.25">
      <c r="B2478" s="5">
        <f t="shared" si="77"/>
        <v>44844</v>
      </c>
      <c r="C2478" s="6">
        <f>IFERROR(VLOOKUP($B2478,Platts!$E$5:$M$4994,MATCH(C$3,Platts!$F$5:$M$5,0)+1,FALSE),C2477)</f>
        <v>84.58</v>
      </c>
      <c r="D2478" s="6">
        <f>IFERROR(VLOOKUP($B2478,Platts!$E$5:$M$4994,MATCH(D$3,Platts!$F$5:$M$5,0)+1,FALSE),D2477)</f>
        <v>87.48</v>
      </c>
      <c r="E2478" s="6">
        <f>IFERROR(VLOOKUP($B2478,Platts!$E$5:$M$4994,MATCH(E$3,Platts!$F$5:$M$5,0)+1,FALSE),E2477)</f>
        <v>81.28</v>
      </c>
      <c r="F2478" s="6">
        <f>IFERROR(VLOOKUP($B2478,Platts!$E$5:$M$4994,MATCH(F$3,Platts!$F$5:$M$5,0)+1,FALSE),F2477)</f>
        <v>88.88</v>
      </c>
      <c r="G2478" s="6">
        <f>IFERROR(VLOOKUP($B2478,Platts!$E$5:$M$4994,MATCH(G$3,Platts!$F$5:$M$5,0)+1,FALSE),G2477)</f>
        <v>97.44</v>
      </c>
      <c r="H2478" s="6">
        <f>IFERROR(VLOOKUP($B2478,Platts!$E$5:$M$4994,MATCH(H$3,Platts!$F$5:$M$5,0)+1,FALSE),H2477)</f>
        <v>91.13</v>
      </c>
      <c r="I2478" s="6">
        <f>IFERROR(VLOOKUP($B2478,Platts!$E$5:$M$4994,MATCH(I$3,Platts!$F$5:$M$5,0)+1,FALSE),I2477)</f>
        <v>93.93</v>
      </c>
      <c r="J2478" s="6">
        <f t="shared" si="78"/>
        <v>6.5499999999999972</v>
      </c>
    </row>
    <row r="2479" spans="2:10" x14ac:dyDescent="0.25">
      <c r="B2479" s="5">
        <f t="shared" si="77"/>
        <v>44845</v>
      </c>
      <c r="C2479" s="6">
        <f>IFERROR(VLOOKUP($B2479,Platts!$E$5:$M$4994,MATCH(C$3,Platts!$F$5:$M$5,0)+1,FALSE),C2478)</f>
        <v>82.67</v>
      </c>
      <c r="D2479" s="6">
        <f>IFERROR(VLOOKUP($B2479,Platts!$E$5:$M$4994,MATCH(D$3,Platts!$F$5:$M$5,0)+1,FALSE),D2478)</f>
        <v>85.65</v>
      </c>
      <c r="E2479" s="6">
        <f>IFERROR(VLOOKUP($B2479,Platts!$E$5:$M$4994,MATCH(E$3,Platts!$F$5:$M$5,0)+1,FALSE),E2478)</f>
        <v>79.45</v>
      </c>
      <c r="F2479" s="6">
        <f>IFERROR(VLOOKUP($B2479,Platts!$E$5:$M$4994,MATCH(F$3,Platts!$F$5:$M$5,0)+1,FALSE),F2478)</f>
        <v>87.05</v>
      </c>
      <c r="G2479" s="6">
        <f>IFERROR(VLOOKUP($B2479,Platts!$E$5:$M$4994,MATCH(G$3,Platts!$F$5:$M$5,0)+1,FALSE),G2478)</f>
        <v>94.38</v>
      </c>
      <c r="H2479" s="6">
        <f>IFERROR(VLOOKUP($B2479,Platts!$E$5:$M$4994,MATCH(H$3,Platts!$F$5:$M$5,0)+1,FALSE),H2478)</f>
        <v>89.35</v>
      </c>
      <c r="I2479" s="6">
        <f>IFERROR(VLOOKUP($B2479,Platts!$E$5:$M$4994,MATCH(I$3,Platts!$F$5:$M$5,0)+1,FALSE),I2478)</f>
        <v>92.35</v>
      </c>
      <c r="J2479" s="6">
        <f t="shared" si="78"/>
        <v>6.6799999999999926</v>
      </c>
    </row>
    <row r="2480" spans="2:10" x14ac:dyDescent="0.25">
      <c r="B2480" s="5">
        <f t="shared" si="77"/>
        <v>44846</v>
      </c>
      <c r="C2480" s="6">
        <f>IFERROR(VLOOKUP($B2480,Platts!$E$5:$M$4994,MATCH(C$3,Platts!$F$5:$M$5,0)+1,FALSE),C2479)</f>
        <v>80.819999999999993</v>
      </c>
      <c r="D2480" s="6">
        <f>IFERROR(VLOOKUP($B2480,Platts!$E$5:$M$4994,MATCH(D$3,Platts!$F$5:$M$5,0)+1,FALSE),D2479)</f>
        <v>83.69</v>
      </c>
      <c r="E2480" s="6">
        <f>IFERROR(VLOOKUP($B2480,Platts!$E$5:$M$4994,MATCH(E$3,Platts!$F$5:$M$5,0)+1,FALSE),E2479)</f>
        <v>77.489999999999995</v>
      </c>
      <c r="F2480" s="6">
        <f>IFERROR(VLOOKUP($B2480,Platts!$E$5:$M$4994,MATCH(F$3,Platts!$F$5:$M$5,0)+1,FALSE),F2479)</f>
        <v>85.09</v>
      </c>
      <c r="G2480" s="6">
        <f>IFERROR(VLOOKUP($B2480,Platts!$E$5:$M$4994,MATCH(G$3,Platts!$F$5:$M$5,0)+1,FALSE),G2479)</f>
        <v>92.82</v>
      </c>
      <c r="H2480" s="6">
        <f>IFERROR(VLOOKUP($B2480,Platts!$E$5:$M$4994,MATCH(H$3,Platts!$F$5:$M$5,0)+1,FALSE),H2479)</f>
        <v>87.27</v>
      </c>
      <c r="I2480" s="6">
        <f>IFERROR(VLOOKUP($B2480,Platts!$E$5:$M$4994,MATCH(I$3,Platts!$F$5:$M$5,0)+1,FALSE),I2479)</f>
        <v>90.27</v>
      </c>
      <c r="J2480" s="6">
        <f t="shared" si="78"/>
        <v>6.4500000000000028</v>
      </c>
    </row>
    <row r="2481" spans="2:10" x14ac:dyDescent="0.25">
      <c r="B2481" s="5">
        <f t="shared" si="77"/>
        <v>44847</v>
      </c>
      <c r="C2481" s="6">
        <f>IFERROR(VLOOKUP($B2481,Platts!$E$5:$M$4994,MATCH(C$3,Platts!$F$5:$M$5,0)+1,FALSE),C2480)</f>
        <v>82.45</v>
      </c>
      <c r="D2481" s="6">
        <f>IFERROR(VLOOKUP($B2481,Platts!$E$5:$M$4994,MATCH(D$3,Platts!$F$5:$M$5,0)+1,FALSE),D2480)</f>
        <v>85.6</v>
      </c>
      <c r="E2481" s="6">
        <f>IFERROR(VLOOKUP($B2481,Platts!$E$5:$M$4994,MATCH(E$3,Platts!$F$5:$M$5,0)+1,FALSE),E2480)</f>
        <v>79.400000000000006</v>
      </c>
      <c r="F2481" s="6">
        <f>IFERROR(VLOOKUP($B2481,Platts!$E$5:$M$4994,MATCH(F$3,Platts!$F$5:$M$5,0)+1,FALSE),F2480)</f>
        <v>87</v>
      </c>
      <c r="G2481" s="6">
        <f>IFERROR(VLOOKUP($B2481,Platts!$E$5:$M$4994,MATCH(G$3,Platts!$F$5:$M$5,0)+1,FALSE),G2480)</f>
        <v>93.93</v>
      </c>
      <c r="H2481" s="6">
        <f>IFERROR(VLOOKUP($B2481,Platts!$E$5:$M$4994,MATCH(H$3,Platts!$F$5:$M$5,0)+1,FALSE),H2480)</f>
        <v>89.11</v>
      </c>
      <c r="I2481" s="6">
        <f>IFERROR(VLOOKUP($B2481,Platts!$E$5:$M$4994,MATCH(I$3,Platts!$F$5:$M$5,0)+1,FALSE),I2480)</f>
        <v>92.11</v>
      </c>
      <c r="J2481" s="6">
        <f t="shared" si="78"/>
        <v>6.6599999999999966</v>
      </c>
    </row>
    <row r="2482" spans="2:10" x14ac:dyDescent="0.25">
      <c r="B2482" s="5">
        <f t="shared" si="77"/>
        <v>44848</v>
      </c>
      <c r="C2482" s="6">
        <f>IFERROR(VLOOKUP($B2482,Platts!$E$5:$M$4994,MATCH(C$3,Platts!$F$5:$M$5,0)+1,FALSE),C2481)</f>
        <v>79.680000000000007</v>
      </c>
      <c r="D2482" s="6">
        <f>IFERROR(VLOOKUP($B2482,Platts!$E$5:$M$4994,MATCH(D$3,Platts!$F$5:$M$5,0)+1,FALSE),D2481)</f>
        <v>82.32</v>
      </c>
      <c r="E2482" s="6">
        <f>IFERROR(VLOOKUP($B2482,Platts!$E$5:$M$4994,MATCH(E$3,Platts!$F$5:$M$5,0)+1,FALSE),E2481)</f>
        <v>76.12</v>
      </c>
      <c r="F2482" s="6">
        <f>IFERROR(VLOOKUP($B2482,Platts!$E$5:$M$4994,MATCH(F$3,Platts!$F$5:$M$5,0)+1,FALSE),F2481)</f>
        <v>83.72</v>
      </c>
      <c r="G2482" s="6">
        <f>IFERROR(VLOOKUP($B2482,Platts!$E$5:$M$4994,MATCH(G$3,Platts!$F$5:$M$5,0)+1,FALSE),G2481)</f>
        <v>92.45</v>
      </c>
      <c r="H2482" s="6">
        <f>IFERROR(VLOOKUP($B2482,Platts!$E$5:$M$4994,MATCH(H$3,Platts!$F$5:$M$5,0)+1,FALSE),H2481)</f>
        <v>85.61</v>
      </c>
      <c r="I2482" s="6">
        <f>IFERROR(VLOOKUP($B2482,Platts!$E$5:$M$4994,MATCH(I$3,Platts!$F$5:$M$5,0)+1,FALSE),I2481)</f>
        <v>88.61</v>
      </c>
      <c r="J2482" s="6">
        <f t="shared" si="78"/>
        <v>5.9299999999999926</v>
      </c>
    </row>
    <row r="2483" spans="2:10" x14ac:dyDescent="0.25">
      <c r="B2483" s="5">
        <f t="shared" si="77"/>
        <v>44849</v>
      </c>
      <c r="C2483" s="6">
        <f>IFERROR(VLOOKUP($B2483,Platts!$E$5:$M$4994,MATCH(C$3,Platts!$F$5:$M$5,0)+1,FALSE),C2482)</f>
        <v>79.680000000000007</v>
      </c>
      <c r="D2483" s="6">
        <f>IFERROR(VLOOKUP($B2483,Platts!$E$5:$M$4994,MATCH(D$3,Platts!$F$5:$M$5,0)+1,FALSE),D2482)</f>
        <v>82.32</v>
      </c>
      <c r="E2483" s="6">
        <f>IFERROR(VLOOKUP($B2483,Platts!$E$5:$M$4994,MATCH(E$3,Platts!$F$5:$M$5,0)+1,FALSE),E2482)</f>
        <v>76.12</v>
      </c>
      <c r="F2483" s="6">
        <f>IFERROR(VLOOKUP($B2483,Platts!$E$5:$M$4994,MATCH(F$3,Platts!$F$5:$M$5,0)+1,FALSE),F2482)</f>
        <v>83.72</v>
      </c>
      <c r="G2483" s="6">
        <f>IFERROR(VLOOKUP($B2483,Platts!$E$5:$M$4994,MATCH(G$3,Platts!$F$5:$M$5,0)+1,FALSE),G2482)</f>
        <v>92.45</v>
      </c>
      <c r="H2483" s="6">
        <f>IFERROR(VLOOKUP($B2483,Platts!$E$5:$M$4994,MATCH(H$3,Platts!$F$5:$M$5,0)+1,FALSE),H2482)</f>
        <v>85.61</v>
      </c>
      <c r="I2483" s="6">
        <f>IFERROR(VLOOKUP($B2483,Platts!$E$5:$M$4994,MATCH(I$3,Platts!$F$5:$M$5,0)+1,FALSE),I2482)</f>
        <v>88.61</v>
      </c>
      <c r="J2483" s="6">
        <f t="shared" si="78"/>
        <v>5.9299999999999926</v>
      </c>
    </row>
    <row r="2484" spans="2:10" x14ac:dyDescent="0.25">
      <c r="B2484" s="5">
        <f t="shared" si="77"/>
        <v>44850</v>
      </c>
      <c r="C2484" s="6">
        <f>IFERROR(VLOOKUP($B2484,Platts!$E$5:$M$4994,MATCH(C$3,Platts!$F$5:$M$5,0)+1,FALSE),C2483)</f>
        <v>79.680000000000007</v>
      </c>
      <c r="D2484" s="6">
        <f>IFERROR(VLOOKUP($B2484,Platts!$E$5:$M$4994,MATCH(D$3,Platts!$F$5:$M$5,0)+1,FALSE),D2483)</f>
        <v>82.32</v>
      </c>
      <c r="E2484" s="6">
        <f>IFERROR(VLOOKUP($B2484,Platts!$E$5:$M$4994,MATCH(E$3,Platts!$F$5:$M$5,0)+1,FALSE),E2483)</f>
        <v>76.12</v>
      </c>
      <c r="F2484" s="6">
        <f>IFERROR(VLOOKUP($B2484,Platts!$E$5:$M$4994,MATCH(F$3,Platts!$F$5:$M$5,0)+1,FALSE),F2483)</f>
        <v>83.72</v>
      </c>
      <c r="G2484" s="6">
        <f>IFERROR(VLOOKUP($B2484,Platts!$E$5:$M$4994,MATCH(G$3,Platts!$F$5:$M$5,0)+1,FALSE),G2483)</f>
        <v>92.45</v>
      </c>
      <c r="H2484" s="6">
        <f>IFERROR(VLOOKUP($B2484,Platts!$E$5:$M$4994,MATCH(H$3,Platts!$F$5:$M$5,0)+1,FALSE),H2483)</f>
        <v>85.61</v>
      </c>
      <c r="I2484" s="6">
        <f>IFERROR(VLOOKUP($B2484,Platts!$E$5:$M$4994,MATCH(I$3,Platts!$F$5:$M$5,0)+1,FALSE),I2483)</f>
        <v>88.61</v>
      </c>
      <c r="J2484" s="6">
        <f t="shared" si="78"/>
        <v>5.9299999999999926</v>
      </c>
    </row>
    <row r="2485" spans="2:10" x14ac:dyDescent="0.25">
      <c r="B2485" s="5">
        <f t="shared" si="77"/>
        <v>44851</v>
      </c>
      <c r="C2485" s="6">
        <f>IFERROR(VLOOKUP($B2485,Platts!$E$5:$M$4994,MATCH(C$3,Platts!$F$5:$M$5,0)+1,FALSE),C2484)</f>
        <v>79.42</v>
      </c>
      <c r="D2485" s="6">
        <f>IFERROR(VLOOKUP($B2485,Platts!$E$5:$M$4994,MATCH(D$3,Platts!$F$5:$M$5,0)+1,FALSE),D2484)</f>
        <v>82.29</v>
      </c>
      <c r="E2485" s="6">
        <f>IFERROR(VLOOKUP($B2485,Platts!$E$5:$M$4994,MATCH(E$3,Platts!$F$5:$M$5,0)+1,FALSE),E2484)</f>
        <v>76.09</v>
      </c>
      <c r="F2485" s="6">
        <f>IFERROR(VLOOKUP($B2485,Platts!$E$5:$M$4994,MATCH(F$3,Platts!$F$5:$M$5,0)+1,FALSE),F2484)</f>
        <v>83.69</v>
      </c>
      <c r="G2485" s="6">
        <f>IFERROR(VLOOKUP($B2485,Platts!$E$5:$M$4994,MATCH(G$3,Platts!$F$5:$M$5,0)+1,FALSE),G2484)</f>
        <v>91.86</v>
      </c>
      <c r="H2485" s="6">
        <f>IFERROR(VLOOKUP($B2485,Platts!$E$5:$M$4994,MATCH(H$3,Platts!$F$5:$M$5,0)+1,FALSE),H2484)</f>
        <v>85.46</v>
      </c>
      <c r="I2485" s="6">
        <f>IFERROR(VLOOKUP($B2485,Platts!$E$5:$M$4994,MATCH(I$3,Platts!$F$5:$M$5,0)+1,FALSE),I2484)</f>
        <v>88.46</v>
      </c>
      <c r="J2485" s="6">
        <f t="shared" si="78"/>
        <v>6.039999999999992</v>
      </c>
    </row>
    <row r="2486" spans="2:10" x14ac:dyDescent="0.25">
      <c r="B2486" s="5">
        <f t="shared" si="77"/>
        <v>44852</v>
      </c>
      <c r="C2486" s="6">
        <f>IFERROR(VLOOKUP($B2486,Platts!$E$5:$M$4994,MATCH(C$3,Platts!$F$5:$M$5,0)+1,FALSE),C2485)</f>
        <v>77.47</v>
      </c>
      <c r="D2486" s="6">
        <f>IFERROR(VLOOKUP($B2486,Platts!$E$5:$M$4994,MATCH(D$3,Platts!$F$5:$M$5,0)+1,FALSE),D2485)</f>
        <v>80.02</v>
      </c>
      <c r="E2486" s="6">
        <f>IFERROR(VLOOKUP($B2486,Platts!$E$5:$M$4994,MATCH(E$3,Platts!$F$5:$M$5,0)+1,FALSE),E2485)</f>
        <v>73.819999999999993</v>
      </c>
      <c r="F2486" s="6">
        <f>IFERROR(VLOOKUP($B2486,Platts!$E$5:$M$4994,MATCH(F$3,Platts!$F$5:$M$5,0)+1,FALSE),F2485)</f>
        <v>81.42</v>
      </c>
      <c r="G2486" s="6">
        <f>IFERROR(VLOOKUP($B2486,Platts!$E$5:$M$4994,MATCH(G$3,Platts!$F$5:$M$5,0)+1,FALSE),G2485)</f>
        <v>89.15</v>
      </c>
      <c r="H2486" s="6">
        <f>IFERROR(VLOOKUP($B2486,Platts!$E$5:$M$4994,MATCH(H$3,Platts!$F$5:$M$5,0)+1,FALSE),H2485)</f>
        <v>82.82</v>
      </c>
      <c r="I2486" s="6">
        <f>IFERROR(VLOOKUP($B2486,Platts!$E$5:$M$4994,MATCH(I$3,Platts!$F$5:$M$5,0)+1,FALSE),I2485)</f>
        <v>86.32</v>
      </c>
      <c r="J2486" s="6">
        <f t="shared" si="78"/>
        <v>5.3499999999999943</v>
      </c>
    </row>
    <row r="2487" spans="2:10" x14ac:dyDescent="0.25">
      <c r="B2487" s="5">
        <f t="shared" si="77"/>
        <v>44853</v>
      </c>
      <c r="C2487" s="6">
        <f>IFERROR(VLOOKUP($B2487,Platts!$E$5:$M$4994,MATCH(C$3,Platts!$F$5:$M$5,0)+1,FALSE),C2486)</f>
        <v>79.39</v>
      </c>
      <c r="D2487" s="6">
        <f>IFERROR(VLOOKUP($B2487,Platts!$E$5:$M$4994,MATCH(D$3,Platts!$F$5:$M$5,0)+1,FALSE),D2486)</f>
        <v>82.43</v>
      </c>
      <c r="E2487" s="6">
        <f>IFERROR(VLOOKUP($B2487,Platts!$E$5:$M$4994,MATCH(E$3,Platts!$F$5:$M$5,0)+1,FALSE),E2486)</f>
        <v>76.23</v>
      </c>
      <c r="F2487" s="6">
        <f>IFERROR(VLOOKUP($B2487,Platts!$E$5:$M$4994,MATCH(F$3,Platts!$F$5:$M$5,0)+1,FALSE),F2486)</f>
        <v>83.83</v>
      </c>
      <c r="G2487" s="6">
        <f>IFERROR(VLOOKUP($B2487,Platts!$E$5:$M$4994,MATCH(G$3,Platts!$F$5:$M$5,0)+1,FALSE),G2486)</f>
        <v>90.77</v>
      </c>
      <c r="H2487" s="6">
        <f>IFERROR(VLOOKUP($B2487,Platts!$E$5:$M$4994,MATCH(H$3,Platts!$F$5:$M$5,0)+1,FALSE),H2486)</f>
        <v>85.55</v>
      </c>
      <c r="I2487" s="6">
        <f>IFERROR(VLOOKUP($B2487,Platts!$E$5:$M$4994,MATCH(I$3,Platts!$F$5:$M$5,0)+1,FALSE),I2486)</f>
        <v>89.05</v>
      </c>
      <c r="J2487" s="6">
        <f t="shared" si="78"/>
        <v>6.1599999999999966</v>
      </c>
    </row>
    <row r="2488" spans="2:10" x14ac:dyDescent="0.25">
      <c r="B2488" s="5">
        <f t="shared" si="77"/>
        <v>44854</v>
      </c>
      <c r="C2488" s="6">
        <f>IFERROR(VLOOKUP($B2488,Platts!$E$5:$M$4994,MATCH(C$3,Platts!$F$5:$M$5,0)+1,FALSE),C2487)</f>
        <v>79.819999999999993</v>
      </c>
      <c r="D2488" s="6">
        <f>IFERROR(VLOOKUP($B2488,Platts!$E$5:$M$4994,MATCH(D$3,Platts!$F$5:$M$5,0)+1,FALSE),D2487)</f>
        <v>82.5</v>
      </c>
      <c r="E2488" s="6">
        <f>IFERROR(VLOOKUP($B2488,Platts!$E$5:$M$4994,MATCH(E$3,Platts!$F$5:$M$5,0)+1,FALSE),E2487)</f>
        <v>76.3</v>
      </c>
      <c r="F2488" s="6">
        <f>IFERROR(VLOOKUP($B2488,Platts!$E$5:$M$4994,MATCH(F$3,Platts!$F$5:$M$5,0)+1,FALSE),F2487)</f>
        <v>83.9</v>
      </c>
      <c r="G2488" s="6">
        <f>IFERROR(VLOOKUP($B2488,Platts!$E$5:$M$4994,MATCH(G$3,Platts!$F$5:$M$5,0)+1,FALSE),G2487)</f>
        <v>93.62</v>
      </c>
      <c r="H2488" s="6">
        <f>IFERROR(VLOOKUP($B2488,Platts!$E$5:$M$4994,MATCH(H$3,Platts!$F$5:$M$5,0)+1,FALSE),H2487)</f>
        <v>85.98</v>
      </c>
      <c r="I2488" s="6">
        <f>IFERROR(VLOOKUP($B2488,Platts!$E$5:$M$4994,MATCH(I$3,Platts!$F$5:$M$5,0)+1,FALSE),I2487)</f>
        <v>89.38</v>
      </c>
      <c r="J2488" s="6">
        <f t="shared" si="78"/>
        <v>6.1600000000000108</v>
      </c>
    </row>
    <row r="2489" spans="2:10" x14ac:dyDescent="0.25">
      <c r="B2489" s="5">
        <f t="shared" si="77"/>
        <v>44855</v>
      </c>
      <c r="C2489" s="6">
        <f>IFERROR(VLOOKUP($B2489,Platts!$E$5:$M$4994,MATCH(C$3,Platts!$F$5:$M$5,0)+1,FALSE),C2488)</f>
        <v>80.75</v>
      </c>
      <c r="D2489" s="6">
        <f>IFERROR(VLOOKUP($B2489,Platts!$E$5:$M$4994,MATCH(D$3,Platts!$F$5:$M$5,0)+1,FALSE),D2488)</f>
        <v>83.43</v>
      </c>
      <c r="E2489" s="6">
        <f>IFERROR(VLOOKUP($B2489,Platts!$E$5:$M$4994,MATCH(E$3,Platts!$F$5:$M$5,0)+1,FALSE),E2488)</f>
        <v>77.23</v>
      </c>
      <c r="F2489" s="6">
        <f>IFERROR(VLOOKUP($B2489,Platts!$E$5:$M$4994,MATCH(F$3,Platts!$F$5:$M$5,0)+1,FALSE),F2488)</f>
        <v>84.83</v>
      </c>
      <c r="G2489" s="6">
        <f>IFERROR(VLOOKUP($B2489,Platts!$E$5:$M$4994,MATCH(G$3,Platts!$F$5:$M$5,0)+1,FALSE),G2488)</f>
        <v>92.99</v>
      </c>
      <c r="H2489" s="6">
        <f>IFERROR(VLOOKUP($B2489,Platts!$E$5:$M$4994,MATCH(H$3,Platts!$F$5:$M$5,0)+1,FALSE),H2488)</f>
        <v>86.7</v>
      </c>
      <c r="I2489" s="6">
        <f>IFERROR(VLOOKUP($B2489,Platts!$E$5:$M$4994,MATCH(I$3,Platts!$F$5:$M$5,0)+1,FALSE),I2488)</f>
        <v>90.1</v>
      </c>
      <c r="J2489" s="6">
        <f t="shared" si="78"/>
        <v>5.9500000000000028</v>
      </c>
    </row>
    <row r="2490" spans="2:10" x14ac:dyDescent="0.25">
      <c r="B2490" s="5">
        <f t="shared" si="77"/>
        <v>44856</v>
      </c>
      <c r="C2490" s="6">
        <f>IFERROR(VLOOKUP($B2490,Platts!$E$5:$M$4994,MATCH(C$3,Platts!$F$5:$M$5,0)+1,FALSE),C2489)</f>
        <v>80.75</v>
      </c>
      <c r="D2490" s="6">
        <f>IFERROR(VLOOKUP($B2490,Platts!$E$5:$M$4994,MATCH(D$3,Platts!$F$5:$M$5,0)+1,FALSE),D2489)</f>
        <v>83.43</v>
      </c>
      <c r="E2490" s="6">
        <f>IFERROR(VLOOKUP($B2490,Platts!$E$5:$M$4994,MATCH(E$3,Platts!$F$5:$M$5,0)+1,FALSE),E2489)</f>
        <v>77.23</v>
      </c>
      <c r="F2490" s="6">
        <f>IFERROR(VLOOKUP($B2490,Platts!$E$5:$M$4994,MATCH(F$3,Platts!$F$5:$M$5,0)+1,FALSE),F2489)</f>
        <v>84.83</v>
      </c>
      <c r="G2490" s="6">
        <f>IFERROR(VLOOKUP($B2490,Platts!$E$5:$M$4994,MATCH(G$3,Platts!$F$5:$M$5,0)+1,FALSE),G2489)</f>
        <v>92.99</v>
      </c>
      <c r="H2490" s="6">
        <f>IFERROR(VLOOKUP($B2490,Platts!$E$5:$M$4994,MATCH(H$3,Platts!$F$5:$M$5,0)+1,FALSE),H2489)</f>
        <v>86.7</v>
      </c>
      <c r="I2490" s="6">
        <f>IFERROR(VLOOKUP($B2490,Platts!$E$5:$M$4994,MATCH(I$3,Platts!$F$5:$M$5,0)+1,FALSE),I2489)</f>
        <v>90.1</v>
      </c>
      <c r="J2490" s="6">
        <f t="shared" si="78"/>
        <v>5.9500000000000028</v>
      </c>
    </row>
    <row r="2491" spans="2:10" x14ac:dyDescent="0.25">
      <c r="B2491" s="5">
        <f t="shared" si="77"/>
        <v>44857</v>
      </c>
      <c r="C2491" s="6">
        <f>IFERROR(VLOOKUP($B2491,Platts!$E$5:$M$4994,MATCH(C$3,Platts!$F$5:$M$5,0)+1,FALSE),C2490)</f>
        <v>80.75</v>
      </c>
      <c r="D2491" s="6">
        <f>IFERROR(VLOOKUP($B2491,Platts!$E$5:$M$4994,MATCH(D$3,Platts!$F$5:$M$5,0)+1,FALSE),D2490)</f>
        <v>83.43</v>
      </c>
      <c r="E2491" s="6">
        <f>IFERROR(VLOOKUP($B2491,Platts!$E$5:$M$4994,MATCH(E$3,Platts!$F$5:$M$5,0)+1,FALSE),E2490)</f>
        <v>77.23</v>
      </c>
      <c r="F2491" s="6">
        <f>IFERROR(VLOOKUP($B2491,Platts!$E$5:$M$4994,MATCH(F$3,Platts!$F$5:$M$5,0)+1,FALSE),F2490)</f>
        <v>84.83</v>
      </c>
      <c r="G2491" s="6">
        <f>IFERROR(VLOOKUP($B2491,Platts!$E$5:$M$4994,MATCH(G$3,Platts!$F$5:$M$5,0)+1,FALSE),G2490)</f>
        <v>92.99</v>
      </c>
      <c r="H2491" s="6">
        <f>IFERROR(VLOOKUP($B2491,Platts!$E$5:$M$4994,MATCH(H$3,Platts!$F$5:$M$5,0)+1,FALSE),H2490)</f>
        <v>86.7</v>
      </c>
      <c r="I2491" s="6">
        <f>IFERROR(VLOOKUP($B2491,Platts!$E$5:$M$4994,MATCH(I$3,Platts!$F$5:$M$5,0)+1,FALSE),I2490)</f>
        <v>90.1</v>
      </c>
      <c r="J2491" s="6">
        <f t="shared" si="78"/>
        <v>5.9500000000000028</v>
      </c>
    </row>
    <row r="2492" spans="2:10" x14ac:dyDescent="0.25">
      <c r="B2492" s="5">
        <f t="shared" si="77"/>
        <v>44858</v>
      </c>
      <c r="C2492" s="6">
        <f>IFERROR(VLOOKUP($B2492,Platts!$E$5:$M$4994,MATCH(C$3,Platts!$F$5:$M$5,0)+1,FALSE),C2491)</f>
        <v>80.75</v>
      </c>
      <c r="D2492" s="6">
        <f>IFERROR(VLOOKUP($B2492,Platts!$E$5:$M$4994,MATCH(D$3,Platts!$F$5:$M$5,0)+1,FALSE),D2491)</f>
        <v>82.91</v>
      </c>
      <c r="E2492" s="6">
        <f>IFERROR(VLOOKUP($B2492,Platts!$E$5:$M$4994,MATCH(E$3,Platts!$F$5:$M$5,0)+1,FALSE),E2491)</f>
        <v>76.709999999999994</v>
      </c>
      <c r="F2492" s="6">
        <f>IFERROR(VLOOKUP($B2492,Platts!$E$5:$M$4994,MATCH(F$3,Platts!$F$5:$M$5,0)+1,FALSE),F2491)</f>
        <v>84.31</v>
      </c>
      <c r="G2492" s="6">
        <f>IFERROR(VLOOKUP($B2492,Platts!$E$5:$M$4994,MATCH(G$3,Platts!$F$5:$M$5,0)+1,FALSE),G2491)</f>
        <v>93.31</v>
      </c>
      <c r="H2492" s="6">
        <f>IFERROR(VLOOKUP($B2492,Platts!$E$5:$M$4994,MATCH(H$3,Platts!$F$5:$M$5,0)+1,FALSE),H2491)</f>
        <v>86.23</v>
      </c>
      <c r="I2492" s="6">
        <f>IFERROR(VLOOKUP($B2492,Platts!$E$5:$M$4994,MATCH(I$3,Platts!$F$5:$M$5,0)+1,FALSE),I2491)</f>
        <v>89.43</v>
      </c>
      <c r="J2492" s="6">
        <f t="shared" si="78"/>
        <v>5.480000000000004</v>
      </c>
    </row>
    <row r="2493" spans="2:10" x14ac:dyDescent="0.25">
      <c r="B2493" s="5">
        <f t="shared" si="77"/>
        <v>44859</v>
      </c>
      <c r="C2493" s="6">
        <f>IFERROR(VLOOKUP($B2493,Platts!$E$5:$M$4994,MATCH(C$3,Platts!$F$5:$M$5,0)+1,FALSE),C2492)</f>
        <v>80.540000000000006</v>
      </c>
      <c r="D2493" s="6">
        <f>IFERROR(VLOOKUP($B2493,Platts!$E$5:$M$4994,MATCH(D$3,Platts!$F$5:$M$5,0)+1,FALSE),D2492)</f>
        <v>83.23</v>
      </c>
      <c r="E2493" s="6">
        <f>IFERROR(VLOOKUP($B2493,Platts!$E$5:$M$4994,MATCH(E$3,Platts!$F$5:$M$5,0)+1,FALSE),E2492)</f>
        <v>77.03</v>
      </c>
      <c r="F2493" s="6">
        <f>IFERROR(VLOOKUP($B2493,Platts!$E$5:$M$4994,MATCH(F$3,Platts!$F$5:$M$5,0)+1,FALSE),F2492)</f>
        <v>84.63</v>
      </c>
      <c r="G2493" s="6">
        <f>IFERROR(VLOOKUP($B2493,Platts!$E$5:$M$4994,MATCH(G$3,Platts!$F$5:$M$5,0)+1,FALSE),G2492)</f>
        <v>93.51</v>
      </c>
      <c r="H2493" s="6">
        <f>IFERROR(VLOOKUP($B2493,Platts!$E$5:$M$4994,MATCH(H$3,Platts!$F$5:$M$5,0)+1,FALSE),H2492)</f>
        <v>86.93</v>
      </c>
      <c r="I2493" s="6">
        <f>IFERROR(VLOOKUP($B2493,Platts!$E$5:$M$4994,MATCH(I$3,Platts!$F$5:$M$5,0)+1,FALSE),I2492)</f>
        <v>88.88</v>
      </c>
      <c r="J2493" s="6">
        <f t="shared" si="78"/>
        <v>6.3900000000000006</v>
      </c>
    </row>
    <row r="2494" spans="2:10" x14ac:dyDescent="0.25">
      <c r="B2494" s="5">
        <f t="shared" si="77"/>
        <v>44860</v>
      </c>
      <c r="C2494" s="6">
        <f>IFERROR(VLOOKUP($B2494,Platts!$E$5:$M$4994,MATCH(C$3,Platts!$F$5:$M$5,0)+1,FALSE),C2493)</f>
        <v>82.38</v>
      </c>
      <c r="D2494" s="6">
        <f>IFERROR(VLOOKUP($B2494,Platts!$E$5:$M$4994,MATCH(D$3,Platts!$F$5:$M$5,0)+1,FALSE),D2493)</f>
        <v>85.01</v>
      </c>
      <c r="E2494" s="6">
        <f>IFERROR(VLOOKUP($B2494,Platts!$E$5:$M$4994,MATCH(E$3,Platts!$F$5:$M$5,0)+1,FALSE),E2493)</f>
        <v>78.81</v>
      </c>
      <c r="F2494" s="6">
        <f>IFERROR(VLOOKUP($B2494,Platts!$E$5:$M$4994,MATCH(F$3,Platts!$F$5:$M$5,0)+1,FALSE),F2493)</f>
        <v>86.41</v>
      </c>
      <c r="G2494" s="6">
        <f>IFERROR(VLOOKUP($B2494,Platts!$E$5:$M$4994,MATCH(G$3,Platts!$F$5:$M$5,0)+1,FALSE),G2493)</f>
        <v>95.96</v>
      </c>
      <c r="H2494" s="6">
        <f>IFERROR(VLOOKUP($B2494,Platts!$E$5:$M$4994,MATCH(H$3,Platts!$F$5:$M$5,0)+1,FALSE),H2493)</f>
        <v>87.91</v>
      </c>
      <c r="I2494" s="6">
        <f>IFERROR(VLOOKUP($B2494,Platts!$E$5:$M$4994,MATCH(I$3,Platts!$F$5:$M$5,0)+1,FALSE),I2493)</f>
        <v>90.61</v>
      </c>
      <c r="J2494" s="6">
        <f t="shared" si="78"/>
        <v>5.5300000000000011</v>
      </c>
    </row>
    <row r="2495" spans="2:10" x14ac:dyDescent="0.25">
      <c r="B2495" s="5">
        <f t="shared" si="77"/>
        <v>44861</v>
      </c>
      <c r="C2495" s="6">
        <f>IFERROR(VLOOKUP($B2495,Platts!$E$5:$M$4994,MATCH(C$3,Platts!$F$5:$M$5,0)+1,FALSE),C2494)</f>
        <v>83.65</v>
      </c>
      <c r="D2495" s="6">
        <f>IFERROR(VLOOKUP($B2495,Platts!$E$5:$M$4994,MATCH(D$3,Platts!$F$5:$M$5,0)+1,FALSE),D2494)</f>
        <v>86.15</v>
      </c>
      <c r="E2495" s="6">
        <f>IFERROR(VLOOKUP($B2495,Platts!$E$5:$M$4994,MATCH(E$3,Platts!$F$5:$M$5,0)+1,FALSE),E2494)</f>
        <v>79.95</v>
      </c>
      <c r="F2495" s="6">
        <f>IFERROR(VLOOKUP($B2495,Platts!$E$5:$M$4994,MATCH(F$3,Platts!$F$5:$M$5,0)+1,FALSE),F2494)</f>
        <v>87.55</v>
      </c>
      <c r="G2495" s="6">
        <f>IFERROR(VLOOKUP($B2495,Platts!$E$5:$M$4994,MATCH(G$3,Platts!$F$5:$M$5,0)+1,FALSE),G2494)</f>
        <v>97.07</v>
      </c>
      <c r="H2495" s="6">
        <f>IFERROR(VLOOKUP($B2495,Platts!$E$5:$M$4994,MATCH(H$3,Platts!$F$5:$M$5,0)+1,FALSE),H2494)</f>
        <v>89.08</v>
      </c>
      <c r="I2495" s="6">
        <f>IFERROR(VLOOKUP($B2495,Platts!$E$5:$M$4994,MATCH(I$3,Platts!$F$5:$M$5,0)+1,FALSE),I2494)</f>
        <v>91.63</v>
      </c>
      <c r="J2495" s="6">
        <f t="shared" si="78"/>
        <v>5.4299999999999926</v>
      </c>
    </row>
    <row r="2496" spans="2:10" x14ac:dyDescent="0.25">
      <c r="B2496" s="5">
        <f t="shared" si="77"/>
        <v>44862</v>
      </c>
      <c r="C2496" s="6">
        <f>IFERROR(VLOOKUP($B2496,Platts!$E$5:$M$4994,MATCH(C$3,Platts!$F$5:$M$5,0)+1,FALSE),C2495)</f>
        <v>82.61</v>
      </c>
      <c r="D2496" s="6">
        <f>IFERROR(VLOOKUP($B2496,Platts!$E$5:$M$4994,MATCH(D$3,Platts!$F$5:$M$5,0)+1,FALSE),D2495)</f>
        <v>84.970000000000013</v>
      </c>
      <c r="E2496" s="6">
        <f>IFERROR(VLOOKUP($B2496,Platts!$E$5:$M$4994,MATCH(E$3,Platts!$F$5:$M$5,0)+1,FALSE),E2495)</f>
        <v>78.8</v>
      </c>
      <c r="F2496" s="6">
        <f>IFERROR(VLOOKUP($B2496,Platts!$E$5:$M$4994,MATCH(F$3,Platts!$F$5:$M$5,0)+1,FALSE),F2495)</f>
        <v>86.4</v>
      </c>
      <c r="G2496" s="6">
        <f>IFERROR(VLOOKUP($B2496,Platts!$E$5:$M$4994,MATCH(G$3,Platts!$F$5:$M$5,0)+1,FALSE),G2495)</f>
        <v>95.66</v>
      </c>
      <c r="H2496" s="6">
        <f>IFERROR(VLOOKUP($B2496,Platts!$E$5:$M$4994,MATCH(H$3,Platts!$F$5:$M$5,0)+1,FALSE),H2495)</f>
        <v>87.9</v>
      </c>
      <c r="I2496" s="6">
        <f>IFERROR(VLOOKUP($B2496,Platts!$E$5:$M$4994,MATCH(I$3,Platts!$F$5:$M$5,0)+1,FALSE),I2495)</f>
        <v>90.4</v>
      </c>
      <c r="J2496" s="6">
        <f t="shared" si="78"/>
        <v>5.2900000000000063</v>
      </c>
    </row>
    <row r="2497" spans="2:10" x14ac:dyDescent="0.25">
      <c r="B2497" s="5">
        <f t="shared" si="77"/>
        <v>44863</v>
      </c>
      <c r="C2497" s="6">
        <f>IFERROR(VLOOKUP($B2497,Platts!$E$5:$M$4994,MATCH(C$3,Platts!$F$5:$M$5,0)+1,FALSE),C2496)</f>
        <v>82.61</v>
      </c>
      <c r="D2497" s="6">
        <f>IFERROR(VLOOKUP($B2497,Platts!$E$5:$M$4994,MATCH(D$3,Platts!$F$5:$M$5,0)+1,FALSE),D2496)</f>
        <v>84.970000000000013</v>
      </c>
      <c r="E2497" s="6">
        <f>IFERROR(VLOOKUP($B2497,Platts!$E$5:$M$4994,MATCH(E$3,Platts!$F$5:$M$5,0)+1,FALSE),E2496)</f>
        <v>78.8</v>
      </c>
      <c r="F2497" s="6">
        <f>IFERROR(VLOOKUP($B2497,Platts!$E$5:$M$4994,MATCH(F$3,Platts!$F$5:$M$5,0)+1,FALSE),F2496)</f>
        <v>86.4</v>
      </c>
      <c r="G2497" s="6">
        <f>IFERROR(VLOOKUP($B2497,Platts!$E$5:$M$4994,MATCH(G$3,Platts!$F$5:$M$5,0)+1,FALSE),G2496)</f>
        <v>95.66</v>
      </c>
      <c r="H2497" s="6">
        <f>IFERROR(VLOOKUP($B2497,Platts!$E$5:$M$4994,MATCH(H$3,Platts!$F$5:$M$5,0)+1,FALSE),H2496)</f>
        <v>87.9</v>
      </c>
      <c r="I2497" s="6">
        <f>IFERROR(VLOOKUP($B2497,Platts!$E$5:$M$4994,MATCH(I$3,Platts!$F$5:$M$5,0)+1,FALSE),I2496)</f>
        <v>90.4</v>
      </c>
      <c r="J2497" s="6">
        <f t="shared" si="78"/>
        <v>5.2900000000000063</v>
      </c>
    </row>
    <row r="2498" spans="2:10" x14ac:dyDescent="0.25">
      <c r="B2498" s="5">
        <f t="shared" si="77"/>
        <v>44864</v>
      </c>
      <c r="C2498" s="6">
        <f>IFERROR(VLOOKUP($B2498,Platts!$E$5:$M$4994,MATCH(C$3,Platts!$F$5:$M$5,0)+1,FALSE),C2497)</f>
        <v>82.61</v>
      </c>
      <c r="D2498" s="6">
        <f>IFERROR(VLOOKUP($B2498,Platts!$E$5:$M$4994,MATCH(D$3,Platts!$F$5:$M$5,0)+1,FALSE),D2497)</f>
        <v>84.970000000000013</v>
      </c>
      <c r="E2498" s="6">
        <f>IFERROR(VLOOKUP($B2498,Platts!$E$5:$M$4994,MATCH(E$3,Platts!$F$5:$M$5,0)+1,FALSE),E2497)</f>
        <v>78.8</v>
      </c>
      <c r="F2498" s="6">
        <f>IFERROR(VLOOKUP($B2498,Platts!$E$5:$M$4994,MATCH(F$3,Platts!$F$5:$M$5,0)+1,FALSE),F2497)</f>
        <v>86.4</v>
      </c>
      <c r="G2498" s="6">
        <f>IFERROR(VLOOKUP($B2498,Platts!$E$5:$M$4994,MATCH(G$3,Platts!$F$5:$M$5,0)+1,FALSE),G2497)</f>
        <v>95.66</v>
      </c>
      <c r="H2498" s="6">
        <f>IFERROR(VLOOKUP($B2498,Platts!$E$5:$M$4994,MATCH(H$3,Platts!$F$5:$M$5,0)+1,FALSE),H2497)</f>
        <v>87.9</v>
      </c>
      <c r="I2498" s="6">
        <f>IFERROR(VLOOKUP($B2498,Platts!$E$5:$M$4994,MATCH(I$3,Platts!$F$5:$M$5,0)+1,FALSE),I2497)</f>
        <v>90.4</v>
      </c>
      <c r="J2498" s="6">
        <f t="shared" si="78"/>
        <v>5.2900000000000063</v>
      </c>
    </row>
    <row r="2499" spans="2:10" x14ac:dyDescent="0.25">
      <c r="B2499" s="5">
        <f t="shared" si="77"/>
        <v>44865</v>
      </c>
      <c r="C2499" s="6">
        <f>IFERROR(VLOOKUP($B2499,Platts!$E$5:$M$4994,MATCH(C$3,Platts!$F$5:$M$5,0)+1,FALSE),C2498)</f>
        <v>81.39</v>
      </c>
      <c r="D2499" s="6">
        <f>IFERROR(VLOOKUP($B2499,Platts!$E$5:$M$4994,MATCH(D$3,Platts!$F$5:$M$5,0)+1,FALSE),D2498)</f>
        <v>83.78</v>
      </c>
      <c r="E2499" s="6">
        <f>IFERROR(VLOOKUP($B2499,Platts!$E$5:$M$4994,MATCH(E$3,Platts!$F$5:$M$5,0)+1,FALSE),E2498)</f>
        <v>77.58</v>
      </c>
      <c r="F2499" s="6">
        <f>IFERROR(VLOOKUP($B2499,Platts!$E$5:$M$4994,MATCH(F$3,Platts!$F$5:$M$5,0)+1,FALSE),F2498)</f>
        <v>85.18</v>
      </c>
      <c r="G2499" s="6">
        <f>IFERROR(VLOOKUP($B2499,Platts!$E$5:$M$4994,MATCH(G$3,Platts!$F$5:$M$5,0)+1,FALSE),G2498)</f>
        <v>94.76</v>
      </c>
      <c r="H2499" s="6">
        <f>IFERROR(VLOOKUP($B2499,Platts!$E$5:$M$4994,MATCH(H$3,Platts!$F$5:$M$5,0)+1,FALSE),H2498)</f>
        <v>86.53</v>
      </c>
      <c r="I2499" s="6">
        <f>IFERROR(VLOOKUP($B2499,Platts!$E$5:$M$4994,MATCH(I$3,Platts!$F$5:$M$5,0)+1,FALSE),I2498)</f>
        <v>89.03</v>
      </c>
      <c r="J2499" s="6">
        <f t="shared" si="78"/>
        <v>5.1400000000000006</v>
      </c>
    </row>
    <row r="2500" spans="2:10" x14ac:dyDescent="0.25">
      <c r="B2500" s="5">
        <f t="shared" si="77"/>
        <v>44866</v>
      </c>
      <c r="C2500" s="6">
        <v>81.400000000000006</v>
      </c>
      <c r="D2500" s="6">
        <f>IFERROR(VLOOKUP($B2500,Platts!$E$5:$M$4994,MATCH(D$3,Platts!$F$5:$M$5,0)+1,FALSE),D2499)</f>
        <v>83.08</v>
      </c>
      <c r="E2500" s="6">
        <f>IFERROR(VLOOKUP($B2500,Platts!$E$5:$M$4994,MATCH(E$3,Platts!$F$5:$M$5,0)+1,FALSE),E2499)</f>
        <v>78.63</v>
      </c>
      <c r="F2500" s="6">
        <f>IFERROR(VLOOKUP($B2500,Platts!$E$5:$M$4994,MATCH(F$3,Platts!$F$5:$M$5,0)+1,FALSE),F2499)</f>
        <v>85.33</v>
      </c>
      <c r="G2500" s="6">
        <f>IFERROR(VLOOKUP($B2500,Platts!$E$5:$M$4994,MATCH(G$3,Platts!$F$5:$M$5,0)+1,FALSE),G2499)</f>
        <v>94.65</v>
      </c>
      <c r="H2500" s="6">
        <f>IFERROR(VLOOKUP($B2500,Platts!$E$5:$M$4994,MATCH(H$3,Platts!$F$5:$M$5,0)+1,FALSE),H2499)</f>
        <v>88.37</v>
      </c>
      <c r="I2500" s="6">
        <f>IFERROR(VLOOKUP($B2500,Platts!$E$5:$M$4994,MATCH(I$3,Platts!$F$5:$M$5,0)+1,FALSE),I2499)</f>
        <v>90.92</v>
      </c>
      <c r="J2500" s="6">
        <f t="shared" si="78"/>
        <v>6.9699999999999989</v>
      </c>
    </row>
    <row r="2501" spans="2:10" x14ac:dyDescent="0.25">
      <c r="B2501" s="5">
        <f t="shared" si="77"/>
        <v>44867</v>
      </c>
      <c r="C2501" s="6">
        <f>IFERROR(VLOOKUP($B2501,Platts!$E$5:$M$4994,MATCH(C$3,Platts!$F$5:$M$5,0)+1,FALSE),C2500)</f>
        <v>82.95</v>
      </c>
      <c r="D2501" s="6">
        <f>IFERROR(VLOOKUP($B2501,Platts!$E$5:$M$4994,MATCH(D$3,Platts!$F$5:$M$5,0)+1,FALSE),D2500)</f>
        <v>84.64</v>
      </c>
      <c r="E2501" s="6">
        <f>IFERROR(VLOOKUP($B2501,Platts!$E$5:$M$4994,MATCH(E$3,Platts!$F$5:$M$5,0)+1,FALSE),E2500)</f>
        <v>80.19</v>
      </c>
      <c r="F2501" s="6">
        <f>IFERROR(VLOOKUP($B2501,Platts!$E$5:$M$4994,MATCH(F$3,Platts!$F$5:$M$5,0)+1,FALSE),F2500)</f>
        <v>86.89</v>
      </c>
      <c r="G2501" s="6">
        <f>IFERROR(VLOOKUP($B2501,Platts!$E$5:$M$4994,MATCH(G$3,Platts!$F$5:$M$5,0)+1,FALSE),G2500)</f>
        <v>96.45</v>
      </c>
      <c r="H2501" s="6">
        <f>IFERROR(VLOOKUP($B2501,Platts!$E$5:$M$4994,MATCH(H$3,Platts!$F$5:$M$5,0)+1,FALSE),H2500)</f>
        <v>90</v>
      </c>
      <c r="I2501" s="6">
        <f>IFERROR(VLOOKUP($B2501,Platts!$E$5:$M$4994,MATCH(I$3,Platts!$F$5:$M$5,0)+1,FALSE),I2500)</f>
        <v>92.55</v>
      </c>
      <c r="J2501" s="6">
        <f t="shared" si="78"/>
        <v>7.0499999999999972</v>
      </c>
    </row>
    <row r="2502" spans="2:10" x14ac:dyDescent="0.25">
      <c r="B2502" s="5">
        <f t="shared" ref="B2502:B2565" si="79">B2501+1</f>
        <v>44868</v>
      </c>
      <c r="C2502" s="6">
        <f>IFERROR(VLOOKUP($B2502,Platts!$E$5:$M$4994,MATCH(C$3,Platts!$F$5:$M$5,0)+1,FALSE),C2501)</f>
        <v>81.84</v>
      </c>
      <c r="D2502" s="6">
        <f>IFERROR(VLOOKUP($B2502,Platts!$E$5:$M$4994,MATCH(D$3,Platts!$F$5:$M$5,0)+1,FALSE),D2501)</f>
        <v>82.93</v>
      </c>
      <c r="E2502" s="6">
        <f>IFERROR(VLOOKUP($B2502,Platts!$E$5:$M$4994,MATCH(E$3,Platts!$F$5:$M$5,0)+1,FALSE),E2501)</f>
        <v>78.48</v>
      </c>
      <c r="F2502" s="6">
        <f>IFERROR(VLOOKUP($B2502,Platts!$E$5:$M$4994,MATCH(F$3,Platts!$F$5:$M$5,0)+1,FALSE),F2501)</f>
        <v>85.18</v>
      </c>
      <c r="G2502" s="6">
        <f>IFERROR(VLOOKUP($B2502,Platts!$E$5:$M$4994,MATCH(G$3,Platts!$F$5:$M$5,0)+1,FALSE),G2501)</f>
        <v>95.29</v>
      </c>
      <c r="H2502" s="6">
        <f>IFERROR(VLOOKUP($B2502,Platts!$E$5:$M$4994,MATCH(H$3,Platts!$F$5:$M$5,0)+1,FALSE),H2501)</f>
        <v>88.17</v>
      </c>
      <c r="I2502" s="6">
        <f>IFERROR(VLOOKUP($B2502,Platts!$E$5:$M$4994,MATCH(I$3,Platts!$F$5:$M$5,0)+1,FALSE),I2501)</f>
        <v>90.72</v>
      </c>
      <c r="J2502" s="6">
        <f t="shared" si="78"/>
        <v>6.3299999999999983</v>
      </c>
    </row>
    <row r="2503" spans="2:10" x14ac:dyDescent="0.25">
      <c r="B2503" s="5">
        <f t="shared" si="79"/>
        <v>44869</v>
      </c>
      <c r="C2503" s="6">
        <f>IFERROR(VLOOKUP($B2503,Platts!$E$5:$M$4994,MATCH(C$3,Platts!$F$5:$M$5,0)+1,FALSE),C2502)</f>
        <v>85.78</v>
      </c>
      <c r="D2503" s="6">
        <f>IFERROR(VLOOKUP($B2503,Platts!$E$5:$M$4994,MATCH(D$3,Platts!$F$5:$M$5,0)+1,FALSE),D2502)</f>
        <v>87.21</v>
      </c>
      <c r="E2503" s="6">
        <f>IFERROR(VLOOKUP($B2503,Platts!$E$5:$M$4994,MATCH(E$3,Platts!$F$5:$M$5,0)+1,FALSE),E2502)</f>
        <v>82.76</v>
      </c>
      <c r="F2503" s="6">
        <f>IFERROR(VLOOKUP($B2503,Platts!$E$5:$M$4994,MATCH(F$3,Platts!$F$5:$M$5,0)+1,FALSE),F2502)</f>
        <v>89.46</v>
      </c>
      <c r="G2503" s="6">
        <f>IFERROR(VLOOKUP($B2503,Platts!$E$5:$M$4994,MATCH(G$3,Platts!$F$5:$M$5,0)+1,FALSE),G2502)</f>
        <v>97.72</v>
      </c>
      <c r="H2503" s="6">
        <f>IFERROR(VLOOKUP($B2503,Platts!$E$5:$M$4994,MATCH(H$3,Platts!$F$5:$M$5,0)+1,FALSE),H2502)</f>
        <v>92.61</v>
      </c>
      <c r="I2503" s="6">
        <f>IFERROR(VLOOKUP($B2503,Platts!$E$5:$M$4994,MATCH(I$3,Platts!$F$5:$M$5,0)+1,FALSE),I2502)</f>
        <v>95.36</v>
      </c>
      <c r="J2503" s="6">
        <f t="shared" si="78"/>
        <v>6.8299999999999983</v>
      </c>
    </row>
    <row r="2504" spans="2:10" x14ac:dyDescent="0.25">
      <c r="B2504" s="5">
        <f t="shared" si="79"/>
        <v>44870</v>
      </c>
      <c r="C2504" s="6">
        <f>IFERROR(VLOOKUP($B2504,Platts!$E$5:$M$4994,MATCH(C$3,Platts!$F$5:$M$5,0)+1,FALSE),C2503)</f>
        <v>85.78</v>
      </c>
      <c r="D2504" s="6">
        <f>IFERROR(VLOOKUP($B2504,Platts!$E$5:$M$4994,MATCH(D$3,Platts!$F$5:$M$5,0)+1,FALSE),D2503)</f>
        <v>87.21</v>
      </c>
      <c r="E2504" s="6">
        <f>IFERROR(VLOOKUP($B2504,Platts!$E$5:$M$4994,MATCH(E$3,Platts!$F$5:$M$5,0)+1,FALSE),E2503)</f>
        <v>82.76</v>
      </c>
      <c r="F2504" s="6">
        <f>IFERROR(VLOOKUP($B2504,Platts!$E$5:$M$4994,MATCH(F$3,Platts!$F$5:$M$5,0)+1,FALSE),F2503)</f>
        <v>89.46</v>
      </c>
      <c r="G2504" s="6">
        <f>IFERROR(VLOOKUP($B2504,Platts!$E$5:$M$4994,MATCH(G$3,Platts!$F$5:$M$5,0)+1,FALSE),G2503)</f>
        <v>97.72</v>
      </c>
      <c r="H2504" s="6">
        <f>IFERROR(VLOOKUP($B2504,Platts!$E$5:$M$4994,MATCH(H$3,Platts!$F$5:$M$5,0)+1,FALSE),H2503)</f>
        <v>92.61</v>
      </c>
      <c r="I2504" s="6">
        <f>IFERROR(VLOOKUP($B2504,Platts!$E$5:$M$4994,MATCH(I$3,Platts!$F$5:$M$5,0)+1,FALSE),I2503)</f>
        <v>95.36</v>
      </c>
      <c r="J2504" s="6">
        <f t="shared" si="78"/>
        <v>6.8299999999999983</v>
      </c>
    </row>
    <row r="2505" spans="2:10" x14ac:dyDescent="0.25">
      <c r="B2505" s="5">
        <f t="shared" si="79"/>
        <v>44871</v>
      </c>
      <c r="C2505" s="6">
        <f>IFERROR(VLOOKUP($B2505,Platts!$E$5:$M$4994,MATCH(C$3,Platts!$F$5:$M$5,0)+1,FALSE),C2504)</f>
        <v>85.78</v>
      </c>
      <c r="D2505" s="6">
        <f>IFERROR(VLOOKUP($B2505,Platts!$E$5:$M$4994,MATCH(D$3,Platts!$F$5:$M$5,0)+1,FALSE),D2504)</f>
        <v>87.21</v>
      </c>
      <c r="E2505" s="6">
        <f>IFERROR(VLOOKUP($B2505,Platts!$E$5:$M$4994,MATCH(E$3,Platts!$F$5:$M$5,0)+1,FALSE),E2504)</f>
        <v>82.76</v>
      </c>
      <c r="F2505" s="6">
        <f>IFERROR(VLOOKUP($B2505,Platts!$E$5:$M$4994,MATCH(F$3,Platts!$F$5:$M$5,0)+1,FALSE),F2504)</f>
        <v>89.46</v>
      </c>
      <c r="G2505" s="6">
        <f>IFERROR(VLOOKUP($B2505,Platts!$E$5:$M$4994,MATCH(G$3,Platts!$F$5:$M$5,0)+1,FALSE),G2504)</f>
        <v>97.72</v>
      </c>
      <c r="H2505" s="6">
        <f>IFERROR(VLOOKUP($B2505,Platts!$E$5:$M$4994,MATCH(H$3,Platts!$F$5:$M$5,0)+1,FALSE),H2504)</f>
        <v>92.61</v>
      </c>
      <c r="I2505" s="6">
        <f>IFERROR(VLOOKUP($B2505,Platts!$E$5:$M$4994,MATCH(I$3,Platts!$F$5:$M$5,0)+1,FALSE),I2504)</f>
        <v>95.36</v>
      </c>
      <c r="J2505" s="6">
        <f t="shared" si="78"/>
        <v>6.8299999999999983</v>
      </c>
    </row>
    <row r="2506" spans="2:10" x14ac:dyDescent="0.25">
      <c r="B2506" s="5">
        <f t="shared" si="79"/>
        <v>44872</v>
      </c>
      <c r="C2506" s="6">
        <f>IFERROR(VLOOKUP($B2506,Platts!$E$5:$M$4994,MATCH(C$3,Platts!$F$5:$M$5,0)+1,FALSE),C2505)</f>
        <v>85.22</v>
      </c>
      <c r="D2506" s="6">
        <f>IFERROR(VLOOKUP($B2506,Platts!$E$5:$M$4994,MATCH(D$3,Platts!$F$5:$M$5,0)+1,FALSE),D2505)</f>
        <v>86.42</v>
      </c>
      <c r="E2506" s="6">
        <f>IFERROR(VLOOKUP($B2506,Platts!$E$5:$M$4994,MATCH(E$3,Platts!$F$5:$M$5,0)+1,FALSE),E2505)</f>
        <v>81.97</v>
      </c>
      <c r="F2506" s="6">
        <f>IFERROR(VLOOKUP($B2506,Platts!$E$5:$M$4994,MATCH(F$3,Platts!$F$5:$M$5,0)+1,FALSE),F2505)</f>
        <v>88.67</v>
      </c>
      <c r="G2506" s="6">
        <f>IFERROR(VLOOKUP($B2506,Platts!$E$5:$M$4994,MATCH(G$3,Platts!$F$5:$M$5,0)+1,FALSE),G2505)</f>
        <v>99.53</v>
      </c>
      <c r="H2506" s="6">
        <f>IFERROR(VLOOKUP($B2506,Platts!$E$5:$M$4994,MATCH(H$3,Platts!$F$5:$M$5,0)+1,FALSE),H2505)</f>
        <v>91.79</v>
      </c>
      <c r="I2506" s="6">
        <f>IFERROR(VLOOKUP($B2506,Platts!$E$5:$M$4994,MATCH(I$3,Platts!$F$5:$M$5,0)+1,FALSE),I2505)</f>
        <v>95.14</v>
      </c>
      <c r="J2506" s="6">
        <f t="shared" si="78"/>
        <v>6.5700000000000074</v>
      </c>
    </row>
    <row r="2507" spans="2:10" x14ac:dyDescent="0.25">
      <c r="B2507" s="5">
        <f t="shared" si="79"/>
        <v>44873</v>
      </c>
      <c r="C2507" s="6">
        <f>IFERROR(VLOOKUP($B2507,Platts!$E$5:$M$4994,MATCH(C$3,Platts!$F$5:$M$5,0)+1,FALSE),C2506)</f>
        <v>82.77</v>
      </c>
      <c r="D2507" s="6">
        <f>IFERROR(VLOOKUP($B2507,Platts!$E$5:$M$4994,MATCH(D$3,Platts!$F$5:$M$5,0)+1,FALSE),D2506)</f>
        <v>83.58</v>
      </c>
      <c r="E2507" s="6">
        <f>IFERROR(VLOOKUP($B2507,Platts!$E$5:$M$4994,MATCH(E$3,Platts!$F$5:$M$5,0)+1,FALSE),E2506)</f>
        <v>79.13</v>
      </c>
      <c r="F2507" s="6">
        <f>IFERROR(VLOOKUP($B2507,Platts!$E$5:$M$4994,MATCH(F$3,Platts!$F$5:$M$5,0)+1,FALSE),F2506)</f>
        <v>85.83</v>
      </c>
      <c r="G2507" s="6">
        <f>IFERROR(VLOOKUP($B2507,Platts!$E$5:$M$4994,MATCH(G$3,Platts!$F$5:$M$5,0)+1,FALSE),G2506)</f>
        <v>97.26</v>
      </c>
      <c r="H2507" s="6">
        <f>IFERROR(VLOOKUP($B2507,Platts!$E$5:$M$4994,MATCH(H$3,Platts!$F$5:$M$5,0)+1,FALSE),H2506)</f>
        <v>88.91</v>
      </c>
      <c r="I2507" s="6">
        <f>IFERROR(VLOOKUP($B2507,Platts!$E$5:$M$4994,MATCH(I$3,Platts!$F$5:$M$5,0)+1,FALSE),I2506)</f>
        <v>92.11</v>
      </c>
      <c r="J2507" s="6">
        <f t="shared" si="78"/>
        <v>6.1400000000000006</v>
      </c>
    </row>
    <row r="2508" spans="2:10" x14ac:dyDescent="0.25">
      <c r="B2508" s="5">
        <f t="shared" si="79"/>
        <v>44874</v>
      </c>
      <c r="C2508" s="6">
        <f>IFERROR(VLOOKUP($B2508,Platts!$E$5:$M$4994,MATCH(C$3,Platts!$F$5:$M$5,0)+1,FALSE),C2507)</f>
        <v>79.88</v>
      </c>
      <c r="D2508" s="6">
        <f>IFERROR(VLOOKUP($B2508,Platts!$E$5:$M$4994,MATCH(D$3,Platts!$F$5:$M$5,0)+1,FALSE),D2507)</f>
        <v>80.569999999999993</v>
      </c>
      <c r="E2508" s="6">
        <f>IFERROR(VLOOKUP($B2508,Platts!$E$5:$M$4994,MATCH(E$3,Platts!$F$5:$M$5,0)+1,FALSE),E2507)</f>
        <v>76.12</v>
      </c>
      <c r="F2508" s="6">
        <f>IFERROR(VLOOKUP($B2508,Platts!$E$5:$M$4994,MATCH(F$3,Platts!$F$5:$M$5,0)+1,FALSE),F2507)</f>
        <v>82.82</v>
      </c>
      <c r="G2508" s="6">
        <f>IFERROR(VLOOKUP($B2508,Platts!$E$5:$M$4994,MATCH(G$3,Platts!$F$5:$M$5,0)+1,FALSE),G2507)</f>
        <v>94.04</v>
      </c>
      <c r="H2508" s="6">
        <f>IFERROR(VLOOKUP($B2508,Platts!$E$5:$M$4994,MATCH(H$3,Platts!$F$5:$M$5,0)+1,FALSE),H2507)</f>
        <v>85.83</v>
      </c>
      <c r="I2508" s="6">
        <f>IFERROR(VLOOKUP($B2508,Platts!$E$5:$M$4994,MATCH(I$3,Platts!$F$5:$M$5,0)+1,FALSE),I2507)</f>
        <v>89.03</v>
      </c>
      <c r="J2508" s="6">
        <f t="shared" si="78"/>
        <v>5.9500000000000028</v>
      </c>
    </row>
    <row r="2509" spans="2:10" x14ac:dyDescent="0.25">
      <c r="B2509" s="5">
        <f t="shared" si="79"/>
        <v>44875</v>
      </c>
      <c r="C2509" s="6">
        <f>IFERROR(VLOOKUP($B2509,Platts!$E$5:$M$4994,MATCH(C$3,Platts!$F$5:$M$5,0)+1,FALSE),C2508)</f>
        <v>80.180000000000007</v>
      </c>
      <c r="D2509" s="6">
        <f>IFERROR(VLOOKUP($B2509,Platts!$E$5:$M$4994,MATCH(D$3,Platts!$F$5:$M$5,0)+1,FALSE),D2508)</f>
        <v>81.209999999999994</v>
      </c>
      <c r="E2509" s="6">
        <f>IFERROR(VLOOKUP($B2509,Platts!$E$5:$M$4994,MATCH(E$3,Platts!$F$5:$M$5,0)+1,FALSE),E2508)</f>
        <v>76.760000000000005</v>
      </c>
      <c r="F2509" s="6">
        <f>IFERROR(VLOOKUP($B2509,Platts!$E$5:$M$4994,MATCH(F$3,Platts!$F$5:$M$5,0)+1,FALSE),F2508)</f>
        <v>83.46</v>
      </c>
      <c r="G2509" s="6">
        <f>IFERROR(VLOOKUP($B2509,Platts!$E$5:$M$4994,MATCH(G$3,Platts!$F$5:$M$5,0)+1,FALSE),G2508)</f>
        <v>94</v>
      </c>
      <c r="H2509" s="6">
        <f>IFERROR(VLOOKUP($B2509,Platts!$E$5:$M$4994,MATCH(H$3,Platts!$F$5:$M$5,0)+1,FALSE),H2508)</f>
        <v>86.47</v>
      </c>
      <c r="I2509" s="6">
        <f>IFERROR(VLOOKUP($B2509,Platts!$E$5:$M$4994,MATCH(I$3,Platts!$F$5:$M$5,0)+1,FALSE),I2508)</f>
        <v>89.57</v>
      </c>
      <c r="J2509" s="6">
        <f t="shared" si="78"/>
        <v>6.289999999999992</v>
      </c>
    </row>
    <row r="2510" spans="2:10" x14ac:dyDescent="0.25">
      <c r="B2510" s="5">
        <f t="shared" si="79"/>
        <v>44876</v>
      </c>
      <c r="C2510" s="6">
        <f>IFERROR(VLOOKUP($B2510,Platts!$E$5:$M$4994,MATCH(C$3,Platts!$F$5:$M$5,0)+1,FALSE),C2509)</f>
        <v>82.79</v>
      </c>
      <c r="D2510" s="6">
        <f>IFERROR(VLOOKUP($B2510,Platts!$E$5:$M$4994,MATCH(D$3,Platts!$F$5:$M$5,0)+1,FALSE),D2509)</f>
        <v>83.64</v>
      </c>
      <c r="E2510" s="6">
        <f>IFERROR(VLOOKUP($B2510,Platts!$E$5:$M$4994,MATCH(E$3,Platts!$F$5:$M$5,0)+1,FALSE),E2509)</f>
        <v>79.19</v>
      </c>
      <c r="F2510" s="6">
        <f>IFERROR(VLOOKUP($B2510,Platts!$E$5:$M$4994,MATCH(F$3,Platts!$F$5:$M$5,0)+1,FALSE),F2509)</f>
        <v>85.89</v>
      </c>
      <c r="G2510" s="6">
        <f>IFERROR(VLOOKUP($B2510,Platts!$E$5:$M$4994,MATCH(G$3,Platts!$F$5:$M$5,0)+1,FALSE),G2509)</f>
        <v>96.2</v>
      </c>
      <c r="H2510" s="6">
        <f>IFERROR(VLOOKUP($B2510,Platts!$E$5:$M$4994,MATCH(H$3,Platts!$F$5:$M$5,0)+1,FALSE),H2509)</f>
        <v>88.96</v>
      </c>
      <c r="I2510" s="6">
        <f>IFERROR(VLOOKUP($B2510,Platts!$E$5:$M$4994,MATCH(I$3,Platts!$F$5:$M$5,0)+1,FALSE),I2509)</f>
        <v>92.11</v>
      </c>
      <c r="J2510" s="6">
        <f t="shared" si="78"/>
        <v>6.1699999999999875</v>
      </c>
    </row>
    <row r="2511" spans="2:10" x14ac:dyDescent="0.25">
      <c r="B2511" s="5">
        <f t="shared" si="79"/>
        <v>44877</v>
      </c>
      <c r="C2511" s="6">
        <f>IFERROR(VLOOKUP($B2511,Platts!$E$5:$M$4994,MATCH(C$3,Platts!$F$5:$M$5,0)+1,FALSE),C2510)</f>
        <v>82.79</v>
      </c>
      <c r="D2511" s="6">
        <f>IFERROR(VLOOKUP($B2511,Platts!$E$5:$M$4994,MATCH(D$3,Platts!$F$5:$M$5,0)+1,FALSE),D2510)</f>
        <v>83.64</v>
      </c>
      <c r="E2511" s="6">
        <f>IFERROR(VLOOKUP($B2511,Platts!$E$5:$M$4994,MATCH(E$3,Platts!$F$5:$M$5,0)+1,FALSE),E2510)</f>
        <v>79.19</v>
      </c>
      <c r="F2511" s="6">
        <f>IFERROR(VLOOKUP($B2511,Platts!$E$5:$M$4994,MATCH(F$3,Platts!$F$5:$M$5,0)+1,FALSE),F2510)</f>
        <v>85.89</v>
      </c>
      <c r="G2511" s="6">
        <f>IFERROR(VLOOKUP($B2511,Platts!$E$5:$M$4994,MATCH(G$3,Platts!$F$5:$M$5,0)+1,FALSE),G2510)</f>
        <v>96.2</v>
      </c>
      <c r="H2511" s="6">
        <f>IFERROR(VLOOKUP($B2511,Platts!$E$5:$M$4994,MATCH(H$3,Platts!$F$5:$M$5,0)+1,FALSE),H2510)</f>
        <v>88.96</v>
      </c>
      <c r="I2511" s="6">
        <f>IFERROR(VLOOKUP($B2511,Platts!$E$5:$M$4994,MATCH(I$3,Platts!$F$5:$M$5,0)+1,FALSE),I2510)</f>
        <v>92.11</v>
      </c>
      <c r="J2511" s="6">
        <f t="shared" si="78"/>
        <v>6.1699999999999875</v>
      </c>
    </row>
    <row r="2512" spans="2:10" x14ac:dyDescent="0.25">
      <c r="B2512" s="5">
        <f t="shared" si="79"/>
        <v>44878</v>
      </c>
      <c r="C2512" s="6">
        <f>IFERROR(VLOOKUP($B2512,Platts!$E$5:$M$4994,MATCH(C$3,Platts!$F$5:$M$5,0)+1,FALSE),C2511)</f>
        <v>82.79</v>
      </c>
      <c r="D2512" s="6">
        <f>IFERROR(VLOOKUP($B2512,Platts!$E$5:$M$4994,MATCH(D$3,Platts!$F$5:$M$5,0)+1,FALSE),D2511)</f>
        <v>83.64</v>
      </c>
      <c r="E2512" s="6">
        <f>IFERROR(VLOOKUP($B2512,Platts!$E$5:$M$4994,MATCH(E$3,Platts!$F$5:$M$5,0)+1,FALSE),E2511)</f>
        <v>79.19</v>
      </c>
      <c r="F2512" s="6">
        <f>IFERROR(VLOOKUP($B2512,Platts!$E$5:$M$4994,MATCH(F$3,Platts!$F$5:$M$5,0)+1,FALSE),F2511)</f>
        <v>85.89</v>
      </c>
      <c r="G2512" s="6">
        <f>IFERROR(VLOOKUP($B2512,Platts!$E$5:$M$4994,MATCH(G$3,Platts!$F$5:$M$5,0)+1,FALSE),G2511)</f>
        <v>96.2</v>
      </c>
      <c r="H2512" s="6">
        <f>IFERROR(VLOOKUP($B2512,Platts!$E$5:$M$4994,MATCH(H$3,Platts!$F$5:$M$5,0)+1,FALSE),H2511)</f>
        <v>88.96</v>
      </c>
      <c r="I2512" s="6">
        <f>IFERROR(VLOOKUP($B2512,Platts!$E$5:$M$4994,MATCH(I$3,Platts!$F$5:$M$5,0)+1,FALSE),I2511)</f>
        <v>92.11</v>
      </c>
      <c r="J2512" s="6">
        <f t="shared" si="78"/>
        <v>6.1699999999999875</v>
      </c>
    </row>
    <row r="2513" spans="2:10" x14ac:dyDescent="0.25">
      <c r="B2513" s="5">
        <f t="shared" si="79"/>
        <v>44879</v>
      </c>
      <c r="C2513" s="6">
        <f>IFERROR(VLOOKUP($B2513,Platts!$E$5:$M$4994,MATCH(C$3,Platts!$F$5:$M$5,0)+1,FALSE),C2512)</f>
        <v>80.09</v>
      </c>
      <c r="D2513" s="6">
        <f>IFERROR(VLOOKUP($B2513,Platts!$E$5:$M$4994,MATCH(D$3,Platts!$F$5:$M$5,0)+1,FALSE),D2512)</f>
        <v>80.44</v>
      </c>
      <c r="E2513" s="6">
        <f>IFERROR(VLOOKUP($B2513,Platts!$E$5:$M$4994,MATCH(E$3,Platts!$F$5:$M$5,0)+1,FALSE),E2512)</f>
        <v>75.989999999999995</v>
      </c>
      <c r="F2513" s="6">
        <f>IFERROR(VLOOKUP($B2513,Platts!$E$5:$M$4994,MATCH(F$3,Platts!$F$5:$M$5,0)+1,FALSE),F2512)</f>
        <v>82.69</v>
      </c>
      <c r="G2513" s="6">
        <f>IFERROR(VLOOKUP($B2513,Platts!$E$5:$M$4994,MATCH(G$3,Platts!$F$5:$M$5,0)+1,FALSE),G2512)</f>
        <v>95.04</v>
      </c>
      <c r="H2513" s="6">
        <f>IFERROR(VLOOKUP($B2513,Platts!$E$5:$M$4994,MATCH(H$3,Platts!$F$5:$M$5,0)+1,FALSE),H2512)</f>
        <v>85.87</v>
      </c>
      <c r="I2513" s="6">
        <f>IFERROR(VLOOKUP($B2513,Platts!$E$5:$M$4994,MATCH(I$3,Platts!$F$5:$M$5,0)+1,FALSE),I2512)</f>
        <v>89.87</v>
      </c>
      <c r="J2513" s="6">
        <f t="shared" si="78"/>
        <v>5.7800000000000011</v>
      </c>
    </row>
    <row r="2514" spans="2:10" x14ac:dyDescent="0.25">
      <c r="B2514" s="5">
        <f t="shared" si="79"/>
        <v>44880</v>
      </c>
      <c r="C2514" s="6">
        <f>IFERROR(VLOOKUP($B2514,Platts!$E$5:$M$4994,MATCH(C$3,Platts!$F$5:$M$5,0)+1,FALSE),C2513)</f>
        <v>80.19</v>
      </c>
      <c r="D2514" s="6">
        <f>IFERROR(VLOOKUP($B2514,Platts!$E$5:$M$4994,MATCH(D$3,Platts!$F$5:$M$5,0)+1,FALSE),D2513)</f>
        <v>81.28</v>
      </c>
      <c r="E2514" s="6">
        <f>IFERROR(VLOOKUP($B2514,Platts!$E$5:$M$4994,MATCH(E$3,Platts!$F$5:$M$5,0)+1,FALSE),E2513)</f>
        <v>76.83</v>
      </c>
      <c r="F2514" s="6">
        <f>IFERROR(VLOOKUP($B2514,Platts!$E$5:$M$4994,MATCH(F$3,Platts!$F$5:$M$5,0)+1,FALSE),F2513)</f>
        <v>83.53</v>
      </c>
      <c r="G2514" s="6">
        <f>IFERROR(VLOOKUP($B2514,Platts!$E$5:$M$4994,MATCH(G$3,Platts!$F$5:$M$5,0)+1,FALSE),G2513)</f>
        <v>93.59</v>
      </c>
      <c r="H2514" s="6">
        <f>IFERROR(VLOOKUP($B2514,Platts!$E$5:$M$4994,MATCH(H$3,Platts!$F$5:$M$5,0)+1,FALSE),H2513)</f>
        <v>86.92</v>
      </c>
      <c r="I2514" s="6">
        <f>IFERROR(VLOOKUP($B2514,Platts!$E$5:$M$4994,MATCH(I$3,Platts!$F$5:$M$5,0)+1,FALSE),I2513)</f>
        <v>91.42</v>
      </c>
      <c r="J2514" s="6">
        <f t="shared" si="78"/>
        <v>6.730000000000004</v>
      </c>
    </row>
    <row r="2515" spans="2:10" x14ac:dyDescent="0.25">
      <c r="B2515" s="5">
        <f t="shared" si="79"/>
        <v>44881</v>
      </c>
      <c r="C2515" s="6">
        <f>IFERROR(VLOOKUP($B2515,Platts!$E$5:$M$4994,MATCH(C$3,Platts!$F$5:$M$5,0)+1,FALSE),C2514)</f>
        <v>79.290000000000006</v>
      </c>
      <c r="D2515" s="6">
        <f>IFERROR(VLOOKUP($B2515,Platts!$E$5:$M$4994,MATCH(D$3,Platts!$F$5:$M$5,0)+1,FALSE),D2514)</f>
        <v>79.900000000000006</v>
      </c>
      <c r="E2515" s="6">
        <f>IFERROR(VLOOKUP($B2515,Platts!$E$5:$M$4994,MATCH(E$3,Platts!$F$5:$M$5,0)+1,FALSE),E2514)</f>
        <v>75.45</v>
      </c>
      <c r="F2515" s="6">
        <f>IFERROR(VLOOKUP($B2515,Platts!$E$5:$M$4994,MATCH(F$3,Platts!$F$5:$M$5,0)+1,FALSE),F2514)</f>
        <v>82.15</v>
      </c>
      <c r="G2515" s="6">
        <f>IFERROR(VLOOKUP($B2515,Platts!$E$5:$M$4994,MATCH(G$3,Platts!$F$5:$M$5,0)+1,FALSE),G2514)</f>
        <v>92.13</v>
      </c>
      <c r="H2515" s="6">
        <f>IFERROR(VLOOKUP($B2515,Platts!$E$5:$M$4994,MATCH(H$3,Platts!$F$5:$M$5,0)+1,FALSE),H2514)</f>
        <v>85.59</v>
      </c>
      <c r="I2515" s="6">
        <f>IFERROR(VLOOKUP($B2515,Platts!$E$5:$M$4994,MATCH(I$3,Platts!$F$5:$M$5,0)+1,FALSE),I2514)</f>
        <v>91.59</v>
      </c>
      <c r="J2515" s="6">
        <f t="shared" si="78"/>
        <v>6.2999999999999972</v>
      </c>
    </row>
    <row r="2516" spans="2:10" x14ac:dyDescent="0.25">
      <c r="B2516" s="5">
        <f t="shared" si="79"/>
        <v>44882</v>
      </c>
      <c r="C2516" s="6">
        <f>IFERROR(VLOOKUP($B2516,Platts!$E$5:$M$4994,MATCH(C$3,Platts!$F$5:$M$5,0)+1,FALSE),C2515)</f>
        <v>75.91</v>
      </c>
      <c r="D2516" s="6">
        <f>IFERROR(VLOOKUP($B2516,Platts!$E$5:$M$4994,MATCH(D$3,Platts!$F$5:$M$5,0)+1,FALSE),D2515)</f>
        <v>76.03</v>
      </c>
      <c r="E2516" s="6">
        <f>IFERROR(VLOOKUP($B2516,Platts!$E$5:$M$4994,MATCH(E$3,Platts!$F$5:$M$5,0)+1,FALSE),E2515)</f>
        <v>71.58</v>
      </c>
      <c r="F2516" s="6">
        <f>IFERROR(VLOOKUP($B2516,Platts!$E$5:$M$4994,MATCH(F$3,Platts!$F$5:$M$5,0)+1,FALSE),F2515)</f>
        <v>78.28</v>
      </c>
      <c r="G2516" s="6">
        <f>IFERROR(VLOOKUP($B2516,Platts!$E$5:$M$4994,MATCH(G$3,Platts!$F$5:$M$5,0)+1,FALSE),G2515)</f>
        <v>90.51</v>
      </c>
      <c r="H2516" s="6">
        <f>IFERROR(VLOOKUP($B2516,Platts!$E$5:$M$4994,MATCH(H$3,Platts!$F$5:$M$5,0)+1,FALSE),H2515)</f>
        <v>81.64</v>
      </c>
      <c r="I2516" s="6">
        <f>IFERROR(VLOOKUP($B2516,Platts!$E$5:$M$4994,MATCH(I$3,Platts!$F$5:$M$5,0)+1,FALSE),I2515)</f>
        <v>87.64</v>
      </c>
      <c r="J2516" s="6">
        <f t="shared" si="78"/>
        <v>5.730000000000004</v>
      </c>
    </row>
    <row r="2517" spans="2:10" x14ac:dyDescent="0.25">
      <c r="B2517" s="5">
        <f t="shared" si="79"/>
        <v>44883</v>
      </c>
      <c r="C2517" s="6">
        <f>IFERROR(VLOOKUP($B2517,Platts!$E$5:$M$4994,MATCH(C$3,Platts!$F$5:$M$5,0)+1,FALSE),C2516)</f>
        <v>73.97</v>
      </c>
      <c r="D2517" s="6">
        <f>IFERROR(VLOOKUP($B2517,Platts!$E$5:$M$4994,MATCH(D$3,Platts!$F$5:$M$5,0)+1,FALSE),D2516)</f>
        <v>74.290000000000006</v>
      </c>
      <c r="E2517" s="6">
        <f>IFERROR(VLOOKUP($B2517,Platts!$E$5:$M$4994,MATCH(E$3,Platts!$F$5:$M$5,0)+1,FALSE),E2516)</f>
        <v>69.84</v>
      </c>
      <c r="F2517" s="6">
        <f>IFERROR(VLOOKUP($B2517,Platts!$E$5:$M$4994,MATCH(F$3,Platts!$F$5:$M$5,0)+1,FALSE),F2516)</f>
        <v>76.540000000000006</v>
      </c>
      <c r="G2517" s="6">
        <f>IFERROR(VLOOKUP($B2517,Platts!$E$5:$M$4994,MATCH(G$3,Platts!$F$5:$M$5,0)+1,FALSE),G2516)</f>
        <v>87.6</v>
      </c>
      <c r="H2517" s="6">
        <f>IFERROR(VLOOKUP($B2517,Platts!$E$5:$M$4994,MATCH(H$3,Platts!$F$5:$M$5,0)+1,FALSE),H2516)</f>
        <v>80.08</v>
      </c>
      <c r="I2517" s="6">
        <f>IFERROR(VLOOKUP($B2517,Platts!$E$5:$M$4994,MATCH(I$3,Platts!$F$5:$M$5,0)+1,FALSE),I2516)</f>
        <v>87.63</v>
      </c>
      <c r="J2517" s="6">
        <f t="shared" si="78"/>
        <v>6.1099999999999994</v>
      </c>
    </row>
    <row r="2518" spans="2:10" x14ac:dyDescent="0.25">
      <c r="B2518" s="5">
        <f t="shared" si="79"/>
        <v>44884</v>
      </c>
      <c r="C2518" s="6">
        <f>IFERROR(VLOOKUP($B2518,Platts!$E$5:$M$4994,MATCH(C$3,Platts!$F$5:$M$5,0)+1,FALSE),C2517)</f>
        <v>73.97</v>
      </c>
      <c r="D2518" s="6">
        <f>IFERROR(VLOOKUP($B2518,Platts!$E$5:$M$4994,MATCH(D$3,Platts!$F$5:$M$5,0)+1,FALSE),D2517)</f>
        <v>74.290000000000006</v>
      </c>
      <c r="E2518" s="6">
        <f>IFERROR(VLOOKUP($B2518,Platts!$E$5:$M$4994,MATCH(E$3,Platts!$F$5:$M$5,0)+1,FALSE),E2517)</f>
        <v>69.84</v>
      </c>
      <c r="F2518" s="6">
        <f>IFERROR(VLOOKUP($B2518,Platts!$E$5:$M$4994,MATCH(F$3,Platts!$F$5:$M$5,0)+1,FALSE),F2517)</f>
        <v>76.540000000000006</v>
      </c>
      <c r="G2518" s="6">
        <f>IFERROR(VLOOKUP($B2518,Platts!$E$5:$M$4994,MATCH(G$3,Platts!$F$5:$M$5,0)+1,FALSE),G2517)</f>
        <v>87.6</v>
      </c>
      <c r="H2518" s="6">
        <f>IFERROR(VLOOKUP($B2518,Platts!$E$5:$M$4994,MATCH(H$3,Platts!$F$5:$M$5,0)+1,FALSE),H2517)</f>
        <v>80.08</v>
      </c>
      <c r="I2518" s="6">
        <f>IFERROR(VLOOKUP($B2518,Platts!$E$5:$M$4994,MATCH(I$3,Platts!$F$5:$M$5,0)+1,FALSE),I2517)</f>
        <v>87.63</v>
      </c>
      <c r="J2518" s="6">
        <f t="shared" si="78"/>
        <v>6.1099999999999994</v>
      </c>
    </row>
    <row r="2519" spans="2:10" x14ac:dyDescent="0.25">
      <c r="B2519" s="5">
        <f t="shared" si="79"/>
        <v>44885</v>
      </c>
      <c r="C2519" s="6">
        <f>IFERROR(VLOOKUP($B2519,Platts!$E$5:$M$4994,MATCH(C$3,Platts!$F$5:$M$5,0)+1,FALSE),C2518)</f>
        <v>73.97</v>
      </c>
      <c r="D2519" s="6">
        <f>IFERROR(VLOOKUP($B2519,Platts!$E$5:$M$4994,MATCH(D$3,Platts!$F$5:$M$5,0)+1,FALSE),D2518)</f>
        <v>74.290000000000006</v>
      </c>
      <c r="E2519" s="6">
        <f>IFERROR(VLOOKUP($B2519,Platts!$E$5:$M$4994,MATCH(E$3,Platts!$F$5:$M$5,0)+1,FALSE),E2518)</f>
        <v>69.84</v>
      </c>
      <c r="F2519" s="6">
        <f>IFERROR(VLOOKUP($B2519,Platts!$E$5:$M$4994,MATCH(F$3,Platts!$F$5:$M$5,0)+1,FALSE),F2518)</f>
        <v>76.540000000000006</v>
      </c>
      <c r="G2519" s="6">
        <f>IFERROR(VLOOKUP($B2519,Platts!$E$5:$M$4994,MATCH(G$3,Platts!$F$5:$M$5,0)+1,FALSE),G2518)</f>
        <v>87.6</v>
      </c>
      <c r="H2519" s="6">
        <f>IFERROR(VLOOKUP($B2519,Platts!$E$5:$M$4994,MATCH(H$3,Platts!$F$5:$M$5,0)+1,FALSE),H2518)</f>
        <v>80.08</v>
      </c>
      <c r="I2519" s="6">
        <f>IFERROR(VLOOKUP($B2519,Platts!$E$5:$M$4994,MATCH(I$3,Platts!$F$5:$M$5,0)+1,FALSE),I2518)</f>
        <v>87.63</v>
      </c>
      <c r="J2519" s="6">
        <f t="shared" si="78"/>
        <v>6.1099999999999994</v>
      </c>
    </row>
    <row r="2520" spans="2:10" x14ac:dyDescent="0.25">
      <c r="B2520" s="5">
        <f t="shared" si="79"/>
        <v>44886</v>
      </c>
      <c r="C2520" s="6">
        <f>IFERROR(VLOOKUP($B2520,Platts!$E$5:$M$4994,MATCH(C$3,Platts!$F$5:$M$5,0)+1,FALSE),C2519)</f>
        <v>73.97</v>
      </c>
      <c r="D2520" s="6">
        <f>IFERROR(VLOOKUP($B2520,Platts!$E$5:$M$4994,MATCH(D$3,Platts!$F$5:$M$5,0)+1,FALSE),D2519)</f>
        <v>73.739999999999995</v>
      </c>
      <c r="E2520" s="6">
        <f>IFERROR(VLOOKUP($B2520,Platts!$E$5:$M$4994,MATCH(E$3,Platts!$F$5:$M$5,0)+1,FALSE),E2519)</f>
        <v>69.290000000000006</v>
      </c>
      <c r="F2520" s="6">
        <f>IFERROR(VLOOKUP($B2520,Platts!$E$5:$M$4994,MATCH(F$3,Platts!$F$5:$M$5,0)+1,FALSE),F2519)</f>
        <v>75.989999999999995</v>
      </c>
      <c r="G2520" s="6">
        <f>IFERROR(VLOOKUP($B2520,Platts!$E$5:$M$4994,MATCH(G$3,Platts!$F$5:$M$5,0)+1,FALSE),G2519)</f>
        <v>82.94</v>
      </c>
      <c r="H2520" s="6">
        <f>IFERROR(VLOOKUP($B2520,Platts!$E$5:$M$4994,MATCH(H$3,Platts!$F$5:$M$5,0)+1,FALSE),H2519)</f>
        <v>79.73</v>
      </c>
      <c r="I2520" s="6">
        <f>IFERROR(VLOOKUP($B2520,Platts!$E$5:$M$4994,MATCH(I$3,Platts!$F$5:$M$5,0)+1,FALSE),I2519)</f>
        <v>88.23</v>
      </c>
      <c r="J2520" s="6">
        <f t="shared" si="78"/>
        <v>5.7600000000000051</v>
      </c>
    </row>
    <row r="2521" spans="2:10" x14ac:dyDescent="0.25">
      <c r="B2521" s="5">
        <f t="shared" si="79"/>
        <v>44887</v>
      </c>
      <c r="C2521" s="6">
        <f>IFERROR(VLOOKUP($B2521,Platts!$E$5:$M$4994,MATCH(C$3,Platts!$F$5:$M$5,0)+1,FALSE),C2520)</f>
        <v>74.25</v>
      </c>
      <c r="D2521" s="6">
        <f>IFERROR(VLOOKUP($B2521,Platts!$E$5:$M$4994,MATCH(D$3,Platts!$F$5:$M$5,0)+1,FALSE),D2520)</f>
        <v>74.89</v>
      </c>
      <c r="E2521" s="6">
        <f>IFERROR(VLOOKUP($B2521,Platts!$E$5:$M$4994,MATCH(E$3,Platts!$F$5:$M$5,0)+1,FALSE),E2520)</f>
        <v>70.44</v>
      </c>
      <c r="F2521" s="6">
        <f>IFERROR(VLOOKUP($B2521,Platts!$E$5:$M$4994,MATCH(F$3,Platts!$F$5:$M$5,0)+1,FALSE),F2520)</f>
        <v>77.14</v>
      </c>
      <c r="G2521" s="6">
        <f>IFERROR(VLOOKUP($B2521,Platts!$E$5:$M$4994,MATCH(G$3,Platts!$F$5:$M$5,0)+1,FALSE),G2520)</f>
        <v>89.2</v>
      </c>
      <c r="H2521" s="6">
        <f>IFERROR(VLOOKUP($B2521,Platts!$E$5:$M$4994,MATCH(H$3,Platts!$F$5:$M$5,0)+1,FALSE),H2520)</f>
        <v>80.900000000000006</v>
      </c>
      <c r="I2521" s="6">
        <f>IFERROR(VLOOKUP($B2521,Platts!$E$5:$M$4994,MATCH(I$3,Platts!$F$5:$M$5,0)+1,FALSE),I2520)</f>
        <v>82.85</v>
      </c>
      <c r="J2521" s="6">
        <f t="shared" si="78"/>
        <v>6.6500000000000057</v>
      </c>
    </row>
    <row r="2522" spans="2:10" x14ac:dyDescent="0.25">
      <c r="B2522" s="5">
        <f t="shared" si="79"/>
        <v>44888</v>
      </c>
      <c r="C2522" s="6">
        <f>IFERROR(VLOOKUP($B2522,Platts!$E$5:$M$4994,MATCH(C$3,Platts!$F$5:$M$5,0)+1,FALSE),C2521)</f>
        <v>71.69</v>
      </c>
      <c r="D2522" s="6">
        <f>IFERROR(VLOOKUP($B2522,Platts!$E$5:$M$4994,MATCH(D$3,Platts!$F$5:$M$5,0)+1,FALSE),D2521)</f>
        <v>71.959999999999994</v>
      </c>
      <c r="E2522" s="6">
        <f>IFERROR(VLOOKUP($B2522,Platts!$E$5:$M$4994,MATCH(E$3,Platts!$F$5:$M$5,0)+1,FALSE),E2521)</f>
        <v>67.510000000000005</v>
      </c>
      <c r="F2522" s="6">
        <f>IFERROR(VLOOKUP($B2522,Platts!$E$5:$M$4994,MATCH(F$3,Platts!$F$5:$M$5,0)+1,FALSE),F2521)</f>
        <v>74.209999999999994</v>
      </c>
      <c r="G2522" s="6">
        <f>IFERROR(VLOOKUP($B2522,Platts!$E$5:$M$4994,MATCH(G$3,Platts!$F$5:$M$5,0)+1,FALSE),G2521)</f>
        <v>85.02</v>
      </c>
      <c r="H2522" s="6">
        <f>IFERROR(VLOOKUP($B2522,Platts!$E$5:$M$4994,MATCH(H$3,Platts!$F$5:$M$5,0)+1,FALSE),H2521)</f>
        <v>77.84</v>
      </c>
      <c r="I2522" s="6">
        <f>IFERROR(VLOOKUP($B2522,Platts!$E$5:$M$4994,MATCH(I$3,Platts!$F$5:$M$5,0)+1,FALSE),I2521)</f>
        <v>79.84</v>
      </c>
      <c r="J2522" s="6">
        <f t="shared" si="78"/>
        <v>6.1500000000000057</v>
      </c>
    </row>
    <row r="2523" spans="2:10" x14ac:dyDescent="0.25">
      <c r="B2523" s="5">
        <f t="shared" si="79"/>
        <v>44889</v>
      </c>
      <c r="C2523" s="6">
        <f>IFERROR(VLOOKUP($B2523,Platts!$E$5:$M$4994,MATCH(C$3,Platts!$F$5:$M$5,0)+1,FALSE),C2522)</f>
        <v>71.69</v>
      </c>
      <c r="D2523" s="6">
        <f>IFERROR(VLOOKUP($B2523,Platts!$E$5:$M$4994,MATCH(D$3,Platts!$F$5:$M$5,0)+1,FALSE),D2522)</f>
        <v>71.959999999999994</v>
      </c>
      <c r="E2523" s="6">
        <f>IFERROR(VLOOKUP($B2523,Platts!$E$5:$M$4994,MATCH(E$3,Platts!$F$5:$M$5,0)+1,FALSE),E2522)</f>
        <v>67.510000000000005</v>
      </c>
      <c r="F2523" s="6">
        <f>IFERROR(VLOOKUP($B2523,Platts!$E$5:$M$4994,MATCH(F$3,Platts!$F$5:$M$5,0)+1,FALSE),F2522)</f>
        <v>74.209999999999994</v>
      </c>
      <c r="G2523" s="6">
        <f>IFERROR(VLOOKUP($B2523,Platts!$E$5:$M$4994,MATCH(G$3,Platts!$F$5:$M$5,0)+1,FALSE),G2522)</f>
        <v>85.27</v>
      </c>
      <c r="H2523" s="6">
        <f>IFERROR(VLOOKUP($B2523,Platts!$E$5:$M$4994,MATCH(H$3,Platts!$F$5:$M$5,0)+1,FALSE),H2522)</f>
        <v>77.84</v>
      </c>
      <c r="I2523" s="6">
        <f>IFERROR(VLOOKUP($B2523,Platts!$E$5:$M$4994,MATCH(I$3,Platts!$F$5:$M$5,0)+1,FALSE),I2522)</f>
        <v>79.84</v>
      </c>
      <c r="J2523" s="6">
        <f t="shared" si="78"/>
        <v>6.1500000000000057</v>
      </c>
    </row>
    <row r="2524" spans="2:10" x14ac:dyDescent="0.25">
      <c r="B2524" s="5">
        <f t="shared" si="79"/>
        <v>44890</v>
      </c>
      <c r="C2524" s="6">
        <f>IFERROR(VLOOKUP($B2524,Platts!$E$5:$M$4994,MATCH(C$3,Platts!$F$5:$M$5,0)+1,FALSE),C2523)</f>
        <v>71.69</v>
      </c>
      <c r="D2524" s="6">
        <f>IFERROR(VLOOKUP($B2524,Platts!$E$5:$M$4994,MATCH(D$3,Platts!$F$5:$M$5,0)+1,FALSE),D2523)</f>
        <v>71.959999999999994</v>
      </c>
      <c r="E2524" s="6">
        <f>IFERROR(VLOOKUP($B2524,Platts!$E$5:$M$4994,MATCH(E$3,Platts!$F$5:$M$5,0)+1,FALSE),E2523)</f>
        <v>67.510000000000005</v>
      </c>
      <c r="F2524" s="6">
        <f>IFERROR(VLOOKUP($B2524,Platts!$E$5:$M$4994,MATCH(F$3,Platts!$F$5:$M$5,0)+1,FALSE),F2523)</f>
        <v>74.209999999999994</v>
      </c>
      <c r="G2524" s="6">
        <f>IFERROR(VLOOKUP($B2524,Platts!$E$5:$M$4994,MATCH(G$3,Platts!$F$5:$M$5,0)+1,FALSE),G2523)</f>
        <v>85.42</v>
      </c>
      <c r="H2524" s="6">
        <f>IFERROR(VLOOKUP($B2524,Platts!$E$5:$M$4994,MATCH(H$3,Platts!$F$5:$M$5,0)+1,FALSE),H2523)</f>
        <v>77.84</v>
      </c>
      <c r="I2524" s="6">
        <f>IFERROR(VLOOKUP($B2524,Platts!$E$5:$M$4994,MATCH(I$3,Platts!$F$5:$M$5,0)+1,FALSE),I2523)</f>
        <v>79.84</v>
      </c>
      <c r="J2524" s="6">
        <f t="shared" si="78"/>
        <v>6.1500000000000057</v>
      </c>
    </row>
    <row r="2525" spans="2:10" x14ac:dyDescent="0.25">
      <c r="B2525" s="5">
        <f t="shared" si="79"/>
        <v>44891</v>
      </c>
      <c r="C2525" s="6">
        <f>IFERROR(VLOOKUP($B2525,Platts!$E$5:$M$4994,MATCH(C$3,Platts!$F$5:$M$5,0)+1,FALSE),C2524)</f>
        <v>71.69</v>
      </c>
      <c r="D2525" s="6">
        <f>IFERROR(VLOOKUP($B2525,Platts!$E$5:$M$4994,MATCH(D$3,Platts!$F$5:$M$5,0)+1,FALSE),D2524)</f>
        <v>71.959999999999994</v>
      </c>
      <c r="E2525" s="6">
        <f>IFERROR(VLOOKUP($B2525,Platts!$E$5:$M$4994,MATCH(E$3,Platts!$F$5:$M$5,0)+1,FALSE),E2524)</f>
        <v>67.510000000000005</v>
      </c>
      <c r="F2525" s="6">
        <f>IFERROR(VLOOKUP($B2525,Platts!$E$5:$M$4994,MATCH(F$3,Platts!$F$5:$M$5,0)+1,FALSE),F2524)</f>
        <v>74.209999999999994</v>
      </c>
      <c r="G2525" s="6">
        <f>IFERROR(VLOOKUP($B2525,Platts!$E$5:$M$4994,MATCH(G$3,Platts!$F$5:$M$5,0)+1,FALSE),G2524)</f>
        <v>85.42</v>
      </c>
      <c r="H2525" s="6">
        <f>IFERROR(VLOOKUP($B2525,Platts!$E$5:$M$4994,MATCH(H$3,Platts!$F$5:$M$5,0)+1,FALSE),H2524)</f>
        <v>77.84</v>
      </c>
      <c r="I2525" s="6">
        <f>IFERROR(VLOOKUP($B2525,Platts!$E$5:$M$4994,MATCH(I$3,Platts!$F$5:$M$5,0)+1,FALSE),I2524)</f>
        <v>79.84</v>
      </c>
      <c r="J2525" s="6">
        <f t="shared" si="78"/>
        <v>6.1500000000000057</v>
      </c>
    </row>
    <row r="2526" spans="2:10" x14ac:dyDescent="0.25">
      <c r="B2526" s="5">
        <f t="shared" si="79"/>
        <v>44892</v>
      </c>
      <c r="C2526" s="6">
        <f>IFERROR(VLOOKUP($B2526,Platts!$E$5:$M$4994,MATCH(C$3,Platts!$F$5:$M$5,0)+1,FALSE),C2525)</f>
        <v>71.69</v>
      </c>
      <c r="D2526" s="6">
        <f>IFERROR(VLOOKUP($B2526,Platts!$E$5:$M$4994,MATCH(D$3,Platts!$F$5:$M$5,0)+1,FALSE),D2525)</f>
        <v>71.959999999999994</v>
      </c>
      <c r="E2526" s="6">
        <f>IFERROR(VLOOKUP($B2526,Platts!$E$5:$M$4994,MATCH(E$3,Platts!$F$5:$M$5,0)+1,FALSE),E2525)</f>
        <v>67.510000000000005</v>
      </c>
      <c r="F2526" s="6">
        <f>IFERROR(VLOOKUP($B2526,Platts!$E$5:$M$4994,MATCH(F$3,Platts!$F$5:$M$5,0)+1,FALSE),F2525)</f>
        <v>74.209999999999994</v>
      </c>
      <c r="G2526" s="6">
        <f>IFERROR(VLOOKUP($B2526,Platts!$E$5:$M$4994,MATCH(G$3,Platts!$F$5:$M$5,0)+1,FALSE),G2525)</f>
        <v>85.42</v>
      </c>
      <c r="H2526" s="6">
        <f>IFERROR(VLOOKUP($B2526,Platts!$E$5:$M$4994,MATCH(H$3,Platts!$F$5:$M$5,0)+1,FALSE),H2525)</f>
        <v>77.84</v>
      </c>
      <c r="I2526" s="6">
        <f>IFERROR(VLOOKUP($B2526,Platts!$E$5:$M$4994,MATCH(I$3,Platts!$F$5:$M$5,0)+1,FALSE),I2525)</f>
        <v>79.84</v>
      </c>
      <c r="J2526" s="6">
        <f t="shared" si="78"/>
        <v>6.1500000000000057</v>
      </c>
    </row>
    <row r="2527" spans="2:10" x14ac:dyDescent="0.25">
      <c r="B2527" s="5">
        <f t="shared" si="79"/>
        <v>44893</v>
      </c>
      <c r="C2527" s="6">
        <f>IFERROR(VLOOKUP($B2527,Platts!$E$5:$M$4994,MATCH(C$3,Platts!$F$5:$M$5,0)+1,FALSE),C2526)</f>
        <v>69.900000000000006</v>
      </c>
      <c r="D2527" s="6">
        <f>IFERROR(VLOOKUP($B2527,Platts!$E$5:$M$4994,MATCH(D$3,Platts!$F$5:$M$5,0)+1,FALSE),D2526)</f>
        <v>71.09</v>
      </c>
      <c r="E2527" s="6">
        <f>IFERROR(VLOOKUP($B2527,Platts!$E$5:$M$4994,MATCH(E$3,Platts!$F$5:$M$5,0)+1,FALSE),E2526)</f>
        <v>66.64</v>
      </c>
      <c r="F2527" s="6">
        <f>IFERROR(VLOOKUP($B2527,Platts!$E$5:$M$4994,MATCH(F$3,Platts!$F$5:$M$5,0)+1,FALSE),F2526)</f>
        <v>73.34</v>
      </c>
      <c r="G2527" s="6">
        <f>IFERROR(VLOOKUP($B2527,Platts!$E$5:$M$4994,MATCH(G$3,Platts!$F$5:$M$5,0)+1,FALSE),G2526)</f>
        <v>82.52</v>
      </c>
      <c r="H2527" s="6">
        <f>IFERROR(VLOOKUP($B2527,Platts!$E$5:$M$4994,MATCH(H$3,Platts!$F$5:$M$5,0)+1,FALSE),H2526)</f>
        <v>77.239999999999995</v>
      </c>
      <c r="I2527" s="6">
        <f>IFERROR(VLOOKUP($B2527,Platts!$E$5:$M$4994,MATCH(I$3,Platts!$F$5:$M$5,0)+1,FALSE),I2526)</f>
        <v>79.09</v>
      </c>
      <c r="J2527" s="6">
        <f t="shared" si="78"/>
        <v>7.3399999999999892</v>
      </c>
    </row>
    <row r="2528" spans="2:10" x14ac:dyDescent="0.25">
      <c r="B2528" s="5">
        <f t="shared" si="79"/>
        <v>44894</v>
      </c>
      <c r="C2528" s="6">
        <f>IFERROR(VLOOKUP($B2528,Platts!$E$5:$M$4994,MATCH(C$3,Platts!$F$5:$M$5,0)+1,FALSE),C2527)</f>
        <v>70.84</v>
      </c>
      <c r="D2528" s="6">
        <f>IFERROR(VLOOKUP($B2528,Platts!$E$5:$M$4994,MATCH(D$3,Platts!$F$5:$M$5,0)+1,FALSE),D2527)</f>
        <v>71.75</v>
      </c>
      <c r="E2528" s="6">
        <f>IFERROR(VLOOKUP($B2528,Platts!$E$5:$M$4994,MATCH(E$3,Platts!$F$5:$M$5,0)+1,FALSE),E2527)</f>
        <v>67.3</v>
      </c>
      <c r="F2528" s="6">
        <f>IFERROR(VLOOKUP($B2528,Platts!$E$5:$M$4994,MATCH(F$3,Platts!$F$5:$M$5,0)+1,FALSE),F2527)</f>
        <v>74</v>
      </c>
      <c r="G2528" s="6">
        <f>IFERROR(VLOOKUP($B2528,Platts!$E$5:$M$4994,MATCH(G$3,Platts!$F$5:$M$5,0)+1,FALSE),G2527)</f>
        <v>83.04</v>
      </c>
      <c r="H2528" s="6">
        <f>IFERROR(VLOOKUP($B2528,Platts!$E$5:$M$4994,MATCH(H$3,Platts!$F$5:$M$5,0)+1,FALSE),H2527)</f>
        <v>78.2</v>
      </c>
      <c r="I2528" s="6">
        <f>IFERROR(VLOOKUP($B2528,Platts!$E$5:$M$4994,MATCH(I$3,Platts!$F$5:$M$5,0)+1,FALSE),I2527)</f>
        <v>80.05</v>
      </c>
      <c r="J2528" s="6">
        <f t="shared" si="78"/>
        <v>7.3599999999999994</v>
      </c>
    </row>
    <row r="2529" spans="2:10" x14ac:dyDescent="0.25">
      <c r="B2529" s="5">
        <f t="shared" si="79"/>
        <v>44895</v>
      </c>
      <c r="C2529" s="6">
        <f>IFERROR(VLOOKUP($B2529,Platts!$E$5:$M$4994,MATCH(C$3,Platts!$F$5:$M$5,0)+1,FALSE),C2528)</f>
        <v>72.77</v>
      </c>
      <c r="D2529" s="6">
        <f>IFERROR(VLOOKUP($B2529,Platts!$E$5:$M$4994,MATCH(D$3,Platts!$F$5:$M$5,0)+1,FALSE),D2528)</f>
        <v>73.989999999999995</v>
      </c>
      <c r="E2529" s="6">
        <f>IFERROR(VLOOKUP($B2529,Platts!$E$5:$M$4994,MATCH(E$3,Platts!$F$5:$M$5,0)+1,FALSE),E2528)</f>
        <v>69.540000000000006</v>
      </c>
      <c r="F2529" s="6">
        <f>IFERROR(VLOOKUP($B2529,Platts!$E$5:$M$4994,MATCH(F$3,Platts!$F$5:$M$5,0)+1,FALSE),F2528)</f>
        <v>76.239999999999995</v>
      </c>
      <c r="G2529" s="6">
        <f>IFERROR(VLOOKUP($B2529,Platts!$E$5:$M$4994,MATCH(G$3,Platts!$F$5:$M$5,0)+1,FALSE),G2528)</f>
        <v>85.48</v>
      </c>
      <c r="H2529" s="6">
        <f>IFERROR(VLOOKUP($B2529,Platts!$E$5:$M$4994,MATCH(H$3,Platts!$F$5:$M$5,0)+1,FALSE),H2528)</f>
        <v>80.55</v>
      </c>
      <c r="I2529" s="6">
        <f>IFERROR(VLOOKUP($B2529,Platts!$E$5:$M$4994,MATCH(I$3,Platts!$F$5:$M$5,0)+1,FALSE),I2528)</f>
        <v>82.4</v>
      </c>
      <c r="J2529" s="6">
        <f t="shared" si="78"/>
        <v>7.7800000000000011</v>
      </c>
    </row>
    <row r="2530" spans="2:10" x14ac:dyDescent="0.25">
      <c r="B2530" s="5">
        <f t="shared" si="79"/>
        <v>44896</v>
      </c>
      <c r="C2530" s="6">
        <f>IFERROR(VLOOKUP($B2530,Platts!$E$5:$M$4994,MATCH(C$3,Platts!$F$5:$M$5,0)+1,FALSE),C2529)</f>
        <v>71.08</v>
      </c>
      <c r="D2530" s="6">
        <f>IFERROR(VLOOKUP($B2530,Platts!$E$5:$M$4994,MATCH(D$3,Platts!$F$5:$M$5,0)+1,FALSE),D2529)</f>
        <v>73.569999999999993</v>
      </c>
      <c r="E2530" s="6">
        <f>IFERROR(VLOOKUP($B2530,Platts!$E$5:$M$4994,MATCH(E$3,Platts!$F$5:$M$5,0)+1,FALSE),E2529)</f>
        <v>67.52</v>
      </c>
      <c r="F2530" s="6">
        <f>IFERROR(VLOOKUP($B2530,Platts!$E$5:$M$4994,MATCH(F$3,Platts!$F$5:$M$5,0)+1,FALSE),F2529)</f>
        <v>75.319999999999993</v>
      </c>
      <c r="G2530" s="6">
        <f>IFERROR(VLOOKUP($B2530,Platts!$E$5:$M$4994,MATCH(G$3,Platts!$F$5:$M$5,0)+1,FALSE),G2529)</f>
        <v>88.74</v>
      </c>
      <c r="H2530" s="6">
        <f>IFERROR(VLOOKUP($B2530,Platts!$E$5:$M$4994,MATCH(H$3,Platts!$F$5:$M$5,0)+1,FALSE),H2529)</f>
        <v>81.22</v>
      </c>
      <c r="I2530" s="6">
        <f>IFERROR(VLOOKUP($B2530,Platts!$E$5:$M$4994,MATCH(I$3,Platts!$F$5:$M$5,0)+1,FALSE),I2529)</f>
        <v>83.07</v>
      </c>
      <c r="J2530" s="6">
        <f t="shared" si="78"/>
        <v>10.14</v>
      </c>
    </row>
    <row r="2531" spans="2:10" x14ac:dyDescent="0.25">
      <c r="B2531" s="5">
        <f t="shared" si="79"/>
        <v>44897</v>
      </c>
      <c r="C2531" s="6">
        <f>IFERROR(VLOOKUP($B2531,Platts!$E$5:$M$4994,MATCH(C$3,Platts!$F$5:$M$5,0)+1,FALSE),C2530)</f>
        <v>69.88</v>
      </c>
      <c r="D2531" s="6">
        <f>IFERROR(VLOOKUP($B2531,Platts!$E$5:$M$4994,MATCH(D$3,Platts!$F$5:$M$5,0)+1,FALSE),D2530)</f>
        <v>72.239999999999995</v>
      </c>
      <c r="E2531" s="6">
        <f>IFERROR(VLOOKUP($B2531,Platts!$E$5:$M$4994,MATCH(E$3,Platts!$F$5:$M$5,0)+1,FALSE),E2530)</f>
        <v>66.19</v>
      </c>
      <c r="F2531" s="6">
        <f>IFERROR(VLOOKUP($B2531,Platts!$E$5:$M$4994,MATCH(F$3,Platts!$F$5:$M$5,0)+1,FALSE),F2530)</f>
        <v>73.989999999999995</v>
      </c>
      <c r="G2531" s="6">
        <f>IFERROR(VLOOKUP($B2531,Platts!$E$5:$M$4994,MATCH(G$3,Platts!$F$5:$M$5,0)+1,FALSE),G2530)</f>
        <v>86.47</v>
      </c>
      <c r="H2531" s="6">
        <f>IFERROR(VLOOKUP($B2531,Platts!$E$5:$M$4994,MATCH(H$3,Platts!$F$5:$M$5,0)+1,FALSE),H2530)</f>
        <v>79.98</v>
      </c>
      <c r="I2531" s="6">
        <f>IFERROR(VLOOKUP($B2531,Platts!$E$5:$M$4994,MATCH(I$3,Platts!$F$5:$M$5,0)+1,FALSE),I2530)</f>
        <v>81.430000000000007</v>
      </c>
      <c r="J2531" s="6">
        <f t="shared" si="78"/>
        <v>10.100000000000009</v>
      </c>
    </row>
    <row r="2532" spans="2:10" x14ac:dyDescent="0.25">
      <c r="B2532" s="5">
        <f t="shared" si="79"/>
        <v>44898</v>
      </c>
      <c r="C2532" s="6">
        <f>IFERROR(VLOOKUP($B2532,Platts!$E$5:$M$4994,MATCH(C$3,Platts!$F$5:$M$5,0)+1,FALSE),C2531)</f>
        <v>69.88</v>
      </c>
      <c r="D2532" s="6">
        <f>IFERROR(VLOOKUP($B2532,Platts!$E$5:$M$4994,MATCH(D$3,Platts!$F$5:$M$5,0)+1,FALSE),D2531)</f>
        <v>72.239999999999995</v>
      </c>
      <c r="E2532" s="6">
        <f>IFERROR(VLOOKUP($B2532,Platts!$E$5:$M$4994,MATCH(E$3,Platts!$F$5:$M$5,0)+1,FALSE),E2531)</f>
        <v>66.19</v>
      </c>
      <c r="F2532" s="6">
        <f>IFERROR(VLOOKUP($B2532,Platts!$E$5:$M$4994,MATCH(F$3,Platts!$F$5:$M$5,0)+1,FALSE),F2531)</f>
        <v>73.989999999999995</v>
      </c>
      <c r="G2532" s="6">
        <f>IFERROR(VLOOKUP($B2532,Platts!$E$5:$M$4994,MATCH(G$3,Platts!$F$5:$M$5,0)+1,FALSE),G2531)</f>
        <v>86.47</v>
      </c>
      <c r="H2532" s="6">
        <f>IFERROR(VLOOKUP($B2532,Platts!$E$5:$M$4994,MATCH(H$3,Platts!$F$5:$M$5,0)+1,FALSE),H2531)</f>
        <v>79.98</v>
      </c>
      <c r="I2532" s="6">
        <f>IFERROR(VLOOKUP($B2532,Platts!$E$5:$M$4994,MATCH(I$3,Platts!$F$5:$M$5,0)+1,FALSE),I2531)</f>
        <v>81.430000000000007</v>
      </c>
      <c r="J2532" s="6">
        <f t="shared" ref="J2532:J2557" si="80">H2532-C2532</f>
        <v>10.100000000000009</v>
      </c>
    </row>
    <row r="2533" spans="2:10" x14ac:dyDescent="0.25">
      <c r="B2533" s="5">
        <f t="shared" si="79"/>
        <v>44899</v>
      </c>
      <c r="C2533" s="6">
        <f>IFERROR(VLOOKUP($B2533,Platts!$E$5:$M$4994,MATCH(C$3,Platts!$F$5:$M$5,0)+1,FALSE),C2532)</f>
        <v>69.88</v>
      </c>
      <c r="D2533" s="6">
        <f>IFERROR(VLOOKUP($B2533,Platts!$E$5:$M$4994,MATCH(D$3,Platts!$F$5:$M$5,0)+1,FALSE),D2532)</f>
        <v>72.239999999999995</v>
      </c>
      <c r="E2533" s="6">
        <f>IFERROR(VLOOKUP($B2533,Platts!$E$5:$M$4994,MATCH(E$3,Platts!$F$5:$M$5,0)+1,FALSE),E2532)</f>
        <v>66.19</v>
      </c>
      <c r="F2533" s="6">
        <f>IFERROR(VLOOKUP($B2533,Platts!$E$5:$M$4994,MATCH(F$3,Platts!$F$5:$M$5,0)+1,FALSE),F2532)</f>
        <v>73.989999999999995</v>
      </c>
      <c r="G2533" s="6">
        <f>IFERROR(VLOOKUP($B2533,Platts!$E$5:$M$4994,MATCH(G$3,Platts!$F$5:$M$5,0)+1,FALSE),G2532)</f>
        <v>86.47</v>
      </c>
      <c r="H2533" s="6">
        <f>IFERROR(VLOOKUP($B2533,Platts!$E$5:$M$4994,MATCH(H$3,Platts!$F$5:$M$5,0)+1,FALSE),H2532)</f>
        <v>79.98</v>
      </c>
      <c r="I2533" s="6">
        <f>IFERROR(VLOOKUP($B2533,Platts!$E$5:$M$4994,MATCH(I$3,Platts!$F$5:$M$5,0)+1,FALSE),I2532)</f>
        <v>81.430000000000007</v>
      </c>
      <c r="J2533" s="6">
        <f t="shared" si="80"/>
        <v>10.100000000000009</v>
      </c>
    </row>
    <row r="2534" spans="2:10" x14ac:dyDescent="0.25">
      <c r="B2534" s="5">
        <f t="shared" si="79"/>
        <v>44900</v>
      </c>
      <c r="C2534" s="6">
        <f>IFERROR(VLOOKUP($B2534,Platts!$E$5:$M$4994,MATCH(C$3,Platts!$F$5:$M$5,0)+1,FALSE),C2533)</f>
        <v>67.16</v>
      </c>
      <c r="D2534" s="6">
        <f>IFERROR(VLOOKUP($B2534,Platts!$E$5:$M$4994,MATCH(D$3,Platts!$F$5:$M$5,0)+1,FALSE),D2533)</f>
        <v>69.25</v>
      </c>
      <c r="E2534" s="6">
        <f>IFERROR(VLOOKUP($B2534,Platts!$E$5:$M$4994,MATCH(E$3,Platts!$F$5:$M$5,0)+1,FALSE),E2533)</f>
        <v>63.2</v>
      </c>
      <c r="F2534" s="6">
        <f>IFERROR(VLOOKUP($B2534,Platts!$E$5:$M$4994,MATCH(F$3,Platts!$F$5:$M$5,0)+1,FALSE),F2533)</f>
        <v>71</v>
      </c>
      <c r="G2534" s="6">
        <f>IFERROR(VLOOKUP($B2534,Platts!$E$5:$M$4994,MATCH(G$3,Platts!$F$5:$M$5,0)+1,FALSE),G2533)</f>
        <v>85.11</v>
      </c>
      <c r="H2534" s="6">
        <f>IFERROR(VLOOKUP($B2534,Platts!$E$5:$M$4994,MATCH(H$3,Platts!$F$5:$M$5,0)+1,FALSE),H2533)</f>
        <v>76.959999999999994</v>
      </c>
      <c r="I2534" s="6">
        <f>IFERROR(VLOOKUP($B2534,Platts!$E$5:$M$4994,MATCH(I$3,Platts!$F$5:$M$5,0)+1,FALSE),I2533)</f>
        <v>78.23</v>
      </c>
      <c r="J2534" s="6">
        <f t="shared" si="80"/>
        <v>9.7999999999999972</v>
      </c>
    </row>
    <row r="2535" spans="2:10" x14ac:dyDescent="0.25">
      <c r="B2535" s="5">
        <f t="shared" si="79"/>
        <v>44901</v>
      </c>
      <c r="C2535" s="6">
        <f>IFERROR(VLOOKUP($B2535,Platts!$E$5:$M$4994,MATCH(C$3,Platts!$F$5:$M$5,0)+1,FALSE),C2534)</f>
        <v>64.150000000000006</v>
      </c>
      <c r="D2535" s="6">
        <f>IFERROR(VLOOKUP($B2535,Platts!$E$5:$M$4994,MATCH(D$3,Platts!$F$5:$M$5,0)+1,FALSE),D2534)</f>
        <v>66.31</v>
      </c>
      <c r="E2535" s="6">
        <f>IFERROR(VLOOKUP($B2535,Platts!$E$5:$M$4994,MATCH(E$3,Platts!$F$5:$M$5,0)+1,FALSE),E2534)</f>
        <v>60.26</v>
      </c>
      <c r="F2535" s="6">
        <f>IFERROR(VLOOKUP($B2535,Platts!$E$5:$M$4994,MATCH(F$3,Platts!$F$5:$M$5,0)+1,FALSE),F2534)</f>
        <v>68.06</v>
      </c>
      <c r="G2535" s="6">
        <f>IFERROR(VLOOKUP($B2535,Platts!$E$5:$M$4994,MATCH(G$3,Platts!$F$5:$M$5,0)+1,FALSE),G2534)</f>
        <v>80.45</v>
      </c>
      <c r="H2535" s="6">
        <f>IFERROR(VLOOKUP($B2535,Platts!$E$5:$M$4994,MATCH(H$3,Platts!$F$5:$M$5,0)+1,FALSE),H2534)</f>
        <v>74.25</v>
      </c>
      <c r="I2535" s="6">
        <f>IFERROR(VLOOKUP($B2535,Platts!$E$5:$M$4994,MATCH(I$3,Platts!$F$5:$M$5,0)+1,FALSE),I2534)</f>
        <v>75.599999999999994</v>
      </c>
      <c r="J2535" s="6">
        <f t="shared" si="80"/>
        <v>10.099999999999994</v>
      </c>
    </row>
    <row r="2536" spans="2:10" x14ac:dyDescent="0.25">
      <c r="B2536" s="5">
        <f t="shared" si="79"/>
        <v>44902</v>
      </c>
      <c r="C2536" s="6">
        <f>IFERROR(VLOOKUP($B2536,Platts!$E$5:$M$4994,MATCH(C$3,Platts!$F$5:$M$5,0)+1,FALSE),C2535)</f>
        <v>61.86</v>
      </c>
      <c r="D2536" s="6">
        <f>IFERROR(VLOOKUP($B2536,Platts!$E$5:$M$4994,MATCH(D$3,Platts!$F$5:$M$5,0)+1,FALSE),D2535)</f>
        <v>64.09</v>
      </c>
      <c r="E2536" s="6">
        <f>IFERROR(VLOOKUP($B2536,Platts!$E$5:$M$4994,MATCH(E$3,Platts!$F$5:$M$5,0)+1,FALSE),E2535)</f>
        <v>58.04</v>
      </c>
      <c r="F2536" s="6">
        <f>IFERROR(VLOOKUP($B2536,Platts!$E$5:$M$4994,MATCH(F$3,Platts!$F$5:$M$5,0)+1,FALSE),F2535)</f>
        <v>65.84</v>
      </c>
      <c r="G2536" s="6">
        <f>IFERROR(VLOOKUP($B2536,Platts!$E$5:$M$4994,MATCH(G$3,Platts!$F$5:$M$5,0)+1,FALSE),G2535)</f>
        <v>78.59</v>
      </c>
      <c r="H2536" s="6">
        <f>IFERROR(VLOOKUP($B2536,Platts!$E$5:$M$4994,MATCH(H$3,Platts!$F$5:$M$5,0)+1,FALSE),H2535)</f>
        <v>72.010000000000005</v>
      </c>
      <c r="I2536" s="6">
        <f>IFERROR(VLOOKUP($B2536,Platts!$E$5:$M$4994,MATCH(I$3,Platts!$F$5:$M$5,0)+1,FALSE),I2535)</f>
        <v>73.209999999999994</v>
      </c>
      <c r="J2536" s="6">
        <f t="shared" si="80"/>
        <v>10.150000000000006</v>
      </c>
    </row>
    <row r="2537" spans="2:10" x14ac:dyDescent="0.25">
      <c r="B2537" s="5">
        <f t="shared" si="79"/>
        <v>44903</v>
      </c>
      <c r="C2537" s="6">
        <f>IFERROR(VLOOKUP($B2537,Platts!$E$5:$M$4994,MATCH(C$3,Platts!$F$5:$M$5,0)+1,FALSE),C2536)</f>
        <v>60.86</v>
      </c>
      <c r="D2537" s="6">
        <f>IFERROR(VLOOKUP($B2537,Platts!$E$5:$M$4994,MATCH(D$3,Platts!$F$5:$M$5,0)+1,FALSE),D2536)</f>
        <v>63.24</v>
      </c>
      <c r="E2537" s="6">
        <f>IFERROR(VLOOKUP($B2537,Platts!$E$5:$M$4994,MATCH(E$3,Platts!$F$5:$M$5,0)+1,FALSE),E2536)</f>
        <v>57.19</v>
      </c>
      <c r="F2537" s="6">
        <f>IFERROR(VLOOKUP($B2537,Platts!$E$5:$M$4994,MATCH(F$3,Platts!$F$5:$M$5,0)+1,FALSE),F2536)</f>
        <v>64.989999999999995</v>
      </c>
      <c r="G2537" s="6">
        <f>IFERROR(VLOOKUP($B2537,Platts!$E$5:$M$4994,MATCH(G$3,Platts!$F$5:$M$5,0)+1,FALSE),G2536)</f>
        <v>76.45</v>
      </c>
      <c r="H2537" s="6">
        <f>IFERROR(VLOOKUP($B2537,Platts!$E$5:$M$4994,MATCH(H$3,Platts!$F$5:$M$5,0)+1,FALSE),H2536)</f>
        <v>71.459999999999994</v>
      </c>
      <c r="I2537" s="6">
        <f>IFERROR(VLOOKUP($B2537,Platts!$E$5:$M$4994,MATCH(I$3,Platts!$F$5:$M$5,0)+1,FALSE),I2536)</f>
        <v>72.61</v>
      </c>
      <c r="J2537" s="6">
        <f t="shared" si="80"/>
        <v>10.599999999999994</v>
      </c>
    </row>
    <row r="2538" spans="2:10" x14ac:dyDescent="0.25">
      <c r="B2538" s="5">
        <f t="shared" si="79"/>
        <v>44904</v>
      </c>
      <c r="C2538" s="6">
        <f>IFERROR(VLOOKUP($B2538,Platts!$E$5:$M$4994,MATCH(C$3,Platts!$F$5:$M$5,0)+1,FALSE),C2537)</f>
        <v>60.42</v>
      </c>
      <c r="D2538" s="6">
        <f>IFERROR(VLOOKUP($B2538,Platts!$E$5:$M$4994,MATCH(D$3,Platts!$F$5:$M$5,0)+1,FALSE),D2537)</f>
        <v>62.61</v>
      </c>
      <c r="E2538" s="6">
        <f>IFERROR(VLOOKUP($B2538,Platts!$E$5:$M$4994,MATCH(E$3,Platts!$F$5:$M$5,0)+1,FALSE),E2537)</f>
        <v>56.56</v>
      </c>
      <c r="F2538" s="6">
        <f>IFERROR(VLOOKUP($B2538,Platts!$E$5:$M$4994,MATCH(F$3,Platts!$F$5:$M$5,0)+1,FALSE),F2537)</f>
        <v>64.36</v>
      </c>
      <c r="G2538" s="6">
        <f>IFERROR(VLOOKUP($B2538,Platts!$E$5:$M$4994,MATCH(G$3,Platts!$F$5:$M$5,0)+1,FALSE),G2537)</f>
        <v>77.52</v>
      </c>
      <c r="H2538" s="6">
        <f>IFERROR(VLOOKUP($B2538,Platts!$E$5:$M$4994,MATCH(H$3,Platts!$F$5:$M$5,0)+1,FALSE),H2537)</f>
        <v>71.02</v>
      </c>
      <c r="I2538" s="6">
        <f>IFERROR(VLOOKUP($B2538,Platts!$E$5:$M$4994,MATCH(I$3,Platts!$F$5:$M$5,0)+1,FALSE),I2537)</f>
        <v>71.77</v>
      </c>
      <c r="J2538" s="6">
        <f t="shared" si="80"/>
        <v>10.599999999999994</v>
      </c>
    </row>
    <row r="2539" spans="2:10" x14ac:dyDescent="0.25">
      <c r="B2539" s="5">
        <f t="shared" si="79"/>
        <v>44905</v>
      </c>
      <c r="C2539" s="6">
        <f>IFERROR(VLOOKUP($B2539,Platts!$E$5:$M$4994,MATCH(C$3,Platts!$F$5:$M$5,0)+1,FALSE),C2538)</f>
        <v>60.42</v>
      </c>
      <c r="D2539" s="6">
        <f>IFERROR(VLOOKUP($B2539,Platts!$E$5:$M$4994,MATCH(D$3,Platts!$F$5:$M$5,0)+1,FALSE),D2538)</f>
        <v>62.61</v>
      </c>
      <c r="E2539" s="6">
        <f>IFERROR(VLOOKUP($B2539,Platts!$E$5:$M$4994,MATCH(E$3,Platts!$F$5:$M$5,0)+1,FALSE),E2538)</f>
        <v>56.56</v>
      </c>
      <c r="F2539" s="6">
        <f>IFERROR(VLOOKUP($B2539,Platts!$E$5:$M$4994,MATCH(F$3,Platts!$F$5:$M$5,0)+1,FALSE),F2538)</f>
        <v>64.36</v>
      </c>
      <c r="G2539" s="6">
        <f>IFERROR(VLOOKUP($B2539,Platts!$E$5:$M$4994,MATCH(G$3,Platts!$F$5:$M$5,0)+1,FALSE),G2538)</f>
        <v>77.52</v>
      </c>
      <c r="H2539" s="6">
        <f>IFERROR(VLOOKUP($B2539,Platts!$E$5:$M$4994,MATCH(H$3,Platts!$F$5:$M$5,0)+1,FALSE),H2538)</f>
        <v>71.02</v>
      </c>
      <c r="I2539" s="6">
        <f>IFERROR(VLOOKUP($B2539,Platts!$E$5:$M$4994,MATCH(I$3,Platts!$F$5:$M$5,0)+1,FALSE),I2538)</f>
        <v>71.77</v>
      </c>
      <c r="J2539" s="6">
        <f t="shared" si="80"/>
        <v>10.599999999999994</v>
      </c>
    </row>
    <row r="2540" spans="2:10" x14ac:dyDescent="0.25">
      <c r="B2540" s="5">
        <f t="shared" si="79"/>
        <v>44906</v>
      </c>
      <c r="C2540" s="6">
        <f>IFERROR(VLOOKUP($B2540,Platts!$E$5:$M$4994,MATCH(C$3,Platts!$F$5:$M$5,0)+1,FALSE),C2539)</f>
        <v>60.42</v>
      </c>
      <c r="D2540" s="6">
        <f>IFERROR(VLOOKUP($B2540,Platts!$E$5:$M$4994,MATCH(D$3,Platts!$F$5:$M$5,0)+1,FALSE),D2539)</f>
        <v>62.61</v>
      </c>
      <c r="E2540" s="6">
        <f>IFERROR(VLOOKUP($B2540,Platts!$E$5:$M$4994,MATCH(E$3,Platts!$F$5:$M$5,0)+1,FALSE),E2539)</f>
        <v>56.56</v>
      </c>
      <c r="F2540" s="6">
        <f>IFERROR(VLOOKUP($B2540,Platts!$E$5:$M$4994,MATCH(F$3,Platts!$F$5:$M$5,0)+1,FALSE),F2539)</f>
        <v>64.36</v>
      </c>
      <c r="G2540" s="6">
        <f>IFERROR(VLOOKUP($B2540,Platts!$E$5:$M$4994,MATCH(G$3,Platts!$F$5:$M$5,0)+1,FALSE),G2539)</f>
        <v>77.52</v>
      </c>
      <c r="H2540" s="6">
        <f>IFERROR(VLOOKUP($B2540,Platts!$E$5:$M$4994,MATCH(H$3,Platts!$F$5:$M$5,0)+1,FALSE),H2539)</f>
        <v>71.02</v>
      </c>
      <c r="I2540" s="6">
        <f>IFERROR(VLOOKUP($B2540,Platts!$E$5:$M$4994,MATCH(I$3,Platts!$F$5:$M$5,0)+1,FALSE),I2539)</f>
        <v>71.77</v>
      </c>
      <c r="J2540" s="6">
        <f t="shared" si="80"/>
        <v>10.599999999999994</v>
      </c>
    </row>
    <row r="2541" spans="2:10" x14ac:dyDescent="0.25">
      <c r="B2541" s="5">
        <f t="shared" si="79"/>
        <v>44907</v>
      </c>
      <c r="C2541" s="6">
        <f>IFERROR(VLOOKUP($B2541,Platts!$E$5:$M$4994,MATCH(C$3,Platts!$F$5:$M$5,0)+1,FALSE),C2540)</f>
        <v>61.97</v>
      </c>
      <c r="D2541" s="6">
        <f>IFERROR(VLOOKUP($B2541,Platts!$E$5:$M$4994,MATCH(D$3,Platts!$F$5:$M$5,0)+1,FALSE),D2540)</f>
        <v>64.510000000000005</v>
      </c>
      <c r="E2541" s="6">
        <f>IFERROR(VLOOKUP($B2541,Platts!$E$5:$M$4994,MATCH(E$3,Platts!$F$5:$M$5,0)+1,FALSE),E2540)</f>
        <v>58.46</v>
      </c>
      <c r="F2541" s="6">
        <f>IFERROR(VLOOKUP($B2541,Platts!$E$5:$M$4994,MATCH(F$3,Platts!$F$5:$M$5,0)+1,FALSE),F2540)</f>
        <v>66.260000000000005</v>
      </c>
      <c r="G2541" s="6">
        <f>IFERROR(VLOOKUP($B2541,Platts!$E$5:$M$4994,MATCH(G$3,Platts!$F$5:$M$5,0)+1,FALSE),G2540)</f>
        <v>78.599999999999994</v>
      </c>
      <c r="H2541" s="6">
        <f>IFERROR(VLOOKUP($B2541,Platts!$E$5:$M$4994,MATCH(H$3,Platts!$F$5:$M$5,0)+1,FALSE),H2540)</f>
        <v>73.17</v>
      </c>
      <c r="I2541" s="6">
        <f>IFERROR(VLOOKUP($B2541,Platts!$E$5:$M$4994,MATCH(I$3,Platts!$F$5:$M$5,0)+1,FALSE),I2540)</f>
        <v>73.92</v>
      </c>
      <c r="J2541" s="6">
        <f t="shared" si="80"/>
        <v>11.200000000000003</v>
      </c>
    </row>
    <row r="2542" spans="2:10" x14ac:dyDescent="0.25">
      <c r="B2542" s="5">
        <f t="shared" si="79"/>
        <v>44908</v>
      </c>
      <c r="C2542" s="6">
        <f>IFERROR(VLOOKUP($B2542,Platts!$E$5:$M$4994,MATCH(C$3,Platts!$F$5:$M$5,0)+1,FALSE),C2541)</f>
        <v>64.67</v>
      </c>
      <c r="D2542" s="6">
        <f>IFERROR(VLOOKUP($B2542,Platts!$E$5:$M$4994,MATCH(D$3,Platts!$F$5:$M$5,0)+1,FALSE),D2541)</f>
        <v>67.06</v>
      </c>
      <c r="E2542" s="6">
        <f>IFERROR(VLOOKUP($B2542,Platts!$E$5:$M$4994,MATCH(E$3,Platts!$F$5:$M$5,0)+1,FALSE),E2541)</f>
        <v>61.01</v>
      </c>
      <c r="F2542" s="6">
        <f>IFERROR(VLOOKUP($B2542,Platts!$E$5:$M$4994,MATCH(F$3,Platts!$F$5:$M$5,0)+1,FALSE),F2541)</f>
        <v>68.81</v>
      </c>
      <c r="G2542" s="6">
        <f>IFERROR(VLOOKUP($B2542,Platts!$E$5:$M$4994,MATCH(G$3,Platts!$F$5:$M$5,0)+1,FALSE),G2541)</f>
        <v>80.599999999999994</v>
      </c>
      <c r="H2542" s="6">
        <f>IFERROR(VLOOKUP($B2542,Platts!$E$5:$M$4994,MATCH(H$3,Platts!$F$5:$M$5,0)+1,FALSE),H2541)</f>
        <v>75.39</v>
      </c>
      <c r="I2542" s="6">
        <f>IFERROR(VLOOKUP($B2542,Platts!$E$5:$M$4994,MATCH(I$3,Platts!$F$5:$M$5,0)+1,FALSE),I2541)</f>
        <v>76.14</v>
      </c>
      <c r="J2542" s="6">
        <f t="shared" si="80"/>
        <v>10.719999999999999</v>
      </c>
    </row>
    <row r="2543" spans="2:10" x14ac:dyDescent="0.25">
      <c r="B2543" s="5">
        <f t="shared" si="79"/>
        <v>44909</v>
      </c>
      <c r="C2543" s="6">
        <f>IFERROR(VLOOKUP($B2543,Platts!$E$5:$M$4994,MATCH(C$3,Platts!$F$5:$M$5,0)+1,FALSE),C2542)</f>
        <v>66.73</v>
      </c>
      <c r="D2543" s="6">
        <f>IFERROR(VLOOKUP($B2543,Platts!$E$5:$M$4994,MATCH(D$3,Platts!$F$5:$M$5,0)+1,FALSE),D2542)</f>
        <v>69.19</v>
      </c>
      <c r="E2543" s="6">
        <f>IFERROR(VLOOKUP($B2543,Platts!$E$5:$M$4994,MATCH(E$3,Platts!$F$5:$M$5,0)+1,FALSE),E2542)</f>
        <v>63.14</v>
      </c>
      <c r="F2543" s="6">
        <f>IFERROR(VLOOKUP($B2543,Platts!$E$5:$M$4994,MATCH(F$3,Platts!$F$5:$M$5,0)+1,FALSE),F2542)</f>
        <v>70.94</v>
      </c>
      <c r="G2543" s="6">
        <f>IFERROR(VLOOKUP($B2543,Platts!$E$5:$M$4994,MATCH(G$3,Platts!$F$5:$M$5,0)+1,FALSE),G2542)</f>
        <v>82.82</v>
      </c>
      <c r="H2543" s="6">
        <f>IFERROR(VLOOKUP($B2543,Platts!$E$5:$M$4994,MATCH(H$3,Platts!$F$5:$M$5,0)+1,FALSE),H2542)</f>
        <v>77.28</v>
      </c>
      <c r="I2543" s="6">
        <f>IFERROR(VLOOKUP($B2543,Platts!$E$5:$M$4994,MATCH(I$3,Platts!$F$5:$M$5,0)+1,FALSE),I2542)</f>
        <v>78.58</v>
      </c>
      <c r="J2543" s="6">
        <f t="shared" si="80"/>
        <v>10.549999999999997</v>
      </c>
    </row>
    <row r="2544" spans="2:10" x14ac:dyDescent="0.25">
      <c r="B2544" s="5">
        <f t="shared" si="79"/>
        <v>44910</v>
      </c>
      <c r="C2544" s="6">
        <f>IFERROR(VLOOKUP($B2544,Platts!$E$5:$M$4994,MATCH(C$3,Platts!$F$5:$M$5,0)+1,FALSE),C2543)</f>
        <v>65.73</v>
      </c>
      <c r="D2544" s="6">
        <f>IFERROR(VLOOKUP($B2544,Platts!$E$5:$M$4994,MATCH(D$3,Platts!$F$5:$M$5,0)+1,FALSE),D2543)</f>
        <v>68.069999999999993</v>
      </c>
      <c r="E2544" s="6">
        <f>IFERROR(VLOOKUP($B2544,Platts!$E$5:$M$4994,MATCH(E$3,Platts!$F$5:$M$5,0)+1,FALSE),E2543)</f>
        <v>62.02</v>
      </c>
      <c r="F2544" s="6">
        <f>IFERROR(VLOOKUP($B2544,Platts!$E$5:$M$4994,MATCH(F$3,Platts!$F$5:$M$5,0)+1,FALSE),F2543)</f>
        <v>69.819999999999993</v>
      </c>
      <c r="G2544" s="6">
        <f>IFERROR(VLOOKUP($B2544,Platts!$E$5:$M$4994,MATCH(G$3,Platts!$F$5:$M$5,0)+1,FALSE),G2543)</f>
        <v>81.14</v>
      </c>
      <c r="H2544" s="6">
        <f>IFERROR(VLOOKUP($B2544,Platts!$E$5:$M$4994,MATCH(H$3,Platts!$F$5:$M$5,0)+1,FALSE),H2543)</f>
        <v>76.11</v>
      </c>
      <c r="I2544" s="6">
        <f>IFERROR(VLOOKUP($B2544,Platts!$E$5:$M$4994,MATCH(I$3,Platts!$F$5:$M$5,0)+1,FALSE),I2543)</f>
        <v>77.66</v>
      </c>
      <c r="J2544" s="6">
        <f t="shared" si="80"/>
        <v>10.379999999999995</v>
      </c>
    </row>
    <row r="2545" spans="2:10" x14ac:dyDescent="0.25">
      <c r="B2545" s="5">
        <f t="shared" si="79"/>
        <v>44911</v>
      </c>
      <c r="C2545" s="6">
        <f>IFERROR(VLOOKUP($B2545,Platts!$E$5:$M$4994,MATCH(C$3,Platts!$F$5:$M$5,0)+1,FALSE),C2544)</f>
        <v>63.86</v>
      </c>
      <c r="D2545" s="6">
        <f>IFERROR(VLOOKUP($B2545,Platts!$E$5:$M$4994,MATCH(D$3,Platts!$F$5:$M$5,0)+1,FALSE),D2544)</f>
        <v>66.16</v>
      </c>
      <c r="E2545" s="6">
        <f>IFERROR(VLOOKUP($B2545,Platts!$E$5:$M$4994,MATCH(E$3,Platts!$F$5:$M$5,0)+1,FALSE),E2544)</f>
        <v>60.11</v>
      </c>
      <c r="F2545" s="6">
        <f>IFERROR(VLOOKUP($B2545,Platts!$E$5:$M$4994,MATCH(F$3,Platts!$F$5:$M$5,0)+1,FALSE),F2544)</f>
        <v>67.91</v>
      </c>
      <c r="G2545" s="6">
        <f>IFERROR(VLOOKUP($B2545,Platts!$E$5:$M$4994,MATCH(G$3,Platts!$F$5:$M$5,0)+1,FALSE),G2544)</f>
        <v>78.489999999999995</v>
      </c>
      <c r="H2545" s="6">
        <f>IFERROR(VLOOKUP($B2545,Platts!$E$5:$M$4994,MATCH(H$3,Platts!$F$5:$M$5,0)+1,FALSE),H2544)</f>
        <v>74.290000000000006</v>
      </c>
      <c r="I2545" s="6">
        <f>IFERROR(VLOOKUP($B2545,Platts!$E$5:$M$4994,MATCH(I$3,Platts!$F$5:$M$5,0)+1,FALSE),I2544)</f>
        <v>76.239999999999995</v>
      </c>
      <c r="J2545" s="6">
        <f t="shared" si="80"/>
        <v>10.430000000000007</v>
      </c>
    </row>
    <row r="2546" spans="2:10" x14ac:dyDescent="0.25">
      <c r="B2546" s="5">
        <f t="shared" si="79"/>
        <v>44912</v>
      </c>
      <c r="C2546" s="6">
        <f>IFERROR(VLOOKUP($B2546,Platts!$E$5:$M$4994,MATCH(C$3,Platts!$F$5:$M$5,0)+1,FALSE),C2545)</f>
        <v>63.86</v>
      </c>
      <c r="D2546" s="6">
        <f>IFERROR(VLOOKUP($B2546,Platts!$E$5:$M$4994,MATCH(D$3,Platts!$F$5:$M$5,0)+1,FALSE),D2545)</f>
        <v>66.16</v>
      </c>
      <c r="E2546" s="6">
        <f>IFERROR(VLOOKUP($B2546,Platts!$E$5:$M$4994,MATCH(E$3,Platts!$F$5:$M$5,0)+1,FALSE),E2545)</f>
        <v>60.11</v>
      </c>
      <c r="F2546" s="6">
        <f>IFERROR(VLOOKUP($B2546,Platts!$E$5:$M$4994,MATCH(F$3,Platts!$F$5:$M$5,0)+1,FALSE),F2545)</f>
        <v>67.91</v>
      </c>
      <c r="G2546" s="6">
        <f>IFERROR(VLOOKUP($B2546,Platts!$E$5:$M$4994,MATCH(G$3,Platts!$F$5:$M$5,0)+1,FALSE),G2545)</f>
        <v>78.489999999999995</v>
      </c>
      <c r="H2546" s="6">
        <f>IFERROR(VLOOKUP($B2546,Platts!$E$5:$M$4994,MATCH(H$3,Platts!$F$5:$M$5,0)+1,FALSE),H2545)</f>
        <v>74.290000000000006</v>
      </c>
      <c r="I2546" s="6">
        <f>IFERROR(VLOOKUP($B2546,Platts!$E$5:$M$4994,MATCH(I$3,Platts!$F$5:$M$5,0)+1,FALSE),I2545)</f>
        <v>76.239999999999995</v>
      </c>
      <c r="J2546" s="6">
        <f t="shared" si="80"/>
        <v>10.430000000000007</v>
      </c>
    </row>
    <row r="2547" spans="2:10" x14ac:dyDescent="0.25">
      <c r="B2547" s="5">
        <f t="shared" si="79"/>
        <v>44913</v>
      </c>
      <c r="C2547" s="6">
        <f>IFERROR(VLOOKUP($B2547,Platts!$E$5:$M$4994,MATCH(C$3,Platts!$F$5:$M$5,0)+1,FALSE),C2546)</f>
        <v>63.86</v>
      </c>
      <c r="D2547" s="6">
        <f>IFERROR(VLOOKUP($B2547,Platts!$E$5:$M$4994,MATCH(D$3,Platts!$F$5:$M$5,0)+1,FALSE),D2546)</f>
        <v>66.16</v>
      </c>
      <c r="E2547" s="6">
        <f>IFERROR(VLOOKUP($B2547,Platts!$E$5:$M$4994,MATCH(E$3,Platts!$F$5:$M$5,0)+1,FALSE),E2546)</f>
        <v>60.11</v>
      </c>
      <c r="F2547" s="6">
        <f>IFERROR(VLOOKUP($B2547,Platts!$E$5:$M$4994,MATCH(F$3,Platts!$F$5:$M$5,0)+1,FALSE),F2546)</f>
        <v>67.91</v>
      </c>
      <c r="G2547" s="6">
        <f>IFERROR(VLOOKUP($B2547,Platts!$E$5:$M$4994,MATCH(G$3,Platts!$F$5:$M$5,0)+1,FALSE),G2546)</f>
        <v>78.489999999999995</v>
      </c>
      <c r="H2547" s="6">
        <f>IFERROR(VLOOKUP($B2547,Platts!$E$5:$M$4994,MATCH(H$3,Platts!$F$5:$M$5,0)+1,FALSE),H2546)</f>
        <v>74.290000000000006</v>
      </c>
      <c r="I2547" s="6">
        <f>IFERROR(VLOOKUP($B2547,Platts!$E$5:$M$4994,MATCH(I$3,Platts!$F$5:$M$5,0)+1,FALSE),I2546)</f>
        <v>76.239999999999995</v>
      </c>
      <c r="J2547" s="6">
        <f t="shared" si="80"/>
        <v>10.430000000000007</v>
      </c>
    </row>
    <row r="2548" spans="2:10" x14ac:dyDescent="0.25">
      <c r="B2548" s="5">
        <f t="shared" si="79"/>
        <v>44914</v>
      </c>
      <c r="C2548" s="6">
        <f>IFERROR(VLOOKUP($B2548,Platts!$E$5:$M$4994,MATCH(C$3,Platts!$F$5:$M$5,0)+1,FALSE),C2547)</f>
        <v>64.59</v>
      </c>
      <c r="D2548" s="6">
        <f>IFERROR(VLOOKUP($B2548,Platts!$E$5:$M$4994,MATCH(D$3,Platts!$F$5:$M$5,0)+1,FALSE),D2547)</f>
        <v>67.010000000000005</v>
      </c>
      <c r="E2548" s="6">
        <f>IFERROR(VLOOKUP($B2548,Platts!$E$5:$M$4994,MATCH(E$3,Platts!$F$5:$M$5,0)+1,FALSE),E2547)</f>
        <v>60.96</v>
      </c>
      <c r="F2548" s="6">
        <f>IFERROR(VLOOKUP($B2548,Platts!$E$5:$M$4994,MATCH(F$3,Platts!$F$5:$M$5,0)+1,FALSE),F2547)</f>
        <v>68.760000000000005</v>
      </c>
      <c r="G2548" s="6">
        <f>IFERROR(VLOOKUP($B2548,Platts!$E$5:$M$4994,MATCH(G$3,Platts!$F$5:$M$5,0)+1,FALSE),G2547)</f>
        <v>79.849999999999994</v>
      </c>
      <c r="H2548" s="6">
        <f>IFERROR(VLOOKUP($B2548,Platts!$E$5:$M$4994,MATCH(H$3,Platts!$F$5:$M$5,0)+1,FALSE),H2547)</f>
        <v>75.19</v>
      </c>
      <c r="I2548" s="6">
        <f>IFERROR(VLOOKUP($B2548,Platts!$E$5:$M$4994,MATCH(I$3,Platts!$F$5:$M$5,0)+1,FALSE),I2547)</f>
        <v>76.989999999999995</v>
      </c>
      <c r="J2548" s="6">
        <f t="shared" si="80"/>
        <v>10.599999999999994</v>
      </c>
    </row>
    <row r="2549" spans="2:10" x14ac:dyDescent="0.25">
      <c r="B2549" s="5">
        <f t="shared" si="79"/>
        <v>44915</v>
      </c>
      <c r="C2549" s="6">
        <f>IFERROR(VLOOKUP($B2549,Platts!$E$5:$M$4994,MATCH(C$3,Platts!$F$5:$M$5,0)+1,FALSE),C2548)</f>
        <v>65.22</v>
      </c>
      <c r="D2549" s="6">
        <f>IFERROR(VLOOKUP($B2549,Platts!$E$5:$M$4994,MATCH(D$3,Platts!$F$5:$M$5,0)+1,FALSE),D2548)</f>
        <v>67.86</v>
      </c>
      <c r="E2549" s="6">
        <f>IFERROR(VLOOKUP($B2549,Platts!$E$5:$M$4994,MATCH(E$3,Platts!$F$5:$M$5,0)+1,FALSE),E2548)</f>
        <v>61.81</v>
      </c>
      <c r="F2549" s="6">
        <f>IFERROR(VLOOKUP($B2549,Platts!$E$5:$M$4994,MATCH(F$3,Platts!$F$5:$M$5,0)+1,FALSE),F2548)</f>
        <v>69.61</v>
      </c>
      <c r="G2549" s="6">
        <f>IFERROR(VLOOKUP($B2549,Platts!$E$5:$M$4994,MATCH(G$3,Platts!$F$5:$M$5,0)+1,FALSE),G2548)</f>
        <v>79.37</v>
      </c>
      <c r="H2549" s="6">
        <f>IFERROR(VLOOKUP($B2549,Platts!$E$5:$M$4994,MATCH(H$3,Platts!$F$5:$M$5,0)+1,FALSE),H2548)</f>
        <v>76.09</v>
      </c>
      <c r="I2549" s="6">
        <f>IFERROR(VLOOKUP($B2549,Platts!$E$5:$M$4994,MATCH(I$3,Platts!$F$5:$M$5,0)+1,FALSE),I2548)</f>
        <v>77.89</v>
      </c>
      <c r="J2549" s="6">
        <f t="shared" si="80"/>
        <v>10.870000000000005</v>
      </c>
    </row>
    <row r="2550" spans="2:10" x14ac:dyDescent="0.25">
      <c r="B2550" s="5">
        <f t="shared" si="79"/>
        <v>44916</v>
      </c>
      <c r="C2550" s="6">
        <f>IFERROR(VLOOKUP($B2550,Platts!$E$5:$M$4994,MATCH(C$3,Platts!$F$5:$M$5,0)+1,FALSE),C2549)</f>
        <v>67.209999999999994</v>
      </c>
      <c r="D2550" s="6">
        <f>IFERROR(VLOOKUP($B2550,Platts!$E$5:$M$4994,MATCH(D$3,Platts!$F$5:$M$5,0)+1,FALSE),D2549)</f>
        <v>69.959999999999994</v>
      </c>
      <c r="E2550" s="6">
        <f>IFERROR(VLOOKUP($B2550,Platts!$E$5:$M$4994,MATCH(E$3,Platts!$F$5:$M$5,0)+1,FALSE),E2549)</f>
        <v>63.91</v>
      </c>
      <c r="F2550" s="6">
        <f>IFERROR(VLOOKUP($B2550,Platts!$E$5:$M$4994,MATCH(F$3,Platts!$F$5:$M$5,0)+1,FALSE),F2549)</f>
        <v>71.709999999999994</v>
      </c>
      <c r="G2550" s="6">
        <f>IFERROR(VLOOKUP($B2550,Platts!$E$5:$M$4994,MATCH(G$3,Platts!$F$5:$M$5,0)+1,FALSE),G2549)</f>
        <v>81.709999999999994</v>
      </c>
      <c r="H2550" s="6">
        <f>IFERROR(VLOOKUP($B2550,Platts!$E$5:$M$4994,MATCH(H$3,Platts!$F$5:$M$5,0)+1,FALSE),H2549)</f>
        <v>78.14</v>
      </c>
      <c r="I2550" s="6">
        <f>IFERROR(VLOOKUP($B2550,Platts!$E$5:$M$4994,MATCH(I$3,Platts!$F$5:$M$5,0)+1,FALSE),I2549)</f>
        <v>80.14</v>
      </c>
      <c r="J2550" s="6">
        <f t="shared" si="80"/>
        <v>10.930000000000007</v>
      </c>
    </row>
    <row r="2551" spans="2:10" x14ac:dyDescent="0.25">
      <c r="B2551" s="5">
        <f t="shared" si="79"/>
        <v>44917</v>
      </c>
      <c r="C2551" s="6">
        <f>IFERROR(VLOOKUP($B2551,Platts!$E$5:$M$4994,MATCH(C$3,Platts!$F$5:$M$5,0)+1,FALSE),C2550)</f>
        <v>66.62</v>
      </c>
      <c r="D2551" s="6">
        <f>IFERROR(VLOOKUP($B2551,Platts!$E$5:$M$4994,MATCH(D$3,Platts!$F$5:$M$5,0)+1,FALSE),D2550)</f>
        <v>69.11</v>
      </c>
      <c r="E2551" s="6">
        <f>IFERROR(VLOOKUP($B2551,Platts!$E$5:$M$4994,MATCH(E$3,Platts!$F$5:$M$5,0)+1,FALSE),E2550)</f>
        <v>63.06</v>
      </c>
      <c r="F2551" s="6">
        <f>IFERROR(VLOOKUP($B2551,Platts!$E$5:$M$4994,MATCH(F$3,Platts!$F$5:$M$5,0)+1,FALSE),F2550)</f>
        <v>70.86</v>
      </c>
      <c r="G2551" s="6">
        <f>IFERROR(VLOOKUP($B2551,Platts!$E$5:$M$4994,MATCH(G$3,Platts!$F$5:$M$5,0)+1,FALSE),G2550)</f>
        <v>82.11</v>
      </c>
      <c r="H2551" s="6">
        <f>IFERROR(VLOOKUP($B2551,Platts!$E$5:$M$4994,MATCH(H$3,Platts!$F$5:$M$5,0)+1,FALSE),H2550)</f>
        <v>77.34</v>
      </c>
      <c r="I2551" s="6">
        <f>IFERROR(VLOOKUP($B2551,Platts!$E$5:$M$4994,MATCH(I$3,Platts!$F$5:$M$5,0)+1,FALSE),I2550)</f>
        <v>79.739999999999995</v>
      </c>
      <c r="J2551" s="6">
        <f t="shared" si="80"/>
        <v>10.719999999999999</v>
      </c>
    </row>
    <row r="2552" spans="2:10" x14ac:dyDescent="0.25">
      <c r="B2552" s="5">
        <f t="shared" si="79"/>
        <v>44918</v>
      </c>
      <c r="C2552" s="6">
        <f>IFERROR(VLOOKUP($B2552,Platts!$E$5:$M$4994,MATCH(C$3,Platts!$F$5:$M$5,0)+1,FALSE),C2551)</f>
        <v>68.81</v>
      </c>
      <c r="D2552" s="6">
        <f>IFERROR(VLOOKUP($B2552,Platts!$E$5:$M$4994,MATCH(D$3,Platts!$F$5:$M$5,0)+1,FALSE),D2551)</f>
        <v>71.52</v>
      </c>
      <c r="E2552" s="6">
        <f>IFERROR(VLOOKUP($B2552,Platts!$E$5:$M$4994,MATCH(E$3,Platts!$F$5:$M$5,0)+1,FALSE),E2551)</f>
        <v>65.47</v>
      </c>
      <c r="F2552" s="6">
        <f>IFERROR(VLOOKUP($B2552,Platts!$E$5:$M$4994,MATCH(F$3,Platts!$F$5:$M$5,0)+1,FALSE),F2551)</f>
        <v>73.27</v>
      </c>
      <c r="G2552" s="6">
        <f>IFERROR(VLOOKUP($B2552,Platts!$E$5:$M$4994,MATCH(G$3,Platts!$F$5:$M$5,0)+1,FALSE),G2551)</f>
        <v>82.18</v>
      </c>
      <c r="H2552" s="6">
        <f>IFERROR(VLOOKUP($B2552,Platts!$E$5:$M$4994,MATCH(H$3,Platts!$F$5:$M$5,0)+1,FALSE),H2551)</f>
        <v>79.459999999999994</v>
      </c>
      <c r="I2552" s="6">
        <f>IFERROR(VLOOKUP($B2552,Platts!$E$5:$M$4994,MATCH(I$3,Platts!$F$5:$M$5,0)+1,FALSE),I2551)</f>
        <v>81.86</v>
      </c>
      <c r="J2552" s="6">
        <f t="shared" si="80"/>
        <v>10.649999999999991</v>
      </c>
    </row>
    <row r="2553" spans="2:10" x14ac:dyDescent="0.25">
      <c r="B2553" s="5">
        <f t="shared" si="79"/>
        <v>44919</v>
      </c>
      <c r="C2553" s="6">
        <f>IFERROR(VLOOKUP($B2553,Platts!$E$5:$M$4994,MATCH(C$3,Platts!$F$5:$M$5,0)+1,FALSE),C2552)</f>
        <v>68.81</v>
      </c>
      <c r="D2553" s="6">
        <f>IFERROR(VLOOKUP($B2553,Platts!$E$5:$M$4994,MATCH(D$3,Platts!$F$5:$M$5,0)+1,FALSE),D2552)</f>
        <v>71.52</v>
      </c>
      <c r="E2553" s="6">
        <f>IFERROR(VLOOKUP($B2553,Platts!$E$5:$M$4994,MATCH(E$3,Platts!$F$5:$M$5,0)+1,FALSE),E2552)</f>
        <v>65.47</v>
      </c>
      <c r="F2553" s="6">
        <f>IFERROR(VLOOKUP($B2553,Platts!$E$5:$M$4994,MATCH(F$3,Platts!$F$5:$M$5,0)+1,FALSE),F2552)</f>
        <v>73.27</v>
      </c>
      <c r="G2553" s="6">
        <f>IFERROR(VLOOKUP($B2553,Platts!$E$5:$M$4994,MATCH(G$3,Platts!$F$5:$M$5,0)+1,FALSE),G2552)</f>
        <v>82.18</v>
      </c>
      <c r="H2553" s="6">
        <f>IFERROR(VLOOKUP($B2553,Platts!$E$5:$M$4994,MATCH(H$3,Platts!$F$5:$M$5,0)+1,FALSE),H2552)</f>
        <v>79.459999999999994</v>
      </c>
      <c r="I2553" s="6">
        <f>IFERROR(VLOOKUP($B2553,Platts!$E$5:$M$4994,MATCH(I$3,Platts!$F$5:$M$5,0)+1,FALSE),I2552)</f>
        <v>81.86</v>
      </c>
      <c r="J2553" s="6">
        <f t="shared" si="80"/>
        <v>10.649999999999991</v>
      </c>
    </row>
    <row r="2554" spans="2:10" x14ac:dyDescent="0.25">
      <c r="B2554" s="5">
        <f t="shared" si="79"/>
        <v>44920</v>
      </c>
      <c r="C2554" s="6">
        <f>IFERROR(VLOOKUP($B2554,Platts!$E$5:$M$4994,MATCH(C$3,Platts!$F$5:$M$5,0)+1,FALSE),C2553)</f>
        <v>68.81</v>
      </c>
      <c r="D2554" s="6">
        <f>IFERROR(VLOOKUP($B2554,Platts!$E$5:$M$4994,MATCH(D$3,Platts!$F$5:$M$5,0)+1,FALSE),D2553)</f>
        <v>71.52</v>
      </c>
      <c r="E2554" s="6">
        <f>IFERROR(VLOOKUP($B2554,Platts!$E$5:$M$4994,MATCH(E$3,Platts!$F$5:$M$5,0)+1,FALSE),E2553)</f>
        <v>65.47</v>
      </c>
      <c r="F2554" s="6">
        <f>IFERROR(VLOOKUP($B2554,Platts!$E$5:$M$4994,MATCH(F$3,Platts!$F$5:$M$5,0)+1,FALSE),F2553)</f>
        <v>73.27</v>
      </c>
      <c r="G2554" s="6">
        <f>IFERROR(VLOOKUP($B2554,Platts!$E$5:$M$4994,MATCH(G$3,Platts!$F$5:$M$5,0)+1,FALSE),G2553)</f>
        <v>82.18</v>
      </c>
      <c r="H2554" s="6">
        <f>IFERROR(VLOOKUP($B2554,Platts!$E$5:$M$4994,MATCH(H$3,Platts!$F$5:$M$5,0)+1,FALSE),H2553)</f>
        <v>79.459999999999994</v>
      </c>
      <c r="I2554" s="6">
        <f>IFERROR(VLOOKUP($B2554,Platts!$E$5:$M$4994,MATCH(I$3,Platts!$F$5:$M$5,0)+1,FALSE),I2553)</f>
        <v>81.86</v>
      </c>
      <c r="J2554" s="6">
        <f t="shared" si="80"/>
        <v>10.649999999999991</v>
      </c>
    </row>
    <row r="2555" spans="2:10" x14ac:dyDescent="0.25">
      <c r="B2555" s="5">
        <f t="shared" si="79"/>
        <v>44921</v>
      </c>
      <c r="C2555" s="6">
        <f>IFERROR(VLOOKUP($B2555,Platts!$E$5:$M$4994,MATCH(C$3,Platts!$F$5:$M$5,0)+1,FALSE),C2554)</f>
        <v>68.81</v>
      </c>
      <c r="D2555" s="6">
        <f>IFERROR(VLOOKUP($B2555,Platts!$E$5:$M$4994,MATCH(D$3,Platts!$F$5:$M$5,0)+1,FALSE),D2554)</f>
        <v>71.52</v>
      </c>
      <c r="E2555" s="6">
        <f>IFERROR(VLOOKUP($B2555,Platts!$E$5:$M$4994,MATCH(E$3,Platts!$F$5:$M$5,0)+1,FALSE),E2554)</f>
        <v>65.47</v>
      </c>
      <c r="F2555" s="6">
        <f>IFERROR(VLOOKUP($B2555,Platts!$E$5:$M$4994,MATCH(F$3,Platts!$F$5:$M$5,0)+1,FALSE),F2554)</f>
        <v>73.27</v>
      </c>
      <c r="G2555" s="6">
        <f>IFERROR(VLOOKUP($B2555,Platts!$E$5:$M$4994,MATCH(G$3,Platts!$F$5:$M$5,0)+1,FALSE),G2554)</f>
        <v>82.18</v>
      </c>
      <c r="H2555" s="6">
        <f>IFERROR(VLOOKUP($B2555,Platts!$E$5:$M$4994,MATCH(H$3,Platts!$F$5:$M$5,0)+1,FALSE),H2554)</f>
        <v>79.459999999999994</v>
      </c>
      <c r="I2555" s="6">
        <f>IFERROR(VLOOKUP($B2555,Platts!$E$5:$M$4994,MATCH(I$3,Platts!$F$5:$M$5,0)+1,FALSE),I2554)</f>
        <v>81.86</v>
      </c>
      <c r="J2555" s="6">
        <f t="shared" si="80"/>
        <v>10.649999999999991</v>
      </c>
    </row>
    <row r="2556" spans="2:10" x14ac:dyDescent="0.25">
      <c r="B2556" s="5">
        <f t="shared" si="79"/>
        <v>44922</v>
      </c>
      <c r="C2556" s="6">
        <f>IFERROR(VLOOKUP($B2556,Platts!$E$5:$M$4994,MATCH(C$3,Platts!$F$5:$M$5,0)+1,FALSE),C2555)</f>
        <v>69.11</v>
      </c>
      <c r="D2556" s="6">
        <f>IFERROR(VLOOKUP($B2556,Platts!$E$5:$M$4994,MATCH(D$3,Platts!$F$5:$M$5,0)+1,FALSE),D2555)</f>
        <v>71.58</v>
      </c>
      <c r="E2556" s="6">
        <f>IFERROR(VLOOKUP($B2556,Platts!$E$5:$M$4994,MATCH(E$3,Platts!$F$5:$M$5,0)+1,FALSE),E2555)</f>
        <v>65.53</v>
      </c>
      <c r="F2556" s="6">
        <f>IFERROR(VLOOKUP($B2556,Platts!$E$5:$M$4994,MATCH(F$3,Platts!$F$5:$M$5,0)+1,FALSE),F2555)</f>
        <v>73.33</v>
      </c>
      <c r="G2556" s="6">
        <f>IFERROR(VLOOKUP($B2556,Platts!$E$5:$M$4994,MATCH(G$3,Platts!$F$5:$M$5,0)+1,FALSE),G2555)</f>
        <v>85.24</v>
      </c>
      <c r="H2556" s="6">
        <f>IFERROR(VLOOKUP($B2556,Platts!$E$5:$M$4994,MATCH(H$3,Platts!$F$5:$M$5,0)+1,FALSE),H2555)</f>
        <v>79.53</v>
      </c>
      <c r="I2556" s="6">
        <f>IFERROR(VLOOKUP($B2556,Platts!$E$5:$M$4994,MATCH(I$3,Platts!$F$5:$M$5,0)+1,FALSE),I2555)</f>
        <v>81.03</v>
      </c>
      <c r="J2556" s="6">
        <f t="shared" si="80"/>
        <v>10.420000000000002</v>
      </c>
    </row>
    <row r="2557" spans="2:10" x14ac:dyDescent="0.25">
      <c r="B2557" s="5">
        <f t="shared" si="79"/>
        <v>44923</v>
      </c>
      <c r="C2557" s="6">
        <f>IFERROR(VLOOKUP($B2557,Platts!$E$5:$M$4994,MATCH(C$3,Platts!$F$5:$M$5,0)+1,FALSE),C2556)</f>
        <v>68.28</v>
      </c>
      <c r="D2557" s="6">
        <f>IFERROR(VLOOKUP($B2557,Platts!$E$5:$M$4994,MATCH(D$3,Platts!$F$5:$M$5,0)+1,FALSE),D2556)</f>
        <v>70.739999999999995</v>
      </c>
      <c r="E2557" s="6">
        <f>IFERROR(VLOOKUP($B2557,Platts!$E$5:$M$4994,MATCH(E$3,Platts!$F$5:$M$5,0)+1,FALSE),E2556)</f>
        <v>64.69</v>
      </c>
      <c r="F2557" s="6">
        <f>IFERROR(VLOOKUP($B2557,Platts!$E$5:$M$4994,MATCH(F$3,Platts!$F$5:$M$5,0)+1,FALSE),F2556)</f>
        <v>72.489999999999995</v>
      </c>
      <c r="G2557" s="6">
        <f>IFERROR(VLOOKUP($B2557,Platts!$E$5:$M$4994,MATCH(G$3,Platts!$F$5:$M$5,0)+1,FALSE),G2556)</f>
        <v>82.49</v>
      </c>
      <c r="H2557" s="6">
        <f>IFERROR(VLOOKUP($B2557,Platts!$E$5:$M$4994,MATCH(H$3,Platts!$F$5:$M$5,0)+1,FALSE),H2556)</f>
        <v>78.959999999999994</v>
      </c>
      <c r="I2557" s="6">
        <f>IFERROR(VLOOKUP($B2557,Platts!$E$5:$M$4994,MATCH(I$3,Platts!$F$5:$M$5,0)+1,FALSE),I2556)</f>
        <v>80.510000000000005</v>
      </c>
      <c r="J2557" s="6">
        <f t="shared" si="80"/>
        <v>10.679999999999993</v>
      </c>
    </row>
    <row r="2558" spans="2:10" x14ac:dyDescent="0.25">
      <c r="B2558" s="5">
        <f t="shared" si="79"/>
        <v>44924</v>
      </c>
      <c r="C2558" s="6">
        <f>IFERROR(VLOOKUP($B2558,Platts!$E$5:$M$4994,MATCH(C$3,Platts!$F$5:$M$5,0)+1,FALSE),C2557)</f>
        <v>67.31</v>
      </c>
      <c r="D2558" s="6">
        <f>IFERROR(VLOOKUP($B2558,Platts!$E$5:$M$4994,MATCH(D$3,Platts!$F$5:$M$5,0)+1,FALSE),D2557)</f>
        <v>69.89</v>
      </c>
      <c r="E2558" s="6">
        <f>IFERROR(VLOOKUP($B2558,Platts!$E$5:$M$4994,MATCH(E$3,Platts!$F$5:$M$5,0)+1,FALSE),E2557)</f>
        <v>63.84</v>
      </c>
      <c r="F2558" s="6">
        <f>IFERROR(VLOOKUP($B2558,Platts!$E$5:$M$4994,MATCH(F$3,Platts!$F$5:$M$5,0)+1,FALSE),F2557)</f>
        <v>71.64</v>
      </c>
      <c r="G2558" s="6">
        <f>IFERROR(VLOOKUP($B2558,Platts!$E$5:$M$4994,MATCH(G$3,Platts!$F$5:$M$5,0)+1,FALSE),G2557)</f>
        <v>82.26</v>
      </c>
      <c r="H2558" s="6">
        <f>IFERROR(VLOOKUP($B2558,Platts!$E$5:$M$4994,MATCH(H$3,Platts!$F$5:$M$5,0)+1,FALSE),H2557)</f>
        <v>78.400000000000006</v>
      </c>
      <c r="I2558" s="6">
        <f>IFERROR(VLOOKUP($B2558,Platts!$E$5:$M$4994,MATCH(I$3,Platts!$F$5:$M$5,0)+1,FALSE),I2557)</f>
        <v>79.95</v>
      </c>
      <c r="J2558" s="6">
        <f t="shared" ref="J2558:J2604" si="81">H2558-C2558</f>
        <v>11.090000000000003</v>
      </c>
    </row>
    <row r="2559" spans="2:10" x14ac:dyDescent="0.25">
      <c r="B2559" s="5">
        <f t="shared" si="79"/>
        <v>44925</v>
      </c>
      <c r="C2559" s="6">
        <f>IFERROR(VLOOKUP($B2559,Platts!$E$5:$M$4994,MATCH(C$3,Platts!$F$5:$M$5,0)+1,FALSE),C2558)</f>
        <v>69.709999999999994</v>
      </c>
      <c r="D2559" s="6">
        <f>IFERROR(VLOOKUP($B2559,Platts!$E$5:$M$4994,MATCH(D$3,Platts!$F$5:$M$5,0)+1,FALSE),D2558)</f>
        <v>72.31</v>
      </c>
      <c r="E2559" s="6">
        <f>IFERROR(VLOOKUP($B2559,Platts!$E$5:$M$4994,MATCH(E$3,Platts!$F$5:$M$5,0)+1,FALSE),E2558)</f>
        <v>66.260000000000005</v>
      </c>
      <c r="F2559" s="6">
        <f>IFERROR(VLOOKUP($B2559,Platts!$E$5:$M$4994,MATCH(F$3,Platts!$F$5:$M$5,0)+1,FALSE),F2558)</f>
        <v>74.06</v>
      </c>
      <c r="G2559" s="6">
        <f>IFERROR(VLOOKUP($B2559,Platts!$E$5:$M$4994,MATCH(G$3,Platts!$F$5:$M$5,0)+1,FALSE),G2558)</f>
        <v>82.64</v>
      </c>
      <c r="H2559" s="6">
        <f>IFERROR(VLOOKUP($B2559,Platts!$E$5:$M$4994,MATCH(H$3,Platts!$F$5:$M$5,0)+1,FALSE),H2558)</f>
        <v>80.260000000000005</v>
      </c>
      <c r="I2559" s="6">
        <f>IFERROR(VLOOKUP($B2559,Platts!$E$5:$M$4994,MATCH(I$3,Platts!$F$5:$M$5,0)+1,FALSE),I2558)</f>
        <v>81.81</v>
      </c>
      <c r="J2559" s="6">
        <f t="shared" si="81"/>
        <v>10.550000000000011</v>
      </c>
    </row>
    <row r="2560" spans="2:10" x14ac:dyDescent="0.25">
      <c r="B2560" s="5">
        <f t="shared" si="79"/>
        <v>44926</v>
      </c>
      <c r="C2560" s="6">
        <f>IFERROR(VLOOKUP($B2560,Platts!$E$5:$M$4994,MATCH(C$3,Platts!$F$5:$M$5,0)+1,FALSE),C2559)</f>
        <v>69.709999999999994</v>
      </c>
      <c r="D2560" s="6">
        <f>IFERROR(VLOOKUP($B2560,Platts!$E$5:$M$4994,MATCH(D$3,Platts!$F$5:$M$5,0)+1,FALSE),D2559)</f>
        <v>72.31</v>
      </c>
      <c r="E2560" s="6">
        <f>IFERROR(VLOOKUP($B2560,Platts!$E$5:$M$4994,MATCH(E$3,Platts!$F$5:$M$5,0)+1,FALSE),E2559)</f>
        <v>66.260000000000005</v>
      </c>
      <c r="F2560" s="6">
        <f>IFERROR(VLOOKUP($B2560,Platts!$E$5:$M$4994,MATCH(F$3,Platts!$F$5:$M$5,0)+1,FALSE),F2559)</f>
        <v>74.06</v>
      </c>
      <c r="G2560" s="6">
        <f>IFERROR(VLOOKUP($B2560,Platts!$E$5:$M$4994,MATCH(G$3,Platts!$F$5:$M$5,0)+1,FALSE),G2559)</f>
        <v>82.64</v>
      </c>
      <c r="H2560" s="6">
        <f>IFERROR(VLOOKUP($B2560,Platts!$E$5:$M$4994,MATCH(H$3,Platts!$F$5:$M$5,0)+1,FALSE),H2559)</f>
        <v>80.260000000000005</v>
      </c>
      <c r="I2560" s="6">
        <f>IFERROR(VLOOKUP($B2560,Platts!$E$5:$M$4994,MATCH(I$3,Platts!$F$5:$M$5,0)+1,FALSE),I2559)</f>
        <v>81.81</v>
      </c>
      <c r="J2560" s="6">
        <f t="shared" si="81"/>
        <v>10.550000000000011</v>
      </c>
    </row>
    <row r="2561" spans="2:10" x14ac:dyDescent="0.25">
      <c r="B2561" s="5">
        <f t="shared" si="79"/>
        <v>44927</v>
      </c>
      <c r="C2561" s="6">
        <f>IFERROR(VLOOKUP($B2561,Platts!$E$5:$M$4994,MATCH(C$3,Platts!$F$5:$M$5,0)+1,FALSE),C2560)</f>
        <v>69.709999999999994</v>
      </c>
      <c r="D2561" s="6">
        <f>IFERROR(VLOOKUP($B2561,Platts!$E$5:$M$4994,MATCH(D$3,Platts!$F$5:$M$5,0)+1,FALSE),D2560)</f>
        <v>72.31</v>
      </c>
      <c r="E2561" s="6">
        <f>IFERROR(VLOOKUP($B2561,Platts!$E$5:$M$4994,MATCH(E$3,Platts!$F$5:$M$5,0)+1,FALSE),E2560)</f>
        <v>66.260000000000005</v>
      </c>
      <c r="F2561" s="6">
        <f>IFERROR(VLOOKUP($B2561,Platts!$E$5:$M$4994,MATCH(F$3,Platts!$F$5:$M$5,0)+1,FALSE),F2560)</f>
        <v>74.06</v>
      </c>
      <c r="G2561" s="6">
        <f>IFERROR(VLOOKUP($B2561,Platts!$E$5:$M$4994,MATCH(G$3,Platts!$F$5:$M$5,0)+1,FALSE),G2560)</f>
        <v>82.64</v>
      </c>
      <c r="H2561" s="6">
        <f>IFERROR(VLOOKUP($B2561,Platts!$E$5:$M$4994,MATCH(H$3,Platts!$F$5:$M$5,0)+1,FALSE),H2560)</f>
        <v>80.260000000000005</v>
      </c>
      <c r="I2561" s="6">
        <f>IFERROR(VLOOKUP($B2561,Platts!$E$5:$M$4994,MATCH(I$3,Platts!$F$5:$M$5,0)+1,FALSE),I2560)</f>
        <v>81.81</v>
      </c>
      <c r="J2561" s="6">
        <f t="shared" si="81"/>
        <v>10.550000000000011</v>
      </c>
    </row>
    <row r="2562" spans="2:10" x14ac:dyDescent="0.25">
      <c r="B2562" s="5">
        <f t="shared" si="79"/>
        <v>44928</v>
      </c>
      <c r="C2562" s="6">
        <f>IFERROR(VLOOKUP($B2562,Platts!$E$5:$M$4994,MATCH(C$3,Platts!$F$5:$M$5,0)+1,FALSE),C2561)</f>
        <v>69.709999999999994</v>
      </c>
      <c r="D2562" s="6">
        <f>IFERROR(VLOOKUP($B2562,Platts!$E$5:$M$4994,MATCH(D$3,Platts!$F$5:$M$5,0)+1,FALSE),D2561)</f>
        <v>72.31</v>
      </c>
      <c r="E2562" s="6">
        <f>IFERROR(VLOOKUP($B2562,Platts!$E$5:$M$4994,MATCH(E$3,Platts!$F$5:$M$5,0)+1,FALSE),E2561)</f>
        <v>66.260000000000005</v>
      </c>
      <c r="F2562" s="6">
        <f>IFERROR(VLOOKUP($B2562,Platts!$E$5:$M$4994,MATCH(F$3,Platts!$F$5:$M$5,0)+1,FALSE),F2561)</f>
        <v>74.06</v>
      </c>
      <c r="G2562" s="6">
        <f>IFERROR(VLOOKUP($B2562,Platts!$E$5:$M$4994,MATCH(G$3,Platts!$F$5:$M$5,0)+1,FALSE),G2561)</f>
        <v>82.64</v>
      </c>
      <c r="H2562" s="6">
        <f>IFERROR(VLOOKUP($B2562,Platts!$E$5:$M$4994,MATCH(H$3,Platts!$F$5:$M$5,0)+1,FALSE),H2561)</f>
        <v>80.260000000000005</v>
      </c>
      <c r="I2562" s="6">
        <f>IFERROR(VLOOKUP($B2562,Platts!$E$5:$M$4994,MATCH(I$3,Platts!$F$5:$M$5,0)+1,FALSE),I2561)</f>
        <v>81.81</v>
      </c>
      <c r="J2562" s="6">
        <f t="shared" si="81"/>
        <v>10.550000000000011</v>
      </c>
    </row>
    <row r="2563" spans="2:10" x14ac:dyDescent="0.25">
      <c r="B2563" s="5">
        <f t="shared" si="79"/>
        <v>44929</v>
      </c>
      <c r="C2563" s="6">
        <f>IFERROR(VLOOKUP($B2563,Platts!$E$5:$M$4994,MATCH(C$3,Platts!$F$5:$M$5,0)+1,FALSE),C2562)</f>
        <v>65.84</v>
      </c>
      <c r="D2563" s="6">
        <f>IFERROR(VLOOKUP($B2563,Platts!$E$5:$M$4994,MATCH(D$3,Platts!$F$5:$M$5,0)+1,FALSE),D2562)</f>
        <v>67.040000000000006</v>
      </c>
      <c r="E2563" s="6">
        <f>IFERROR(VLOOKUP($B2563,Platts!$E$5:$M$4994,MATCH(E$3,Platts!$F$5:$M$5,0)+1,FALSE),E2562)</f>
        <v>62.54</v>
      </c>
      <c r="F2563" s="6">
        <f>IFERROR(VLOOKUP($B2563,Platts!$E$5:$M$4994,MATCH(F$3,Platts!$F$5:$M$5,0)+1,FALSE),F2562)</f>
        <v>71.19</v>
      </c>
      <c r="G2563" s="6">
        <f>IFERROR(VLOOKUP($B2563,Platts!$E$5:$M$4994,MATCH(G$3,Platts!$F$5:$M$5,0)+1,FALSE),G2562)</f>
        <v>83.16</v>
      </c>
      <c r="H2563" s="6">
        <f>IFERROR(VLOOKUP($B2563,Platts!$E$5:$M$4994,MATCH(H$3,Platts!$F$5:$M$5,0)+1,FALSE),H2562)</f>
        <v>76.930000000000007</v>
      </c>
      <c r="I2563" s="6">
        <f>IFERROR(VLOOKUP($B2563,Platts!$E$5:$M$4994,MATCH(I$3,Platts!$F$5:$M$5,0)+1,FALSE),I2562)</f>
        <v>78.430000000000007</v>
      </c>
      <c r="J2563" s="6">
        <f t="shared" si="81"/>
        <v>11.090000000000003</v>
      </c>
    </row>
    <row r="2564" spans="2:10" x14ac:dyDescent="0.25">
      <c r="B2564" s="5">
        <f t="shared" si="79"/>
        <v>44930</v>
      </c>
      <c r="C2564" s="6">
        <f>IFERROR(VLOOKUP($B2564,Platts!$E$5:$M$4994,MATCH(C$3,Platts!$F$5:$M$5,0)+1,FALSE),C2563)</f>
        <v>61.66</v>
      </c>
      <c r="D2564" s="6">
        <f>IFERROR(VLOOKUP($B2564,Platts!$E$5:$M$4994,MATCH(D$3,Platts!$F$5:$M$5,0)+1,FALSE),D2563)</f>
        <v>62.86</v>
      </c>
      <c r="E2564" s="6">
        <f>IFERROR(VLOOKUP($B2564,Platts!$E$5:$M$4994,MATCH(E$3,Platts!$F$5:$M$5,0)+1,FALSE),E2563)</f>
        <v>58.36</v>
      </c>
      <c r="F2564" s="6">
        <f>IFERROR(VLOOKUP($B2564,Platts!$E$5:$M$4994,MATCH(F$3,Platts!$F$5:$M$5,0)+1,FALSE),F2563)</f>
        <v>67.010000000000005</v>
      </c>
      <c r="G2564" s="6">
        <f>IFERROR(VLOOKUP($B2564,Platts!$E$5:$M$4994,MATCH(G$3,Platts!$F$5:$M$5,0)+1,FALSE),G2563)</f>
        <v>77.97</v>
      </c>
      <c r="H2564" s="6">
        <f>IFERROR(VLOOKUP($B2564,Platts!$E$5:$M$4994,MATCH(H$3,Platts!$F$5:$M$5,0)+1,FALSE),H2563)</f>
        <v>72.84</v>
      </c>
      <c r="I2564" s="6">
        <f>IFERROR(VLOOKUP($B2564,Platts!$E$5:$M$4994,MATCH(I$3,Platts!$F$5:$M$5,0)+1,FALSE),I2563)</f>
        <v>74.34</v>
      </c>
      <c r="J2564" s="6">
        <f t="shared" si="81"/>
        <v>11.180000000000007</v>
      </c>
    </row>
    <row r="2565" spans="2:10" x14ac:dyDescent="0.25">
      <c r="B2565" s="5">
        <f t="shared" si="79"/>
        <v>44931</v>
      </c>
      <c r="C2565" s="6">
        <f>IFERROR(VLOOKUP($B2565,Platts!$E$5:$M$4994,MATCH(C$3,Platts!$F$5:$M$5,0)+1,FALSE),C2564)</f>
        <v>62.47</v>
      </c>
      <c r="D2565" s="6">
        <f>IFERROR(VLOOKUP($B2565,Platts!$E$5:$M$4994,MATCH(D$3,Platts!$F$5:$M$5,0)+1,FALSE),D2564)</f>
        <v>63.8</v>
      </c>
      <c r="E2565" s="6">
        <f>IFERROR(VLOOKUP($B2565,Platts!$E$5:$M$4994,MATCH(E$3,Platts!$F$5:$M$5,0)+1,FALSE),E2564)</f>
        <v>53.9</v>
      </c>
      <c r="F2565" s="6">
        <f>IFERROR(VLOOKUP($B2565,Platts!$E$5:$M$4994,MATCH(F$3,Platts!$F$5:$M$5,0)+1,FALSE),F2564)</f>
        <v>67.95</v>
      </c>
      <c r="G2565" s="6">
        <f>IFERROR(VLOOKUP($B2565,Platts!$E$5:$M$4994,MATCH(G$3,Platts!$F$5:$M$5,0)+1,FALSE),G2564)</f>
        <v>79.16</v>
      </c>
      <c r="H2565" s="6">
        <f>IFERROR(VLOOKUP($B2565,Platts!$E$5:$M$4994,MATCH(H$3,Platts!$F$5:$M$5,0)+1,FALSE),H2564)</f>
        <v>73.67</v>
      </c>
      <c r="I2565" s="6">
        <f>IFERROR(VLOOKUP($B2565,Platts!$E$5:$M$4994,MATCH(I$3,Platts!$F$5:$M$5,0)+1,FALSE),I2564)</f>
        <v>75.319999999999993</v>
      </c>
      <c r="J2565" s="6">
        <f t="shared" si="81"/>
        <v>11.200000000000003</v>
      </c>
    </row>
    <row r="2566" spans="2:10" x14ac:dyDescent="0.25">
      <c r="B2566" s="5">
        <f t="shared" ref="B2566:B2630" si="82">B2565+1</f>
        <v>44932</v>
      </c>
      <c r="C2566" s="6">
        <f>IFERROR(VLOOKUP($B2566,Platts!$E$5:$M$4994,MATCH(C$3,Platts!$F$5:$M$5,0)+1,FALSE),C2565)</f>
        <v>62.51</v>
      </c>
      <c r="D2566" s="6">
        <f>IFERROR(VLOOKUP($B2566,Platts!$E$5:$M$4994,MATCH(D$3,Platts!$F$5:$M$5,0)+1,FALSE),D2565)</f>
        <v>63.95</v>
      </c>
      <c r="E2566" s="6">
        <f>IFERROR(VLOOKUP($B2566,Platts!$E$5:$M$4994,MATCH(E$3,Platts!$F$5:$M$5,0)+1,FALSE),E2565)</f>
        <v>59.45</v>
      </c>
      <c r="F2566" s="6">
        <f>IFERROR(VLOOKUP($B2566,Platts!$E$5:$M$4994,MATCH(F$3,Platts!$F$5:$M$5,0)+1,FALSE),F2565)</f>
        <v>68.099999999999994</v>
      </c>
      <c r="G2566" s="6">
        <f>IFERROR(VLOOKUP($B2566,Platts!$E$5:$M$4994,MATCH(G$3,Platts!$F$5:$M$5,0)+1,FALSE),G2565)</f>
        <v>79.739999999999995</v>
      </c>
      <c r="H2566" s="6">
        <f>IFERROR(VLOOKUP($B2566,Platts!$E$5:$M$4994,MATCH(H$3,Platts!$F$5:$M$5,0)+1,FALSE),H2565)</f>
        <v>73.77</v>
      </c>
      <c r="I2566" s="6">
        <f>IFERROR(VLOOKUP($B2566,Platts!$E$5:$M$4994,MATCH(I$3,Platts!$F$5:$M$5,0)+1,FALSE),I2565)</f>
        <v>75.569999999999993</v>
      </c>
      <c r="J2566" s="6">
        <f t="shared" si="81"/>
        <v>11.259999999999998</v>
      </c>
    </row>
    <row r="2567" spans="2:10" x14ac:dyDescent="0.25">
      <c r="B2567" s="5">
        <f t="shared" si="82"/>
        <v>44933</v>
      </c>
      <c r="C2567" s="6">
        <f>IFERROR(VLOOKUP($B2567,Platts!$E$5:$M$4994,MATCH(C$3,Platts!$F$5:$M$5,0)+1,FALSE),C2566)</f>
        <v>62.51</v>
      </c>
      <c r="D2567" s="6">
        <f>IFERROR(VLOOKUP($B2567,Platts!$E$5:$M$4994,MATCH(D$3,Platts!$F$5:$M$5,0)+1,FALSE),D2566)</f>
        <v>63.95</v>
      </c>
      <c r="E2567" s="6">
        <f>IFERROR(VLOOKUP($B2567,Platts!$E$5:$M$4994,MATCH(E$3,Platts!$F$5:$M$5,0)+1,FALSE),E2566)</f>
        <v>59.45</v>
      </c>
      <c r="F2567" s="6">
        <f>IFERROR(VLOOKUP($B2567,Platts!$E$5:$M$4994,MATCH(F$3,Platts!$F$5:$M$5,0)+1,FALSE),F2566)</f>
        <v>68.099999999999994</v>
      </c>
      <c r="G2567" s="6">
        <f>IFERROR(VLOOKUP($B2567,Platts!$E$5:$M$4994,MATCH(G$3,Platts!$F$5:$M$5,0)+1,FALSE),G2566)</f>
        <v>79.739999999999995</v>
      </c>
      <c r="H2567" s="6">
        <f>IFERROR(VLOOKUP($B2567,Platts!$E$5:$M$4994,MATCH(H$3,Platts!$F$5:$M$5,0)+1,FALSE),H2566)</f>
        <v>73.77</v>
      </c>
      <c r="I2567" s="6">
        <f>IFERROR(VLOOKUP($B2567,Platts!$E$5:$M$4994,MATCH(I$3,Platts!$F$5:$M$5,0)+1,FALSE),I2566)</f>
        <v>75.569999999999993</v>
      </c>
      <c r="J2567" s="6">
        <f t="shared" si="81"/>
        <v>11.259999999999998</v>
      </c>
    </row>
    <row r="2568" spans="2:10" x14ac:dyDescent="0.25">
      <c r="B2568" s="5">
        <f t="shared" si="82"/>
        <v>44934</v>
      </c>
      <c r="C2568" s="6">
        <f>IFERROR(VLOOKUP($B2568,Platts!$E$5:$M$4994,MATCH(C$3,Platts!$F$5:$M$5,0)+1,FALSE),C2567)</f>
        <v>62.51</v>
      </c>
      <c r="D2568" s="6">
        <f>IFERROR(VLOOKUP($B2568,Platts!$E$5:$M$4994,MATCH(D$3,Platts!$F$5:$M$5,0)+1,FALSE),D2567)</f>
        <v>63.95</v>
      </c>
      <c r="E2568" s="6">
        <f>IFERROR(VLOOKUP($B2568,Platts!$E$5:$M$4994,MATCH(E$3,Platts!$F$5:$M$5,0)+1,FALSE),E2567)</f>
        <v>59.45</v>
      </c>
      <c r="F2568" s="6">
        <f>IFERROR(VLOOKUP($B2568,Platts!$E$5:$M$4994,MATCH(F$3,Platts!$F$5:$M$5,0)+1,FALSE),F2567)</f>
        <v>68.099999999999994</v>
      </c>
      <c r="G2568" s="6">
        <f>IFERROR(VLOOKUP($B2568,Platts!$E$5:$M$4994,MATCH(G$3,Platts!$F$5:$M$5,0)+1,FALSE),G2567)</f>
        <v>79.739999999999995</v>
      </c>
      <c r="H2568" s="6">
        <f>IFERROR(VLOOKUP($B2568,Platts!$E$5:$M$4994,MATCH(H$3,Platts!$F$5:$M$5,0)+1,FALSE),H2567)</f>
        <v>73.77</v>
      </c>
      <c r="I2568" s="6">
        <f>IFERROR(VLOOKUP($B2568,Platts!$E$5:$M$4994,MATCH(I$3,Platts!$F$5:$M$5,0)+1,FALSE),I2567)</f>
        <v>75.569999999999993</v>
      </c>
      <c r="J2568" s="6">
        <f t="shared" si="81"/>
        <v>11.259999999999998</v>
      </c>
    </row>
    <row r="2569" spans="2:10" x14ac:dyDescent="0.25">
      <c r="B2569" s="5">
        <f t="shared" si="82"/>
        <v>44935</v>
      </c>
      <c r="C2569" s="6">
        <f>IFERROR(VLOOKUP($B2569,Platts!$E$5:$M$4994,MATCH(C$3,Platts!$F$5:$M$5,0)+1,FALSE),C2568)</f>
        <v>63.5</v>
      </c>
      <c r="D2569" s="6">
        <f>IFERROR(VLOOKUP($B2569,Platts!$E$5:$M$4994,MATCH(D$3,Platts!$F$5:$M$5,0)+1,FALSE),D2568)</f>
        <v>64.819999999999993</v>
      </c>
      <c r="E2569" s="6">
        <f>IFERROR(VLOOKUP($B2569,Platts!$E$5:$M$4994,MATCH(E$3,Platts!$F$5:$M$5,0)+1,FALSE),E2568)</f>
        <v>60.32</v>
      </c>
      <c r="F2569" s="6">
        <f>IFERROR(VLOOKUP($B2569,Platts!$E$5:$M$4994,MATCH(F$3,Platts!$F$5:$M$5,0)+1,FALSE),F2568)</f>
        <v>68.97</v>
      </c>
      <c r="G2569" s="6">
        <f>IFERROR(VLOOKUP($B2569,Platts!$E$5:$M$4994,MATCH(G$3,Platts!$F$5:$M$5,0)+1,FALSE),G2568)</f>
        <v>79.7</v>
      </c>
      <c r="H2569" s="6">
        <f>IFERROR(VLOOKUP($B2569,Platts!$E$5:$M$4994,MATCH(H$3,Platts!$F$5:$M$5,0)+1,FALSE),H2568)</f>
        <v>74.63</v>
      </c>
      <c r="I2569" s="6">
        <f>IFERROR(VLOOKUP($B2569,Platts!$E$5:$M$4994,MATCH(I$3,Platts!$F$5:$M$5,0)+1,FALSE),I2568)</f>
        <v>76.03</v>
      </c>
      <c r="J2569" s="6">
        <f t="shared" si="81"/>
        <v>11.129999999999995</v>
      </c>
    </row>
    <row r="2570" spans="2:10" x14ac:dyDescent="0.25">
      <c r="B2570" s="5">
        <f t="shared" si="82"/>
        <v>44936</v>
      </c>
      <c r="C2570" s="6">
        <f>IFERROR(VLOOKUP($B2570,Platts!$E$5:$M$4994,MATCH(C$3,Platts!$F$5:$M$5,0)+1,FALSE),C2569)</f>
        <v>63.89</v>
      </c>
      <c r="D2570" s="6">
        <f>IFERROR(VLOOKUP($B2570,Platts!$E$5:$M$4994,MATCH(D$3,Platts!$F$5:$M$5,0)+1,FALSE),D2569)</f>
        <v>65.3</v>
      </c>
      <c r="E2570" s="6">
        <f>IFERROR(VLOOKUP($B2570,Platts!$E$5:$M$4994,MATCH(E$3,Platts!$F$5:$M$5,0)+1,FALSE),E2569)</f>
        <v>60.8</v>
      </c>
      <c r="F2570" s="6">
        <f>IFERROR(VLOOKUP($B2570,Platts!$E$5:$M$4994,MATCH(F$3,Platts!$F$5:$M$5,0)+1,FALSE),F2569)</f>
        <v>69.45</v>
      </c>
      <c r="G2570" s="6">
        <f>IFERROR(VLOOKUP($B2570,Platts!$E$5:$M$4994,MATCH(G$3,Platts!$F$5:$M$5,0)+1,FALSE),G2569)</f>
        <v>79.760000000000005</v>
      </c>
      <c r="H2570" s="6">
        <f>IFERROR(VLOOKUP($B2570,Platts!$E$5:$M$4994,MATCH(H$3,Platts!$F$5:$M$5,0)+1,FALSE),H2569)</f>
        <v>75.12</v>
      </c>
      <c r="I2570" s="6">
        <f>IFERROR(VLOOKUP($B2570,Platts!$E$5:$M$4994,MATCH(I$3,Platts!$F$5:$M$5,0)+1,FALSE),I2569)</f>
        <v>76.77</v>
      </c>
      <c r="J2570" s="6">
        <f t="shared" si="81"/>
        <v>11.230000000000004</v>
      </c>
    </row>
    <row r="2571" spans="2:10" x14ac:dyDescent="0.25">
      <c r="B2571" s="5">
        <f t="shared" si="82"/>
        <v>44937</v>
      </c>
      <c r="C2571" s="6">
        <f>IFERROR(VLOOKUP($B2571,Platts!$E$5:$M$4994,MATCH(C$3,Platts!$F$5:$M$5,0)+1,FALSE),C2570)</f>
        <v>66.239999999999995</v>
      </c>
      <c r="D2571" s="6">
        <f>IFERROR(VLOOKUP($B2571,Platts!$E$5:$M$4994,MATCH(D$3,Platts!$F$5:$M$5,0)+1,FALSE),D2570)</f>
        <v>67.72</v>
      </c>
      <c r="E2571" s="6">
        <f>IFERROR(VLOOKUP($B2571,Platts!$E$5:$M$4994,MATCH(E$3,Platts!$F$5:$M$5,0)+1,FALSE),E2570)</f>
        <v>63.22</v>
      </c>
      <c r="F2571" s="6">
        <f>IFERROR(VLOOKUP($B2571,Platts!$E$5:$M$4994,MATCH(F$3,Platts!$F$5:$M$5,0)+1,FALSE),F2570)</f>
        <v>71.87</v>
      </c>
      <c r="G2571" s="6">
        <f>IFERROR(VLOOKUP($B2571,Platts!$E$5:$M$4994,MATCH(G$3,Platts!$F$5:$M$5,0)+1,FALSE),G2570)</f>
        <v>82.19</v>
      </c>
      <c r="H2571" s="6">
        <f>IFERROR(VLOOKUP($B2571,Platts!$E$5:$M$4994,MATCH(H$3,Platts!$F$5:$M$5,0)+1,FALSE),H2570)</f>
        <v>77.41</v>
      </c>
      <c r="I2571" s="6">
        <f>IFERROR(VLOOKUP($B2571,Platts!$E$5:$M$4994,MATCH(I$3,Platts!$F$5:$M$5,0)+1,FALSE),I2570)</f>
        <v>79.11</v>
      </c>
      <c r="J2571" s="6">
        <f t="shared" si="81"/>
        <v>11.170000000000002</v>
      </c>
    </row>
    <row r="2572" spans="2:10" x14ac:dyDescent="0.25">
      <c r="B2572" s="5">
        <f t="shared" si="82"/>
        <v>44938</v>
      </c>
      <c r="C2572" s="6">
        <f>IFERROR(VLOOKUP($B2572,Platts!$E$5:$M$4994,MATCH(C$3,Platts!$F$5:$M$5,0)+1,FALSE),C2571)</f>
        <v>67.540000000000006</v>
      </c>
      <c r="D2572" s="6">
        <f>IFERROR(VLOOKUP($B2572,Platts!$E$5:$M$4994,MATCH(D$3,Platts!$F$5:$M$5,0)+1,FALSE),D2571)</f>
        <v>68.930000000000007</v>
      </c>
      <c r="E2572" s="6">
        <f>IFERROR(VLOOKUP($B2572,Platts!$E$5:$M$4994,MATCH(E$3,Platts!$F$5:$M$5,0)+1,FALSE),E2571)</f>
        <v>64.430000000000007</v>
      </c>
      <c r="F2572" s="6">
        <f>IFERROR(VLOOKUP($B2572,Platts!$E$5:$M$4994,MATCH(F$3,Platts!$F$5:$M$5,0)+1,FALSE),F2571)</f>
        <v>73.08</v>
      </c>
      <c r="G2572" s="6">
        <f>IFERROR(VLOOKUP($B2572,Platts!$E$5:$M$4994,MATCH(G$3,Platts!$F$5:$M$5,0)+1,FALSE),G2571)</f>
        <v>84.34</v>
      </c>
      <c r="H2572" s="6">
        <f>IFERROR(VLOOKUP($B2572,Platts!$E$5:$M$4994,MATCH(H$3,Platts!$F$5:$M$5,0)+1,FALSE),H2571)</f>
        <v>78.39</v>
      </c>
      <c r="I2572" s="6">
        <f>IFERROR(VLOOKUP($B2572,Platts!$E$5:$M$4994,MATCH(I$3,Platts!$F$5:$M$5,0)+1,FALSE),I2571)</f>
        <v>80.290000000000006</v>
      </c>
      <c r="J2572" s="6">
        <f t="shared" si="81"/>
        <v>10.849999999999994</v>
      </c>
    </row>
    <row r="2573" spans="2:10" x14ac:dyDescent="0.25">
      <c r="B2573" s="5">
        <f t="shared" si="82"/>
        <v>44939</v>
      </c>
      <c r="C2573" s="6">
        <f>IFERROR(VLOOKUP($B2573,Platts!$E$5:$M$4994,MATCH(C$3,Platts!$F$5:$M$5,0)+1,FALSE),C2572)</f>
        <v>68.94</v>
      </c>
      <c r="D2573" s="6">
        <f>IFERROR(VLOOKUP($B2573,Platts!$E$5:$M$4994,MATCH(D$3,Platts!$F$5:$M$5,0)+1,FALSE),D2572)</f>
        <v>70.349999999999994</v>
      </c>
      <c r="E2573" s="6">
        <f>IFERROR(VLOOKUP($B2573,Platts!$E$5:$M$4994,MATCH(E$3,Platts!$F$5:$M$5,0)+1,FALSE),E2572)</f>
        <v>65.849999999999994</v>
      </c>
      <c r="F2573" s="6">
        <f>IFERROR(VLOOKUP($B2573,Platts!$E$5:$M$4994,MATCH(F$3,Platts!$F$5:$M$5,0)+1,FALSE),F2572)</f>
        <v>74.5</v>
      </c>
      <c r="G2573" s="6">
        <f>IFERROR(VLOOKUP($B2573,Platts!$E$5:$M$4994,MATCH(G$3,Platts!$F$5:$M$5,0)+1,FALSE),G2572)</f>
        <v>84.9</v>
      </c>
      <c r="H2573" s="6">
        <f>IFERROR(VLOOKUP($B2573,Platts!$E$5:$M$4994,MATCH(H$3,Platts!$F$5:$M$5,0)+1,FALSE),H2572)</f>
        <v>79.86</v>
      </c>
      <c r="I2573" s="6">
        <f>IFERROR(VLOOKUP($B2573,Platts!$E$5:$M$4994,MATCH(I$3,Platts!$F$5:$M$5,0)+1,FALSE),I2572)</f>
        <v>82.66</v>
      </c>
      <c r="J2573" s="6">
        <f t="shared" si="81"/>
        <v>10.920000000000002</v>
      </c>
    </row>
    <row r="2574" spans="2:10" x14ac:dyDescent="0.25">
      <c r="B2574" s="5">
        <f t="shared" si="82"/>
        <v>44940</v>
      </c>
      <c r="C2574" s="6">
        <f>IFERROR(VLOOKUP($B2574,Platts!$E$5:$M$4994,MATCH(C$3,Platts!$F$5:$M$5,0)+1,FALSE),C2573)</f>
        <v>68.94</v>
      </c>
      <c r="D2574" s="6">
        <f>IFERROR(VLOOKUP($B2574,Platts!$E$5:$M$4994,MATCH(D$3,Platts!$F$5:$M$5,0)+1,FALSE),D2573)</f>
        <v>70.349999999999994</v>
      </c>
      <c r="E2574" s="6">
        <f>IFERROR(VLOOKUP($B2574,Platts!$E$5:$M$4994,MATCH(E$3,Platts!$F$5:$M$5,0)+1,FALSE),E2573)</f>
        <v>65.849999999999994</v>
      </c>
      <c r="F2574" s="6">
        <f>IFERROR(VLOOKUP($B2574,Platts!$E$5:$M$4994,MATCH(F$3,Platts!$F$5:$M$5,0)+1,FALSE),F2573)</f>
        <v>74.5</v>
      </c>
      <c r="G2574" s="6">
        <f>IFERROR(VLOOKUP($B2574,Platts!$E$5:$M$4994,MATCH(G$3,Platts!$F$5:$M$5,0)+1,FALSE),G2573)</f>
        <v>84.9</v>
      </c>
      <c r="H2574" s="6">
        <f>IFERROR(VLOOKUP($B2574,Platts!$E$5:$M$4994,MATCH(H$3,Platts!$F$5:$M$5,0)+1,FALSE),H2573)</f>
        <v>79.86</v>
      </c>
      <c r="I2574" s="6">
        <f>IFERROR(VLOOKUP($B2574,Platts!$E$5:$M$4994,MATCH(I$3,Platts!$F$5:$M$5,0)+1,FALSE),I2573)</f>
        <v>82.66</v>
      </c>
      <c r="J2574" s="6">
        <f t="shared" si="81"/>
        <v>10.920000000000002</v>
      </c>
    </row>
    <row r="2575" spans="2:10" x14ac:dyDescent="0.25">
      <c r="B2575" s="5">
        <f t="shared" si="82"/>
        <v>44941</v>
      </c>
      <c r="C2575" s="6">
        <f>IFERROR(VLOOKUP($B2575,Platts!$E$5:$M$4994,MATCH(C$3,Platts!$F$5:$M$5,0)+1,FALSE),C2574)</f>
        <v>68.94</v>
      </c>
      <c r="D2575" s="6">
        <f>IFERROR(VLOOKUP($B2575,Platts!$E$5:$M$4994,MATCH(D$3,Platts!$F$5:$M$5,0)+1,FALSE),D2574)</f>
        <v>70.349999999999994</v>
      </c>
      <c r="E2575" s="6">
        <f>IFERROR(VLOOKUP($B2575,Platts!$E$5:$M$4994,MATCH(E$3,Platts!$F$5:$M$5,0)+1,FALSE),E2574)</f>
        <v>65.849999999999994</v>
      </c>
      <c r="F2575" s="6">
        <f>IFERROR(VLOOKUP($B2575,Platts!$E$5:$M$4994,MATCH(F$3,Platts!$F$5:$M$5,0)+1,FALSE),F2574)</f>
        <v>74.5</v>
      </c>
      <c r="G2575" s="6">
        <f>IFERROR(VLOOKUP($B2575,Platts!$E$5:$M$4994,MATCH(G$3,Platts!$F$5:$M$5,0)+1,FALSE),G2574)</f>
        <v>84.9</v>
      </c>
      <c r="H2575" s="6">
        <f>IFERROR(VLOOKUP($B2575,Platts!$E$5:$M$4994,MATCH(H$3,Platts!$F$5:$M$5,0)+1,FALSE),H2574)</f>
        <v>79.86</v>
      </c>
      <c r="I2575" s="6">
        <f>IFERROR(VLOOKUP($B2575,Platts!$E$5:$M$4994,MATCH(I$3,Platts!$F$5:$M$5,0)+1,FALSE),I2574)</f>
        <v>82.66</v>
      </c>
      <c r="J2575" s="6">
        <f t="shared" si="81"/>
        <v>10.920000000000002</v>
      </c>
    </row>
    <row r="2576" spans="2:10" x14ac:dyDescent="0.25">
      <c r="B2576" s="5">
        <f t="shared" si="82"/>
        <v>44942</v>
      </c>
      <c r="C2576" s="6">
        <f>IFERROR(VLOOKUP($B2576,Platts!$E$5:$M$4994,MATCH(C$3,Platts!$F$5:$M$5,0)+1,FALSE),C2575)</f>
        <v>68.94</v>
      </c>
      <c r="D2576" s="6">
        <f>IFERROR(VLOOKUP($B2576,Platts!$E$5:$M$4994,MATCH(D$3,Platts!$F$5:$M$5,0)+1,FALSE),D2575)</f>
        <v>70.349999999999994</v>
      </c>
      <c r="E2576" s="6">
        <f>IFERROR(VLOOKUP($B2576,Platts!$E$5:$M$4994,MATCH(E$3,Platts!$F$5:$M$5,0)+1,FALSE),E2575)</f>
        <v>65.849999999999994</v>
      </c>
      <c r="F2576" s="6">
        <f>IFERROR(VLOOKUP($B2576,Platts!$E$5:$M$4994,MATCH(F$3,Platts!$F$5:$M$5,0)+1,FALSE),F2575)</f>
        <v>74.5</v>
      </c>
      <c r="G2576" s="6">
        <f>IFERROR(VLOOKUP($B2576,Platts!$E$5:$M$4994,MATCH(G$3,Platts!$F$5:$M$5,0)+1,FALSE),G2575)</f>
        <v>84.9</v>
      </c>
      <c r="H2576" s="6">
        <f>IFERROR(VLOOKUP($B2576,Platts!$E$5:$M$4994,MATCH(H$3,Platts!$F$5:$M$5,0)+1,FALSE),H2575)</f>
        <v>79.86</v>
      </c>
      <c r="I2576" s="6">
        <f>IFERROR(VLOOKUP($B2576,Platts!$E$5:$M$4994,MATCH(I$3,Platts!$F$5:$M$5,0)+1,FALSE),I2575)</f>
        <v>82.66</v>
      </c>
      <c r="J2576" s="6">
        <f t="shared" si="81"/>
        <v>10.920000000000002</v>
      </c>
    </row>
    <row r="2577" spans="2:10" x14ac:dyDescent="0.25">
      <c r="B2577" s="5">
        <f t="shared" si="82"/>
        <v>44943</v>
      </c>
      <c r="C2577" s="6">
        <f>IFERROR(VLOOKUP($B2577,Platts!$E$5:$M$4994,MATCH(C$3,Platts!$F$5:$M$5,0)+1,FALSE),C2576)</f>
        <v>69.709999999999994</v>
      </c>
      <c r="D2577" s="6">
        <f>IFERROR(VLOOKUP($B2577,Platts!$E$5:$M$4994,MATCH(D$3,Platts!$F$5:$M$5,0)+1,FALSE),D2576)</f>
        <v>71.08</v>
      </c>
      <c r="E2577" s="6">
        <f>IFERROR(VLOOKUP($B2577,Platts!$E$5:$M$4994,MATCH(E$3,Platts!$F$5:$M$5,0)+1,FALSE),E2576)</f>
        <v>66.58</v>
      </c>
      <c r="F2577" s="6">
        <f>IFERROR(VLOOKUP($B2577,Platts!$E$5:$M$4994,MATCH(F$3,Platts!$F$5:$M$5,0)+1,FALSE),F2576)</f>
        <v>75.23</v>
      </c>
      <c r="G2577" s="6">
        <f>IFERROR(VLOOKUP($B2577,Platts!$E$5:$M$4994,MATCH(G$3,Platts!$F$5:$M$5,0)+1,FALSE),G2576)</f>
        <v>85.75</v>
      </c>
      <c r="H2577" s="6">
        <f>IFERROR(VLOOKUP($B2577,Platts!$E$5:$M$4994,MATCH(H$3,Platts!$F$5:$M$5,0)+1,FALSE),H2576)</f>
        <v>80.180000000000007</v>
      </c>
      <c r="I2577" s="6">
        <f>IFERROR(VLOOKUP($B2577,Platts!$E$5:$M$4994,MATCH(I$3,Platts!$F$5:$M$5,0)+1,FALSE),I2576)</f>
        <v>83.43</v>
      </c>
      <c r="J2577" s="6">
        <f t="shared" si="81"/>
        <v>10.470000000000013</v>
      </c>
    </row>
    <row r="2578" spans="2:10" x14ac:dyDescent="0.25">
      <c r="B2578" s="5">
        <f t="shared" si="82"/>
        <v>44944</v>
      </c>
      <c r="C2578" s="6">
        <f>IFERROR(VLOOKUP($B2578,Platts!$E$5:$M$4994,MATCH(C$3,Platts!$F$5:$M$5,0)+1,FALSE),C2577)</f>
        <v>69.16</v>
      </c>
      <c r="D2578" s="6">
        <f>IFERROR(VLOOKUP($B2578,Platts!$E$5:$M$4994,MATCH(D$3,Platts!$F$5:$M$5,0)+1,FALSE),D2577)</f>
        <v>70.56</v>
      </c>
      <c r="E2578" s="6">
        <f>IFERROR(VLOOKUP($B2578,Platts!$E$5:$M$4994,MATCH(E$3,Platts!$F$5:$M$5,0)+1,FALSE),E2577)</f>
        <v>66.06</v>
      </c>
      <c r="F2578" s="6">
        <f>IFERROR(VLOOKUP($B2578,Platts!$E$5:$M$4994,MATCH(F$3,Platts!$F$5:$M$5,0)+1,FALSE),F2577)</f>
        <v>74.709999999999994</v>
      </c>
      <c r="G2578" s="6">
        <f>IFERROR(VLOOKUP($B2578,Platts!$E$5:$M$4994,MATCH(G$3,Platts!$F$5:$M$5,0)+1,FALSE),G2577)</f>
        <v>87.31</v>
      </c>
      <c r="H2578" s="6">
        <f>IFERROR(VLOOKUP($B2578,Platts!$E$5:$M$4994,MATCH(H$3,Platts!$F$5:$M$5,0)+1,FALSE),H2577)</f>
        <v>79.48</v>
      </c>
      <c r="I2578" s="6">
        <f>IFERROR(VLOOKUP($B2578,Platts!$E$5:$M$4994,MATCH(I$3,Platts!$F$5:$M$5,0)+1,FALSE),I2577)</f>
        <v>83.13</v>
      </c>
      <c r="J2578" s="6">
        <f t="shared" si="81"/>
        <v>10.320000000000007</v>
      </c>
    </row>
    <row r="2579" spans="2:10" x14ac:dyDescent="0.25">
      <c r="B2579" s="5">
        <f t="shared" si="82"/>
        <v>44945</v>
      </c>
      <c r="C2579" s="6">
        <f>IFERROR(VLOOKUP($B2579,Platts!$E$5:$M$4994,MATCH(C$3,Platts!$F$5:$M$5,0)+1,FALSE),C2578)</f>
        <v>69.88</v>
      </c>
      <c r="D2579" s="6">
        <f>IFERROR(VLOOKUP($B2579,Platts!$E$5:$M$4994,MATCH(D$3,Platts!$F$5:$M$5,0)+1,FALSE),D2578)</f>
        <v>71.459999999999994</v>
      </c>
      <c r="E2579" s="6">
        <f>IFERROR(VLOOKUP($B2579,Platts!$E$5:$M$4994,MATCH(E$3,Platts!$F$5:$M$5,0)+1,FALSE),E2578)</f>
        <v>66.959999999999994</v>
      </c>
      <c r="F2579" s="6">
        <f>IFERROR(VLOOKUP($B2579,Platts!$E$5:$M$4994,MATCH(F$3,Platts!$F$5:$M$5,0)+1,FALSE),F2578)</f>
        <v>75.61</v>
      </c>
      <c r="G2579" s="6">
        <f>IFERROR(VLOOKUP($B2579,Platts!$E$5:$M$4994,MATCH(G$3,Platts!$F$5:$M$5,0)+1,FALSE),G2578)</f>
        <v>85.54</v>
      </c>
      <c r="H2579" s="6">
        <f>IFERROR(VLOOKUP($B2579,Platts!$E$5:$M$4994,MATCH(H$3,Platts!$F$5:$M$5,0)+1,FALSE),H2578)</f>
        <v>80.33</v>
      </c>
      <c r="I2579" s="6">
        <f>IFERROR(VLOOKUP($B2579,Platts!$E$5:$M$4994,MATCH(I$3,Platts!$F$5:$M$5,0)+1,FALSE),I2578)</f>
        <v>83.98</v>
      </c>
      <c r="J2579" s="6">
        <f t="shared" si="81"/>
        <v>10.450000000000003</v>
      </c>
    </row>
    <row r="2580" spans="2:10" x14ac:dyDescent="0.25">
      <c r="B2580" s="5">
        <f t="shared" si="82"/>
        <v>44946</v>
      </c>
      <c r="C2580" s="6">
        <f>IFERROR(VLOOKUP($B2580,Platts!$E$5:$M$4994,MATCH(C$3,Platts!$F$5:$M$5,0)+1,FALSE),C2579)</f>
        <v>70.099999999999994</v>
      </c>
      <c r="D2580" s="6">
        <f>IFERROR(VLOOKUP($B2580,Platts!$E$5:$M$4994,MATCH(D$3,Platts!$F$5:$M$5,0)+1,FALSE),D2579)</f>
        <v>72.38</v>
      </c>
      <c r="E2580" s="6">
        <f>IFERROR(VLOOKUP($B2580,Platts!$E$5:$M$4994,MATCH(E$3,Platts!$F$5:$M$5,0)+1,FALSE),E2579)</f>
        <v>67.88</v>
      </c>
      <c r="F2580" s="6">
        <f>IFERROR(VLOOKUP($B2580,Platts!$E$5:$M$4994,MATCH(F$3,Platts!$F$5:$M$5,0)+1,FALSE),F2579)</f>
        <v>76.53</v>
      </c>
      <c r="G2580" s="6">
        <f>IFERROR(VLOOKUP($B2580,Platts!$E$5:$M$4994,MATCH(G$3,Platts!$F$5:$M$5,0)+1,FALSE),G2579)</f>
        <v>86.78</v>
      </c>
      <c r="H2580" s="6">
        <f>IFERROR(VLOOKUP($B2580,Platts!$E$5:$M$4994,MATCH(H$3,Platts!$F$5:$M$5,0)+1,FALSE),H2579)</f>
        <v>81.31</v>
      </c>
      <c r="I2580" s="6">
        <f>IFERROR(VLOOKUP($B2580,Platts!$E$5:$M$4994,MATCH(I$3,Platts!$F$5:$M$5,0)+1,FALSE),I2579)</f>
        <v>84.71</v>
      </c>
      <c r="J2580" s="6">
        <f t="shared" si="81"/>
        <v>11.210000000000008</v>
      </c>
    </row>
    <row r="2581" spans="2:10" x14ac:dyDescent="0.25">
      <c r="B2581" s="5">
        <f t="shared" si="82"/>
        <v>44947</v>
      </c>
      <c r="C2581" s="6">
        <f>IFERROR(VLOOKUP($B2581,Platts!$E$5:$M$4994,MATCH(C$3,Platts!$F$5:$M$5,0)+1,FALSE),C2580)</f>
        <v>70.099999999999994</v>
      </c>
      <c r="D2581" s="6">
        <f>IFERROR(VLOOKUP($B2581,Platts!$E$5:$M$4994,MATCH(D$3,Platts!$F$5:$M$5,0)+1,FALSE),D2580)</f>
        <v>72.38</v>
      </c>
      <c r="E2581" s="6">
        <f>IFERROR(VLOOKUP($B2581,Platts!$E$5:$M$4994,MATCH(E$3,Platts!$F$5:$M$5,0)+1,FALSE),E2580)</f>
        <v>67.88</v>
      </c>
      <c r="F2581" s="6">
        <f>IFERROR(VLOOKUP($B2581,Platts!$E$5:$M$4994,MATCH(F$3,Platts!$F$5:$M$5,0)+1,FALSE),F2580)</f>
        <v>76.53</v>
      </c>
      <c r="G2581" s="6">
        <f>IFERROR(VLOOKUP($B2581,Platts!$E$5:$M$4994,MATCH(G$3,Platts!$F$5:$M$5,0)+1,FALSE),G2580)</f>
        <v>86.78</v>
      </c>
      <c r="H2581" s="6">
        <f>IFERROR(VLOOKUP($B2581,Platts!$E$5:$M$4994,MATCH(H$3,Platts!$F$5:$M$5,0)+1,FALSE),H2580)</f>
        <v>81.31</v>
      </c>
      <c r="I2581" s="6">
        <f>IFERROR(VLOOKUP($B2581,Platts!$E$5:$M$4994,MATCH(I$3,Platts!$F$5:$M$5,0)+1,FALSE),I2580)</f>
        <v>84.71</v>
      </c>
      <c r="J2581" s="6">
        <f t="shared" si="81"/>
        <v>11.210000000000008</v>
      </c>
    </row>
    <row r="2582" spans="2:10" x14ac:dyDescent="0.25">
      <c r="B2582" s="5">
        <f t="shared" si="82"/>
        <v>44948</v>
      </c>
      <c r="C2582" s="6">
        <f>IFERROR(VLOOKUP($B2582,Platts!$E$5:$M$4994,MATCH(C$3,Platts!$F$5:$M$5,0)+1,FALSE),C2581)</f>
        <v>70.099999999999994</v>
      </c>
      <c r="D2582" s="6">
        <f>IFERROR(VLOOKUP($B2582,Platts!$E$5:$M$4994,MATCH(D$3,Platts!$F$5:$M$5,0)+1,FALSE),D2581)</f>
        <v>72.38</v>
      </c>
      <c r="E2582" s="6">
        <f>IFERROR(VLOOKUP($B2582,Platts!$E$5:$M$4994,MATCH(E$3,Platts!$F$5:$M$5,0)+1,FALSE),E2581)</f>
        <v>67.88</v>
      </c>
      <c r="F2582" s="6">
        <f>IFERROR(VLOOKUP($B2582,Platts!$E$5:$M$4994,MATCH(F$3,Platts!$F$5:$M$5,0)+1,FALSE),F2581)</f>
        <v>76.53</v>
      </c>
      <c r="G2582" s="6">
        <f>IFERROR(VLOOKUP($B2582,Platts!$E$5:$M$4994,MATCH(G$3,Platts!$F$5:$M$5,0)+1,FALSE),G2581)</f>
        <v>86.78</v>
      </c>
      <c r="H2582" s="6">
        <f>IFERROR(VLOOKUP($B2582,Platts!$E$5:$M$4994,MATCH(H$3,Platts!$F$5:$M$5,0)+1,FALSE),H2581)</f>
        <v>81.31</v>
      </c>
      <c r="I2582" s="6">
        <f>IFERROR(VLOOKUP($B2582,Platts!$E$5:$M$4994,MATCH(I$3,Platts!$F$5:$M$5,0)+1,FALSE),I2581)</f>
        <v>84.71</v>
      </c>
      <c r="J2582" s="6">
        <f t="shared" si="81"/>
        <v>11.210000000000008</v>
      </c>
    </row>
    <row r="2583" spans="2:10" x14ac:dyDescent="0.25">
      <c r="B2583" s="5">
        <f t="shared" si="82"/>
        <v>44949</v>
      </c>
      <c r="C2583" s="6">
        <f>IFERROR(VLOOKUP($B2583,Platts!$E$5:$M$4994,MATCH(C$3,Platts!$F$5:$M$5,0)+1,FALSE),C2582)</f>
        <v>70.099999999999994</v>
      </c>
      <c r="D2583" s="6">
        <f>IFERROR(VLOOKUP($B2583,Platts!$E$5:$M$4994,MATCH(D$3,Platts!$F$5:$M$5,0)+1,FALSE),D2582)</f>
        <v>72.650000000000006</v>
      </c>
      <c r="E2583" s="6">
        <f>IFERROR(VLOOKUP($B2583,Platts!$E$5:$M$4994,MATCH(E$3,Platts!$F$5:$M$5,0)+1,FALSE),E2582)</f>
        <v>68.150000000000006</v>
      </c>
      <c r="F2583" s="6">
        <f>IFERROR(VLOOKUP($B2583,Platts!$E$5:$M$4994,MATCH(F$3,Platts!$F$5:$M$5,0)+1,FALSE),F2582)</f>
        <v>76.8</v>
      </c>
      <c r="G2583" s="6">
        <f>IFERROR(VLOOKUP($B2583,Platts!$E$5:$M$4994,MATCH(G$3,Platts!$F$5:$M$5,0)+1,FALSE),G2582)</f>
        <v>89.07</v>
      </c>
      <c r="H2583" s="6">
        <f>IFERROR(VLOOKUP($B2583,Platts!$E$5:$M$4994,MATCH(H$3,Platts!$F$5:$M$5,0)+1,FALSE),H2582)</f>
        <v>81.319999999999993</v>
      </c>
      <c r="I2583" s="6">
        <f>IFERROR(VLOOKUP($B2583,Platts!$E$5:$M$4994,MATCH(I$3,Platts!$F$5:$M$5,0)+1,FALSE),I2582)</f>
        <v>84.72</v>
      </c>
      <c r="J2583" s="6">
        <f t="shared" si="81"/>
        <v>11.219999999999999</v>
      </c>
    </row>
    <row r="2584" spans="2:10" x14ac:dyDescent="0.25">
      <c r="B2584" s="5">
        <f t="shared" si="82"/>
        <v>44950</v>
      </c>
      <c r="C2584" s="6">
        <f>IFERROR(VLOOKUP($B2584,Platts!$E$5:$M$4994,MATCH(C$3,Platts!$F$5:$M$5,0)+1,FALSE),C2583)</f>
        <v>70.099999999999994</v>
      </c>
      <c r="D2584" s="6">
        <f>IFERROR(VLOOKUP($B2584,Platts!$E$5:$M$4994,MATCH(D$3,Platts!$F$5:$M$5,0)+1,FALSE),D2583)</f>
        <v>71.22</v>
      </c>
      <c r="E2584" s="6">
        <f>IFERROR(VLOOKUP($B2584,Platts!$E$5:$M$4994,MATCH(E$3,Platts!$F$5:$M$5,0)+1,FALSE),E2583)</f>
        <v>66.72</v>
      </c>
      <c r="F2584" s="6">
        <f>IFERROR(VLOOKUP($B2584,Platts!$E$5:$M$4994,MATCH(F$3,Platts!$F$5:$M$5,0)+1,FALSE),F2583)</f>
        <v>75.37</v>
      </c>
      <c r="G2584" s="6">
        <f>IFERROR(VLOOKUP($B2584,Platts!$E$5:$M$4994,MATCH(G$3,Platts!$F$5:$M$5,0)+1,FALSE),G2583)</f>
        <v>86.88</v>
      </c>
      <c r="H2584" s="6">
        <f>IFERROR(VLOOKUP($B2584,Platts!$E$5:$M$4994,MATCH(H$3,Platts!$F$5:$M$5,0)+1,FALSE),H2583)</f>
        <v>79.78</v>
      </c>
      <c r="I2584" s="6">
        <f>IFERROR(VLOOKUP($B2584,Platts!$E$5:$M$4994,MATCH(I$3,Platts!$F$5:$M$5,0)+1,FALSE),I2583)</f>
        <v>83.18</v>
      </c>
      <c r="J2584" s="6">
        <f t="shared" si="81"/>
        <v>9.6800000000000068</v>
      </c>
    </row>
    <row r="2585" spans="2:10" x14ac:dyDescent="0.25">
      <c r="B2585" s="5">
        <f t="shared" si="82"/>
        <v>44951</v>
      </c>
      <c r="C2585" s="6">
        <f>IFERROR(VLOOKUP($B2585,Platts!$E$5:$M$4994,MATCH(C$3,Platts!$F$5:$M$5,0)+1,FALSE),C2584)</f>
        <v>69.819999999999993</v>
      </c>
      <c r="D2585" s="6">
        <f>IFERROR(VLOOKUP($B2585,Platts!$E$5:$M$4994,MATCH(D$3,Platts!$F$5:$M$5,0)+1,FALSE),D2584)</f>
        <v>71.489999999999995</v>
      </c>
      <c r="E2585" s="6">
        <f>IFERROR(VLOOKUP($B2585,Platts!$E$5:$M$4994,MATCH(E$3,Platts!$F$5:$M$5,0)+1,FALSE),E2584)</f>
        <v>66.989999999999995</v>
      </c>
      <c r="F2585" s="6">
        <f>IFERROR(VLOOKUP($B2585,Platts!$E$5:$M$4994,MATCH(F$3,Platts!$F$5:$M$5,0)+1,FALSE),F2584)</f>
        <v>75.64</v>
      </c>
      <c r="G2585" s="6">
        <f>IFERROR(VLOOKUP($B2585,Platts!$E$5:$M$4994,MATCH(G$3,Platts!$F$5:$M$5,0)+1,FALSE),G2584)</f>
        <v>86.66</v>
      </c>
      <c r="H2585" s="6">
        <f>IFERROR(VLOOKUP($B2585,Platts!$E$5:$M$4994,MATCH(H$3,Platts!$F$5:$M$5,0)+1,FALSE),H2584)</f>
        <v>79.8</v>
      </c>
      <c r="I2585" s="6">
        <f>IFERROR(VLOOKUP($B2585,Platts!$E$5:$M$4994,MATCH(I$3,Platts!$F$5:$M$5,0)+1,FALSE),I2584)</f>
        <v>83</v>
      </c>
      <c r="J2585" s="6">
        <f t="shared" si="81"/>
        <v>9.980000000000004</v>
      </c>
    </row>
    <row r="2586" spans="2:10" x14ac:dyDescent="0.25">
      <c r="B2586" s="5">
        <f t="shared" si="82"/>
        <v>44952</v>
      </c>
      <c r="C2586" s="6">
        <f>IFERROR(VLOOKUP($B2586,Platts!$E$5:$M$4994,MATCH(C$3,Platts!$F$5:$M$5,0)+1,FALSE),C2585)</f>
        <v>71.069999999999993</v>
      </c>
      <c r="D2586" s="6">
        <f>IFERROR(VLOOKUP($B2586,Platts!$E$5:$M$4994,MATCH(D$3,Platts!$F$5:$M$5,0)+1,FALSE),D2585)</f>
        <v>72.42</v>
      </c>
      <c r="E2586" s="6">
        <f>IFERROR(VLOOKUP($B2586,Platts!$E$5:$M$4994,MATCH(E$3,Platts!$F$5:$M$5,0)+1,FALSE),E2585)</f>
        <v>67.92</v>
      </c>
      <c r="F2586" s="6">
        <f>IFERROR(VLOOKUP($B2586,Platts!$E$5:$M$4994,MATCH(F$3,Platts!$F$5:$M$5,0)+1,FALSE),F2585)</f>
        <v>76.569999999999993</v>
      </c>
      <c r="G2586" s="6">
        <f>IFERROR(VLOOKUP($B2586,Platts!$E$5:$M$4994,MATCH(G$3,Platts!$F$5:$M$5,0)+1,FALSE),G2585)</f>
        <v>87.73</v>
      </c>
      <c r="H2586" s="6">
        <f>IFERROR(VLOOKUP($B2586,Platts!$E$5:$M$4994,MATCH(H$3,Platts!$F$5:$M$5,0)+1,FALSE),H2585)</f>
        <v>81.010000000000005</v>
      </c>
      <c r="I2586" s="6">
        <f>IFERROR(VLOOKUP($B2586,Platts!$E$5:$M$4994,MATCH(I$3,Platts!$F$5:$M$5,0)+1,FALSE),I2585)</f>
        <v>84.06</v>
      </c>
      <c r="J2586" s="6">
        <f t="shared" si="81"/>
        <v>9.9400000000000119</v>
      </c>
    </row>
    <row r="2587" spans="2:10" x14ac:dyDescent="0.25">
      <c r="B2587" s="5">
        <f t="shared" si="82"/>
        <v>44953</v>
      </c>
      <c r="C2587" s="6">
        <f>IFERROR(VLOOKUP($B2587,Platts!$E$5:$M$4994,MATCH(C$3,Platts!$F$5:$M$5,0)+1,FALSE),C2586)</f>
        <v>70.17</v>
      </c>
      <c r="D2587" s="6">
        <f>IFERROR(VLOOKUP($B2587,Platts!$E$5:$M$4994,MATCH(D$3,Platts!$F$5:$M$5,0)+1,FALSE),D2586)</f>
        <v>71.400000000000006</v>
      </c>
      <c r="E2587" s="6">
        <f>IFERROR(VLOOKUP($B2587,Platts!$E$5:$M$4994,MATCH(E$3,Platts!$F$5:$M$5,0)+1,FALSE),E2586)</f>
        <v>66.900000000000006</v>
      </c>
      <c r="F2587" s="6">
        <f>IFERROR(VLOOKUP($B2587,Platts!$E$5:$M$4994,MATCH(F$3,Platts!$F$5:$M$5,0)+1,FALSE),F2586)</f>
        <v>75.55</v>
      </c>
      <c r="G2587" s="6">
        <f>IFERROR(VLOOKUP($B2587,Platts!$E$5:$M$4994,MATCH(G$3,Platts!$F$5:$M$5,0)+1,FALSE),G2586)</f>
        <v>86.88</v>
      </c>
      <c r="H2587" s="6">
        <f>IFERROR(VLOOKUP($B2587,Platts!$E$5:$M$4994,MATCH(H$3,Platts!$F$5:$M$5,0)+1,FALSE),H2586)</f>
        <v>79.680000000000007</v>
      </c>
      <c r="I2587" s="6">
        <f>IFERROR(VLOOKUP($B2587,Platts!$E$5:$M$4994,MATCH(I$3,Platts!$F$5:$M$5,0)+1,FALSE),I2586)</f>
        <v>82.73</v>
      </c>
      <c r="J2587" s="6">
        <f t="shared" si="81"/>
        <v>9.5100000000000051</v>
      </c>
    </row>
    <row r="2588" spans="2:10" x14ac:dyDescent="0.25">
      <c r="B2588" s="5">
        <f t="shared" si="82"/>
        <v>44954</v>
      </c>
      <c r="C2588" s="6">
        <f>IFERROR(VLOOKUP($B2588,Platts!$E$5:$M$4994,MATCH(C$3,Platts!$F$5:$M$5,0)+1,FALSE),C2587)</f>
        <v>70.17</v>
      </c>
      <c r="D2588" s="6">
        <f>IFERROR(VLOOKUP($B2588,Platts!$E$5:$M$4994,MATCH(D$3,Platts!$F$5:$M$5,0)+1,FALSE),D2587)</f>
        <v>71.400000000000006</v>
      </c>
      <c r="E2588" s="6">
        <f>IFERROR(VLOOKUP($B2588,Platts!$E$5:$M$4994,MATCH(E$3,Platts!$F$5:$M$5,0)+1,FALSE),E2587)</f>
        <v>66.900000000000006</v>
      </c>
      <c r="F2588" s="6">
        <f>IFERROR(VLOOKUP($B2588,Platts!$E$5:$M$4994,MATCH(F$3,Platts!$F$5:$M$5,0)+1,FALSE),F2587)</f>
        <v>75.55</v>
      </c>
      <c r="G2588" s="6">
        <f>IFERROR(VLOOKUP($B2588,Platts!$E$5:$M$4994,MATCH(G$3,Platts!$F$5:$M$5,0)+1,FALSE),G2587)</f>
        <v>86.88</v>
      </c>
      <c r="H2588" s="6">
        <f>IFERROR(VLOOKUP($B2588,Platts!$E$5:$M$4994,MATCH(H$3,Platts!$F$5:$M$5,0)+1,FALSE),H2587)</f>
        <v>79.680000000000007</v>
      </c>
      <c r="I2588" s="6">
        <f>IFERROR(VLOOKUP($B2588,Platts!$E$5:$M$4994,MATCH(I$3,Platts!$F$5:$M$5,0)+1,FALSE),I2587)</f>
        <v>82.73</v>
      </c>
      <c r="J2588" s="6">
        <f t="shared" si="81"/>
        <v>9.5100000000000051</v>
      </c>
    </row>
    <row r="2589" spans="2:10" x14ac:dyDescent="0.25">
      <c r="B2589" s="5">
        <f t="shared" si="82"/>
        <v>44955</v>
      </c>
      <c r="C2589" s="6">
        <f>IFERROR(VLOOKUP($B2589,Platts!$E$5:$M$4994,MATCH(C$3,Platts!$F$5:$M$5,0)+1,FALSE),C2588)</f>
        <v>70.17</v>
      </c>
      <c r="D2589" s="6">
        <f>IFERROR(VLOOKUP($B2589,Platts!$E$5:$M$4994,MATCH(D$3,Platts!$F$5:$M$5,0)+1,FALSE),D2588)</f>
        <v>71.400000000000006</v>
      </c>
      <c r="E2589" s="6">
        <f>IFERROR(VLOOKUP($B2589,Platts!$E$5:$M$4994,MATCH(E$3,Platts!$F$5:$M$5,0)+1,FALSE),E2588)</f>
        <v>66.900000000000006</v>
      </c>
      <c r="F2589" s="6">
        <f>IFERROR(VLOOKUP($B2589,Platts!$E$5:$M$4994,MATCH(F$3,Platts!$F$5:$M$5,0)+1,FALSE),F2588)</f>
        <v>75.55</v>
      </c>
      <c r="G2589" s="6">
        <f>IFERROR(VLOOKUP($B2589,Platts!$E$5:$M$4994,MATCH(G$3,Platts!$F$5:$M$5,0)+1,FALSE),G2588)</f>
        <v>86.88</v>
      </c>
      <c r="H2589" s="6">
        <f>IFERROR(VLOOKUP($B2589,Platts!$E$5:$M$4994,MATCH(H$3,Platts!$F$5:$M$5,0)+1,FALSE),H2588)</f>
        <v>79.680000000000007</v>
      </c>
      <c r="I2589" s="6">
        <f>IFERROR(VLOOKUP($B2589,Platts!$E$5:$M$4994,MATCH(I$3,Platts!$F$5:$M$5,0)+1,FALSE),I2588)</f>
        <v>82.73</v>
      </c>
      <c r="J2589" s="6">
        <f t="shared" si="81"/>
        <v>9.5100000000000051</v>
      </c>
    </row>
    <row r="2590" spans="2:10" x14ac:dyDescent="0.25">
      <c r="B2590" s="5">
        <f t="shared" si="82"/>
        <v>44956</v>
      </c>
      <c r="C2590" s="6">
        <f>IFERROR(VLOOKUP($B2590,Platts!$E$5:$M$4994,MATCH(C$3,Platts!$F$5:$M$5,0)+1,FALSE),C2589)</f>
        <v>68.459999999999994</v>
      </c>
      <c r="D2590" s="6">
        <f>IFERROR(VLOOKUP($B2590,Platts!$E$5:$M$4994,MATCH(D$3,Platts!$F$5:$M$5,0)+1,FALSE),D2589)</f>
        <v>69.73</v>
      </c>
      <c r="E2590" s="6">
        <f>IFERROR(VLOOKUP($B2590,Platts!$E$5:$M$4994,MATCH(E$3,Platts!$F$5:$M$5,0)+1,FALSE),E2589)</f>
        <v>63.23</v>
      </c>
      <c r="F2590" s="6">
        <f>IFERROR(VLOOKUP($B2590,Platts!$E$5:$M$4994,MATCH(F$3,Platts!$F$5:$M$5,0)+1,FALSE),F2589)</f>
        <v>73.88</v>
      </c>
      <c r="G2590" s="6">
        <f>IFERROR(VLOOKUP($B2590,Platts!$E$5:$M$4994,MATCH(G$3,Platts!$F$5:$M$5,0)+1,FALSE),G2589)</f>
        <v>85.83</v>
      </c>
      <c r="H2590" s="6">
        <f>IFERROR(VLOOKUP($B2590,Platts!$E$5:$M$4994,MATCH(H$3,Platts!$F$5:$M$5,0)+1,FALSE),H2589)</f>
        <v>77.900000000000006</v>
      </c>
      <c r="I2590" s="6">
        <f>IFERROR(VLOOKUP($B2590,Platts!$E$5:$M$4994,MATCH(I$3,Platts!$F$5:$M$5,0)+1,FALSE),I2589)</f>
        <v>81.349999999999994</v>
      </c>
      <c r="J2590" s="6">
        <f t="shared" si="81"/>
        <v>9.4400000000000119</v>
      </c>
    </row>
    <row r="2591" spans="2:10" x14ac:dyDescent="0.25">
      <c r="B2591" s="5">
        <f t="shared" si="82"/>
        <v>44957</v>
      </c>
      <c r="C2591" s="6">
        <f>IFERROR(VLOOKUP($B2591,Platts!$E$5:$M$4994,MATCH(C$3,Platts!$F$5:$M$5,0)+1,FALSE),C2590)</f>
        <v>68.66</v>
      </c>
      <c r="D2591" s="6">
        <f>IFERROR(VLOOKUP($B2591,Platts!$E$5:$M$4994,MATCH(D$3,Platts!$F$5:$M$5,0)+1,FALSE),D2590)</f>
        <v>70.150000000000006</v>
      </c>
      <c r="E2591" s="6">
        <f>IFERROR(VLOOKUP($B2591,Platts!$E$5:$M$4994,MATCH(E$3,Platts!$F$5:$M$5,0)+1,FALSE),E2590)</f>
        <v>65.650000000000006</v>
      </c>
      <c r="F2591" s="6">
        <f>IFERROR(VLOOKUP($B2591,Platts!$E$5:$M$4994,MATCH(F$3,Platts!$F$5:$M$5,0)+1,FALSE),F2590)</f>
        <v>74.3</v>
      </c>
      <c r="G2591" s="6">
        <f>IFERROR(VLOOKUP($B2591,Platts!$E$5:$M$4994,MATCH(G$3,Platts!$F$5:$M$5,0)+1,FALSE),G2590)</f>
        <v>85.27</v>
      </c>
      <c r="H2591" s="6">
        <f>IFERROR(VLOOKUP($B2591,Platts!$E$5:$M$4994,MATCH(H$3,Platts!$F$5:$M$5,0)+1,FALSE),H2590)</f>
        <v>78.87</v>
      </c>
      <c r="I2591" s="6">
        <f>IFERROR(VLOOKUP($B2591,Platts!$E$5:$M$4994,MATCH(I$3,Platts!$F$5:$M$5,0)+1,FALSE),I2590)</f>
        <v>82.32</v>
      </c>
      <c r="J2591" s="6">
        <f t="shared" si="81"/>
        <v>10.210000000000008</v>
      </c>
    </row>
    <row r="2592" spans="2:10" x14ac:dyDescent="0.25">
      <c r="B2592" s="5">
        <f t="shared" si="82"/>
        <v>44958</v>
      </c>
      <c r="C2592" s="6">
        <f>IFERROR(VLOOKUP($B2592,Platts!$E$5:$M$4994,MATCH(C$3,Platts!$F$5:$M$5,0)+1,FALSE),C2591)</f>
        <v>66.61</v>
      </c>
      <c r="D2592" s="6">
        <f>IFERROR(VLOOKUP($B2592,Platts!$E$5:$M$4994,MATCH(D$3,Platts!$F$5:$M$5,0)+1,FALSE),D2591)</f>
        <v>67.94</v>
      </c>
      <c r="E2592" s="6">
        <f>IFERROR(VLOOKUP($B2592,Platts!$E$5:$M$4994,MATCH(E$3,Platts!$F$5:$M$5,0)+1,FALSE),E2591)</f>
        <v>63.39</v>
      </c>
      <c r="F2592" s="6">
        <f>IFERROR(VLOOKUP($B2592,Platts!$E$5:$M$4994,MATCH(F$3,Platts!$F$5:$M$5,0)+1,FALSE),F2591)</f>
        <v>72.64</v>
      </c>
      <c r="G2592" s="6">
        <f>IFERROR(VLOOKUP($B2592,Platts!$E$5:$M$4994,MATCH(G$3,Platts!$F$5:$M$5,0)+1,FALSE),G2591)</f>
        <v>84.29</v>
      </c>
      <c r="H2592" s="6">
        <f>IFERROR(VLOOKUP($B2592,Platts!$E$5:$M$4994,MATCH(H$3,Platts!$F$5:$M$5,0)+1,FALSE),H2591)</f>
        <v>76.41</v>
      </c>
      <c r="I2592" s="6">
        <f>IFERROR(VLOOKUP($B2592,Platts!$E$5:$M$4994,MATCH(I$3,Platts!$F$5:$M$5,0)+1,FALSE),I2591)</f>
        <v>79.91</v>
      </c>
      <c r="J2592" s="6">
        <f t="shared" si="81"/>
        <v>9.7999999999999972</v>
      </c>
    </row>
    <row r="2593" spans="2:10" x14ac:dyDescent="0.25">
      <c r="B2593" s="5">
        <f t="shared" si="82"/>
        <v>44959</v>
      </c>
      <c r="C2593" s="6">
        <f>IFERROR(VLOOKUP($B2593,Platts!$E$5:$M$4994,MATCH(C$3,Platts!$F$5:$M$5,0)+1,FALSE),C2592)</f>
        <v>65.83</v>
      </c>
      <c r="D2593" s="6">
        <f>IFERROR(VLOOKUP($B2593,Platts!$E$5:$M$4994,MATCH(D$3,Platts!$F$5:$M$5,0)+1,FALSE),D2592)</f>
        <v>67.39</v>
      </c>
      <c r="E2593" s="6">
        <f>IFERROR(VLOOKUP($B2593,Platts!$E$5:$M$4994,MATCH(E$3,Platts!$F$5:$M$5,0)+1,FALSE),E2592)</f>
        <v>62.84</v>
      </c>
      <c r="F2593" s="6">
        <f>IFERROR(VLOOKUP($B2593,Platts!$E$5:$M$4994,MATCH(F$3,Platts!$F$5:$M$5,0)+1,FALSE),F2592)</f>
        <v>72.09</v>
      </c>
      <c r="G2593" s="6">
        <f>IFERROR(VLOOKUP($B2593,Platts!$E$5:$M$4994,MATCH(G$3,Platts!$F$5:$M$5,0)+1,FALSE),G2592)</f>
        <v>81.94</v>
      </c>
      <c r="H2593" s="6">
        <f>IFERROR(VLOOKUP($B2593,Platts!$E$5:$M$4994,MATCH(H$3,Platts!$F$5:$M$5,0)+1,FALSE),H2592)</f>
        <v>75.88</v>
      </c>
      <c r="I2593" s="6">
        <f>IFERROR(VLOOKUP($B2593,Platts!$E$5:$M$4994,MATCH(I$3,Platts!$F$5:$M$5,0)+1,FALSE),I2592)</f>
        <v>79.38</v>
      </c>
      <c r="J2593" s="6">
        <f t="shared" si="81"/>
        <v>10.049999999999997</v>
      </c>
    </row>
    <row r="2594" spans="2:10" x14ac:dyDescent="0.25">
      <c r="B2594" s="5">
        <f t="shared" si="82"/>
        <v>44960</v>
      </c>
      <c r="C2594" s="6">
        <f>IFERROR(VLOOKUP($B2594,Platts!$E$5:$M$4994,MATCH(C$3,Platts!$F$5:$M$5,0)+1,FALSE),C2593)</f>
        <v>63.63</v>
      </c>
      <c r="D2594" s="6">
        <f>IFERROR(VLOOKUP($B2594,Platts!$E$5:$M$4994,MATCH(D$3,Platts!$F$5:$M$5,0)+1,FALSE),D2593)</f>
        <v>65</v>
      </c>
      <c r="E2594" s="6">
        <f>IFERROR(VLOOKUP($B2594,Platts!$E$5:$M$4994,MATCH(E$3,Platts!$F$5:$M$5,0)+1,FALSE),E2593)</f>
        <v>60.45</v>
      </c>
      <c r="F2594" s="6">
        <f>IFERROR(VLOOKUP($B2594,Platts!$E$5:$M$4994,MATCH(F$3,Platts!$F$5:$M$5,0)+1,FALSE),F2593)</f>
        <v>69.7</v>
      </c>
      <c r="G2594" s="6">
        <f>IFERROR(VLOOKUP($B2594,Platts!$E$5:$M$4994,MATCH(G$3,Platts!$F$5:$M$5,0)+1,FALSE),G2593)</f>
        <v>81.69</v>
      </c>
      <c r="H2594" s="6">
        <f>IFERROR(VLOOKUP($B2594,Platts!$E$5:$M$4994,MATCH(H$3,Platts!$F$5:$M$5,0)+1,FALSE),H2593)</f>
        <v>73.39</v>
      </c>
      <c r="I2594" s="6">
        <f>IFERROR(VLOOKUP($B2594,Platts!$E$5:$M$4994,MATCH(I$3,Platts!$F$5:$M$5,0)+1,FALSE),I2593)</f>
        <v>76.94</v>
      </c>
      <c r="J2594" s="6">
        <f t="shared" si="81"/>
        <v>9.759999999999998</v>
      </c>
    </row>
    <row r="2595" spans="2:10" x14ac:dyDescent="0.25">
      <c r="B2595" s="5">
        <f t="shared" si="82"/>
        <v>44961</v>
      </c>
      <c r="C2595" s="6">
        <f>IFERROR(VLOOKUP($B2595,Platts!$E$5:$M$4994,MATCH(C$3,Platts!$F$5:$M$5,0)+1,FALSE),C2594)</f>
        <v>63.63</v>
      </c>
      <c r="D2595" s="6">
        <f>IFERROR(VLOOKUP($B2595,Platts!$E$5:$M$4994,MATCH(D$3,Platts!$F$5:$M$5,0)+1,FALSE),D2594)</f>
        <v>65</v>
      </c>
      <c r="E2595" s="6">
        <f>IFERROR(VLOOKUP($B2595,Platts!$E$5:$M$4994,MATCH(E$3,Platts!$F$5:$M$5,0)+1,FALSE),E2594)</f>
        <v>60.45</v>
      </c>
      <c r="F2595" s="6">
        <f>IFERROR(VLOOKUP($B2595,Platts!$E$5:$M$4994,MATCH(F$3,Platts!$F$5:$M$5,0)+1,FALSE),F2594)</f>
        <v>69.7</v>
      </c>
      <c r="G2595" s="6">
        <f>IFERROR(VLOOKUP($B2595,Platts!$E$5:$M$4994,MATCH(G$3,Platts!$F$5:$M$5,0)+1,FALSE),G2594)</f>
        <v>81.69</v>
      </c>
      <c r="H2595" s="6">
        <f>IFERROR(VLOOKUP($B2595,Platts!$E$5:$M$4994,MATCH(H$3,Platts!$F$5:$M$5,0)+1,FALSE),H2594)</f>
        <v>73.39</v>
      </c>
      <c r="I2595" s="6">
        <f>IFERROR(VLOOKUP($B2595,Platts!$E$5:$M$4994,MATCH(I$3,Platts!$F$5:$M$5,0)+1,FALSE),I2594)</f>
        <v>76.94</v>
      </c>
      <c r="J2595" s="6">
        <f t="shared" si="81"/>
        <v>9.759999999999998</v>
      </c>
    </row>
    <row r="2596" spans="2:10" x14ac:dyDescent="0.25">
      <c r="B2596" s="5">
        <f t="shared" si="82"/>
        <v>44962</v>
      </c>
      <c r="C2596" s="6">
        <f>IFERROR(VLOOKUP($B2596,Platts!$E$5:$M$4994,MATCH(C$3,Platts!$F$5:$M$5,0)+1,FALSE),C2595)</f>
        <v>63.63</v>
      </c>
      <c r="D2596" s="6">
        <f>IFERROR(VLOOKUP($B2596,Platts!$E$5:$M$4994,MATCH(D$3,Platts!$F$5:$M$5,0)+1,FALSE),D2595)</f>
        <v>65</v>
      </c>
      <c r="E2596" s="6">
        <f>IFERROR(VLOOKUP($B2596,Platts!$E$5:$M$4994,MATCH(E$3,Platts!$F$5:$M$5,0)+1,FALSE),E2595)</f>
        <v>60.45</v>
      </c>
      <c r="F2596" s="6">
        <f>IFERROR(VLOOKUP($B2596,Platts!$E$5:$M$4994,MATCH(F$3,Platts!$F$5:$M$5,0)+1,FALSE),F2595)</f>
        <v>69.7</v>
      </c>
      <c r="G2596" s="6">
        <f>IFERROR(VLOOKUP($B2596,Platts!$E$5:$M$4994,MATCH(G$3,Platts!$F$5:$M$5,0)+1,FALSE),G2595)</f>
        <v>81.69</v>
      </c>
      <c r="H2596" s="6">
        <f>IFERROR(VLOOKUP($B2596,Platts!$E$5:$M$4994,MATCH(H$3,Platts!$F$5:$M$5,0)+1,FALSE),H2595)</f>
        <v>73.39</v>
      </c>
      <c r="I2596" s="6">
        <f>IFERROR(VLOOKUP($B2596,Platts!$E$5:$M$4994,MATCH(I$3,Platts!$F$5:$M$5,0)+1,FALSE),I2595)</f>
        <v>76.94</v>
      </c>
      <c r="J2596" s="6">
        <f t="shared" si="81"/>
        <v>9.759999999999998</v>
      </c>
    </row>
    <row r="2597" spans="2:10" x14ac:dyDescent="0.25">
      <c r="B2597" s="5">
        <f t="shared" si="82"/>
        <v>44963</v>
      </c>
      <c r="C2597" s="6">
        <f>IFERROR(VLOOKUP($B2597,Platts!$E$5:$M$4994,MATCH(C$3,Platts!$F$5:$M$5,0)+1,FALSE),C2596)</f>
        <v>63.63</v>
      </c>
      <c r="D2597" s="6">
        <f>IFERROR(VLOOKUP($B2597,Platts!$E$5:$M$4994,MATCH(D$3,Platts!$F$5:$M$5,0)+1,FALSE),D2596)</f>
        <v>65.959999999999994</v>
      </c>
      <c r="E2597" s="6">
        <f>IFERROR(VLOOKUP($B2597,Platts!$E$5:$M$4994,MATCH(E$3,Platts!$F$5:$M$5,0)+1,FALSE),E2596)</f>
        <v>61.41</v>
      </c>
      <c r="F2597" s="6">
        <f>IFERROR(VLOOKUP($B2597,Platts!$E$5:$M$4994,MATCH(F$3,Platts!$F$5:$M$5,0)+1,FALSE),F2596)</f>
        <v>70.66</v>
      </c>
      <c r="G2597" s="6">
        <f>IFERROR(VLOOKUP($B2597,Platts!$E$5:$M$4994,MATCH(G$3,Platts!$F$5:$M$5,0)+1,FALSE),G2596)</f>
        <v>80.209999999999994</v>
      </c>
      <c r="H2597" s="6">
        <f>IFERROR(VLOOKUP($B2597,Platts!$E$5:$M$4994,MATCH(H$3,Platts!$F$5:$M$5,0)+1,FALSE),H2596)</f>
        <v>74.11</v>
      </c>
      <c r="I2597" s="6">
        <f>IFERROR(VLOOKUP($B2597,Platts!$E$5:$M$4994,MATCH(I$3,Platts!$F$5:$M$5,0)+1,FALSE),I2596)</f>
        <v>77.86</v>
      </c>
      <c r="J2597" s="6">
        <f t="shared" si="81"/>
        <v>10.479999999999997</v>
      </c>
    </row>
    <row r="2598" spans="2:10" x14ac:dyDescent="0.25">
      <c r="B2598" s="5">
        <f t="shared" si="82"/>
        <v>44964</v>
      </c>
      <c r="C2598" s="6">
        <f>IFERROR(VLOOKUP($B2598,Platts!$E$5:$M$4994,MATCH(C$3,Platts!$F$5:$M$5,0)+1,FALSE),C2597)</f>
        <v>67.27</v>
      </c>
      <c r="D2598" s="6">
        <f>IFERROR(VLOOKUP($B2598,Platts!$E$5:$M$4994,MATCH(D$3,Platts!$F$5:$M$5,0)+1,FALSE),D2597)</f>
        <v>68.88</v>
      </c>
      <c r="E2598" s="6">
        <f>IFERROR(VLOOKUP($B2598,Platts!$E$5:$M$4994,MATCH(E$3,Platts!$F$5:$M$5,0)+1,FALSE),E2597)</f>
        <v>64.33</v>
      </c>
      <c r="F2598" s="6">
        <f>IFERROR(VLOOKUP($B2598,Platts!$E$5:$M$4994,MATCH(F$3,Platts!$F$5:$M$5,0)+1,FALSE),F2597)</f>
        <v>73.58</v>
      </c>
      <c r="G2598" s="6">
        <f>IFERROR(VLOOKUP($B2598,Platts!$E$5:$M$4994,MATCH(G$3,Platts!$F$5:$M$5,0)+1,FALSE),G2597)</f>
        <v>83.1</v>
      </c>
      <c r="H2598" s="6">
        <f>IFERROR(VLOOKUP($B2598,Platts!$E$5:$M$4994,MATCH(H$3,Platts!$F$5:$M$5,0)+1,FALSE),H2597)</f>
        <v>77.14</v>
      </c>
      <c r="I2598" s="6">
        <f>IFERROR(VLOOKUP($B2598,Platts!$E$5:$M$4994,MATCH(I$3,Platts!$F$5:$M$5,0)+1,FALSE),I2597)</f>
        <v>81.040000000000006</v>
      </c>
      <c r="J2598" s="6">
        <f t="shared" si="81"/>
        <v>9.8700000000000045</v>
      </c>
    </row>
    <row r="2599" spans="2:10" x14ac:dyDescent="0.25">
      <c r="B2599" s="5">
        <f t="shared" si="82"/>
        <v>44965</v>
      </c>
      <c r="C2599" s="6">
        <f>IFERROR(VLOOKUP($B2599,Platts!$E$5:$M$4994,MATCH(C$3,Platts!$F$5:$M$5,0)+1,FALSE),C2598)</f>
        <v>68.599999999999994</v>
      </c>
      <c r="D2599" s="6">
        <f>IFERROR(VLOOKUP($B2599,Platts!$E$5:$M$4994,MATCH(D$3,Platts!$F$5:$M$5,0)+1,FALSE),D2598)</f>
        <v>70.2</v>
      </c>
      <c r="E2599" s="6">
        <f>IFERROR(VLOOKUP($B2599,Platts!$E$5:$M$4994,MATCH(E$3,Platts!$F$5:$M$5,0)+1,FALSE),E2598)</f>
        <v>65.650000000000006</v>
      </c>
      <c r="F2599" s="6">
        <f>IFERROR(VLOOKUP($B2599,Platts!$E$5:$M$4994,MATCH(F$3,Platts!$F$5:$M$5,0)+1,FALSE),F2598)</f>
        <v>74.900000000000006</v>
      </c>
      <c r="G2599" s="6">
        <f>IFERROR(VLOOKUP($B2599,Platts!$E$5:$M$4994,MATCH(G$3,Platts!$F$5:$M$5,0)+1,FALSE),G2598)</f>
        <v>84</v>
      </c>
      <c r="H2599" s="6">
        <f>IFERROR(VLOOKUP($B2599,Platts!$E$5:$M$4994,MATCH(H$3,Platts!$F$5:$M$5,0)+1,FALSE),H2598)</f>
        <v>78.47</v>
      </c>
      <c r="I2599" s="6">
        <f>IFERROR(VLOOKUP($B2599,Platts!$E$5:$M$4994,MATCH(I$3,Platts!$F$5:$M$5,0)+1,FALSE),I2598)</f>
        <v>82.52</v>
      </c>
      <c r="J2599" s="6">
        <f t="shared" si="81"/>
        <v>9.8700000000000045</v>
      </c>
    </row>
    <row r="2600" spans="2:10" x14ac:dyDescent="0.25">
      <c r="B2600" s="5">
        <f t="shared" si="82"/>
        <v>44966</v>
      </c>
      <c r="C2600" s="6">
        <f>IFERROR(VLOOKUP($B2600,Platts!$E$5:$M$4994,MATCH(C$3,Platts!$F$5:$M$5,0)+1,FALSE),C2599)</f>
        <v>68.209999999999994</v>
      </c>
      <c r="D2600" s="6">
        <f>IFERROR(VLOOKUP($B2600,Platts!$E$5:$M$4994,MATCH(D$3,Platts!$F$5:$M$5,0)+1,FALSE),D2599)</f>
        <v>69.760000000000005</v>
      </c>
      <c r="E2600" s="6">
        <f>IFERROR(VLOOKUP($B2600,Platts!$E$5:$M$4994,MATCH(E$3,Platts!$F$5:$M$5,0)+1,FALSE),E2599)</f>
        <v>65.209999999999994</v>
      </c>
      <c r="F2600" s="6">
        <f>IFERROR(VLOOKUP($B2600,Platts!$E$5:$M$4994,MATCH(F$3,Platts!$F$5:$M$5,0)+1,FALSE),F2599)</f>
        <v>74.459999999999994</v>
      </c>
      <c r="G2600" s="6">
        <f>IFERROR(VLOOKUP($B2600,Platts!$E$5:$M$4994,MATCH(G$3,Platts!$F$5:$M$5,0)+1,FALSE),G2599)</f>
        <v>84.1</v>
      </c>
      <c r="H2600" s="6">
        <f>IFERROR(VLOOKUP($B2600,Platts!$E$5:$M$4994,MATCH(H$3,Platts!$F$5:$M$5,0)+1,FALSE),H2599)</f>
        <v>78.06</v>
      </c>
      <c r="I2600" s="6">
        <f>IFERROR(VLOOKUP($B2600,Platts!$E$5:$M$4994,MATCH(I$3,Platts!$F$5:$M$5,0)+1,FALSE),I2599)</f>
        <v>81.96</v>
      </c>
      <c r="J2600" s="6">
        <f t="shared" si="81"/>
        <v>9.8500000000000085</v>
      </c>
    </row>
    <row r="2601" spans="2:10" x14ac:dyDescent="0.25">
      <c r="B2601" s="5">
        <f t="shared" si="82"/>
        <v>44967</v>
      </c>
      <c r="C2601" s="6">
        <f>IFERROR(VLOOKUP($B2601,Platts!$E$5:$M$4994,MATCH(C$3,Platts!$F$5:$M$5,0)+1,FALSE),C2600)</f>
        <v>69.92</v>
      </c>
      <c r="D2601" s="6">
        <f>IFERROR(VLOOKUP($B2601,Platts!$E$5:$M$4994,MATCH(D$3,Platts!$F$5:$M$5,0)+1,FALSE),D2600)</f>
        <v>71.5</v>
      </c>
      <c r="E2601" s="6">
        <f>IFERROR(VLOOKUP($B2601,Platts!$E$5:$M$4994,MATCH(E$3,Platts!$F$5:$M$5,0)+1,FALSE),E2600)</f>
        <v>66.95</v>
      </c>
      <c r="F2601" s="6">
        <f>IFERROR(VLOOKUP($B2601,Platts!$E$5:$M$4994,MATCH(F$3,Platts!$F$5:$M$5,0)+1,FALSE),F2600)</f>
        <v>76.2</v>
      </c>
      <c r="G2601" s="6">
        <f>IFERROR(VLOOKUP($B2601,Platts!$E$5:$M$4994,MATCH(G$3,Platts!$F$5:$M$5,0)+1,FALSE),G2600)</f>
        <v>86.49</v>
      </c>
      <c r="H2601" s="6">
        <f>IFERROR(VLOOKUP($B2601,Platts!$E$5:$M$4994,MATCH(H$3,Platts!$F$5:$M$5,0)+1,FALSE),H2600)</f>
        <v>79.72</v>
      </c>
      <c r="I2601" s="6">
        <f>IFERROR(VLOOKUP($B2601,Platts!$E$5:$M$4994,MATCH(I$3,Platts!$F$5:$M$5,0)+1,FALSE),I2600)</f>
        <v>83.62</v>
      </c>
      <c r="J2601" s="6">
        <f t="shared" si="81"/>
        <v>9.7999999999999972</v>
      </c>
    </row>
    <row r="2602" spans="2:10" x14ac:dyDescent="0.25">
      <c r="B2602" s="5">
        <f t="shared" si="82"/>
        <v>44968</v>
      </c>
      <c r="C2602" s="6">
        <f>IFERROR(VLOOKUP($B2602,Platts!$E$5:$M$4994,MATCH(C$3,Platts!$F$5:$M$5,0)+1,FALSE),C2601)</f>
        <v>69.92</v>
      </c>
      <c r="D2602" s="6">
        <f>IFERROR(VLOOKUP($B2602,Platts!$E$5:$M$4994,MATCH(D$3,Platts!$F$5:$M$5,0)+1,FALSE),D2601)</f>
        <v>71.5</v>
      </c>
      <c r="E2602" s="6">
        <f>IFERROR(VLOOKUP($B2602,Platts!$E$5:$M$4994,MATCH(E$3,Platts!$F$5:$M$5,0)+1,FALSE),E2601)</f>
        <v>66.95</v>
      </c>
      <c r="F2602" s="6">
        <f>IFERROR(VLOOKUP($B2602,Platts!$E$5:$M$4994,MATCH(F$3,Platts!$F$5:$M$5,0)+1,FALSE),F2601)</f>
        <v>76.2</v>
      </c>
      <c r="G2602" s="6">
        <f>IFERROR(VLOOKUP($B2602,Platts!$E$5:$M$4994,MATCH(G$3,Platts!$F$5:$M$5,0)+1,FALSE),G2601)</f>
        <v>86.49</v>
      </c>
      <c r="H2602" s="6">
        <f>IFERROR(VLOOKUP($B2602,Platts!$E$5:$M$4994,MATCH(H$3,Platts!$F$5:$M$5,0)+1,FALSE),H2601)</f>
        <v>79.72</v>
      </c>
      <c r="I2602" s="6">
        <f>IFERROR(VLOOKUP($B2602,Platts!$E$5:$M$4994,MATCH(I$3,Platts!$F$5:$M$5,0)+1,FALSE),I2601)</f>
        <v>83.62</v>
      </c>
      <c r="J2602" s="6">
        <f t="shared" si="81"/>
        <v>9.7999999999999972</v>
      </c>
    </row>
    <row r="2603" spans="2:10" x14ac:dyDescent="0.25">
      <c r="B2603" s="5">
        <f t="shared" si="82"/>
        <v>44969</v>
      </c>
      <c r="C2603" s="6">
        <f>IFERROR(VLOOKUP($B2603,Platts!$E$5:$M$4994,MATCH(C$3,Platts!$F$5:$M$5,0)+1,FALSE),C2602)</f>
        <v>69.92</v>
      </c>
      <c r="D2603" s="6">
        <f>IFERROR(VLOOKUP($B2603,Platts!$E$5:$M$4994,MATCH(D$3,Platts!$F$5:$M$5,0)+1,FALSE),D2602)</f>
        <v>71.5</v>
      </c>
      <c r="E2603" s="6">
        <f>IFERROR(VLOOKUP($B2603,Platts!$E$5:$M$4994,MATCH(E$3,Platts!$F$5:$M$5,0)+1,FALSE),E2602)</f>
        <v>66.95</v>
      </c>
      <c r="F2603" s="6">
        <f>IFERROR(VLOOKUP($B2603,Platts!$E$5:$M$4994,MATCH(F$3,Platts!$F$5:$M$5,0)+1,FALSE),F2602)</f>
        <v>76.2</v>
      </c>
      <c r="G2603" s="6">
        <f>IFERROR(VLOOKUP($B2603,Platts!$E$5:$M$4994,MATCH(G$3,Platts!$F$5:$M$5,0)+1,FALSE),G2602)</f>
        <v>86.49</v>
      </c>
      <c r="H2603" s="6">
        <f>IFERROR(VLOOKUP($B2603,Platts!$E$5:$M$4994,MATCH(H$3,Platts!$F$5:$M$5,0)+1,FALSE),H2602)</f>
        <v>79.72</v>
      </c>
      <c r="I2603" s="6">
        <f>IFERROR(VLOOKUP($B2603,Platts!$E$5:$M$4994,MATCH(I$3,Platts!$F$5:$M$5,0)+1,FALSE),I2602)</f>
        <v>83.62</v>
      </c>
      <c r="J2603" s="6">
        <f t="shared" si="81"/>
        <v>9.7999999999999972</v>
      </c>
    </row>
    <row r="2604" spans="2:10" x14ac:dyDescent="0.25">
      <c r="B2604" s="5">
        <f t="shared" si="82"/>
        <v>44970</v>
      </c>
      <c r="C2604" s="6">
        <f>IFERROR(VLOOKUP($B2604,Platts!$E$5:$M$4994,MATCH(C$3,Platts!$F$5:$M$5,0)+1,FALSE),C2603)</f>
        <v>70.33</v>
      </c>
      <c r="D2604" s="6">
        <f>IFERROR(VLOOKUP($B2604,Platts!$E$5:$M$4994,MATCH(D$3,Platts!$F$5:$M$5,0)+1,FALSE),D2603)</f>
        <v>71.98</v>
      </c>
      <c r="E2604" s="6">
        <f>IFERROR(VLOOKUP($B2604,Platts!$E$5:$M$4994,MATCH(E$3,Platts!$F$5:$M$5,0)+1,FALSE),E2603)</f>
        <v>67.430000000000007</v>
      </c>
      <c r="F2604" s="6">
        <f>IFERROR(VLOOKUP($B2604,Platts!$E$5:$M$4994,MATCH(F$3,Platts!$F$5:$M$5,0)+1,FALSE),F2603)</f>
        <v>76.680000000000007</v>
      </c>
      <c r="G2604" s="6">
        <f>IFERROR(VLOOKUP($B2604,Platts!$E$5:$M$4994,MATCH(G$3,Platts!$F$5:$M$5,0)+1,FALSE),G2603)</f>
        <v>86.11</v>
      </c>
      <c r="H2604" s="6">
        <f>IFERROR(VLOOKUP($B2604,Platts!$E$5:$M$4994,MATCH(H$3,Platts!$F$5:$M$5,0)+1,FALSE),H2603)</f>
        <v>80.14</v>
      </c>
      <c r="I2604" s="6">
        <f>IFERROR(VLOOKUP($B2604,Platts!$E$5:$M$4994,MATCH(I$3,Platts!$F$5:$M$5,0)+1,FALSE),I2603)</f>
        <v>84.04</v>
      </c>
      <c r="J2604" s="6">
        <f t="shared" si="81"/>
        <v>9.8100000000000023</v>
      </c>
    </row>
    <row r="2605" spans="2:10" x14ac:dyDescent="0.25">
      <c r="B2605" s="5">
        <f t="shared" si="82"/>
        <v>44971</v>
      </c>
      <c r="C2605" s="6">
        <f>IFERROR(VLOOKUP($B2605,Platts!$E$5:$M$4994,MATCH(C$3,Platts!$F$5:$M$5,0)+1,FALSE),C2604)</f>
        <v>69.47</v>
      </c>
      <c r="D2605" s="6">
        <f>IFERROR(VLOOKUP($B2605,Platts!$E$5:$M$4994,MATCH(D$3,Platts!$F$5:$M$5,0)+1,FALSE),D2604)</f>
        <v>71.08</v>
      </c>
      <c r="E2605" s="6">
        <f>IFERROR(VLOOKUP($B2605,Platts!$E$5:$M$4994,MATCH(E$3,Platts!$F$5:$M$5,0)+1,FALSE),E2604)</f>
        <v>66.53</v>
      </c>
      <c r="F2605" s="6">
        <f>IFERROR(VLOOKUP($B2605,Platts!$E$5:$M$4994,MATCH(F$3,Platts!$F$5:$M$5,0)+1,FALSE),F2604)</f>
        <v>75.78</v>
      </c>
      <c r="G2605" s="6">
        <f>IFERROR(VLOOKUP($B2605,Platts!$E$5:$M$4994,MATCH(G$3,Platts!$F$5:$M$5,0)+1,FALSE),G2604)</f>
        <v>85.34</v>
      </c>
      <c r="H2605" s="6">
        <f>IFERROR(VLOOKUP($B2605,Platts!$E$5:$M$4994,MATCH(H$3,Platts!$F$5:$M$5,0)+1,FALSE),H2604)</f>
        <v>79.06</v>
      </c>
      <c r="I2605" s="6">
        <f>IFERROR(VLOOKUP($B2605,Platts!$E$5:$M$4994,MATCH(I$3,Platts!$F$5:$M$5,0)+1,FALSE),I2604)</f>
        <v>82.96</v>
      </c>
      <c r="J2605" s="6">
        <f t="shared" ref="J2605" si="83">H2605-C2605</f>
        <v>9.5900000000000034</v>
      </c>
    </row>
    <row r="2606" spans="2:10" x14ac:dyDescent="0.25">
      <c r="B2606" s="5">
        <f t="shared" si="82"/>
        <v>44972</v>
      </c>
      <c r="C2606" s="6">
        <f>IFERROR(VLOOKUP($B2606,Platts!$E$5:$M$4994,MATCH(C$3,Platts!$F$5:$M$5,0)+1,FALSE),C2605)</f>
        <v>69.06</v>
      </c>
      <c r="D2606" s="6">
        <f>IFERROR(VLOOKUP($B2606,Platts!$E$5:$M$4994,MATCH(D$3,Platts!$F$5:$M$5,0)+1,FALSE),D2605)</f>
        <v>70.599999999999994</v>
      </c>
      <c r="E2606" s="6">
        <f>IFERROR(VLOOKUP($B2606,Platts!$E$5:$M$4994,MATCH(E$3,Platts!$F$5:$M$5,0)+1,FALSE),E2605)</f>
        <v>66.05</v>
      </c>
      <c r="F2606" s="6">
        <f>IFERROR(VLOOKUP($B2606,Platts!$E$5:$M$4994,MATCH(F$3,Platts!$F$5:$M$5,0)+1,FALSE),F2605)</f>
        <v>75.3</v>
      </c>
      <c r="G2606" s="6">
        <f>IFERROR(VLOOKUP($B2606,Platts!$E$5:$M$4994,MATCH(G$3,Platts!$F$5:$M$5,0)+1,FALSE),G2605)</f>
        <v>84.43</v>
      </c>
      <c r="H2606" s="6">
        <f>IFERROR(VLOOKUP($B2606,Platts!$E$5:$M$4994,MATCH(H$3,Platts!$F$5:$M$5,0)+1,FALSE),H2605)</f>
        <v>78.59</v>
      </c>
      <c r="I2606" s="6">
        <f>IFERROR(VLOOKUP($B2606,Platts!$E$5:$M$4994,MATCH(I$3,Platts!$F$5:$M$5,0)+1,FALSE),I2605)</f>
        <v>82.04</v>
      </c>
      <c r="J2606" s="6">
        <f t="shared" ref="J2606" si="84">H2606-C2606</f>
        <v>9.5300000000000011</v>
      </c>
    </row>
    <row r="2607" spans="2:10" x14ac:dyDescent="0.25">
      <c r="B2607" s="5">
        <f t="shared" si="82"/>
        <v>44973</v>
      </c>
      <c r="C2607" s="6">
        <f>IFERROR(VLOOKUP($B2607,Platts!$E$5:$M$4994,MATCH(C$3,Platts!$F$5:$M$5,0)+1,FALSE),C2606)</f>
        <v>68.819999999999993</v>
      </c>
      <c r="D2607" s="6">
        <f>IFERROR(VLOOKUP($B2607,Platts!$E$5:$M$4994,MATCH(D$3,Platts!$F$5:$M$5,0)+1,FALSE),D2606)</f>
        <v>70.36</v>
      </c>
      <c r="E2607" s="6">
        <f>IFERROR(VLOOKUP($B2607,Platts!$E$5:$M$4994,MATCH(E$3,Platts!$F$5:$M$5,0)+1,FALSE),E2606)</f>
        <v>65.81</v>
      </c>
      <c r="F2607" s="6">
        <f>IFERROR(VLOOKUP($B2607,Platts!$E$5:$M$4994,MATCH(F$3,Platts!$F$5:$M$5,0)+1,FALSE),F2606)</f>
        <v>75.06</v>
      </c>
      <c r="G2607" s="6">
        <f>IFERROR(VLOOKUP($B2607,Platts!$E$5:$M$4994,MATCH(G$3,Platts!$F$5:$M$5,0)+1,FALSE),G2606)</f>
        <v>85.42</v>
      </c>
      <c r="H2607" s="6">
        <f>IFERROR(VLOOKUP($B2607,Platts!$E$5:$M$4994,MATCH(H$3,Platts!$F$5:$M$5,0)+1,FALSE),H2606)</f>
        <v>78.489999999999995</v>
      </c>
      <c r="I2607" s="6">
        <f>IFERROR(VLOOKUP($B2607,Platts!$E$5:$M$4994,MATCH(I$3,Platts!$F$5:$M$5,0)+1,FALSE),I2606)</f>
        <v>81.89</v>
      </c>
      <c r="J2607" s="6">
        <f t="shared" ref="J2607" si="85">H2607-C2607</f>
        <v>9.6700000000000017</v>
      </c>
    </row>
    <row r="2608" spans="2:10" x14ac:dyDescent="0.25">
      <c r="B2608" s="5">
        <f t="shared" si="82"/>
        <v>44974</v>
      </c>
      <c r="C2608" s="6">
        <f>IFERROR(VLOOKUP($B2608,Platts!$E$5:$M$4994,MATCH(C$3,Platts!$F$5:$M$5,0)+1,FALSE),C2607)</f>
        <v>66.680000000000007</v>
      </c>
      <c r="D2608" s="6">
        <f>IFERROR(VLOOKUP($B2608,Platts!$E$5:$M$4994,MATCH(D$3,Platts!$F$5:$M$5,0)+1,FALSE),D2607)</f>
        <v>68.180000000000007</v>
      </c>
      <c r="E2608" s="6">
        <f>IFERROR(VLOOKUP($B2608,Platts!$E$5:$M$4994,MATCH(E$3,Platts!$F$5:$M$5,0)+1,FALSE),E2607)</f>
        <v>63.63</v>
      </c>
      <c r="F2608" s="6">
        <f>IFERROR(VLOOKUP($B2608,Platts!$E$5:$M$4994,MATCH(F$3,Platts!$F$5:$M$5,0)+1,FALSE),F2607)</f>
        <v>72.88</v>
      </c>
      <c r="G2608" s="6">
        <f>IFERROR(VLOOKUP($B2608,Platts!$E$5:$M$4994,MATCH(G$3,Platts!$F$5:$M$5,0)+1,FALSE),G2607)</f>
        <v>83</v>
      </c>
      <c r="H2608" s="6">
        <f>IFERROR(VLOOKUP($B2608,Platts!$E$5:$M$4994,MATCH(H$3,Platts!$F$5:$M$5,0)+1,FALSE),H2607)</f>
        <v>76.34</v>
      </c>
      <c r="I2608" s="6">
        <f>IFERROR(VLOOKUP($B2608,Platts!$E$5:$M$4994,MATCH(I$3,Platts!$F$5:$M$5,0)+1,FALSE),I2607)</f>
        <v>80.19</v>
      </c>
      <c r="J2608" s="6">
        <f t="shared" ref="J2608" si="86">H2608-C2608</f>
        <v>9.6599999999999966</v>
      </c>
    </row>
    <row r="2609" spans="2:10" x14ac:dyDescent="0.25">
      <c r="B2609" s="5">
        <f t="shared" si="82"/>
        <v>44975</v>
      </c>
      <c r="C2609" s="6">
        <f>IFERROR(VLOOKUP($B2609,Platts!$E$5:$M$4994,MATCH(C$3,Platts!$F$5:$M$5,0)+1,FALSE),C2608)</f>
        <v>66.680000000000007</v>
      </c>
      <c r="D2609" s="6">
        <f>IFERROR(VLOOKUP($B2609,Platts!$E$5:$M$4994,MATCH(D$3,Platts!$F$5:$M$5,0)+1,FALSE),D2608)</f>
        <v>68.180000000000007</v>
      </c>
      <c r="E2609" s="6">
        <f>IFERROR(VLOOKUP($B2609,Platts!$E$5:$M$4994,MATCH(E$3,Platts!$F$5:$M$5,0)+1,FALSE),E2608)</f>
        <v>63.63</v>
      </c>
      <c r="F2609" s="6">
        <f>IFERROR(VLOOKUP($B2609,Platts!$E$5:$M$4994,MATCH(F$3,Platts!$F$5:$M$5,0)+1,FALSE),F2608)</f>
        <v>72.88</v>
      </c>
      <c r="G2609" s="6">
        <f>IFERROR(VLOOKUP($B2609,Platts!$E$5:$M$4994,MATCH(G$3,Platts!$F$5:$M$5,0)+1,FALSE),G2608)</f>
        <v>83</v>
      </c>
      <c r="H2609" s="6">
        <f>IFERROR(VLOOKUP($B2609,Platts!$E$5:$M$4994,MATCH(H$3,Platts!$F$5:$M$5,0)+1,FALSE),H2608)</f>
        <v>76.34</v>
      </c>
      <c r="I2609" s="6">
        <f>IFERROR(VLOOKUP($B2609,Platts!$E$5:$M$4994,MATCH(I$3,Platts!$F$5:$M$5,0)+1,FALSE),I2608)</f>
        <v>80.19</v>
      </c>
      <c r="J2609" s="6">
        <f t="shared" ref="J2609:J2611" si="87">H2609-C2609</f>
        <v>9.6599999999999966</v>
      </c>
    </row>
    <row r="2610" spans="2:10" x14ac:dyDescent="0.25">
      <c r="B2610" s="5">
        <f t="shared" si="82"/>
        <v>44976</v>
      </c>
      <c r="C2610" s="6">
        <f>IFERROR(VLOOKUP($B2610,Platts!$E$5:$M$4994,MATCH(C$3,Platts!$F$5:$M$5,0)+1,FALSE),C2609)</f>
        <v>66.680000000000007</v>
      </c>
      <c r="D2610" s="6">
        <f>IFERROR(VLOOKUP($B2610,Platts!$E$5:$M$4994,MATCH(D$3,Platts!$F$5:$M$5,0)+1,FALSE),D2609)</f>
        <v>68.180000000000007</v>
      </c>
      <c r="E2610" s="6">
        <f>IFERROR(VLOOKUP($B2610,Platts!$E$5:$M$4994,MATCH(E$3,Platts!$F$5:$M$5,0)+1,FALSE),E2609)</f>
        <v>63.63</v>
      </c>
      <c r="F2610" s="6">
        <f>IFERROR(VLOOKUP($B2610,Platts!$E$5:$M$4994,MATCH(F$3,Platts!$F$5:$M$5,0)+1,FALSE),F2609)</f>
        <v>72.88</v>
      </c>
      <c r="G2610" s="6">
        <f>IFERROR(VLOOKUP($B2610,Platts!$E$5:$M$4994,MATCH(G$3,Platts!$F$5:$M$5,0)+1,FALSE),G2609)</f>
        <v>83</v>
      </c>
      <c r="H2610" s="6">
        <f>IFERROR(VLOOKUP($B2610,Platts!$E$5:$M$4994,MATCH(H$3,Platts!$F$5:$M$5,0)+1,FALSE),H2609)</f>
        <v>76.34</v>
      </c>
      <c r="I2610" s="6">
        <f>IFERROR(VLOOKUP($B2610,Platts!$E$5:$M$4994,MATCH(I$3,Platts!$F$5:$M$5,0)+1,FALSE),I2609)</f>
        <v>80.19</v>
      </c>
      <c r="J2610" s="6">
        <f t="shared" si="87"/>
        <v>9.6599999999999966</v>
      </c>
    </row>
    <row r="2611" spans="2:10" x14ac:dyDescent="0.25">
      <c r="B2611" s="5">
        <f t="shared" si="82"/>
        <v>44977</v>
      </c>
      <c r="C2611" s="6">
        <f>IFERROR(VLOOKUP($B2611,Platts!$E$5:$M$4994,MATCH(C$3,Platts!$F$5:$M$5,0)+1,FALSE),C2610)</f>
        <v>66.680000000000007</v>
      </c>
      <c r="D2611" s="6">
        <f>IFERROR(VLOOKUP($B2611,Platts!$E$5:$M$4994,MATCH(D$3,Platts!$F$5:$M$5,0)+1,FALSE),D2610)</f>
        <v>68.180000000000007</v>
      </c>
      <c r="E2611" s="6">
        <f>IFERROR(VLOOKUP($B2611,Platts!$E$5:$M$4994,MATCH(E$3,Platts!$F$5:$M$5,0)+1,FALSE),E2610)</f>
        <v>63.63</v>
      </c>
      <c r="F2611" s="6">
        <f>IFERROR(VLOOKUP($B2611,Platts!$E$5:$M$4994,MATCH(F$3,Platts!$F$5:$M$5,0)+1,FALSE),F2610)</f>
        <v>72.88</v>
      </c>
      <c r="G2611" s="6">
        <f>IFERROR(VLOOKUP($B2611,Platts!$E$5:$M$4994,MATCH(G$3,Platts!$F$5:$M$5,0)+1,FALSE),G2610)</f>
        <v>83.4</v>
      </c>
      <c r="H2611" s="6">
        <f>IFERROR(VLOOKUP($B2611,Platts!$E$5:$M$4994,MATCH(H$3,Platts!$F$5:$M$5,0)+1,FALSE),H2610)</f>
        <v>76.34</v>
      </c>
      <c r="I2611" s="6">
        <f>IFERROR(VLOOKUP($B2611,Platts!$E$5:$M$4994,MATCH(I$3,Platts!$F$5:$M$5,0)+1,FALSE),I2610)</f>
        <v>80.19</v>
      </c>
      <c r="J2611" s="6">
        <f t="shared" si="87"/>
        <v>9.6599999999999966</v>
      </c>
    </row>
    <row r="2612" spans="2:10" x14ac:dyDescent="0.25">
      <c r="B2612" s="5">
        <f t="shared" si="82"/>
        <v>44978</v>
      </c>
      <c r="C2612" s="6">
        <f>IFERROR(VLOOKUP($B2612,Platts!$E$5:$M$4994,MATCH(C$3,Platts!$F$5:$M$5,0)+1,FALSE),C2611)</f>
        <v>66.63</v>
      </c>
      <c r="D2612" s="6">
        <f>IFERROR(VLOOKUP($B2612,Platts!$E$5:$M$4994,MATCH(D$3,Platts!$F$5:$M$5,0)+1,FALSE),D2611)</f>
        <v>68.05</v>
      </c>
      <c r="E2612" s="6">
        <f>IFERROR(VLOOKUP($B2612,Platts!$E$5:$M$4994,MATCH(E$3,Platts!$F$5:$M$5,0)+1,FALSE),E2611)</f>
        <v>63.5</v>
      </c>
      <c r="F2612" s="6">
        <f>IFERROR(VLOOKUP($B2612,Platts!$E$5:$M$4994,MATCH(F$3,Platts!$F$5:$M$5,0)+1,FALSE),F2611)</f>
        <v>72.75</v>
      </c>
      <c r="G2612" s="6">
        <f>IFERROR(VLOOKUP($B2612,Platts!$E$5:$M$4994,MATCH(G$3,Platts!$F$5:$M$5,0)+1,FALSE),G2611)</f>
        <v>83.19</v>
      </c>
      <c r="H2612" s="6">
        <f>IFERROR(VLOOKUP($B2612,Platts!$E$5:$M$4994,MATCH(H$3,Platts!$F$5:$M$5,0)+1,FALSE),H2611)</f>
        <v>76.16</v>
      </c>
      <c r="I2612" s="6">
        <f>IFERROR(VLOOKUP($B2612,Platts!$E$5:$M$4994,MATCH(I$3,Platts!$F$5:$M$5,0)+1,FALSE),I2611)</f>
        <v>80.010000000000005</v>
      </c>
      <c r="J2612" s="6">
        <f t="shared" ref="J2612" si="88">H2612-C2612</f>
        <v>9.5300000000000011</v>
      </c>
    </row>
    <row r="2613" spans="2:10" x14ac:dyDescent="0.25">
      <c r="B2613" s="5">
        <f t="shared" si="82"/>
        <v>44979</v>
      </c>
      <c r="C2613" s="6">
        <f>IFERROR(VLOOKUP($B2613,Platts!$E$5:$M$4994,MATCH(C$3,Platts!$F$5:$M$5,0)+1,FALSE),C2612)</f>
        <v>64.22</v>
      </c>
      <c r="D2613" s="6">
        <f>IFERROR(VLOOKUP($B2613,Platts!$E$5:$M$4994,MATCH(D$3,Platts!$F$5:$M$5,0)+1,FALSE),D2612)</f>
        <v>65.489999999999995</v>
      </c>
      <c r="E2613" s="6">
        <f>IFERROR(VLOOKUP($B2613,Platts!$E$5:$M$4994,MATCH(E$3,Platts!$F$5:$M$5,0)+1,FALSE),E2612)</f>
        <v>60.94</v>
      </c>
      <c r="F2613" s="6">
        <f>IFERROR(VLOOKUP($B2613,Platts!$E$5:$M$4994,MATCH(F$3,Platts!$F$5:$M$5,0)+1,FALSE),F2612)</f>
        <v>70.19</v>
      </c>
      <c r="G2613" s="6">
        <f>IFERROR(VLOOKUP($B2613,Platts!$E$5:$M$4994,MATCH(G$3,Platts!$F$5:$M$5,0)+1,FALSE),G2612)</f>
        <v>81.349999999999994</v>
      </c>
      <c r="H2613" s="6">
        <f>IFERROR(VLOOKUP($B2613,Platts!$E$5:$M$4994,MATCH(H$3,Platts!$F$5:$M$5,0)+1,FALSE),H2612)</f>
        <v>73.8</v>
      </c>
      <c r="I2613" s="6">
        <f>IFERROR(VLOOKUP($B2613,Platts!$E$5:$M$4994,MATCH(I$3,Platts!$F$5:$M$5,0)+1,FALSE),I2612)</f>
        <v>76.45</v>
      </c>
      <c r="J2613" s="6">
        <f t="shared" ref="J2613" si="89">H2613-C2613</f>
        <v>9.5799999999999983</v>
      </c>
    </row>
    <row r="2614" spans="2:10" x14ac:dyDescent="0.25">
      <c r="B2614" s="5">
        <f t="shared" si="82"/>
        <v>44980</v>
      </c>
      <c r="C2614" s="6">
        <f>IFERROR(VLOOKUP($B2614,Platts!$E$5:$M$4994,MATCH(C$3,Platts!$F$5:$M$5,0)+1,FALSE),C2613)</f>
        <v>65.69</v>
      </c>
      <c r="D2614" s="6">
        <f>IFERROR(VLOOKUP($B2614,Platts!$E$5:$M$4994,MATCH(D$3,Platts!$F$5:$M$5,0)+1,FALSE),D2613)</f>
        <v>67.19</v>
      </c>
      <c r="E2614" s="6">
        <f>IFERROR(VLOOKUP($B2614,Platts!$E$5:$M$4994,MATCH(E$3,Platts!$F$5:$M$5,0)+1,FALSE),E2613)</f>
        <v>62.64</v>
      </c>
      <c r="F2614" s="6">
        <f>IFERROR(VLOOKUP($B2614,Platts!$E$5:$M$4994,MATCH(F$3,Platts!$F$5:$M$5,0)+1,FALSE),F2613)</f>
        <v>71.89</v>
      </c>
      <c r="G2614" s="6">
        <f>IFERROR(VLOOKUP($B2614,Platts!$E$5:$M$4994,MATCH(G$3,Platts!$F$5:$M$5,0)+1,FALSE),G2613)</f>
        <v>81.84</v>
      </c>
      <c r="H2614" s="6">
        <f>IFERROR(VLOOKUP($B2614,Platts!$E$5:$M$4994,MATCH(H$3,Platts!$F$5:$M$5,0)+1,FALSE),H2613)</f>
        <v>75.290000000000006</v>
      </c>
      <c r="I2614" s="6">
        <f>IFERROR(VLOOKUP($B2614,Platts!$E$5:$M$4994,MATCH(I$3,Platts!$F$5:$M$5,0)+1,FALSE),I2613)</f>
        <v>78.19</v>
      </c>
      <c r="J2614" s="6">
        <f t="shared" ref="J2614" si="90">H2614-C2614</f>
        <v>9.6000000000000085</v>
      </c>
    </row>
    <row r="2615" spans="2:10" x14ac:dyDescent="0.25">
      <c r="B2615" s="5">
        <f t="shared" si="82"/>
        <v>44981</v>
      </c>
      <c r="C2615" s="6">
        <f>IFERROR(VLOOKUP($B2615,Platts!$E$5:$M$4994,MATCH(C$3,Platts!$F$5:$M$5,0)+1,FALSE),C2614)</f>
        <v>66.64</v>
      </c>
      <c r="D2615" s="6">
        <f>IFERROR(VLOOKUP($B2615,Platts!$E$5:$M$4994,MATCH(D$3,Platts!$F$5:$M$5,0)+1,FALSE),D2614)</f>
        <v>68.06</v>
      </c>
      <c r="E2615" s="6">
        <f>IFERROR(VLOOKUP($B2615,Platts!$E$5:$M$4994,MATCH(E$3,Platts!$F$5:$M$5,0)+1,FALSE),E2614)</f>
        <v>63.51</v>
      </c>
      <c r="F2615" s="6">
        <f>IFERROR(VLOOKUP($B2615,Platts!$E$5:$M$4994,MATCH(F$3,Platts!$F$5:$M$5,0)+1,FALSE),F2614)</f>
        <v>72.760000000000005</v>
      </c>
      <c r="G2615" s="6">
        <f>IFERROR(VLOOKUP($B2615,Platts!$E$5:$M$4994,MATCH(G$3,Platts!$F$5:$M$5,0)+1,FALSE),G2614)</f>
        <v>82.84</v>
      </c>
      <c r="H2615" s="6">
        <f>IFERROR(VLOOKUP($B2615,Platts!$E$5:$M$4994,MATCH(H$3,Platts!$F$5:$M$5,0)+1,FALSE),H2614)</f>
        <v>76.319999999999993</v>
      </c>
      <c r="I2615" s="6">
        <f>IFERROR(VLOOKUP($B2615,Platts!$E$5:$M$4994,MATCH(I$3,Platts!$F$5:$M$5,0)+1,FALSE),I2614)</f>
        <v>79.22</v>
      </c>
      <c r="J2615" s="6">
        <f t="shared" ref="J2615" si="91">H2615-C2615</f>
        <v>9.6799999999999926</v>
      </c>
    </row>
    <row r="2616" spans="2:10" x14ac:dyDescent="0.25">
      <c r="B2616" s="5">
        <f t="shared" si="82"/>
        <v>44982</v>
      </c>
      <c r="C2616" s="6">
        <f>IFERROR(VLOOKUP($B2616,Platts!$E$5:$M$4994,MATCH(C$3,Platts!$F$5:$M$5,0)+1,FALSE),C2615)</f>
        <v>66.64</v>
      </c>
      <c r="D2616" s="6">
        <f>IFERROR(VLOOKUP($B2616,Platts!$E$5:$M$4994,MATCH(D$3,Platts!$F$5:$M$5,0)+1,FALSE),D2615)</f>
        <v>68.06</v>
      </c>
      <c r="E2616" s="6">
        <f>IFERROR(VLOOKUP($B2616,Platts!$E$5:$M$4994,MATCH(E$3,Platts!$F$5:$M$5,0)+1,FALSE),E2615)</f>
        <v>63.51</v>
      </c>
      <c r="F2616" s="6">
        <f>IFERROR(VLOOKUP($B2616,Platts!$E$5:$M$4994,MATCH(F$3,Platts!$F$5:$M$5,0)+1,FALSE),F2615)</f>
        <v>72.760000000000005</v>
      </c>
      <c r="G2616" s="6">
        <f>IFERROR(VLOOKUP($B2616,Platts!$E$5:$M$4994,MATCH(G$3,Platts!$F$5:$M$5,0)+1,FALSE),G2615)</f>
        <v>82.84</v>
      </c>
      <c r="H2616" s="6">
        <f>IFERROR(VLOOKUP($B2616,Platts!$E$5:$M$4994,MATCH(H$3,Platts!$F$5:$M$5,0)+1,FALSE),H2615)</f>
        <v>76.319999999999993</v>
      </c>
      <c r="I2616" s="6">
        <f>IFERROR(VLOOKUP($B2616,Platts!$E$5:$M$4994,MATCH(I$3,Platts!$F$5:$M$5,0)+1,FALSE),I2615)</f>
        <v>79.22</v>
      </c>
      <c r="J2616" s="6">
        <f t="shared" ref="J2616:J2618" si="92">H2616-C2616</f>
        <v>9.6799999999999926</v>
      </c>
    </row>
    <row r="2617" spans="2:10" x14ac:dyDescent="0.25">
      <c r="B2617" s="5">
        <f t="shared" si="82"/>
        <v>44983</v>
      </c>
      <c r="C2617" s="6">
        <f>IFERROR(VLOOKUP($B2617,Platts!$E$5:$M$4994,MATCH(C$3,Platts!$F$5:$M$5,0)+1,FALSE),C2616)</f>
        <v>66.64</v>
      </c>
      <c r="D2617" s="6">
        <f>IFERROR(VLOOKUP($B2617,Platts!$E$5:$M$4994,MATCH(D$3,Platts!$F$5:$M$5,0)+1,FALSE),D2616)</f>
        <v>68.06</v>
      </c>
      <c r="E2617" s="6">
        <f>IFERROR(VLOOKUP($B2617,Platts!$E$5:$M$4994,MATCH(E$3,Platts!$F$5:$M$5,0)+1,FALSE),E2616)</f>
        <v>63.51</v>
      </c>
      <c r="F2617" s="6">
        <f>IFERROR(VLOOKUP($B2617,Platts!$E$5:$M$4994,MATCH(F$3,Platts!$F$5:$M$5,0)+1,FALSE),F2616)</f>
        <v>72.760000000000005</v>
      </c>
      <c r="G2617" s="6">
        <f>IFERROR(VLOOKUP($B2617,Platts!$E$5:$M$4994,MATCH(G$3,Platts!$F$5:$M$5,0)+1,FALSE),G2616)</f>
        <v>82.84</v>
      </c>
      <c r="H2617" s="6">
        <f>IFERROR(VLOOKUP($B2617,Platts!$E$5:$M$4994,MATCH(H$3,Platts!$F$5:$M$5,0)+1,FALSE),H2616)</f>
        <v>76.319999999999993</v>
      </c>
      <c r="I2617" s="6">
        <f>IFERROR(VLOOKUP($B2617,Platts!$E$5:$M$4994,MATCH(I$3,Platts!$F$5:$M$5,0)+1,FALSE),I2616)</f>
        <v>79.22</v>
      </c>
      <c r="J2617" s="6">
        <f t="shared" si="92"/>
        <v>9.6799999999999926</v>
      </c>
    </row>
    <row r="2618" spans="2:10" x14ac:dyDescent="0.25">
      <c r="B2618" s="5">
        <f t="shared" si="82"/>
        <v>44984</v>
      </c>
      <c r="C2618" s="6">
        <f>IFERROR(VLOOKUP($B2618,Platts!$E$5:$M$4994,MATCH(C$3,Platts!$F$5:$M$5,0)+1,FALSE),C2617)</f>
        <v>66.05</v>
      </c>
      <c r="D2618" s="6">
        <f>IFERROR(VLOOKUP($B2618,Platts!$E$5:$M$4994,MATCH(D$3,Platts!$F$5:$M$5,0)+1,FALSE),D2617)</f>
        <v>67.430000000000007</v>
      </c>
      <c r="E2618" s="6">
        <f>IFERROR(VLOOKUP($B2618,Platts!$E$5:$M$4994,MATCH(E$3,Platts!$F$5:$M$5,0)+1,FALSE),E2617)</f>
        <v>62.88</v>
      </c>
      <c r="F2618" s="6">
        <f>IFERROR(VLOOKUP($B2618,Platts!$E$5:$M$4994,MATCH(F$3,Platts!$F$5:$M$5,0)+1,FALSE),F2617)</f>
        <v>72.13</v>
      </c>
      <c r="G2618" s="6">
        <f>IFERROR(VLOOKUP($B2618,Platts!$E$5:$M$4994,MATCH(G$3,Platts!$F$5:$M$5,0)+1,FALSE),G2617)</f>
        <v>82.22</v>
      </c>
      <c r="H2618" s="6">
        <f>IFERROR(VLOOKUP($B2618,Platts!$E$5:$M$4994,MATCH(H$3,Platts!$F$5:$M$5,0)+1,FALSE),H2617)</f>
        <v>75.680000000000007</v>
      </c>
      <c r="I2618" s="6">
        <f>IFERROR(VLOOKUP($B2618,Platts!$E$5:$M$4994,MATCH(I$3,Platts!$F$5:$M$5,0)+1,FALSE),I2617)</f>
        <v>78.73</v>
      </c>
      <c r="J2618" s="6">
        <f t="shared" si="92"/>
        <v>9.6300000000000097</v>
      </c>
    </row>
    <row r="2619" spans="2:10" x14ac:dyDescent="0.25">
      <c r="B2619" s="5">
        <f t="shared" si="82"/>
        <v>44985</v>
      </c>
      <c r="C2619" s="6">
        <f>IFERROR(VLOOKUP($B2619,Platts!$E$5:$M$4994,MATCH(C$3,Platts!$F$5:$M$5,0)+1,FALSE),C2618)</f>
        <v>67.27</v>
      </c>
      <c r="D2619" s="6">
        <f>IFERROR(VLOOKUP($B2619,Platts!$E$5:$M$4994,MATCH(D$3,Platts!$F$5:$M$5,0)+1,FALSE),D2618)</f>
        <v>68.66</v>
      </c>
      <c r="E2619" s="6">
        <f>IFERROR(VLOOKUP($B2619,Platts!$E$5:$M$4994,MATCH(E$3,Platts!$F$5:$M$5,0)+1,FALSE),E2618)</f>
        <v>64.11</v>
      </c>
      <c r="F2619" s="6">
        <f>IFERROR(VLOOKUP($B2619,Platts!$E$5:$M$4994,MATCH(F$3,Platts!$F$5:$M$5,0)+1,FALSE),F2618)</f>
        <v>73.36</v>
      </c>
      <c r="G2619" s="6">
        <f>IFERROR(VLOOKUP($B2619,Platts!$E$5:$M$4994,MATCH(G$3,Platts!$F$5:$M$5,0)+1,FALSE),G2618)</f>
        <v>84.22</v>
      </c>
      <c r="H2619" s="6">
        <f>IFERROR(VLOOKUP($B2619,Platts!$E$5:$M$4994,MATCH(H$3,Platts!$F$5:$M$5,0)+1,FALSE),H2618)</f>
        <v>77.05</v>
      </c>
      <c r="I2619" s="6">
        <f>IFERROR(VLOOKUP($B2619,Platts!$E$5:$M$4994,MATCH(I$3,Platts!$F$5:$M$5,0)+1,FALSE),I2618)</f>
        <v>80.099999999999994</v>
      </c>
      <c r="J2619" s="6">
        <f t="shared" ref="J2619" si="93">H2619-C2619</f>
        <v>9.7800000000000011</v>
      </c>
    </row>
    <row r="2620" spans="2:10" x14ac:dyDescent="0.25">
      <c r="B2620" s="5">
        <f t="shared" si="82"/>
        <v>44986</v>
      </c>
      <c r="C2620" s="6">
        <f>IFERROR(VLOOKUP($B2620,Platts!$E$5:$M$4994,MATCH(C$3,Platts!$F$5:$M$5,0)+1,FALSE),C2619)</f>
        <v>68.260000000000005</v>
      </c>
      <c r="D2620" s="6">
        <f>IFERROR(VLOOKUP($B2620,Platts!$E$5:$M$4994,MATCH(D$3,Platts!$F$5:$M$5,0)+1,FALSE),D2619)</f>
        <v>69.19</v>
      </c>
      <c r="E2620" s="6">
        <f>IFERROR(VLOOKUP($B2620,Platts!$E$5:$M$4994,MATCH(E$3,Platts!$F$5:$M$5,0)+1,FALSE),E2619)</f>
        <v>64.89</v>
      </c>
      <c r="F2620" s="6">
        <f>IFERROR(VLOOKUP($B2620,Platts!$E$5:$M$4994,MATCH(F$3,Platts!$F$5:$M$5,0)+1,FALSE),F2619)</f>
        <v>72.39</v>
      </c>
      <c r="G2620" s="6">
        <f>IFERROR(VLOOKUP($B2620,Platts!$E$5:$M$4994,MATCH(G$3,Platts!$F$5:$M$5,0)+1,FALSE),G2619)</f>
        <v>83.71</v>
      </c>
      <c r="H2620" s="6">
        <f>IFERROR(VLOOKUP($B2620,Platts!$E$5:$M$4994,MATCH(H$3,Platts!$F$5:$M$5,0)+1,FALSE),H2619)</f>
        <v>77.69</v>
      </c>
      <c r="I2620" s="6">
        <f>IFERROR(VLOOKUP($B2620,Platts!$E$5:$M$4994,MATCH(I$3,Platts!$F$5:$M$5,0)+1,FALSE),I2619)</f>
        <v>80.739999999999995</v>
      </c>
      <c r="J2620" s="6">
        <f t="shared" ref="J2620" si="94">H2620-C2620</f>
        <v>9.4299999999999926</v>
      </c>
    </row>
    <row r="2621" spans="2:10" x14ac:dyDescent="0.25">
      <c r="B2621" s="5">
        <f t="shared" si="82"/>
        <v>44987</v>
      </c>
      <c r="C2621" s="6">
        <f>IFERROR(VLOOKUP($B2621,Platts!$E$5:$M$4994,MATCH(C$3,Platts!$F$5:$M$5,0)+1,FALSE),C2620)</f>
        <v>68.680000000000007</v>
      </c>
      <c r="D2621" s="6">
        <f>IFERROR(VLOOKUP($B2621,Platts!$E$5:$M$4994,MATCH(D$3,Platts!$F$5:$M$5,0)+1,FALSE),D2620)</f>
        <v>69.650000000000006</v>
      </c>
      <c r="E2621" s="6">
        <f>IFERROR(VLOOKUP($B2621,Platts!$E$5:$M$4994,MATCH(E$3,Platts!$F$5:$M$5,0)+1,FALSE),E2620)</f>
        <v>65.349999999999994</v>
      </c>
      <c r="F2621" s="6">
        <f>IFERROR(VLOOKUP($B2621,Platts!$E$5:$M$4994,MATCH(F$3,Platts!$F$5:$M$5,0)+1,FALSE),F2620)</f>
        <v>72.849999999999994</v>
      </c>
      <c r="G2621" s="6">
        <f>IFERROR(VLOOKUP($B2621,Platts!$E$5:$M$4994,MATCH(G$3,Platts!$F$5:$M$5,0)+1,FALSE),G2620)</f>
        <v>85.09</v>
      </c>
      <c r="H2621" s="6">
        <f>IFERROR(VLOOKUP($B2621,Platts!$E$5:$M$4994,MATCH(H$3,Platts!$F$5:$M$5,0)+1,FALSE),H2620)</f>
        <v>78.16</v>
      </c>
      <c r="I2621" s="6">
        <f>IFERROR(VLOOKUP($B2621,Platts!$E$5:$M$4994,MATCH(I$3,Platts!$F$5:$M$5,0)+1,FALSE),I2620)</f>
        <v>81.11</v>
      </c>
      <c r="J2621" s="6">
        <f t="shared" ref="J2621" si="95">H2621-C2621</f>
        <v>9.4799999999999898</v>
      </c>
    </row>
    <row r="2622" spans="2:10" x14ac:dyDescent="0.25">
      <c r="B2622" s="5">
        <f t="shared" si="82"/>
        <v>44988</v>
      </c>
      <c r="C2622" s="6">
        <f>IFERROR(VLOOKUP($B2622,Platts!$E$5:$M$4994,MATCH(C$3,Platts!$F$5:$M$5,0)+1,FALSE),C2621)</f>
        <v>69.88</v>
      </c>
      <c r="D2622" s="6">
        <f>IFERROR(VLOOKUP($B2622,Platts!$E$5:$M$4994,MATCH(D$3,Platts!$F$5:$M$5,0)+1,FALSE),D2621)</f>
        <v>70.92</v>
      </c>
      <c r="E2622" s="6">
        <f>IFERROR(VLOOKUP($B2622,Platts!$E$5:$M$4994,MATCH(E$3,Platts!$F$5:$M$5,0)+1,FALSE),E2621)</f>
        <v>66.62</v>
      </c>
      <c r="F2622" s="6">
        <f>IFERROR(VLOOKUP($B2622,Platts!$E$5:$M$4994,MATCH(F$3,Platts!$F$5:$M$5,0)+1,FALSE),F2621)</f>
        <v>74.12</v>
      </c>
      <c r="G2622" s="6">
        <f>IFERROR(VLOOKUP($B2622,Platts!$E$5:$M$4994,MATCH(G$3,Platts!$F$5:$M$5,0)+1,FALSE),G2621)</f>
        <v>85.44</v>
      </c>
      <c r="H2622" s="6">
        <f>IFERROR(VLOOKUP($B2622,Platts!$E$5:$M$4994,MATCH(H$3,Platts!$F$5:$M$5,0)+1,FALSE),H2621)</f>
        <v>79.680000000000007</v>
      </c>
      <c r="I2622" s="6">
        <f>IFERROR(VLOOKUP($B2622,Platts!$E$5:$M$4994,MATCH(I$3,Platts!$F$5:$M$5,0)+1,FALSE),I2621)</f>
        <v>82.68</v>
      </c>
      <c r="J2622" s="6">
        <f t="shared" ref="J2622" si="96">H2622-C2622</f>
        <v>9.8000000000000114</v>
      </c>
    </row>
    <row r="2623" spans="2:10" x14ac:dyDescent="0.25">
      <c r="B2623" s="5">
        <f t="shared" si="82"/>
        <v>44989</v>
      </c>
      <c r="C2623" s="6">
        <f>IFERROR(VLOOKUP($B2623,Platts!$E$5:$M$4994,MATCH(C$3,Platts!$F$5:$M$5,0)+1,FALSE),C2622)</f>
        <v>69.88</v>
      </c>
      <c r="D2623" s="6">
        <f>IFERROR(VLOOKUP($B2623,Platts!$E$5:$M$4994,MATCH(D$3,Platts!$F$5:$M$5,0)+1,FALSE),D2622)</f>
        <v>70.92</v>
      </c>
      <c r="E2623" s="6">
        <f>IFERROR(VLOOKUP($B2623,Platts!$E$5:$M$4994,MATCH(E$3,Platts!$F$5:$M$5,0)+1,FALSE),E2622)</f>
        <v>66.62</v>
      </c>
      <c r="F2623" s="6">
        <f>IFERROR(VLOOKUP($B2623,Platts!$E$5:$M$4994,MATCH(F$3,Platts!$F$5:$M$5,0)+1,FALSE),F2622)</f>
        <v>74.12</v>
      </c>
      <c r="G2623" s="6">
        <f>IFERROR(VLOOKUP($B2623,Platts!$E$5:$M$4994,MATCH(G$3,Platts!$F$5:$M$5,0)+1,FALSE),G2622)</f>
        <v>85.44</v>
      </c>
      <c r="H2623" s="6">
        <f>IFERROR(VLOOKUP($B2623,Platts!$E$5:$M$4994,MATCH(H$3,Platts!$F$5:$M$5,0)+1,FALSE),H2622)</f>
        <v>79.680000000000007</v>
      </c>
      <c r="I2623" s="6">
        <f>IFERROR(VLOOKUP($B2623,Platts!$E$5:$M$4994,MATCH(I$3,Platts!$F$5:$M$5,0)+1,FALSE),I2622)</f>
        <v>82.68</v>
      </c>
      <c r="J2623" s="6">
        <f t="shared" ref="J2623:J2624" si="97">H2623-C2623</f>
        <v>9.8000000000000114</v>
      </c>
    </row>
    <row r="2624" spans="2:10" x14ac:dyDescent="0.25">
      <c r="B2624" s="5">
        <f t="shared" si="82"/>
        <v>44990</v>
      </c>
      <c r="C2624" s="6">
        <f>IFERROR(VLOOKUP($B2624,Platts!$E$5:$M$4994,MATCH(C$3,Platts!$F$5:$M$5,0)+1,FALSE),C2623)</f>
        <v>69.88</v>
      </c>
      <c r="D2624" s="6">
        <f>IFERROR(VLOOKUP($B2624,Platts!$E$5:$M$4994,MATCH(D$3,Platts!$F$5:$M$5,0)+1,FALSE),D2623)</f>
        <v>70.92</v>
      </c>
      <c r="E2624" s="6">
        <f>IFERROR(VLOOKUP($B2624,Platts!$E$5:$M$4994,MATCH(E$3,Platts!$F$5:$M$5,0)+1,FALSE),E2623)</f>
        <v>66.62</v>
      </c>
      <c r="F2624" s="6">
        <f>IFERROR(VLOOKUP($B2624,Platts!$E$5:$M$4994,MATCH(F$3,Platts!$F$5:$M$5,0)+1,FALSE),F2623)</f>
        <v>74.12</v>
      </c>
      <c r="G2624" s="6">
        <f>IFERROR(VLOOKUP($B2624,Platts!$E$5:$M$4994,MATCH(G$3,Platts!$F$5:$M$5,0)+1,FALSE),G2623)</f>
        <v>85.44</v>
      </c>
      <c r="H2624" s="6">
        <f>IFERROR(VLOOKUP($B2624,Platts!$E$5:$M$4994,MATCH(H$3,Platts!$F$5:$M$5,0)+1,FALSE),H2623)</f>
        <v>79.680000000000007</v>
      </c>
      <c r="I2624" s="6">
        <f>IFERROR(VLOOKUP($B2624,Platts!$E$5:$M$4994,MATCH(I$3,Platts!$F$5:$M$5,0)+1,FALSE),I2623)</f>
        <v>82.68</v>
      </c>
      <c r="J2624" s="6">
        <f t="shared" si="97"/>
        <v>9.8000000000000114</v>
      </c>
    </row>
    <row r="2625" spans="2:10" x14ac:dyDescent="0.25">
      <c r="B2625" s="5">
        <f t="shared" si="82"/>
        <v>44991</v>
      </c>
      <c r="C2625" s="6">
        <f>IFERROR(VLOOKUP($B2625,Platts!$E$5:$M$4994,MATCH(C$3,Platts!$F$5:$M$5,0)+1,FALSE),C2624)</f>
        <v>70.37</v>
      </c>
      <c r="D2625" s="6">
        <f>IFERROR(VLOOKUP($B2625,Platts!$E$5:$M$4994,MATCH(D$3,Platts!$F$5:$M$5,0)+1,FALSE),D2624)</f>
        <v>71.510000000000005</v>
      </c>
      <c r="E2625" s="6">
        <f>IFERROR(VLOOKUP($B2625,Platts!$E$5:$M$4994,MATCH(E$3,Platts!$F$5:$M$5,0)+1,FALSE),E2624)</f>
        <v>67.209999999999994</v>
      </c>
      <c r="F2625" s="6">
        <f>IFERROR(VLOOKUP($B2625,Platts!$E$5:$M$4994,MATCH(F$3,Platts!$F$5:$M$5,0)+1,FALSE),F2624)</f>
        <v>74.709999999999994</v>
      </c>
      <c r="G2625" s="6">
        <f>IFERROR(VLOOKUP($B2625,Platts!$E$5:$M$4994,MATCH(G$3,Platts!$F$5:$M$5,0)+1,FALSE),G2624)</f>
        <v>86.18</v>
      </c>
      <c r="H2625" s="6">
        <f>IFERROR(VLOOKUP($B2625,Platts!$E$5:$M$4994,MATCH(H$3,Platts!$F$5:$M$5,0)+1,FALSE),H2624)</f>
        <v>80.459999999999994</v>
      </c>
      <c r="I2625" s="6">
        <f>IFERROR(VLOOKUP($B2625,Platts!$E$5:$M$4994,MATCH(I$3,Platts!$F$5:$M$5,0)+1,FALSE),I2624)</f>
        <v>83.36</v>
      </c>
      <c r="J2625" s="6">
        <f t="shared" ref="J2625" si="98">H2625-C2625</f>
        <v>10.089999999999989</v>
      </c>
    </row>
    <row r="2626" spans="2:10" x14ac:dyDescent="0.25">
      <c r="B2626" s="5">
        <f t="shared" si="82"/>
        <v>44992</v>
      </c>
      <c r="C2626" s="6">
        <f>IFERROR(VLOOKUP($B2626,Platts!$E$5:$M$4994,MATCH(C$3,Platts!$F$5:$M$5,0)+1,FALSE),C2625)</f>
        <v>67.61</v>
      </c>
      <c r="D2626" s="6">
        <f>IFERROR(VLOOKUP($B2626,Platts!$E$5:$M$4994,MATCH(D$3,Platts!$F$5:$M$5,0)+1,FALSE),D2625)</f>
        <v>68.5</v>
      </c>
      <c r="E2626" s="6">
        <f>IFERROR(VLOOKUP($B2626,Platts!$E$5:$M$4994,MATCH(E$3,Platts!$F$5:$M$5,0)+1,FALSE),E2625)</f>
        <v>64.2</v>
      </c>
      <c r="F2626" s="6">
        <f>IFERROR(VLOOKUP($B2626,Platts!$E$5:$M$4994,MATCH(F$3,Platts!$F$5:$M$5,0)+1,FALSE),F2625)</f>
        <v>71.7</v>
      </c>
      <c r="G2626" s="6">
        <f>IFERROR(VLOOKUP($B2626,Platts!$E$5:$M$4994,MATCH(G$3,Platts!$F$5:$M$5,0)+1,FALSE),G2625)</f>
        <v>84.31</v>
      </c>
      <c r="H2626" s="6">
        <f>IFERROR(VLOOKUP($B2626,Platts!$E$5:$M$4994,MATCH(H$3,Platts!$F$5:$M$5,0)+1,FALSE),H2625)</f>
        <v>77.58</v>
      </c>
      <c r="I2626" s="6">
        <f>IFERROR(VLOOKUP($B2626,Platts!$E$5:$M$4994,MATCH(I$3,Platts!$F$5:$M$5,0)+1,FALSE),I2625)</f>
        <v>80.08</v>
      </c>
      <c r="J2626" s="6">
        <f t="shared" ref="J2626" si="99">H2626-C2626</f>
        <v>9.9699999999999989</v>
      </c>
    </row>
    <row r="2627" spans="2:10" x14ac:dyDescent="0.25">
      <c r="B2627" s="5">
        <f t="shared" si="82"/>
        <v>44993</v>
      </c>
      <c r="C2627" s="6">
        <f>IFERROR(VLOOKUP($B2627,Platts!$E$5:$M$4994,MATCH(C$3,Platts!$F$5:$M$5,0)+1,FALSE),C2626)</f>
        <v>66.819999999999993</v>
      </c>
      <c r="D2627" s="6">
        <f>IFERROR(VLOOKUP($B2627,Platts!$E$5:$M$4994,MATCH(D$3,Platts!$F$5:$M$5,0)+1,FALSE),D2626)</f>
        <v>67.81</v>
      </c>
      <c r="E2627" s="6">
        <f>IFERROR(VLOOKUP($B2627,Platts!$E$5:$M$4994,MATCH(E$3,Platts!$F$5:$M$5,0)+1,FALSE),E2626)</f>
        <v>63.51</v>
      </c>
      <c r="F2627" s="6">
        <f>IFERROR(VLOOKUP($B2627,Platts!$E$5:$M$4994,MATCH(F$3,Platts!$F$5:$M$5,0)+1,FALSE),F2626)</f>
        <v>71.010000000000005</v>
      </c>
      <c r="G2627" s="6">
        <f>IFERROR(VLOOKUP($B2627,Platts!$E$5:$M$4994,MATCH(G$3,Platts!$F$5:$M$5,0)+1,FALSE),G2626)</f>
        <v>82.85</v>
      </c>
      <c r="H2627" s="6">
        <f>IFERROR(VLOOKUP($B2627,Platts!$E$5:$M$4994,MATCH(H$3,Platts!$F$5:$M$5,0)+1,FALSE),H2626)</f>
        <v>76.66</v>
      </c>
      <c r="I2627" s="6">
        <f>IFERROR(VLOOKUP($B2627,Platts!$E$5:$M$4994,MATCH(I$3,Platts!$F$5:$M$5,0)+1,FALSE),I2626)</f>
        <v>79.36</v>
      </c>
      <c r="J2627" s="6">
        <f t="shared" ref="J2627" si="100">H2627-C2627</f>
        <v>9.8400000000000034</v>
      </c>
    </row>
    <row r="2628" spans="2:10" x14ac:dyDescent="0.25">
      <c r="B2628" s="5">
        <f t="shared" si="82"/>
        <v>44994</v>
      </c>
      <c r="C2628" s="6">
        <f>IFERROR(VLOOKUP($B2628,Platts!$E$5:$M$4994,MATCH(C$3,Platts!$F$5:$M$5,0)+1,FALSE),C2627)</f>
        <v>65.95</v>
      </c>
      <c r="D2628" s="6">
        <f>IFERROR(VLOOKUP($B2628,Platts!$E$5:$M$4994,MATCH(D$3,Platts!$F$5:$M$5,0)+1,FALSE),D2627)</f>
        <v>66.86</v>
      </c>
      <c r="E2628" s="6">
        <f>IFERROR(VLOOKUP($B2628,Platts!$E$5:$M$4994,MATCH(E$3,Platts!$F$5:$M$5,0)+1,FALSE),E2627)</f>
        <v>62.56</v>
      </c>
      <c r="F2628" s="6">
        <f>IFERROR(VLOOKUP($B2628,Platts!$E$5:$M$4994,MATCH(F$3,Platts!$F$5:$M$5,0)+1,FALSE),F2627)</f>
        <v>70.06</v>
      </c>
      <c r="G2628" s="6">
        <f>IFERROR(VLOOKUP($B2628,Platts!$E$5:$M$4994,MATCH(G$3,Platts!$F$5:$M$5,0)+1,FALSE),G2627)</f>
        <v>83.41</v>
      </c>
      <c r="H2628" s="6">
        <f>IFERROR(VLOOKUP($B2628,Platts!$E$5:$M$4994,MATCH(H$3,Platts!$F$5:$M$5,0)+1,FALSE),H2627)</f>
        <v>75.72</v>
      </c>
      <c r="I2628" s="6">
        <f>IFERROR(VLOOKUP($B2628,Platts!$E$5:$M$4994,MATCH(I$3,Platts!$F$5:$M$5,0)+1,FALSE),I2627)</f>
        <v>78.819999999999993</v>
      </c>
      <c r="J2628" s="6">
        <f t="shared" ref="J2628" si="101">H2628-C2628</f>
        <v>9.769999999999996</v>
      </c>
    </row>
    <row r="2629" spans="2:10" x14ac:dyDescent="0.25">
      <c r="B2629" s="5">
        <f t="shared" si="82"/>
        <v>44995</v>
      </c>
      <c r="C2629" s="6">
        <f>IFERROR(VLOOKUP($B2629,Platts!$E$5:$M$4994,MATCH(C$3,Platts!$F$5:$M$5,0)+1,FALSE),C2628)</f>
        <v>66.84</v>
      </c>
      <c r="D2629" s="6">
        <f>IFERROR(VLOOKUP($B2629,Platts!$E$5:$M$4994,MATCH(D$3,Platts!$F$5:$M$5,0)+1,FALSE),D2628)</f>
        <v>67.84</v>
      </c>
      <c r="E2629" s="6">
        <f>IFERROR(VLOOKUP($B2629,Platts!$E$5:$M$4994,MATCH(E$3,Platts!$F$5:$M$5,0)+1,FALSE),E2628)</f>
        <v>63.54</v>
      </c>
      <c r="F2629" s="6">
        <f>IFERROR(VLOOKUP($B2629,Platts!$E$5:$M$4994,MATCH(F$3,Platts!$F$5:$M$5,0)+1,FALSE),F2628)</f>
        <v>71.040000000000006</v>
      </c>
      <c r="G2629" s="6">
        <f>IFERROR(VLOOKUP($B2629,Platts!$E$5:$M$4994,MATCH(G$3,Platts!$F$5:$M$5,0)+1,FALSE),G2628)</f>
        <v>82.8</v>
      </c>
      <c r="H2629" s="6">
        <f>IFERROR(VLOOKUP($B2629,Platts!$E$5:$M$4994,MATCH(H$3,Platts!$F$5:$M$5,0)+1,FALSE),H2628)</f>
        <v>76.680000000000007</v>
      </c>
      <c r="I2629" s="6">
        <f>IFERROR(VLOOKUP($B2629,Platts!$E$5:$M$4994,MATCH(I$3,Platts!$F$5:$M$5,0)+1,FALSE),I2628)</f>
        <v>79.78</v>
      </c>
      <c r="J2629" s="6">
        <f t="shared" ref="J2629" si="102">H2629-C2629</f>
        <v>9.8400000000000034</v>
      </c>
    </row>
    <row r="2630" spans="2:10" x14ac:dyDescent="0.25">
      <c r="B2630" s="5">
        <f t="shared" si="82"/>
        <v>44996</v>
      </c>
      <c r="C2630" s="6">
        <f>IFERROR(VLOOKUP($B2630,Platts!$E$5:$M$4994,MATCH(C$3,Platts!$F$5:$M$5,0)+1,FALSE),C2629)</f>
        <v>66.84</v>
      </c>
      <c r="D2630" s="6">
        <f>IFERROR(VLOOKUP($B2630,Platts!$E$5:$M$4994,MATCH(D$3,Platts!$F$5:$M$5,0)+1,FALSE),D2629)</f>
        <v>67.84</v>
      </c>
      <c r="E2630" s="6">
        <f>IFERROR(VLOOKUP($B2630,Platts!$E$5:$M$4994,MATCH(E$3,Platts!$F$5:$M$5,0)+1,FALSE),E2629)</f>
        <v>63.54</v>
      </c>
      <c r="F2630" s="6">
        <f>IFERROR(VLOOKUP($B2630,Platts!$E$5:$M$4994,MATCH(F$3,Platts!$F$5:$M$5,0)+1,FALSE),F2629)</f>
        <v>71.040000000000006</v>
      </c>
      <c r="G2630" s="6">
        <f>IFERROR(VLOOKUP($B2630,Platts!$E$5:$M$4994,MATCH(G$3,Platts!$F$5:$M$5,0)+1,FALSE),G2629)</f>
        <v>82.8</v>
      </c>
      <c r="H2630" s="6">
        <f>IFERROR(VLOOKUP($B2630,Platts!$E$5:$M$4994,MATCH(H$3,Platts!$F$5:$M$5,0)+1,FALSE),H2629)</f>
        <v>76.680000000000007</v>
      </c>
      <c r="I2630" s="6">
        <f>IFERROR(VLOOKUP($B2630,Platts!$E$5:$M$4994,MATCH(I$3,Platts!$F$5:$M$5,0)+1,FALSE),I2629)</f>
        <v>79.78</v>
      </c>
      <c r="J2630" s="6">
        <f t="shared" ref="J2630:J2632" si="103">H2630-C2630</f>
        <v>9.8400000000000034</v>
      </c>
    </row>
    <row r="2631" spans="2:10" x14ac:dyDescent="0.25">
      <c r="B2631" s="5">
        <f t="shared" ref="B2631:B2632" si="104">B2630+1</f>
        <v>44997</v>
      </c>
      <c r="C2631" s="6">
        <f>IFERROR(VLOOKUP($B2631,Platts!$E$5:$M$4994,MATCH(C$3,Platts!$F$5:$M$5,0)+1,FALSE),C2630)</f>
        <v>66.84</v>
      </c>
      <c r="D2631" s="6">
        <f>IFERROR(VLOOKUP($B2631,Platts!$E$5:$M$4994,MATCH(D$3,Platts!$F$5:$M$5,0)+1,FALSE),D2630)</f>
        <v>67.84</v>
      </c>
      <c r="E2631" s="6">
        <f>IFERROR(VLOOKUP($B2631,Platts!$E$5:$M$4994,MATCH(E$3,Platts!$F$5:$M$5,0)+1,FALSE),E2630)</f>
        <v>63.54</v>
      </c>
      <c r="F2631" s="6">
        <f>IFERROR(VLOOKUP($B2631,Platts!$E$5:$M$4994,MATCH(F$3,Platts!$F$5:$M$5,0)+1,FALSE),F2630)</f>
        <v>71.040000000000006</v>
      </c>
      <c r="G2631" s="6">
        <f>IFERROR(VLOOKUP($B2631,Platts!$E$5:$M$4994,MATCH(G$3,Platts!$F$5:$M$5,0)+1,FALSE),G2630)</f>
        <v>82.8</v>
      </c>
      <c r="H2631" s="6">
        <f>IFERROR(VLOOKUP($B2631,Platts!$E$5:$M$4994,MATCH(H$3,Platts!$F$5:$M$5,0)+1,FALSE),H2630)</f>
        <v>76.680000000000007</v>
      </c>
      <c r="I2631" s="6">
        <f>IFERROR(VLOOKUP($B2631,Platts!$E$5:$M$4994,MATCH(I$3,Platts!$F$5:$M$5,0)+1,FALSE),I2630)</f>
        <v>79.78</v>
      </c>
      <c r="J2631" s="6">
        <f t="shared" si="103"/>
        <v>9.8400000000000034</v>
      </c>
    </row>
    <row r="2632" spans="2:10" x14ac:dyDescent="0.25">
      <c r="B2632" s="5">
        <f t="shared" si="104"/>
        <v>44998</v>
      </c>
      <c r="C2632" s="6">
        <f>IFERROR(VLOOKUP($B2632,Platts!$E$5:$M$4994,MATCH(C$3,Platts!$F$5:$M$5,0)+1,FALSE),C2631)</f>
        <v>65.069999999999993</v>
      </c>
      <c r="D2632" s="6">
        <f>IFERROR(VLOOKUP($B2632,Platts!$E$5:$M$4994,MATCH(D$3,Platts!$F$5:$M$5,0)+1,FALSE),D2631)</f>
        <v>65.88</v>
      </c>
      <c r="E2632" s="6">
        <f>IFERROR(VLOOKUP($B2632,Platts!$E$5:$M$4994,MATCH(E$3,Platts!$F$5:$M$5,0)+1,FALSE),E2631)</f>
        <v>61.58</v>
      </c>
      <c r="F2632" s="6">
        <f>IFERROR(VLOOKUP($B2632,Platts!$E$5:$M$4994,MATCH(F$3,Platts!$F$5:$M$5,0)+1,FALSE),F2631)</f>
        <v>69.08</v>
      </c>
      <c r="G2632" s="6">
        <f>IFERROR(VLOOKUP($B2632,Platts!$E$5:$M$4994,MATCH(G$3,Platts!$F$5:$M$5,0)+1,FALSE),G2631)</f>
        <v>81.72</v>
      </c>
      <c r="H2632" s="6">
        <f>IFERROR(VLOOKUP($B2632,Platts!$E$5:$M$4994,MATCH(H$3,Platts!$F$5:$M$5,0)+1,FALSE),H2631)</f>
        <v>74.8</v>
      </c>
      <c r="I2632" s="6">
        <f>IFERROR(VLOOKUP($B2632,Platts!$E$5:$M$4994,MATCH(I$3,Platts!$F$5:$M$5,0)+1,FALSE),I2631)</f>
        <v>77.900000000000006</v>
      </c>
      <c r="J2632" s="6">
        <f t="shared" si="103"/>
        <v>9.730000000000004</v>
      </c>
    </row>
    <row r="2633" spans="2:10" x14ac:dyDescent="0.25">
      <c r="B2633" s="5"/>
      <c r="C2633" s="6"/>
      <c r="D2633" s="6"/>
      <c r="E2633" s="6"/>
      <c r="F2633" s="6"/>
      <c r="G2633" s="6"/>
      <c r="H2633" s="6"/>
      <c r="I2633" s="6"/>
      <c r="J2633" s="6"/>
    </row>
    <row r="2634" spans="2:10" x14ac:dyDescent="0.25">
      <c r="B2634" s="5"/>
      <c r="C2634" s="6"/>
      <c r="D2634" s="6"/>
      <c r="E2634" s="6"/>
      <c r="F2634" s="6"/>
      <c r="G2634" s="6"/>
      <c r="H2634" s="6"/>
      <c r="I2634" s="6"/>
      <c r="J2634" s="6"/>
    </row>
    <row r="2635" spans="2:10" x14ac:dyDescent="0.25">
      <c r="B2635" s="5"/>
      <c r="C2635" s="6"/>
      <c r="D2635" s="6"/>
      <c r="E2635" s="6"/>
      <c r="F2635" s="6"/>
      <c r="G2635" s="6"/>
      <c r="H2635" s="6"/>
      <c r="I2635" s="6"/>
      <c r="J2635" s="6"/>
    </row>
    <row r="2636" spans="2:10" x14ac:dyDescent="0.25">
      <c r="B2636" s="5"/>
      <c r="C2636" s="6"/>
      <c r="D2636" s="6"/>
      <c r="E2636" s="6"/>
      <c r="F2636" s="6"/>
      <c r="G2636" s="6"/>
      <c r="H2636" s="6"/>
      <c r="I2636" s="6"/>
      <c r="J2636" s="6"/>
    </row>
    <row r="2637" spans="2:10" x14ac:dyDescent="0.25">
      <c r="B2637" s="5"/>
      <c r="C2637" s="6"/>
      <c r="D2637" s="6"/>
      <c r="E2637" s="6"/>
      <c r="F2637" s="6"/>
      <c r="G2637" s="6"/>
      <c r="H2637" s="6"/>
      <c r="I2637" s="6"/>
      <c r="J2637" s="6"/>
    </row>
    <row r="2638" spans="2:10" x14ac:dyDescent="0.25">
      <c r="B2638" s="5"/>
      <c r="C2638" s="6"/>
      <c r="D2638" s="6"/>
      <c r="E2638" s="6"/>
      <c r="F2638" s="6"/>
      <c r="G2638" s="6"/>
      <c r="H2638" s="6"/>
      <c r="I2638" s="6"/>
      <c r="J2638" s="6"/>
    </row>
    <row r="2639" spans="2:10" x14ac:dyDescent="0.25">
      <c r="B2639" s="5"/>
      <c r="C2639" s="6"/>
      <c r="D2639" s="6"/>
      <c r="E2639" s="6"/>
      <c r="F2639" s="6"/>
      <c r="G2639" s="6"/>
      <c r="H2639" s="6"/>
      <c r="I2639" s="6"/>
      <c r="J2639" s="6"/>
    </row>
    <row r="2640" spans="2:10" x14ac:dyDescent="0.25">
      <c r="B2640" s="5"/>
      <c r="C2640" s="6"/>
      <c r="D2640" s="6"/>
      <c r="E2640" s="6"/>
      <c r="F2640" s="6"/>
      <c r="G2640" s="6"/>
      <c r="H2640" s="6"/>
      <c r="I2640" s="6"/>
      <c r="J2640" s="6"/>
    </row>
    <row r="2641" spans="2:10" x14ac:dyDescent="0.25">
      <c r="B2641" s="5"/>
      <c r="C2641" s="6"/>
      <c r="D2641" s="6"/>
      <c r="E2641" s="6"/>
      <c r="F2641" s="6"/>
      <c r="G2641" s="6"/>
      <c r="H2641" s="6"/>
      <c r="I2641" s="6"/>
      <c r="J2641" s="6"/>
    </row>
    <row r="2642" spans="2:10" x14ac:dyDescent="0.25">
      <c r="B2642" s="5"/>
      <c r="C2642" s="6"/>
      <c r="D2642" s="6"/>
      <c r="E2642" s="6"/>
      <c r="F2642" s="6"/>
      <c r="G2642" s="6"/>
      <c r="H2642" s="6"/>
      <c r="I2642" s="6"/>
      <c r="J2642" s="6"/>
    </row>
    <row r="2643" spans="2:10" x14ac:dyDescent="0.25">
      <c r="B2643" s="5"/>
      <c r="C2643" s="6"/>
      <c r="D2643" s="6"/>
      <c r="E2643" s="6"/>
      <c r="F2643" s="6"/>
      <c r="G2643" s="6"/>
      <c r="H2643" s="6"/>
      <c r="I2643" s="6"/>
      <c r="J2643" s="6"/>
    </row>
    <row r="2644" spans="2:10" x14ac:dyDescent="0.25">
      <c r="B2644" s="5"/>
      <c r="C2644" s="6"/>
      <c r="D2644" s="6"/>
      <c r="E2644" s="6"/>
      <c r="F2644" s="6"/>
      <c r="G2644" s="6"/>
      <c r="H2644" s="6"/>
      <c r="I2644" s="6"/>
      <c r="J2644" s="6"/>
    </row>
    <row r="2645" spans="2:10" x14ac:dyDescent="0.25">
      <c r="B2645" s="5"/>
      <c r="C2645" s="6"/>
      <c r="D2645" s="6"/>
      <c r="E2645" s="6"/>
      <c r="F2645" s="6"/>
      <c r="G2645" s="6"/>
      <c r="H2645" s="6"/>
      <c r="I2645" s="6"/>
      <c r="J2645" s="6"/>
    </row>
    <row r="2646" spans="2:10" x14ac:dyDescent="0.25">
      <c r="B2646" s="5"/>
      <c r="C2646" s="6"/>
      <c r="D2646" s="6"/>
      <c r="E2646" s="6"/>
      <c r="F2646" s="6"/>
      <c r="G2646" s="6"/>
      <c r="H2646" s="6"/>
      <c r="I2646" s="6"/>
      <c r="J2646" s="6"/>
    </row>
    <row r="2647" spans="2:10" x14ac:dyDescent="0.25">
      <c r="B2647" s="5"/>
      <c r="C2647" s="6"/>
      <c r="D2647" s="6"/>
      <c r="E2647" s="6"/>
      <c r="F2647" s="6"/>
      <c r="G2647" s="6"/>
      <c r="H2647" s="6"/>
      <c r="I2647" s="6"/>
      <c r="J2647" s="6"/>
    </row>
    <row r="2648" spans="2:10" x14ac:dyDescent="0.25">
      <c r="B2648" s="5"/>
      <c r="C2648" s="6"/>
      <c r="D2648" s="6"/>
      <c r="E2648" s="6"/>
      <c r="F2648" s="6"/>
      <c r="G2648" s="6"/>
      <c r="H2648" s="6"/>
      <c r="I2648" s="6"/>
      <c r="J2648" s="6"/>
    </row>
    <row r="2649" spans="2:10" x14ac:dyDescent="0.25">
      <c r="B2649" s="5"/>
      <c r="C2649" s="6"/>
      <c r="D2649" s="6"/>
      <c r="E2649" s="6"/>
      <c r="F2649" s="6"/>
      <c r="G2649" s="6"/>
      <c r="H2649" s="6"/>
      <c r="I2649" s="6"/>
      <c r="J2649" s="6"/>
    </row>
    <row r="2650" spans="2:10" x14ac:dyDescent="0.25">
      <c r="B2650" s="5"/>
      <c r="C2650" s="6"/>
      <c r="D2650" s="6"/>
      <c r="E2650" s="6"/>
      <c r="F2650" s="6"/>
      <c r="G2650" s="6"/>
      <c r="H2650" s="6"/>
      <c r="I2650" s="6"/>
      <c r="J2650" s="6"/>
    </row>
    <row r="2651" spans="2:10" x14ac:dyDescent="0.25">
      <c r="B2651" s="5"/>
      <c r="C2651" s="6"/>
      <c r="D2651" s="6"/>
      <c r="E2651" s="6"/>
      <c r="F2651" s="6"/>
      <c r="G2651" s="6"/>
      <c r="H2651" s="6"/>
      <c r="I2651" s="6"/>
      <c r="J2651" s="6"/>
    </row>
    <row r="2652" spans="2:10" x14ac:dyDescent="0.25">
      <c r="B2652" s="5"/>
      <c r="C2652" s="6"/>
      <c r="D2652" s="6"/>
      <c r="E2652" s="6"/>
      <c r="F2652" s="6"/>
      <c r="G2652" s="6"/>
      <c r="H2652" s="6"/>
      <c r="I2652" s="6"/>
      <c r="J2652" s="6"/>
    </row>
    <row r="2653" spans="2:10" x14ac:dyDescent="0.25">
      <c r="B2653" s="5"/>
      <c r="C2653" s="6"/>
      <c r="D2653" s="6"/>
      <c r="E2653" s="6"/>
      <c r="F2653" s="6"/>
      <c r="G2653" s="6"/>
      <c r="H2653" s="6"/>
      <c r="I2653" s="6"/>
      <c r="J2653" s="6"/>
    </row>
    <row r="2654" spans="2:10" x14ac:dyDescent="0.25">
      <c r="B2654" s="5"/>
      <c r="C2654" s="6"/>
      <c r="D2654" s="6"/>
      <c r="E2654" s="6"/>
      <c r="F2654" s="6"/>
      <c r="G2654" s="6"/>
      <c r="H2654" s="6"/>
      <c r="I2654" s="6"/>
      <c r="J2654" s="6"/>
    </row>
    <row r="2655" spans="2:10" x14ac:dyDescent="0.25">
      <c r="B2655" s="5"/>
      <c r="C2655" s="6"/>
      <c r="D2655" s="6"/>
      <c r="E2655" s="6"/>
      <c r="F2655" s="6"/>
      <c r="G2655" s="6"/>
      <c r="H2655" s="6"/>
      <c r="I2655" s="6"/>
      <c r="J2655" s="6"/>
    </row>
    <row r="2656" spans="2:10" x14ac:dyDescent="0.25">
      <c r="B2656" s="5"/>
      <c r="C2656" s="6"/>
      <c r="D2656" s="6"/>
      <c r="E2656" s="6"/>
      <c r="F2656" s="6"/>
      <c r="G2656" s="6"/>
      <c r="H2656" s="6"/>
      <c r="I2656" s="6"/>
      <c r="J2656" s="6"/>
    </row>
    <row r="2657" spans="2:10" x14ac:dyDescent="0.25">
      <c r="B2657" s="5"/>
      <c r="C2657" s="6"/>
      <c r="D2657" s="6"/>
      <c r="E2657" s="6"/>
      <c r="F2657" s="6"/>
      <c r="G2657" s="6"/>
      <c r="H2657" s="6"/>
      <c r="I2657" s="6"/>
      <c r="J2657" s="6"/>
    </row>
    <row r="2658" spans="2:10" x14ac:dyDescent="0.25">
      <c r="B2658" s="5"/>
      <c r="C2658" s="6"/>
      <c r="D2658" s="6"/>
      <c r="E2658" s="6"/>
      <c r="F2658" s="6"/>
      <c r="G2658" s="6"/>
      <c r="H2658" s="6"/>
      <c r="I2658" s="6"/>
      <c r="J2658" s="6"/>
    </row>
    <row r="2659" spans="2:10" x14ac:dyDescent="0.25">
      <c r="B2659" s="5"/>
      <c r="C2659" s="6"/>
      <c r="D2659" s="6"/>
      <c r="E2659" s="6"/>
      <c r="F2659" s="6"/>
      <c r="G2659" s="6"/>
      <c r="H2659" s="6"/>
      <c r="I2659" s="6"/>
      <c r="J2659" s="6"/>
    </row>
    <row r="2660" spans="2:10" x14ac:dyDescent="0.25">
      <c r="B2660" s="5"/>
      <c r="C2660" s="6"/>
      <c r="D2660" s="6"/>
      <c r="E2660" s="6"/>
      <c r="F2660" s="6"/>
      <c r="G2660" s="6"/>
      <c r="H2660" s="6"/>
      <c r="I2660" s="6"/>
      <c r="J2660" s="6"/>
    </row>
    <row r="2661" spans="2:10" x14ac:dyDescent="0.25">
      <c r="B2661" s="5"/>
      <c r="C2661" s="6"/>
      <c r="D2661" s="6"/>
      <c r="E2661" s="6"/>
      <c r="F2661" s="6"/>
      <c r="G2661" s="6"/>
      <c r="H2661" s="6"/>
      <c r="I2661" s="6"/>
      <c r="J2661" s="6"/>
    </row>
    <row r="2662" spans="2:10" x14ac:dyDescent="0.25">
      <c r="B2662" s="5"/>
      <c r="C2662" s="6"/>
      <c r="D2662" s="6"/>
      <c r="E2662" s="6"/>
      <c r="F2662" s="6"/>
      <c r="G2662" s="6"/>
      <c r="H2662" s="6"/>
      <c r="I2662" s="6"/>
      <c r="J2662" s="6"/>
    </row>
    <row r="2663" spans="2:10" x14ac:dyDescent="0.25">
      <c r="B2663" s="5"/>
      <c r="C2663" s="6"/>
      <c r="D2663" s="6"/>
      <c r="E2663" s="6"/>
      <c r="F2663" s="6"/>
      <c r="G2663" s="6"/>
      <c r="H2663" s="6"/>
      <c r="I2663" s="6"/>
      <c r="J2663" s="6"/>
    </row>
    <row r="2664" spans="2:10" x14ac:dyDescent="0.25">
      <c r="B2664" s="5"/>
      <c r="C2664" s="6"/>
      <c r="D2664" s="6"/>
      <c r="E2664" s="6"/>
      <c r="F2664" s="6"/>
      <c r="G2664" s="6"/>
      <c r="H2664" s="6"/>
      <c r="I2664" s="6"/>
      <c r="J2664" s="6"/>
    </row>
    <row r="2665" spans="2:10" x14ac:dyDescent="0.25">
      <c r="B2665" s="5"/>
      <c r="C2665" s="6"/>
      <c r="D2665" s="6"/>
      <c r="E2665" s="6"/>
      <c r="F2665" s="6"/>
      <c r="G2665" s="6"/>
      <c r="H2665" s="6"/>
      <c r="I2665" s="6"/>
      <c r="J2665" s="6"/>
    </row>
    <row r="2666" spans="2:10" x14ac:dyDescent="0.25">
      <c r="B2666" s="5"/>
      <c r="C2666" s="6"/>
      <c r="D2666" s="6"/>
      <c r="E2666" s="6"/>
      <c r="F2666" s="6"/>
      <c r="G2666" s="6"/>
      <c r="H2666" s="6"/>
      <c r="I2666" s="6"/>
      <c r="J2666" s="6"/>
    </row>
    <row r="2667" spans="2:10" x14ac:dyDescent="0.25">
      <c r="B2667" s="5"/>
      <c r="C2667" s="6"/>
      <c r="D2667" s="6"/>
      <c r="E2667" s="6"/>
      <c r="F2667" s="6"/>
      <c r="G2667" s="6"/>
      <c r="H2667" s="6"/>
      <c r="I2667" s="6"/>
      <c r="J2667" s="6"/>
    </row>
    <row r="2668" spans="2:10" x14ac:dyDescent="0.25">
      <c r="B2668" s="5"/>
      <c r="C2668" s="6"/>
      <c r="D2668" s="6"/>
      <c r="E2668" s="6"/>
      <c r="F2668" s="6"/>
      <c r="G2668" s="6"/>
      <c r="H2668" s="6"/>
      <c r="I2668" s="6"/>
      <c r="J2668" s="6"/>
    </row>
    <row r="2669" spans="2:10" x14ac:dyDescent="0.25">
      <c r="B2669" s="5"/>
      <c r="C2669" s="6"/>
      <c r="D2669" s="6"/>
      <c r="E2669" s="6"/>
      <c r="F2669" s="6"/>
      <c r="G2669" s="6"/>
      <c r="H2669" s="6"/>
      <c r="I2669" s="6"/>
      <c r="J2669" s="6"/>
    </row>
    <row r="2670" spans="2:10" x14ac:dyDescent="0.25">
      <c r="B2670" s="5"/>
      <c r="C2670" s="6"/>
      <c r="D2670" s="6"/>
      <c r="E2670" s="6"/>
      <c r="F2670" s="6"/>
      <c r="G2670" s="6"/>
      <c r="H2670" s="6"/>
      <c r="I2670" s="6"/>
      <c r="J2670" s="6"/>
    </row>
    <row r="2671" spans="2:10" x14ac:dyDescent="0.25">
      <c r="B2671" s="5"/>
      <c r="C2671" s="6"/>
      <c r="D2671" s="6"/>
      <c r="E2671" s="6"/>
      <c r="F2671" s="6"/>
      <c r="G2671" s="6"/>
      <c r="H2671" s="6"/>
      <c r="I2671" s="6"/>
      <c r="J2671" s="6"/>
    </row>
    <row r="2672" spans="2:10" x14ac:dyDescent="0.25">
      <c r="B2672" s="5"/>
      <c r="C2672" s="6"/>
      <c r="D2672" s="6"/>
      <c r="E2672" s="6"/>
      <c r="F2672" s="6"/>
      <c r="G2672" s="6"/>
      <c r="H2672" s="6"/>
      <c r="I2672" s="6"/>
      <c r="J2672" s="6"/>
    </row>
    <row r="2673" spans="2:10" x14ac:dyDescent="0.25">
      <c r="B2673" s="5"/>
      <c r="C2673" s="6"/>
      <c r="D2673" s="6"/>
      <c r="E2673" s="6"/>
      <c r="F2673" s="6"/>
      <c r="G2673" s="6"/>
      <c r="H2673" s="6"/>
      <c r="I2673" s="6"/>
      <c r="J2673" s="6"/>
    </row>
    <row r="2674" spans="2:10" x14ac:dyDescent="0.25">
      <c r="B2674" s="5"/>
      <c r="C2674" s="6"/>
      <c r="D2674" s="6"/>
      <c r="E2674" s="6"/>
      <c r="F2674" s="6"/>
      <c r="G2674" s="6"/>
      <c r="H2674" s="6"/>
      <c r="I2674" s="6"/>
      <c r="J2674" s="6"/>
    </row>
    <row r="2675" spans="2:10" x14ac:dyDescent="0.25">
      <c r="B2675" s="5"/>
      <c r="C2675" s="6"/>
      <c r="D2675" s="6"/>
      <c r="E2675" s="6"/>
      <c r="F2675" s="6"/>
      <c r="G2675" s="6"/>
      <c r="H2675" s="6"/>
      <c r="I2675" s="6"/>
      <c r="J2675" s="6"/>
    </row>
    <row r="2676" spans="2:10" x14ac:dyDescent="0.25">
      <c r="B2676" s="5"/>
      <c r="C2676" s="6"/>
      <c r="D2676" s="6"/>
      <c r="E2676" s="6"/>
      <c r="F2676" s="6"/>
      <c r="G2676" s="6"/>
      <c r="H2676" s="6"/>
      <c r="I2676" s="6"/>
      <c r="J2676" s="6"/>
    </row>
    <row r="2677" spans="2:10" x14ac:dyDescent="0.25">
      <c r="B2677" s="5"/>
      <c r="C2677" s="6"/>
      <c r="D2677" s="6"/>
      <c r="E2677" s="6"/>
      <c r="F2677" s="6"/>
      <c r="G2677" s="6"/>
      <c r="H2677" s="6"/>
      <c r="I2677" s="6"/>
      <c r="J2677" s="6"/>
    </row>
    <row r="2678" spans="2:10" x14ac:dyDescent="0.25">
      <c r="B2678" s="5"/>
      <c r="C2678" s="6"/>
      <c r="D2678" s="6"/>
      <c r="E2678" s="6"/>
      <c r="F2678" s="6"/>
      <c r="G2678" s="6"/>
      <c r="H2678" s="6"/>
      <c r="I2678" s="6"/>
      <c r="J2678" s="6"/>
    </row>
    <row r="2679" spans="2:10" x14ac:dyDescent="0.25">
      <c r="B2679" s="5"/>
      <c r="C2679" s="6"/>
      <c r="D2679" s="6"/>
      <c r="E2679" s="6"/>
      <c r="F2679" s="6"/>
      <c r="G2679" s="6"/>
      <c r="H2679" s="6"/>
      <c r="I2679" s="6"/>
      <c r="J2679" s="6"/>
    </row>
    <row r="2680" spans="2:10" x14ac:dyDescent="0.25">
      <c r="B2680" s="5"/>
      <c r="C2680" s="6"/>
      <c r="D2680" s="6"/>
      <c r="E2680" s="6"/>
      <c r="F2680" s="6"/>
      <c r="G2680" s="6"/>
      <c r="H2680" s="6"/>
      <c r="I2680" s="6"/>
      <c r="J2680" s="6"/>
    </row>
    <row r="2681" spans="2:10" x14ac:dyDescent="0.25">
      <c r="B2681" s="5"/>
      <c r="C2681" s="6"/>
      <c r="D2681" s="6"/>
      <c r="E2681" s="6"/>
      <c r="F2681" s="6"/>
      <c r="G2681" s="6"/>
      <c r="H2681" s="6"/>
      <c r="I2681" s="6"/>
      <c r="J2681" s="6"/>
    </row>
    <row r="2682" spans="2:10" x14ac:dyDescent="0.25">
      <c r="B2682" s="5"/>
      <c r="C2682" s="6"/>
      <c r="D2682" s="6"/>
      <c r="E2682" s="6"/>
      <c r="F2682" s="6"/>
      <c r="G2682" s="6"/>
      <c r="H2682" s="6"/>
      <c r="I2682" s="6"/>
      <c r="J2682" s="6"/>
    </row>
    <row r="2683" spans="2:10" x14ac:dyDescent="0.25">
      <c r="B2683" s="5"/>
      <c r="C2683" s="6"/>
      <c r="D2683" s="6"/>
      <c r="E2683" s="6"/>
      <c r="F2683" s="6"/>
      <c r="G2683" s="6"/>
      <c r="H2683" s="6"/>
      <c r="I2683" s="6"/>
      <c r="J2683" s="6"/>
    </row>
    <row r="2684" spans="2:10" x14ac:dyDescent="0.25">
      <c r="B2684" s="5"/>
      <c r="C2684" s="6"/>
      <c r="D2684" s="6"/>
      <c r="E2684" s="6"/>
      <c r="F2684" s="6"/>
      <c r="G2684" s="6"/>
      <c r="H2684" s="6"/>
      <c r="I2684" s="6"/>
      <c r="J2684" s="6"/>
    </row>
    <row r="2685" spans="2:10" x14ac:dyDescent="0.25">
      <c r="B2685" s="5"/>
      <c r="C2685" s="6"/>
      <c r="D2685" s="6"/>
      <c r="E2685" s="6"/>
      <c r="F2685" s="6"/>
      <c r="G2685" s="6"/>
      <c r="H2685" s="6"/>
      <c r="I2685" s="6"/>
      <c r="J2685" s="6"/>
    </row>
    <row r="2686" spans="2:10" x14ac:dyDescent="0.25">
      <c r="B2686" s="5"/>
      <c r="C2686" s="6"/>
      <c r="D2686" s="6"/>
      <c r="E2686" s="6"/>
      <c r="F2686" s="6"/>
      <c r="G2686" s="6"/>
      <c r="H2686" s="6"/>
      <c r="I2686" s="6"/>
      <c r="J2686" s="6"/>
    </row>
    <row r="2687" spans="2:10" x14ac:dyDescent="0.25">
      <c r="B2687" s="5"/>
      <c r="C2687" s="6"/>
      <c r="D2687" s="6"/>
      <c r="E2687" s="6"/>
      <c r="F2687" s="6"/>
      <c r="G2687" s="6"/>
      <c r="H2687" s="6"/>
      <c r="I2687" s="6"/>
      <c r="J2687" s="6"/>
    </row>
    <row r="2688" spans="2:10" x14ac:dyDescent="0.25">
      <c r="B2688" s="5"/>
      <c r="C2688" s="6"/>
      <c r="D2688" s="6"/>
      <c r="E2688" s="6"/>
      <c r="F2688" s="6"/>
      <c r="G2688" s="6"/>
      <c r="H2688" s="6"/>
      <c r="I2688" s="6"/>
      <c r="J2688" s="6"/>
    </row>
    <row r="2689" spans="2:10" x14ac:dyDescent="0.25">
      <c r="B2689" s="5"/>
      <c r="C2689" s="6"/>
      <c r="D2689" s="6"/>
      <c r="E2689" s="6"/>
      <c r="F2689" s="6"/>
      <c r="G2689" s="6"/>
      <c r="H2689" s="6"/>
      <c r="I2689" s="6"/>
      <c r="J2689" s="6"/>
    </row>
    <row r="2690" spans="2:10" x14ac:dyDescent="0.25">
      <c r="B2690" s="5"/>
      <c r="C2690" s="6"/>
      <c r="D2690" s="6"/>
      <c r="E2690" s="6"/>
      <c r="F2690" s="6"/>
      <c r="G2690" s="6"/>
      <c r="H2690" s="6"/>
      <c r="I2690" s="6"/>
      <c r="J2690" s="6"/>
    </row>
    <row r="2691" spans="2:10" x14ac:dyDescent="0.25">
      <c r="B2691" s="5"/>
      <c r="C2691" s="6"/>
      <c r="D2691" s="6"/>
      <c r="E2691" s="6"/>
      <c r="F2691" s="6"/>
      <c r="G2691" s="6"/>
      <c r="H2691" s="6"/>
      <c r="I2691" s="6"/>
      <c r="J2691" s="6"/>
    </row>
    <row r="2692" spans="2:10" x14ac:dyDescent="0.25">
      <c r="B2692" s="5"/>
      <c r="C2692" s="6"/>
      <c r="D2692" s="6"/>
      <c r="E2692" s="6"/>
      <c r="F2692" s="6"/>
      <c r="G2692" s="6"/>
      <c r="H2692" s="6"/>
      <c r="I2692" s="6"/>
      <c r="J2692" s="6"/>
    </row>
    <row r="2693" spans="2:10" x14ac:dyDescent="0.25">
      <c r="B2693" s="5"/>
      <c r="C2693" s="6"/>
      <c r="D2693" s="6"/>
      <c r="E2693" s="6"/>
      <c r="F2693" s="6"/>
      <c r="G2693" s="6"/>
      <c r="H2693" s="6"/>
      <c r="I2693" s="6"/>
      <c r="J2693" s="6"/>
    </row>
    <row r="2694" spans="2:10" x14ac:dyDescent="0.25">
      <c r="B2694" s="5"/>
      <c r="C2694" s="6"/>
      <c r="D2694" s="6"/>
      <c r="E2694" s="6"/>
      <c r="F2694" s="6"/>
      <c r="G2694" s="6"/>
      <c r="H2694" s="6"/>
      <c r="I2694" s="6"/>
      <c r="J2694" s="6"/>
    </row>
    <row r="2695" spans="2:10" x14ac:dyDescent="0.25">
      <c r="B2695" s="5"/>
      <c r="C2695" s="6"/>
      <c r="D2695" s="6"/>
      <c r="E2695" s="6"/>
      <c r="F2695" s="6"/>
      <c r="G2695" s="6"/>
      <c r="H2695" s="6"/>
      <c r="I2695" s="6"/>
      <c r="J2695" s="6"/>
    </row>
    <row r="2696" spans="2:10" x14ac:dyDescent="0.25">
      <c r="B2696" s="5"/>
      <c r="C2696" s="6"/>
      <c r="D2696" s="6"/>
      <c r="E2696" s="6"/>
      <c r="F2696" s="6"/>
      <c r="G2696" s="6"/>
      <c r="H2696" s="6"/>
      <c r="I2696" s="6"/>
      <c r="J2696" s="6"/>
    </row>
    <row r="2697" spans="2:10" x14ac:dyDescent="0.25">
      <c r="B2697" s="5"/>
      <c r="C2697" s="6"/>
      <c r="D2697" s="6"/>
      <c r="E2697" s="6"/>
      <c r="F2697" s="6"/>
      <c r="G2697" s="6"/>
      <c r="H2697" s="6"/>
      <c r="I2697" s="6"/>
      <c r="J2697" s="6"/>
    </row>
    <row r="2698" spans="2:10" x14ac:dyDescent="0.25">
      <c r="B2698" s="5"/>
      <c r="C2698" s="6"/>
      <c r="D2698" s="6"/>
      <c r="E2698" s="6"/>
      <c r="F2698" s="6"/>
      <c r="G2698" s="6"/>
      <c r="H2698" s="6"/>
      <c r="I2698" s="6"/>
      <c r="J2698" s="6"/>
    </row>
    <row r="2699" spans="2:10" x14ac:dyDescent="0.25">
      <c r="B2699" s="5"/>
      <c r="C2699" s="6"/>
      <c r="D2699" s="6"/>
      <c r="E2699" s="6"/>
      <c r="F2699" s="6"/>
      <c r="G2699" s="6"/>
      <c r="H2699" s="6"/>
      <c r="I2699" s="6"/>
      <c r="J2699" s="6"/>
    </row>
    <row r="2700" spans="2:10" x14ac:dyDescent="0.25">
      <c r="B2700" s="5"/>
      <c r="C2700" s="6"/>
      <c r="D2700" s="6"/>
      <c r="E2700" s="6"/>
      <c r="F2700" s="6"/>
      <c r="G2700" s="6"/>
      <c r="H2700" s="6"/>
      <c r="I2700" s="6"/>
      <c r="J2700" s="6"/>
    </row>
    <row r="2701" spans="2:10" x14ac:dyDescent="0.25">
      <c r="B2701" s="5"/>
      <c r="C2701" s="6"/>
      <c r="D2701" s="6"/>
      <c r="E2701" s="6"/>
      <c r="F2701" s="6"/>
      <c r="G2701" s="6"/>
      <c r="H2701" s="6"/>
      <c r="I2701" s="6"/>
      <c r="J2701" s="6"/>
    </row>
    <row r="2702" spans="2:10" x14ac:dyDescent="0.25">
      <c r="B2702" s="5"/>
      <c r="C2702" s="6"/>
      <c r="D2702" s="6"/>
      <c r="E2702" s="6"/>
      <c r="F2702" s="6"/>
      <c r="G2702" s="6"/>
      <c r="H2702" s="6"/>
      <c r="I2702" s="6"/>
      <c r="J2702" s="6"/>
    </row>
    <row r="2703" spans="2:10" x14ac:dyDescent="0.25">
      <c r="B2703" s="5"/>
      <c r="C2703" s="6"/>
      <c r="D2703" s="6"/>
      <c r="E2703" s="6"/>
      <c r="F2703" s="6"/>
      <c r="G2703" s="6"/>
      <c r="H2703" s="6"/>
      <c r="I2703" s="6"/>
      <c r="J2703" s="6"/>
    </row>
    <row r="2704" spans="2:10" x14ac:dyDescent="0.25">
      <c r="B2704" s="5"/>
      <c r="C2704" s="6"/>
      <c r="D2704" s="6"/>
      <c r="E2704" s="6"/>
      <c r="F2704" s="6"/>
      <c r="G2704" s="6"/>
      <c r="H2704" s="6"/>
      <c r="I2704" s="6"/>
      <c r="J2704" s="6"/>
    </row>
    <row r="2705" spans="2:10" x14ac:dyDescent="0.25">
      <c r="B2705" s="5"/>
      <c r="C2705" s="6"/>
      <c r="D2705" s="6"/>
      <c r="E2705" s="6"/>
      <c r="F2705" s="6"/>
      <c r="G2705" s="6"/>
      <c r="H2705" s="6"/>
      <c r="I2705" s="6"/>
      <c r="J2705" s="6"/>
    </row>
    <row r="2706" spans="2:10" x14ac:dyDescent="0.25">
      <c r="B2706" s="5"/>
      <c r="C2706" s="6"/>
      <c r="D2706" s="6"/>
      <c r="E2706" s="6"/>
      <c r="F2706" s="6"/>
      <c r="G2706" s="6"/>
      <c r="H2706" s="6"/>
      <c r="I2706" s="6"/>
      <c r="J2706" s="6"/>
    </row>
    <row r="2707" spans="2:10" x14ac:dyDescent="0.25">
      <c r="B2707" s="5"/>
      <c r="C2707" s="6"/>
      <c r="D2707" s="6"/>
      <c r="E2707" s="6"/>
      <c r="F2707" s="6"/>
      <c r="G2707" s="6"/>
      <c r="H2707" s="6"/>
      <c r="I2707" s="6"/>
      <c r="J2707" s="6"/>
    </row>
    <row r="2708" spans="2:10" x14ac:dyDescent="0.25">
      <c r="B2708" s="5"/>
      <c r="C2708" s="6"/>
      <c r="D2708" s="6"/>
      <c r="E2708" s="6"/>
      <c r="F2708" s="6"/>
      <c r="G2708" s="6"/>
      <c r="H2708" s="6"/>
      <c r="I2708" s="6"/>
      <c r="J2708" s="6"/>
    </row>
    <row r="2709" spans="2:10" x14ac:dyDescent="0.25">
      <c r="B2709" s="5"/>
      <c r="C2709" s="6"/>
      <c r="D2709" s="6"/>
      <c r="E2709" s="6"/>
      <c r="F2709" s="6"/>
      <c r="G2709" s="6"/>
      <c r="H2709" s="6"/>
      <c r="I2709" s="6"/>
      <c r="J2709" s="6"/>
    </row>
    <row r="2710" spans="2:10" x14ac:dyDescent="0.25">
      <c r="B2710" s="5"/>
      <c r="C2710" s="6"/>
      <c r="D2710" s="6"/>
      <c r="E2710" s="6"/>
      <c r="F2710" s="6"/>
      <c r="G2710" s="6"/>
      <c r="H2710" s="6"/>
      <c r="I2710" s="6"/>
      <c r="J2710" s="6"/>
    </row>
    <row r="2711" spans="2:10" x14ac:dyDescent="0.25">
      <c r="B2711" s="5"/>
      <c r="C2711" s="6"/>
      <c r="D2711" s="6"/>
      <c r="E2711" s="6"/>
      <c r="F2711" s="6"/>
      <c r="G2711" s="6"/>
      <c r="H2711" s="6"/>
      <c r="I2711" s="6"/>
      <c r="J2711" s="6"/>
    </row>
    <row r="2712" spans="2:10" x14ac:dyDescent="0.25">
      <c r="B2712" s="5"/>
      <c r="C2712" s="6"/>
      <c r="D2712" s="6"/>
      <c r="E2712" s="6"/>
      <c r="F2712" s="6"/>
      <c r="G2712" s="6"/>
      <c r="H2712" s="6"/>
      <c r="I2712" s="6"/>
      <c r="J2712" s="6"/>
    </row>
    <row r="2713" spans="2:10" x14ac:dyDescent="0.25">
      <c r="B2713" s="5"/>
      <c r="C2713" s="6"/>
      <c r="D2713" s="6"/>
      <c r="E2713" s="6"/>
      <c r="F2713" s="6"/>
      <c r="G2713" s="6"/>
      <c r="H2713" s="6"/>
      <c r="I2713" s="6"/>
      <c r="J2713" s="6"/>
    </row>
    <row r="2714" spans="2:10" x14ac:dyDescent="0.25">
      <c r="B2714" s="5"/>
      <c r="C2714" s="6"/>
      <c r="D2714" s="6"/>
      <c r="E2714" s="6"/>
      <c r="F2714" s="6"/>
      <c r="G2714" s="6"/>
      <c r="H2714" s="6"/>
      <c r="I2714" s="6"/>
      <c r="J2714" s="6"/>
    </row>
    <row r="2715" spans="2:10" x14ac:dyDescent="0.25">
      <c r="B2715" s="5"/>
      <c r="C2715" s="6"/>
      <c r="D2715" s="6"/>
      <c r="E2715" s="6"/>
      <c r="F2715" s="6"/>
      <c r="G2715" s="6"/>
      <c r="H2715" s="6"/>
      <c r="I2715" s="6"/>
      <c r="J2715" s="6"/>
    </row>
    <row r="2716" spans="2:10" x14ac:dyDescent="0.25">
      <c r="B2716" s="5"/>
      <c r="C2716" s="6"/>
      <c r="D2716" s="6"/>
      <c r="E2716" s="6"/>
      <c r="F2716" s="6"/>
      <c r="G2716" s="6"/>
      <c r="H2716" s="6"/>
      <c r="I2716" s="6"/>
      <c r="J2716" s="6"/>
    </row>
    <row r="2717" spans="2:10" x14ac:dyDescent="0.25">
      <c r="B2717" s="5"/>
      <c r="C2717" s="6"/>
      <c r="D2717" s="6"/>
      <c r="E2717" s="6"/>
      <c r="F2717" s="6"/>
      <c r="G2717" s="6"/>
      <c r="H2717" s="6"/>
      <c r="I2717" s="6"/>
      <c r="J2717" s="6"/>
    </row>
    <row r="2718" spans="2:10" x14ac:dyDescent="0.25">
      <c r="B2718" s="5"/>
      <c r="C2718" s="6"/>
      <c r="D2718" s="6"/>
      <c r="E2718" s="6"/>
      <c r="F2718" s="6"/>
      <c r="G2718" s="6"/>
      <c r="H2718" s="6"/>
      <c r="I2718" s="6"/>
      <c r="J2718" s="6"/>
    </row>
    <row r="2719" spans="2:10" x14ac:dyDescent="0.25">
      <c r="B2719" s="5"/>
      <c r="C2719" s="6"/>
      <c r="D2719" s="6"/>
      <c r="E2719" s="6"/>
      <c r="F2719" s="6"/>
      <c r="G2719" s="6"/>
      <c r="H2719" s="6"/>
      <c r="I2719" s="6"/>
      <c r="J2719" s="6"/>
    </row>
    <row r="2720" spans="2:10" x14ac:dyDescent="0.25">
      <c r="B2720" s="5"/>
      <c r="C2720" s="6"/>
      <c r="D2720" s="6"/>
      <c r="E2720" s="6"/>
      <c r="F2720" s="6"/>
      <c r="G2720" s="6"/>
      <c r="H2720" s="6"/>
      <c r="I2720" s="6"/>
      <c r="J2720" s="6"/>
    </row>
    <row r="2721" spans="2:10" x14ac:dyDescent="0.25">
      <c r="B2721" s="5"/>
      <c r="C2721" s="6"/>
      <c r="D2721" s="6"/>
      <c r="E2721" s="6"/>
      <c r="F2721" s="6"/>
      <c r="G2721" s="6"/>
      <c r="H2721" s="6"/>
      <c r="I2721" s="6"/>
      <c r="J2721" s="6"/>
    </row>
    <row r="2722" spans="2:10" x14ac:dyDescent="0.25">
      <c r="B2722" s="5"/>
      <c r="C2722" s="6"/>
      <c r="D2722" s="6"/>
      <c r="E2722" s="6"/>
      <c r="F2722" s="6"/>
      <c r="G2722" s="6"/>
      <c r="H2722" s="6"/>
      <c r="I2722" s="6"/>
      <c r="J2722" s="6"/>
    </row>
    <row r="2723" spans="2:10" x14ac:dyDescent="0.25">
      <c r="B2723" s="5"/>
      <c r="C2723" s="6"/>
      <c r="D2723" s="6"/>
      <c r="E2723" s="6"/>
      <c r="F2723" s="6"/>
      <c r="G2723" s="6"/>
      <c r="H2723" s="6"/>
      <c r="I2723" s="6"/>
      <c r="J2723" s="6"/>
    </row>
    <row r="2724" spans="2:10" x14ac:dyDescent="0.25">
      <c r="B2724" s="5"/>
      <c r="C2724" s="6"/>
      <c r="D2724" s="6"/>
      <c r="E2724" s="6"/>
      <c r="F2724" s="6"/>
      <c r="G2724" s="6"/>
      <c r="H2724" s="6"/>
      <c r="I2724" s="6"/>
      <c r="J2724" s="6"/>
    </row>
    <row r="2725" spans="2:10" x14ac:dyDescent="0.25">
      <c r="B2725" s="5"/>
      <c r="C2725" s="6"/>
      <c r="D2725" s="6"/>
      <c r="E2725" s="6"/>
      <c r="F2725" s="6"/>
      <c r="G2725" s="6"/>
      <c r="H2725" s="6"/>
      <c r="I2725" s="6"/>
      <c r="J2725" s="6"/>
    </row>
    <row r="2726" spans="2:10" x14ac:dyDescent="0.25">
      <c r="B2726" s="5"/>
      <c r="C2726" s="6"/>
      <c r="D2726" s="6"/>
      <c r="E2726" s="6"/>
      <c r="F2726" s="6"/>
      <c r="G2726" s="6"/>
      <c r="H2726" s="6"/>
      <c r="I2726" s="6"/>
      <c r="J2726" s="6"/>
    </row>
    <row r="2727" spans="2:10" x14ac:dyDescent="0.25">
      <c r="B2727" s="5"/>
      <c r="C2727" s="6"/>
      <c r="D2727" s="6"/>
      <c r="E2727" s="6"/>
      <c r="F2727" s="6"/>
      <c r="G2727" s="6"/>
      <c r="H2727" s="6"/>
      <c r="I2727" s="6"/>
      <c r="J2727" s="6"/>
    </row>
    <row r="2728" spans="2:10" x14ac:dyDescent="0.25">
      <c r="B2728" s="5"/>
      <c r="C2728" s="6"/>
      <c r="D2728" s="6"/>
      <c r="E2728" s="6"/>
      <c r="F2728" s="6"/>
      <c r="G2728" s="6"/>
      <c r="H2728" s="6"/>
      <c r="I2728" s="6"/>
      <c r="J2728" s="6"/>
    </row>
    <row r="2729" spans="2:10" x14ac:dyDescent="0.25">
      <c r="B2729" s="5"/>
      <c r="C2729" s="6"/>
      <c r="D2729" s="6"/>
      <c r="E2729" s="6"/>
      <c r="F2729" s="6"/>
      <c r="G2729" s="6"/>
      <c r="H2729" s="6"/>
      <c r="I2729" s="6"/>
      <c r="J2729" s="6"/>
    </row>
    <row r="2730" spans="2:10" x14ac:dyDescent="0.25">
      <c r="B2730" s="5"/>
      <c r="C2730" s="6"/>
      <c r="D2730" s="6"/>
      <c r="E2730" s="6"/>
      <c r="F2730" s="6"/>
      <c r="G2730" s="6"/>
      <c r="H2730" s="6"/>
      <c r="I2730" s="6"/>
      <c r="J2730" s="6"/>
    </row>
    <row r="2731" spans="2:10" x14ac:dyDescent="0.25">
      <c r="B2731" s="5"/>
      <c r="C2731" s="6"/>
      <c r="D2731" s="6"/>
      <c r="E2731" s="6"/>
      <c r="F2731" s="6"/>
      <c r="G2731" s="6"/>
      <c r="H2731" s="6"/>
      <c r="I2731" s="6"/>
      <c r="J2731" s="6"/>
    </row>
    <row r="2732" spans="2:10" x14ac:dyDescent="0.25">
      <c r="B2732" s="5"/>
      <c r="C2732" s="6"/>
      <c r="D2732" s="6"/>
      <c r="E2732" s="6"/>
      <c r="F2732" s="6"/>
      <c r="G2732" s="6"/>
      <c r="H2732" s="6"/>
      <c r="I2732" s="6"/>
      <c r="J2732" s="6"/>
    </row>
    <row r="2733" spans="2:10" x14ac:dyDescent="0.25">
      <c r="B2733" s="5"/>
      <c r="C2733" s="6"/>
      <c r="D2733" s="6"/>
      <c r="E2733" s="6"/>
      <c r="F2733" s="6"/>
      <c r="G2733" s="6"/>
      <c r="H2733" s="6"/>
      <c r="I2733" s="6"/>
      <c r="J2733" s="6"/>
    </row>
    <row r="2734" spans="2:10" x14ac:dyDescent="0.25">
      <c r="B2734" s="5"/>
      <c r="C2734" s="6"/>
      <c r="D2734" s="6"/>
      <c r="E2734" s="6"/>
      <c r="F2734" s="6"/>
      <c r="G2734" s="6"/>
      <c r="H2734" s="6"/>
      <c r="I2734" s="6"/>
      <c r="J2734" s="6"/>
    </row>
    <row r="2735" spans="2:10" x14ac:dyDescent="0.25">
      <c r="B2735" s="5"/>
      <c r="C2735" s="6"/>
      <c r="D2735" s="6"/>
      <c r="E2735" s="6"/>
      <c r="F2735" s="6"/>
      <c r="G2735" s="6"/>
      <c r="H2735" s="6"/>
      <c r="I2735" s="6"/>
      <c r="J2735" s="6"/>
    </row>
    <row r="2736" spans="2:10" x14ac:dyDescent="0.25">
      <c r="B2736" s="5"/>
      <c r="C2736" s="6"/>
      <c r="D2736" s="6"/>
      <c r="E2736" s="6"/>
      <c r="F2736" s="6"/>
      <c r="G2736" s="6"/>
      <c r="H2736" s="6"/>
      <c r="I2736" s="6"/>
      <c r="J2736" s="6"/>
    </row>
    <row r="2737" spans="2:10" x14ac:dyDescent="0.25">
      <c r="B2737" s="5"/>
      <c r="C2737" s="6"/>
      <c r="D2737" s="6"/>
      <c r="E2737" s="6"/>
      <c r="F2737" s="6"/>
      <c r="G2737" s="6"/>
      <c r="H2737" s="6"/>
      <c r="I2737" s="6"/>
      <c r="J2737" s="6"/>
    </row>
    <row r="2738" spans="2:10" x14ac:dyDescent="0.25">
      <c r="B2738" s="5"/>
      <c r="C2738" s="6"/>
      <c r="D2738" s="6"/>
      <c r="E2738" s="6"/>
      <c r="F2738" s="6"/>
      <c r="G2738" s="6"/>
      <c r="H2738" s="6"/>
      <c r="I2738" s="6"/>
      <c r="J2738" s="6"/>
    </row>
    <row r="2739" spans="2:10" x14ac:dyDescent="0.25">
      <c r="B2739" s="5"/>
      <c r="C2739" s="6"/>
      <c r="D2739" s="6"/>
      <c r="E2739" s="6"/>
      <c r="F2739" s="6"/>
      <c r="G2739" s="6"/>
      <c r="H2739" s="6"/>
      <c r="I2739" s="6"/>
      <c r="J2739" s="6"/>
    </row>
    <row r="2740" spans="2:10" x14ac:dyDescent="0.25">
      <c r="B2740" s="5"/>
      <c r="C2740" s="6"/>
      <c r="D2740" s="6"/>
      <c r="E2740" s="6"/>
      <c r="F2740" s="6"/>
      <c r="G2740" s="6"/>
      <c r="H2740" s="6"/>
      <c r="I2740" s="6"/>
      <c r="J2740" s="6"/>
    </row>
    <row r="2741" spans="2:10" x14ac:dyDescent="0.25">
      <c r="B2741" s="5"/>
      <c r="C2741" s="6"/>
      <c r="D2741" s="6"/>
      <c r="E2741" s="6"/>
      <c r="F2741" s="6"/>
      <c r="G2741" s="6"/>
      <c r="H2741" s="6"/>
      <c r="I2741" s="6"/>
      <c r="J2741" s="6"/>
    </row>
    <row r="2742" spans="2:10" x14ac:dyDescent="0.25">
      <c r="B2742" s="5"/>
      <c r="C2742" s="6"/>
      <c r="D2742" s="6"/>
      <c r="E2742" s="6"/>
      <c r="F2742" s="6"/>
      <c r="G2742" s="6"/>
      <c r="H2742" s="6"/>
      <c r="I2742" s="6"/>
      <c r="J2742" s="6"/>
    </row>
    <row r="2743" spans="2:10" x14ac:dyDescent="0.25">
      <c r="B2743" s="5"/>
      <c r="C2743" s="6"/>
      <c r="D2743" s="6"/>
      <c r="E2743" s="6"/>
      <c r="F2743" s="6"/>
      <c r="G2743" s="6"/>
      <c r="H2743" s="6"/>
      <c r="I2743" s="6"/>
      <c r="J2743" s="6"/>
    </row>
    <row r="2744" spans="2:10" x14ac:dyDescent="0.25">
      <c r="B2744" s="5"/>
      <c r="C2744" s="6"/>
      <c r="D2744" s="6"/>
      <c r="E2744" s="6"/>
      <c r="F2744" s="6"/>
      <c r="G2744" s="6"/>
      <c r="H2744" s="6"/>
      <c r="I2744" s="6"/>
      <c r="J2744" s="6"/>
    </row>
    <row r="2745" spans="2:10" x14ac:dyDescent="0.25">
      <c r="B2745" s="5"/>
      <c r="C2745" s="6"/>
      <c r="D2745" s="6"/>
      <c r="E2745" s="6"/>
      <c r="F2745" s="6"/>
      <c r="G2745" s="6"/>
      <c r="H2745" s="6"/>
      <c r="I2745" s="6"/>
      <c r="J2745" s="6"/>
    </row>
    <row r="2746" spans="2:10" x14ac:dyDescent="0.25">
      <c r="B2746" s="5"/>
      <c r="C2746" s="6"/>
      <c r="D2746" s="6"/>
      <c r="E2746" s="6"/>
      <c r="F2746" s="6"/>
      <c r="G2746" s="6"/>
      <c r="H2746" s="6"/>
      <c r="I2746" s="6"/>
      <c r="J2746" s="6"/>
    </row>
    <row r="2747" spans="2:10" x14ac:dyDescent="0.25">
      <c r="B2747" s="5"/>
      <c r="C2747" s="6"/>
      <c r="D2747" s="6"/>
      <c r="E2747" s="6"/>
      <c r="F2747" s="6"/>
      <c r="G2747" s="6"/>
      <c r="H2747" s="6"/>
      <c r="I2747" s="6"/>
      <c r="J2747" s="6"/>
    </row>
    <row r="2748" spans="2:10" x14ac:dyDescent="0.25">
      <c r="B2748" s="5"/>
      <c r="C2748" s="6"/>
      <c r="D2748" s="6"/>
      <c r="E2748" s="6"/>
      <c r="F2748" s="6"/>
      <c r="G2748" s="6"/>
      <c r="H2748" s="6"/>
      <c r="I2748" s="6"/>
      <c r="J2748" s="6"/>
    </row>
    <row r="2749" spans="2:10" x14ac:dyDescent="0.25">
      <c r="B2749" s="5"/>
      <c r="C2749" s="6"/>
      <c r="D2749" s="6"/>
      <c r="E2749" s="6"/>
      <c r="F2749" s="6"/>
      <c r="G2749" s="6"/>
      <c r="H2749" s="6"/>
      <c r="I2749" s="6"/>
      <c r="J2749" s="6"/>
    </row>
    <row r="2750" spans="2:10" x14ac:dyDescent="0.25">
      <c r="B2750" s="5"/>
      <c r="C2750" s="6"/>
      <c r="D2750" s="6"/>
      <c r="E2750" s="6"/>
      <c r="F2750" s="6"/>
      <c r="G2750" s="6"/>
      <c r="H2750" s="6"/>
      <c r="I2750" s="6"/>
      <c r="J2750" s="6"/>
    </row>
    <row r="2751" spans="2:10" x14ac:dyDescent="0.25">
      <c r="B2751" s="5"/>
      <c r="C2751" s="6"/>
      <c r="D2751" s="6"/>
      <c r="E2751" s="6"/>
      <c r="F2751" s="6"/>
      <c r="G2751" s="6"/>
      <c r="H2751" s="6"/>
      <c r="I2751" s="6"/>
      <c r="J2751" s="6"/>
    </row>
    <row r="2752" spans="2:10" x14ac:dyDescent="0.25">
      <c r="B2752" s="5"/>
      <c r="C2752" s="6"/>
      <c r="D2752" s="6"/>
      <c r="E2752" s="6"/>
      <c r="F2752" s="6"/>
      <c r="G2752" s="6"/>
      <c r="H2752" s="6"/>
      <c r="I2752" s="6"/>
      <c r="J2752" s="6"/>
    </row>
    <row r="2753" spans="2:10" x14ac:dyDescent="0.25">
      <c r="B2753" s="5"/>
      <c r="C2753" s="6"/>
      <c r="D2753" s="6"/>
      <c r="E2753" s="6"/>
      <c r="F2753" s="6"/>
      <c r="G2753" s="6"/>
      <c r="H2753" s="6"/>
      <c r="I2753" s="6"/>
      <c r="J2753" s="6"/>
    </row>
    <row r="2754" spans="2:10" x14ac:dyDescent="0.25">
      <c r="B2754" s="5"/>
      <c r="C2754" s="6"/>
      <c r="D2754" s="6"/>
      <c r="E2754" s="6"/>
      <c r="F2754" s="6"/>
      <c r="G2754" s="6"/>
      <c r="H2754" s="6"/>
      <c r="I2754" s="6"/>
      <c r="J2754" s="6"/>
    </row>
    <row r="2755" spans="2:10" x14ac:dyDescent="0.25">
      <c r="B2755" s="5"/>
      <c r="C2755" s="6"/>
      <c r="D2755" s="6"/>
      <c r="E2755" s="6"/>
      <c r="F2755" s="6"/>
      <c r="G2755" s="6"/>
      <c r="H2755" s="6"/>
      <c r="I2755" s="6"/>
      <c r="J2755" s="6"/>
    </row>
    <row r="2756" spans="2:10" x14ac:dyDescent="0.25">
      <c r="B2756" s="5"/>
      <c r="C2756" s="6"/>
      <c r="D2756" s="6"/>
      <c r="E2756" s="6"/>
      <c r="F2756" s="6"/>
      <c r="G2756" s="6"/>
      <c r="H2756" s="6"/>
      <c r="I2756" s="6"/>
      <c r="J2756" s="6"/>
    </row>
    <row r="2757" spans="2:10" x14ac:dyDescent="0.25">
      <c r="B2757" s="5"/>
      <c r="C2757" s="6"/>
      <c r="D2757" s="6"/>
      <c r="E2757" s="6"/>
      <c r="F2757" s="6"/>
      <c r="G2757" s="6"/>
      <c r="H2757" s="6"/>
      <c r="I2757" s="6"/>
      <c r="J2757" s="6"/>
    </row>
    <row r="2758" spans="2:10" x14ac:dyDescent="0.25">
      <c r="B2758" s="5"/>
      <c r="C2758" s="6"/>
      <c r="D2758" s="6"/>
      <c r="E2758" s="6"/>
      <c r="F2758" s="6"/>
      <c r="G2758" s="6"/>
      <c r="H2758" s="6"/>
      <c r="I2758" s="6"/>
      <c r="J2758" s="6"/>
    </row>
    <row r="2759" spans="2:10" x14ac:dyDescent="0.25">
      <c r="B2759" s="5"/>
      <c r="C2759" s="6"/>
      <c r="D2759" s="6"/>
      <c r="E2759" s="6"/>
      <c r="F2759" s="6"/>
      <c r="G2759" s="6"/>
      <c r="H2759" s="6"/>
      <c r="I2759" s="6"/>
      <c r="J2759" s="6"/>
    </row>
    <row r="2760" spans="2:10" x14ac:dyDescent="0.25">
      <c r="B2760" s="5"/>
      <c r="C2760" s="6"/>
      <c r="D2760" s="6"/>
      <c r="E2760" s="6"/>
      <c r="F2760" s="6"/>
      <c r="G2760" s="6"/>
      <c r="H2760" s="6"/>
      <c r="I2760" s="6"/>
      <c r="J2760" s="6"/>
    </row>
    <row r="2761" spans="2:10" x14ac:dyDescent="0.25">
      <c r="B2761" s="5"/>
      <c r="C2761" s="6"/>
      <c r="D2761" s="6"/>
      <c r="E2761" s="6"/>
      <c r="F2761" s="6"/>
      <c r="G2761" s="6"/>
      <c r="H2761" s="6"/>
      <c r="I2761" s="6"/>
      <c r="J2761" s="6"/>
    </row>
    <row r="2762" spans="2:10" x14ac:dyDescent="0.25">
      <c r="B2762" s="5"/>
      <c r="C2762" s="6"/>
      <c r="D2762" s="6"/>
      <c r="E2762" s="6"/>
      <c r="F2762" s="6"/>
      <c r="G2762" s="6"/>
      <c r="H2762" s="6"/>
      <c r="I2762" s="6"/>
      <c r="J2762" s="6"/>
    </row>
    <row r="2763" spans="2:10" x14ac:dyDescent="0.25">
      <c r="B2763" s="5"/>
      <c r="C2763" s="6"/>
      <c r="D2763" s="6"/>
      <c r="E2763" s="6"/>
      <c r="F2763" s="6"/>
      <c r="G2763" s="6"/>
      <c r="H2763" s="6"/>
      <c r="I2763" s="6"/>
      <c r="J2763" s="6"/>
    </row>
    <row r="2764" spans="2:10" x14ac:dyDescent="0.25">
      <c r="B2764" s="5"/>
      <c r="C2764" s="6"/>
      <c r="D2764" s="6"/>
      <c r="E2764" s="6"/>
      <c r="F2764" s="6"/>
      <c r="G2764" s="6"/>
      <c r="H2764" s="6"/>
      <c r="I2764" s="6"/>
      <c r="J2764" s="6"/>
    </row>
    <row r="2765" spans="2:10" x14ac:dyDescent="0.25">
      <c r="B2765" s="5"/>
      <c r="C2765" s="6"/>
      <c r="D2765" s="6"/>
      <c r="E2765" s="6"/>
      <c r="F2765" s="6"/>
      <c r="G2765" s="6"/>
      <c r="H2765" s="6"/>
      <c r="I2765" s="6"/>
      <c r="J2765" s="6"/>
    </row>
    <row r="2766" spans="2:10" x14ac:dyDescent="0.25">
      <c r="B2766" s="5"/>
      <c r="C2766" s="6"/>
      <c r="D2766" s="6"/>
      <c r="E2766" s="6"/>
      <c r="F2766" s="6"/>
      <c r="G2766" s="6"/>
      <c r="H2766" s="6"/>
      <c r="I2766" s="6"/>
      <c r="J2766" s="6"/>
    </row>
    <row r="2767" spans="2:10" x14ac:dyDescent="0.25">
      <c r="B2767" s="5"/>
      <c r="C2767" s="6"/>
      <c r="D2767" s="6"/>
      <c r="E2767" s="6"/>
      <c r="F2767" s="6"/>
      <c r="G2767" s="6"/>
      <c r="H2767" s="6"/>
      <c r="I2767" s="6"/>
      <c r="J2767" s="6"/>
    </row>
    <row r="2768" spans="2:10" x14ac:dyDescent="0.25">
      <c r="B2768" s="5"/>
      <c r="C2768" s="6"/>
      <c r="D2768" s="6"/>
      <c r="E2768" s="6"/>
      <c r="F2768" s="6"/>
      <c r="G2768" s="6"/>
      <c r="H2768" s="6"/>
      <c r="I2768" s="6"/>
      <c r="J2768" s="6"/>
    </row>
    <row r="2769" spans="2:10" x14ac:dyDescent="0.25">
      <c r="B2769" s="5"/>
      <c r="C2769" s="6"/>
      <c r="D2769" s="6"/>
      <c r="E2769" s="6"/>
      <c r="F2769" s="6"/>
      <c r="G2769" s="6"/>
      <c r="H2769" s="6"/>
      <c r="I2769" s="6"/>
      <c r="J2769" s="6"/>
    </row>
    <row r="2770" spans="2:10" x14ac:dyDescent="0.25">
      <c r="B2770" s="5"/>
      <c r="C2770" s="6"/>
      <c r="D2770" s="6"/>
      <c r="E2770" s="6"/>
      <c r="F2770" s="6"/>
      <c r="G2770" s="6"/>
      <c r="H2770" s="6"/>
      <c r="I2770" s="6"/>
      <c r="J2770" s="6"/>
    </row>
    <row r="2771" spans="2:10" x14ac:dyDescent="0.25">
      <c r="B2771" s="5"/>
      <c r="C2771" s="6"/>
      <c r="D2771" s="6"/>
      <c r="E2771" s="6"/>
      <c r="F2771" s="6"/>
      <c r="G2771" s="6"/>
      <c r="H2771" s="6"/>
      <c r="I2771" s="6"/>
      <c r="J2771" s="6"/>
    </row>
    <row r="2772" spans="2:10" x14ac:dyDescent="0.25">
      <c r="B2772" s="5"/>
      <c r="C2772" s="6"/>
      <c r="D2772" s="6"/>
      <c r="E2772" s="6"/>
      <c r="F2772" s="6"/>
      <c r="G2772" s="6"/>
      <c r="H2772" s="6"/>
      <c r="I2772" s="6"/>
      <c r="J2772" s="6"/>
    </row>
    <row r="2773" spans="2:10" x14ac:dyDescent="0.25">
      <c r="B2773" s="5"/>
      <c r="C2773" s="6"/>
      <c r="D2773" s="6"/>
      <c r="E2773" s="6"/>
      <c r="F2773" s="6"/>
      <c r="G2773" s="6"/>
      <c r="H2773" s="6"/>
      <c r="I2773" s="6"/>
      <c r="J2773" s="6"/>
    </row>
    <row r="2774" spans="2:10" x14ac:dyDescent="0.25">
      <c r="B2774" s="5"/>
      <c r="C2774" s="6"/>
      <c r="D2774" s="6"/>
      <c r="E2774" s="6"/>
      <c r="F2774" s="6"/>
      <c r="G2774" s="6"/>
      <c r="H2774" s="6"/>
      <c r="I2774" s="6"/>
      <c r="J2774" s="6"/>
    </row>
    <row r="2775" spans="2:10" x14ac:dyDescent="0.25">
      <c r="B2775" s="5"/>
      <c r="C2775" s="6"/>
      <c r="D2775" s="6"/>
      <c r="E2775" s="6"/>
      <c r="F2775" s="6"/>
      <c r="G2775" s="6"/>
      <c r="H2775" s="6"/>
      <c r="I2775" s="6"/>
      <c r="J2775" s="6"/>
    </row>
    <row r="2776" spans="2:10" x14ac:dyDescent="0.25">
      <c r="B2776" s="5"/>
      <c r="C2776" s="6"/>
      <c r="D2776" s="6"/>
      <c r="E2776" s="6"/>
      <c r="F2776" s="6"/>
      <c r="G2776" s="6"/>
      <c r="H2776" s="6"/>
      <c r="I2776" s="6"/>
      <c r="J2776" s="6"/>
    </row>
    <row r="2777" spans="2:10" x14ac:dyDescent="0.25">
      <c r="B2777" s="5"/>
      <c r="C2777" s="6"/>
      <c r="D2777" s="6"/>
      <c r="E2777" s="6"/>
      <c r="F2777" s="6"/>
      <c r="G2777" s="6"/>
      <c r="H2777" s="6"/>
      <c r="I2777" s="6"/>
      <c r="J2777" s="6"/>
    </row>
    <row r="2778" spans="2:10" x14ac:dyDescent="0.25">
      <c r="B2778" s="5"/>
      <c r="C2778" s="6"/>
      <c r="D2778" s="6"/>
      <c r="E2778" s="6"/>
      <c r="F2778" s="6"/>
      <c r="G2778" s="6"/>
      <c r="H2778" s="6"/>
      <c r="I2778" s="6"/>
      <c r="J2778" s="6"/>
    </row>
    <row r="2779" spans="2:10" x14ac:dyDescent="0.25">
      <c r="B2779" s="5"/>
      <c r="C2779" s="6"/>
      <c r="D2779" s="6"/>
      <c r="E2779" s="6"/>
      <c r="F2779" s="6"/>
      <c r="G2779" s="6"/>
      <c r="H2779" s="6"/>
      <c r="I2779" s="6"/>
      <c r="J2779" s="6"/>
    </row>
    <row r="2780" spans="2:10" x14ac:dyDescent="0.25">
      <c r="B2780" s="5"/>
      <c r="C2780" s="6"/>
      <c r="D2780" s="6"/>
      <c r="E2780" s="6"/>
      <c r="F2780" s="6"/>
      <c r="G2780" s="6"/>
      <c r="H2780" s="6"/>
      <c r="I2780" s="6"/>
      <c r="J2780" s="6"/>
    </row>
    <row r="2781" spans="2:10" x14ac:dyDescent="0.25">
      <c r="B2781" s="5"/>
      <c r="C2781" s="6"/>
      <c r="D2781" s="6"/>
      <c r="E2781" s="6"/>
      <c r="F2781" s="6"/>
      <c r="G2781" s="6"/>
      <c r="H2781" s="6"/>
      <c r="I2781" s="6"/>
      <c r="J2781" s="6"/>
    </row>
    <row r="2782" spans="2:10" x14ac:dyDescent="0.25">
      <c r="B2782" s="5"/>
      <c r="C2782" s="6"/>
      <c r="D2782" s="6"/>
      <c r="E2782" s="6"/>
      <c r="F2782" s="6"/>
      <c r="G2782" s="6"/>
      <c r="H2782" s="6"/>
      <c r="I2782" s="6"/>
      <c r="J2782" s="6"/>
    </row>
    <row r="2783" spans="2:10" x14ac:dyDescent="0.25">
      <c r="B2783" s="5"/>
      <c r="C2783" s="6"/>
      <c r="D2783" s="6"/>
      <c r="E2783" s="6"/>
      <c r="F2783" s="6"/>
      <c r="G2783" s="6"/>
      <c r="H2783" s="6"/>
      <c r="I2783" s="6"/>
      <c r="J2783" s="6"/>
    </row>
    <row r="2784" spans="2:10" x14ac:dyDescent="0.25">
      <c r="B2784" s="5"/>
      <c r="C2784" s="6"/>
      <c r="D2784" s="6"/>
      <c r="E2784" s="6"/>
      <c r="F2784" s="6"/>
      <c r="G2784" s="6"/>
      <c r="H2784" s="6"/>
      <c r="I2784" s="6"/>
      <c r="J2784" s="6"/>
    </row>
    <row r="2785" spans="2:10" x14ac:dyDescent="0.25">
      <c r="B2785" s="5"/>
      <c r="C2785" s="6"/>
      <c r="D2785" s="6"/>
      <c r="E2785" s="6"/>
      <c r="F2785" s="6"/>
      <c r="G2785" s="6"/>
      <c r="H2785" s="6"/>
      <c r="I2785" s="6"/>
      <c r="J2785" s="6"/>
    </row>
    <row r="2786" spans="2:10" x14ac:dyDescent="0.25">
      <c r="B2786" s="5"/>
      <c r="C2786" s="6"/>
      <c r="D2786" s="6"/>
      <c r="E2786" s="6"/>
      <c r="F2786" s="6"/>
      <c r="G2786" s="6"/>
      <c r="H2786" s="6"/>
      <c r="I2786" s="6"/>
      <c r="J2786" s="6"/>
    </row>
    <row r="2787" spans="2:10" x14ac:dyDescent="0.25">
      <c r="B2787" s="5"/>
      <c r="C2787" s="6"/>
      <c r="D2787" s="6"/>
      <c r="E2787" s="6"/>
      <c r="F2787" s="6"/>
      <c r="G2787" s="6"/>
      <c r="H2787" s="6"/>
      <c r="I2787" s="6"/>
      <c r="J2787" s="6"/>
    </row>
    <row r="2788" spans="2:10" x14ac:dyDescent="0.25">
      <c r="B2788" s="5"/>
      <c r="C2788" s="6"/>
      <c r="D2788" s="6"/>
      <c r="E2788" s="6"/>
      <c r="F2788" s="6"/>
      <c r="G2788" s="6"/>
      <c r="H2788" s="6"/>
      <c r="I2788" s="6"/>
      <c r="J2788" s="6"/>
    </row>
    <row r="2789" spans="2:10" x14ac:dyDescent="0.25">
      <c r="B2789" s="5"/>
      <c r="C2789" s="6"/>
      <c r="D2789" s="6"/>
      <c r="E2789" s="6"/>
      <c r="F2789" s="6"/>
      <c r="G2789" s="6"/>
      <c r="H2789" s="6"/>
      <c r="I2789" s="6"/>
      <c r="J2789" s="6"/>
    </row>
    <row r="2790" spans="2:10" x14ac:dyDescent="0.25">
      <c r="B2790" s="5"/>
      <c r="C2790" s="6"/>
      <c r="D2790" s="6"/>
      <c r="E2790" s="6"/>
      <c r="F2790" s="6"/>
      <c r="G2790" s="6"/>
      <c r="H2790" s="6"/>
      <c r="I2790" s="6"/>
      <c r="J2790" s="6"/>
    </row>
    <row r="2791" spans="2:10" x14ac:dyDescent="0.25">
      <c r="B2791" s="5"/>
      <c r="C2791" s="6"/>
      <c r="D2791" s="6"/>
      <c r="E2791" s="6"/>
      <c r="F2791" s="6"/>
      <c r="G2791" s="6"/>
      <c r="H2791" s="6"/>
      <c r="I2791" s="6"/>
      <c r="J2791" s="6"/>
    </row>
    <row r="2792" spans="2:10" x14ac:dyDescent="0.25">
      <c r="B2792" s="5"/>
      <c r="C2792" s="6"/>
      <c r="D2792" s="6"/>
      <c r="E2792" s="6"/>
      <c r="F2792" s="6"/>
      <c r="G2792" s="6"/>
      <c r="H2792" s="6"/>
      <c r="I2792" s="6"/>
      <c r="J2792" s="6"/>
    </row>
    <row r="2793" spans="2:10" x14ac:dyDescent="0.25">
      <c r="B2793" s="5"/>
      <c r="C2793" s="6"/>
      <c r="D2793" s="6"/>
      <c r="E2793" s="6"/>
      <c r="F2793" s="6"/>
      <c r="G2793" s="6"/>
      <c r="H2793" s="6"/>
      <c r="I2793" s="6"/>
      <c r="J2793" s="6"/>
    </row>
    <row r="2794" spans="2:10" x14ac:dyDescent="0.25">
      <c r="B2794" s="5"/>
      <c r="C2794" s="6"/>
      <c r="D2794" s="6"/>
      <c r="E2794" s="6"/>
      <c r="F2794" s="6"/>
      <c r="G2794" s="6"/>
      <c r="H2794" s="6"/>
      <c r="I2794" s="6"/>
      <c r="J2794" s="6"/>
    </row>
    <row r="2795" spans="2:10" x14ac:dyDescent="0.25">
      <c r="B2795" s="5"/>
      <c r="C2795" s="6"/>
      <c r="D2795" s="6"/>
      <c r="E2795" s="6"/>
      <c r="F2795" s="6"/>
      <c r="G2795" s="6"/>
      <c r="H2795" s="6"/>
      <c r="I2795" s="6"/>
      <c r="J2795" s="6"/>
    </row>
    <row r="2796" spans="2:10" x14ac:dyDescent="0.25">
      <c r="B2796" s="5"/>
      <c r="C2796" s="6"/>
      <c r="D2796" s="6"/>
      <c r="E2796" s="6"/>
      <c r="F2796" s="6"/>
      <c r="G2796" s="6"/>
      <c r="H2796" s="6"/>
      <c r="I2796" s="6"/>
      <c r="J2796" s="6"/>
    </row>
    <row r="2797" spans="2:10" x14ac:dyDescent="0.25">
      <c r="B2797" s="5"/>
      <c r="C2797" s="6"/>
      <c r="D2797" s="6"/>
      <c r="E2797" s="6"/>
      <c r="F2797" s="6"/>
      <c r="G2797" s="6"/>
      <c r="H2797" s="6"/>
      <c r="I2797" s="6"/>
      <c r="J2797" s="6"/>
    </row>
    <row r="2798" spans="2:10" x14ac:dyDescent="0.25">
      <c r="B2798" s="5"/>
      <c r="C2798" s="6"/>
      <c r="D2798" s="6"/>
      <c r="E2798" s="6"/>
      <c r="F2798" s="6"/>
      <c r="G2798" s="6"/>
      <c r="H2798" s="6"/>
      <c r="I2798" s="6"/>
      <c r="J2798" s="6"/>
    </row>
    <row r="2799" spans="2:10" x14ac:dyDescent="0.25">
      <c r="B2799" s="5"/>
      <c r="C2799" s="6"/>
      <c r="D2799" s="6"/>
      <c r="E2799" s="6"/>
      <c r="F2799" s="6"/>
      <c r="G2799" s="6"/>
      <c r="H2799" s="6"/>
      <c r="I2799" s="6"/>
      <c r="J2799" s="6"/>
    </row>
    <row r="2800" spans="2:10" x14ac:dyDescent="0.25">
      <c r="B2800" s="5"/>
      <c r="C2800" s="6"/>
      <c r="D2800" s="6"/>
      <c r="E2800" s="6"/>
      <c r="F2800" s="6"/>
      <c r="G2800" s="6"/>
      <c r="H2800" s="6"/>
      <c r="I2800" s="6"/>
      <c r="J2800" s="6"/>
    </row>
    <row r="2801" spans="2:10" x14ac:dyDescent="0.25">
      <c r="B2801" s="5"/>
      <c r="C2801" s="6"/>
      <c r="D2801" s="6"/>
      <c r="E2801" s="6"/>
      <c r="F2801" s="6"/>
      <c r="G2801" s="6"/>
      <c r="H2801" s="6"/>
      <c r="I2801" s="6"/>
      <c r="J2801" s="6"/>
    </row>
    <row r="2802" spans="2:10" x14ac:dyDescent="0.25">
      <c r="B2802" s="5"/>
      <c r="C2802" s="6"/>
      <c r="D2802" s="6"/>
      <c r="E2802" s="6"/>
      <c r="F2802" s="6"/>
      <c r="G2802" s="6"/>
      <c r="H2802" s="6"/>
      <c r="I2802" s="6"/>
      <c r="J2802" s="6"/>
    </row>
    <row r="2803" spans="2:10" x14ac:dyDescent="0.25">
      <c r="B2803" s="5"/>
      <c r="C2803" s="6"/>
      <c r="D2803" s="6"/>
      <c r="E2803" s="6"/>
      <c r="F2803" s="6"/>
      <c r="G2803" s="6"/>
      <c r="H2803" s="6"/>
      <c r="I2803" s="6"/>
      <c r="J2803" s="6"/>
    </row>
    <row r="2804" spans="2:10" x14ac:dyDescent="0.25">
      <c r="B2804" s="5"/>
      <c r="C2804" s="6"/>
      <c r="D2804" s="6"/>
      <c r="E2804" s="6"/>
      <c r="F2804" s="6"/>
      <c r="G2804" s="6"/>
      <c r="H2804" s="6"/>
      <c r="I2804" s="6"/>
      <c r="J2804" s="6"/>
    </row>
    <row r="2805" spans="2:10" x14ac:dyDescent="0.25">
      <c r="B2805" s="5"/>
      <c r="C2805" s="6"/>
      <c r="D2805" s="6"/>
      <c r="E2805" s="6"/>
      <c r="F2805" s="6"/>
      <c r="G2805" s="6"/>
      <c r="H2805" s="6"/>
      <c r="I2805" s="6"/>
      <c r="J2805" s="6"/>
    </row>
    <row r="2806" spans="2:10" x14ac:dyDescent="0.25">
      <c r="B2806" s="5"/>
      <c r="C2806" s="6"/>
      <c r="D2806" s="6"/>
      <c r="E2806" s="6"/>
      <c r="F2806" s="6"/>
      <c r="G2806" s="6"/>
      <c r="H2806" s="6"/>
      <c r="I2806" s="6"/>
      <c r="J2806" s="6"/>
    </row>
    <row r="2807" spans="2:10" x14ac:dyDescent="0.25">
      <c r="B2807" s="5"/>
      <c r="C2807" s="6"/>
      <c r="D2807" s="6"/>
      <c r="E2807" s="6"/>
      <c r="F2807" s="6"/>
      <c r="G2807" s="6"/>
      <c r="H2807" s="6"/>
      <c r="I2807" s="6"/>
      <c r="J2807" s="6"/>
    </row>
    <row r="2808" spans="2:10" x14ac:dyDescent="0.25">
      <c r="B2808" s="5"/>
      <c r="C2808" s="6"/>
      <c r="D2808" s="6"/>
      <c r="E2808" s="6"/>
      <c r="F2808" s="6"/>
      <c r="G2808" s="6"/>
      <c r="H2808" s="6"/>
      <c r="I2808" s="6"/>
      <c r="J2808" s="6"/>
    </row>
    <row r="2809" spans="2:10" x14ac:dyDescent="0.25">
      <c r="B2809" s="5"/>
      <c r="C2809" s="6"/>
      <c r="D2809" s="6"/>
      <c r="E2809" s="6"/>
      <c r="F2809" s="6"/>
      <c r="G2809" s="6"/>
      <c r="H2809" s="6"/>
      <c r="I2809" s="6"/>
      <c r="J2809" s="6"/>
    </row>
    <row r="2810" spans="2:10" x14ac:dyDescent="0.25">
      <c r="B2810" s="5"/>
      <c r="C2810" s="6"/>
      <c r="D2810" s="6"/>
      <c r="E2810" s="6"/>
      <c r="F2810" s="6"/>
      <c r="G2810" s="6"/>
      <c r="H2810" s="6"/>
      <c r="I2810" s="6"/>
      <c r="J2810" s="6"/>
    </row>
    <row r="2811" spans="2:10" x14ac:dyDescent="0.25">
      <c r="B2811" s="5"/>
      <c r="C2811" s="6"/>
      <c r="D2811" s="6"/>
      <c r="E2811" s="6"/>
      <c r="F2811" s="6"/>
      <c r="G2811" s="6"/>
      <c r="H2811" s="6"/>
      <c r="I2811" s="6"/>
      <c r="J2811" s="6"/>
    </row>
    <row r="2812" spans="2:10" x14ac:dyDescent="0.25">
      <c r="B2812" s="5"/>
      <c r="C2812" s="6"/>
      <c r="D2812" s="6"/>
      <c r="E2812" s="6"/>
      <c r="F2812" s="6"/>
      <c r="G2812" s="6"/>
      <c r="H2812" s="6"/>
      <c r="I2812" s="6"/>
      <c r="J2812" s="6"/>
    </row>
    <row r="2813" spans="2:10" x14ac:dyDescent="0.25">
      <c r="B2813" s="5"/>
      <c r="C2813" s="6"/>
      <c r="D2813" s="6"/>
      <c r="E2813" s="6"/>
      <c r="F2813" s="6"/>
      <c r="G2813" s="6"/>
      <c r="H2813" s="6"/>
      <c r="I2813" s="6"/>
      <c r="J2813" s="6"/>
    </row>
    <row r="2814" spans="2:10" x14ac:dyDescent="0.25">
      <c r="B2814" s="5"/>
      <c r="C2814" s="6"/>
      <c r="D2814" s="6"/>
      <c r="E2814" s="6"/>
      <c r="F2814" s="6"/>
      <c r="G2814" s="6"/>
      <c r="H2814" s="6"/>
      <c r="I2814" s="6"/>
      <c r="J2814" s="6"/>
    </row>
    <row r="2815" spans="2:10" x14ac:dyDescent="0.25">
      <c r="B2815" s="5"/>
      <c r="C2815" s="6"/>
      <c r="D2815" s="6"/>
      <c r="E2815" s="6"/>
      <c r="F2815" s="6"/>
      <c r="G2815" s="6"/>
      <c r="H2815" s="6"/>
      <c r="I2815" s="6"/>
      <c r="J2815" s="6"/>
    </row>
    <row r="2816" spans="2:10" x14ac:dyDescent="0.25">
      <c r="B2816" s="5"/>
      <c r="C2816" s="6"/>
      <c r="D2816" s="6"/>
      <c r="E2816" s="6"/>
      <c r="F2816" s="6"/>
      <c r="G2816" s="6"/>
      <c r="H2816" s="6"/>
      <c r="I2816" s="6"/>
      <c r="J2816" s="6"/>
    </row>
    <row r="2817" spans="2:10" x14ac:dyDescent="0.25">
      <c r="B2817" s="5"/>
      <c r="C2817" s="6"/>
      <c r="D2817" s="6"/>
      <c r="E2817" s="6"/>
      <c r="F2817" s="6"/>
      <c r="G2817" s="6"/>
      <c r="H2817" s="6"/>
      <c r="I2817" s="6"/>
      <c r="J2817" s="6"/>
    </row>
    <row r="2818" spans="2:10" x14ac:dyDescent="0.25">
      <c r="B2818" s="5"/>
      <c r="C2818" s="6"/>
      <c r="D2818" s="6"/>
      <c r="E2818" s="6"/>
      <c r="F2818" s="6"/>
      <c r="G2818" s="6"/>
      <c r="H2818" s="6"/>
      <c r="I2818" s="6"/>
      <c r="J2818" s="6"/>
    </row>
    <row r="2819" spans="2:10" x14ac:dyDescent="0.25">
      <c r="B2819" s="5"/>
      <c r="C2819" s="6"/>
      <c r="D2819" s="6"/>
      <c r="E2819" s="6"/>
      <c r="F2819" s="6"/>
      <c r="G2819" s="6"/>
      <c r="H2819" s="6"/>
      <c r="I2819" s="6"/>
      <c r="J2819" s="6"/>
    </row>
    <row r="2820" spans="2:10" x14ac:dyDescent="0.25">
      <c r="B2820" s="5"/>
      <c r="C2820" s="6"/>
      <c r="D2820" s="6"/>
      <c r="E2820" s="6"/>
      <c r="F2820" s="6"/>
      <c r="G2820" s="6"/>
      <c r="H2820" s="6"/>
      <c r="I2820" s="6"/>
      <c r="J2820" s="6"/>
    </row>
    <row r="2821" spans="2:10" x14ac:dyDescent="0.25">
      <c r="B2821" s="5"/>
      <c r="C2821" s="6"/>
      <c r="D2821" s="6"/>
      <c r="E2821" s="6"/>
      <c r="F2821" s="6"/>
      <c r="G2821" s="6"/>
      <c r="H2821" s="6"/>
      <c r="I2821" s="6"/>
      <c r="J2821" s="6"/>
    </row>
    <row r="2822" spans="2:10" x14ac:dyDescent="0.25">
      <c r="B2822" s="5"/>
      <c r="C2822" s="6"/>
      <c r="D2822" s="6"/>
      <c r="E2822" s="6"/>
      <c r="F2822" s="6"/>
      <c r="G2822" s="6"/>
      <c r="H2822" s="6"/>
      <c r="I2822" s="6"/>
      <c r="J2822" s="6"/>
    </row>
    <row r="2823" spans="2:10" x14ac:dyDescent="0.25">
      <c r="B2823" s="5"/>
      <c r="C2823" s="6"/>
      <c r="D2823" s="6"/>
      <c r="E2823" s="6"/>
      <c r="F2823" s="6"/>
      <c r="G2823" s="6"/>
      <c r="H2823" s="6"/>
      <c r="I2823" s="6"/>
      <c r="J2823" s="6"/>
    </row>
    <row r="2824" spans="2:10" x14ac:dyDescent="0.25">
      <c r="B2824" s="5"/>
      <c r="C2824" s="6"/>
      <c r="D2824" s="6"/>
      <c r="E2824" s="6"/>
      <c r="F2824" s="6"/>
      <c r="G2824" s="6"/>
      <c r="H2824" s="6"/>
      <c r="I2824" s="6"/>
      <c r="J2824" s="6"/>
    </row>
    <row r="2825" spans="2:10" x14ac:dyDescent="0.25">
      <c r="B2825" s="5"/>
      <c r="C2825" s="6"/>
      <c r="D2825" s="6"/>
      <c r="E2825" s="6"/>
      <c r="F2825" s="6"/>
      <c r="G2825" s="6"/>
      <c r="H2825" s="6"/>
      <c r="I2825" s="6"/>
      <c r="J2825" s="6"/>
    </row>
    <row r="2826" spans="2:10" x14ac:dyDescent="0.25">
      <c r="B2826" s="5"/>
      <c r="C2826" s="6"/>
      <c r="D2826" s="6"/>
      <c r="E2826" s="6"/>
      <c r="F2826" s="6"/>
      <c r="G2826" s="6"/>
      <c r="H2826" s="6"/>
      <c r="I2826" s="6"/>
      <c r="J2826" s="6"/>
    </row>
    <row r="2827" spans="2:10" x14ac:dyDescent="0.25">
      <c r="B2827" s="5"/>
      <c r="C2827" s="6"/>
      <c r="D2827" s="6"/>
      <c r="E2827" s="6"/>
      <c r="F2827" s="6"/>
      <c r="G2827" s="6"/>
      <c r="H2827" s="6"/>
      <c r="I2827" s="6"/>
      <c r="J2827" s="6"/>
    </row>
    <row r="2828" spans="2:10" x14ac:dyDescent="0.25">
      <c r="B2828" s="5"/>
      <c r="C2828" s="6"/>
      <c r="D2828" s="6"/>
      <c r="E2828" s="6"/>
      <c r="F2828" s="6"/>
      <c r="G2828" s="6"/>
      <c r="H2828" s="6"/>
      <c r="I2828" s="6"/>
      <c r="J2828" s="6"/>
    </row>
    <row r="2829" spans="2:10" x14ac:dyDescent="0.25">
      <c r="B2829" s="5"/>
      <c r="C2829" s="6"/>
      <c r="D2829" s="6"/>
      <c r="E2829" s="6"/>
      <c r="F2829" s="6"/>
      <c r="G2829" s="6"/>
      <c r="H2829" s="6"/>
      <c r="I2829" s="6"/>
      <c r="J2829" s="6"/>
    </row>
    <row r="2830" spans="2:10" x14ac:dyDescent="0.25">
      <c r="B2830" s="5"/>
      <c r="C2830" s="6"/>
      <c r="D2830" s="6"/>
      <c r="E2830" s="6"/>
      <c r="F2830" s="6"/>
      <c r="G2830" s="6"/>
      <c r="H2830" s="6"/>
      <c r="I2830" s="6"/>
      <c r="J2830" s="6"/>
    </row>
    <row r="2831" spans="2:10" x14ac:dyDescent="0.25">
      <c r="B2831" s="5"/>
      <c r="C2831" s="6"/>
      <c r="D2831" s="6"/>
      <c r="E2831" s="6"/>
      <c r="F2831" s="6"/>
      <c r="G2831" s="6"/>
      <c r="H2831" s="6"/>
      <c r="I2831" s="6"/>
      <c r="J2831" s="6"/>
    </row>
    <row r="2832" spans="2:10" x14ac:dyDescent="0.25">
      <c r="B2832" s="5"/>
      <c r="C2832" s="6"/>
      <c r="D2832" s="6"/>
      <c r="E2832" s="6"/>
      <c r="F2832" s="6"/>
      <c r="G2832" s="6"/>
      <c r="H2832" s="6"/>
      <c r="I2832" s="6"/>
      <c r="J2832" s="6"/>
    </row>
    <row r="2833" spans="2:10" x14ac:dyDescent="0.25">
      <c r="B2833" s="5"/>
      <c r="C2833" s="6"/>
      <c r="D2833" s="6"/>
      <c r="E2833" s="6"/>
      <c r="F2833" s="6"/>
      <c r="G2833" s="6"/>
      <c r="H2833" s="6"/>
      <c r="I2833" s="6"/>
      <c r="J2833" s="6"/>
    </row>
    <row r="2834" spans="2:10" x14ac:dyDescent="0.25">
      <c r="B2834" s="5"/>
      <c r="C2834" s="6"/>
      <c r="D2834" s="6"/>
      <c r="E2834" s="6"/>
      <c r="F2834" s="6"/>
      <c r="G2834" s="6"/>
      <c r="H2834" s="6"/>
      <c r="I2834" s="6"/>
      <c r="J2834" s="6"/>
    </row>
    <row r="2835" spans="2:10" x14ac:dyDescent="0.25">
      <c r="B2835" s="5"/>
      <c r="C2835" s="6"/>
      <c r="D2835" s="6"/>
      <c r="E2835" s="6"/>
      <c r="F2835" s="6"/>
      <c r="G2835" s="6"/>
      <c r="H2835" s="6"/>
      <c r="I2835" s="6"/>
      <c r="J2835" s="6"/>
    </row>
    <row r="2836" spans="2:10" x14ac:dyDescent="0.25">
      <c r="B2836" s="5"/>
      <c r="C2836" s="6"/>
      <c r="D2836" s="6"/>
      <c r="E2836" s="6"/>
      <c r="F2836" s="6"/>
      <c r="G2836" s="6"/>
      <c r="H2836" s="6"/>
      <c r="I2836" s="6"/>
      <c r="J2836" s="6"/>
    </row>
    <row r="2837" spans="2:10" x14ac:dyDescent="0.25">
      <c r="B2837" s="5"/>
      <c r="C2837" s="6"/>
      <c r="D2837" s="6"/>
      <c r="E2837" s="6"/>
      <c r="F2837" s="6"/>
      <c r="G2837" s="6"/>
      <c r="H2837" s="6"/>
      <c r="I2837" s="6"/>
      <c r="J2837" s="6"/>
    </row>
    <row r="2838" spans="2:10" x14ac:dyDescent="0.25">
      <c r="B2838" s="5"/>
      <c r="C2838" s="6"/>
      <c r="D2838" s="6"/>
      <c r="E2838" s="6"/>
      <c r="F2838" s="6"/>
      <c r="G2838" s="6"/>
      <c r="H2838" s="6"/>
      <c r="I2838" s="6"/>
      <c r="J2838" s="6"/>
    </row>
    <row r="2839" spans="2:10" x14ac:dyDescent="0.25">
      <c r="B2839" s="5"/>
      <c r="C2839" s="6"/>
      <c r="D2839" s="6"/>
      <c r="E2839" s="6"/>
      <c r="F2839" s="6"/>
      <c r="G2839" s="6"/>
      <c r="H2839" s="6"/>
      <c r="I2839" s="6"/>
      <c r="J2839" s="6"/>
    </row>
    <row r="2840" spans="2:10" x14ac:dyDescent="0.25">
      <c r="B2840" s="5"/>
      <c r="C2840" s="6"/>
      <c r="D2840" s="6"/>
      <c r="E2840" s="6"/>
      <c r="F2840" s="6"/>
      <c r="G2840" s="6"/>
      <c r="H2840" s="6"/>
      <c r="I2840" s="6"/>
      <c r="J2840" s="6"/>
    </row>
    <row r="2841" spans="2:10" x14ac:dyDescent="0.25">
      <c r="B2841" s="5"/>
      <c r="C2841" s="6"/>
      <c r="D2841" s="6"/>
      <c r="E2841" s="6"/>
      <c r="F2841" s="6"/>
      <c r="G2841" s="6"/>
      <c r="H2841" s="6"/>
      <c r="I2841" s="6"/>
      <c r="J2841" s="6"/>
    </row>
    <row r="2842" spans="2:10" x14ac:dyDescent="0.25">
      <c r="B2842" s="5"/>
      <c r="C2842" s="6"/>
      <c r="D2842" s="6"/>
      <c r="E2842" s="6"/>
      <c r="F2842" s="6"/>
      <c r="G2842" s="6"/>
      <c r="H2842" s="6"/>
      <c r="I2842" s="6"/>
      <c r="J2842" s="6"/>
    </row>
    <row r="2843" spans="2:10" x14ac:dyDescent="0.25">
      <c r="B2843" s="5"/>
      <c r="C2843" s="6"/>
      <c r="D2843" s="6"/>
      <c r="E2843" s="6"/>
      <c r="F2843" s="6"/>
      <c r="G2843" s="6"/>
      <c r="H2843" s="6"/>
      <c r="I2843" s="6"/>
      <c r="J2843" s="6"/>
    </row>
    <row r="2844" spans="2:10" x14ac:dyDescent="0.25">
      <c r="B2844" s="5"/>
      <c r="C2844" s="6"/>
      <c r="D2844" s="6"/>
      <c r="E2844" s="6"/>
      <c r="F2844" s="6"/>
      <c r="G2844" s="6"/>
      <c r="H2844" s="6"/>
      <c r="I2844" s="6"/>
      <c r="J2844" s="6"/>
    </row>
    <row r="2845" spans="2:10" x14ac:dyDescent="0.25">
      <c r="B2845" s="5"/>
      <c r="C2845" s="6"/>
      <c r="D2845" s="6"/>
      <c r="E2845" s="6"/>
      <c r="F2845" s="6"/>
      <c r="G2845" s="6"/>
      <c r="H2845" s="6"/>
      <c r="I2845" s="6"/>
      <c r="J2845" s="6"/>
    </row>
    <row r="2846" spans="2:10" x14ac:dyDescent="0.25">
      <c r="B2846" s="5"/>
      <c r="C2846" s="6"/>
      <c r="D2846" s="6"/>
      <c r="E2846" s="6"/>
      <c r="F2846" s="6"/>
      <c r="G2846" s="6"/>
      <c r="H2846" s="6"/>
      <c r="I2846" s="6"/>
      <c r="J2846" s="6"/>
    </row>
    <row r="2847" spans="2:10" x14ac:dyDescent="0.25">
      <c r="B2847" s="5"/>
      <c r="C2847" s="6"/>
      <c r="D2847" s="6"/>
      <c r="E2847" s="6"/>
      <c r="F2847" s="6"/>
      <c r="G2847" s="6"/>
      <c r="H2847" s="6"/>
      <c r="I2847" s="6"/>
      <c r="J2847" s="6"/>
    </row>
    <row r="2848" spans="2:10" x14ac:dyDescent="0.25">
      <c r="B2848" s="5"/>
      <c r="C2848" s="6"/>
      <c r="D2848" s="6"/>
      <c r="E2848" s="6"/>
      <c r="F2848" s="6"/>
      <c r="G2848" s="6"/>
      <c r="H2848" s="6"/>
      <c r="I2848" s="6"/>
      <c r="J2848" s="6"/>
    </row>
    <row r="2849" spans="2:10" x14ac:dyDescent="0.25">
      <c r="B2849" s="5"/>
      <c r="C2849" s="6"/>
      <c r="D2849" s="6"/>
      <c r="E2849" s="6"/>
      <c r="F2849" s="6"/>
      <c r="G2849" s="6"/>
      <c r="H2849" s="6"/>
      <c r="I2849" s="6"/>
      <c r="J2849" s="6"/>
    </row>
    <row r="2850" spans="2:10" x14ac:dyDescent="0.25">
      <c r="B2850" s="5"/>
      <c r="C2850" s="6"/>
      <c r="D2850" s="6"/>
      <c r="E2850" s="6"/>
      <c r="F2850" s="6"/>
      <c r="G2850" s="6"/>
      <c r="H2850" s="6"/>
      <c r="I2850" s="6"/>
      <c r="J2850" s="6"/>
    </row>
    <row r="2851" spans="2:10" x14ac:dyDescent="0.25">
      <c r="B2851" s="5"/>
      <c r="C2851" s="6"/>
      <c r="D2851" s="6"/>
      <c r="E2851" s="6"/>
      <c r="F2851" s="6"/>
      <c r="G2851" s="6"/>
      <c r="H2851" s="6"/>
      <c r="I2851" s="6"/>
      <c r="J2851" s="6"/>
    </row>
    <row r="2852" spans="2:10" x14ac:dyDescent="0.25">
      <c r="B2852" s="5"/>
      <c r="C2852" s="6"/>
      <c r="D2852" s="6"/>
      <c r="E2852" s="6"/>
      <c r="F2852" s="6"/>
      <c r="G2852" s="6"/>
      <c r="H2852" s="6"/>
      <c r="I2852" s="6"/>
      <c r="J2852" s="6"/>
    </row>
    <row r="2853" spans="2:10" x14ac:dyDescent="0.25">
      <c r="B2853" s="5"/>
      <c r="C2853" s="6"/>
      <c r="D2853" s="6"/>
      <c r="E2853" s="6"/>
      <c r="F2853" s="6"/>
      <c r="G2853" s="6"/>
      <c r="H2853" s="6"/>
      <c r="I2853" s="6"/>
      <c r="J2853" s="6"/>
    </row>
    <row r="2854" spans="2:10" x14ac:dyDescent="0.25">
      <c r="B2854" s="5"/>
      <c r="C2854" s="6"/>
      <c r="D2854" s="6"/>
      <c r="E2854" s="6"/>
      <c r="F2854" s="6"/>
      <c r="G2854" s="6"/>
      <c r="H2854" s="6"/>
      <c r="I2854" s="6"/>
      <c r="J2854" s="6"/>
    </row>
    <row r="2855" spans="2:10" x14ac:dyDescent="0.25">
      <c r="B2855" s="5"/>
      <c r="C2855" s="6"/>
      <c r="D2855" s="6"/>
      <c r="E2855" s="6"/>
      <c r="F2855" s="6"/>
      <c r="G2855" s="6"/>
      <c r="H2855" s="6"/>
      <c r="I2855" s="6"/>
      <c r="J2855" s="6"/>
    </row>
    <row r="2856" spans="2:10" x14ac:dyDescent="0.25">
      <c r="B2856" s="5"/>
      <c r="C2856" s="6"/>
      <c r="D2856" s="6"/>
      <c r="E2856" s="6"/>
      <c r="F2856" s="6"/>
      <c r="G2856" s="6"/>
      <c r="H2856" s="6"/>
      <c r="I2856" s="6"/>
      <c r="J2856" s="6"/>
    </row>
    <row r="2857" spans="2:10" x14ac:dyDescent="0.25">
      <c r="B2857" s="5"/>
      <c r="C2857" s="6"/>
      <c r="D2857" s="6"/>
      <c r="E2857" s="6"/>
      <c r="F2857" s="6"/>
      <c r="G2857" s="6"/>
      <c r="H2857" s="6"/>
      <c r="I2857" s="6"/>
      <c r="J2857" s="6"/>
    </row>
    <row r="2858" spans="2:10" x14ac:dyDescent="0.25">
      <c r="B2858" s="5"/>
      <c r="C2858" s="6"/>
      <c r="D2858" s="6"/>
      <c r="E2858" s="6"/>
      <c r="F2858" s="6"/>
      <c r="G2858" s="6"/>
      <c r="H2858" s="6"/>
      <c r="I2858" s="6"/>
      <c r="J2858" s="6"/>
    </row>
    <row r="2859" spans="2:10" x14ac:dyDescent="0.25">
      <c r="B2859" s="5"/>
      <c r="C2859" s="6"/>
      <c r="D2859" s="6"/>
      <c r="E2859" s="6"/>
      <c r="F2859" s="6"/>
      <c r="G2859" s="6"/>
      <c r="H2859" s="6"/>
      <c r="I2859" s="6"/>
      <c r="J2859" s="6"/>
    </row>
    <row r="2860" spans="2:10" x14ac:dyDescent="0.25">
      <c r="B2860" s="5"/>
      <c r="C2860" s="6"/>
      <c r="D2860" s="6"/>
      <c r="E2860" s="6"/>
      <c r="F2860" s="6"/>
      <c r="G2860" s="6"/>
      <c r="H2860" s="6"/>
      <c r="I2860" s="6"/>
      <c r="J2860" s="6"/>
    </row>
    <row r="2861" spans="2:10" x14ac:dyDescent="0.25">
      <c r="B2861" s="5"/>
      <c r="C2861" s="6"/>
      <c r="D2861" s="6"/>
      <c r="E2861" s="6"/>
      <c r="F2861" s="6"/>
      <c r="G2861" s="6"/>
      <c r="H2861" s="6"/>
      <c r="I2861" s="6"/>
      <c r="J2861" s="6"/>
    </row>
    <row r="2862" spans="2:10" x14ac:dyDescent="0.25">
      <c r="B2862" s="5"/>
      <c r="C2862" s="6"/>
      <c r="D2862" s="6"/>
      <c r="E2862" s="6"/>
      <c r="F2862" s="6"/>
      <c r="G2862" s="6"/>
      <c r="H2862" s="6"/>
      <c r="I2862" s="6"/>
      <c r="J2862" s="6"/>
    </row>
    <row r="2863" spans="2:10" x14ac:dyDescent="0.25">
      <c r="B2863" s="5"/>
      <c r="C2863" s="6"/>
      <c r="D2863" s="6"/>
      <c r="E2863" s="6"/>
      <c r="F2863" s="6"/>
      <c r="G2863" s="6"/>
      <c r="H2863" s="6"/>
      <c r="I2863" s="6"/>
      <c r="J2863" s="6"/>
    </row>
    <row r="2864" spans="2:10" x14ac:dyDescent="0.25">
      <c r="B2864" s="5"/>
      <c r="C2864" s="6"/>
      <c r="D2864" s="6"/>
      <c r="E2864" s="6"/>
      <c r="F2864" s="6"/>
      <c r="G2864" s="6"/>
      <c r="H2864" s="6"/>
      <c r="I2864" s="6"/>
      <c r="J2864" s="6"/>
    </row>
    <row r="2865" spans="2:10" x14ac:dyDescent="0.25">
      <c r="B2865" s="5"/>
      <c r="C2865" s="6"/>
      <c r="D2865" s="6"/>
      <c r="E2865" s="6"/>
      <c r="F2865" s="6"/>
      <c r="G2865" s="6"/>
      <c r="H2865" s="6"/>
      <c r="I2865" s="6"/>
      <c r="J2865" s="6"/>
    </row>
    <row r="2866" spans="2:10" x14ac:dyDescent="0.25">
      <c r="B2866" s="5"/>
      <c r="C2866" s="6"/>
      <c r="D2866" s="6"/>
      <c r="E2866" s="6"/>
      <c r="F2866" s="6"/>
      <c r="G2866" s="6"/>
      <c r="H2866" s="6"/>
      <c r="I2866" s="6"/>
      <c r="J2866" s="6"/>
    </row>
    <row r="2867" spans="2:10" x14ac:dyDescent="0.25">
      <c r="B2867" s="5"/>
      <c r="C2867" s="6"/>
      <c r="D2867" s="6"/>
      <c r="E2867" s="6"/>
      <c r="F2867" s="6"/>
      <c r="G2867" s="6"/>
      <c r="H2867" s="6"/>
      <c r="I2867" s="6"/>
      <c r="J2867" s="6"/>
    </row>
    <row r="2868" spans="2:10" x14ac:dyDescent="0.25">
      <c r="B2868" s="5"/>
      <c r="C2868" s="6"/>
      <c r="D2868" s="6"/>
      <c r="E2868" s="6"/>
      <c r="F2868" s="6"/>
      <c r="G2868" s="6"/>
      <c r="H2868" s="6"/>
      <c r="I2868" s="6"/>
      <c r="J2868" s="6"/>
    </row>
    <row r="2869" spans="2:10" x14ac:dyDescent="0.25">
      <c r="B2869" s="5"/>
      <c r="C2869" s="6"/>
      <c r="D2869" s="6"/>
      <c r="E2869" s="6"/>
      <c r="F2869" s="6"/>
      <c r="G2869" s="6"/>
      <c r="H2869" s="6"/>
      <c r="I2869" s="6"/>
      <c r="J2869" s="6"/>
    </row>
    <row r="2870" spans="2:10" x14ac:dyDescent="0.25">
      <c r="B2870" s="5"/>
      <c r="C2870" s="6"/>
      <c r="D2870" s="6"/>
      <c r="E2870" s="6"/>
      <c r="F2870" s="6"/>
      <c r="G2870" s="6"/>
      <c r="H2870" s="6"/>
      <c r="I2870" s="6"/>
      <c r="J2870" s="6"/>
    </row>
    <row r="2871" spans="2:10" x14ac:dyDescent="0.25">
      <c r="B2871" s="5"/>
      <c r="C2871" s="6"/>
      <c r="D2871" s="6"/>
      <c r="E2871" s="6"/>
      <c r="F2871" s="6"/>
      <c r="G2871" s="6"/>
      <c r="H2871" s="6"/>
      <c r="I2871" s="6"/>
      <c r="J2871" s="6"/>
    </row>
    <row r="2872" spans="2:10" x14ac:dyDescent="0.25">
      <c r="B2872" s="5"/>
      <c r="C2872" s="6"/>
      <c r="D2872" s="6"/>
      <c r="E2872" s="6"/>
      <c r="F2872" s="6"/>
      <c r="G2872" s="6"/>
      <c r="H2872" s="6"/>
      <c r="I2872" s="6"/>
      <c r="J2872" s="6"/>
    </row>
    <row r="2873" spans="2:10" x14ac:dyDescent="0.25">
      <c r="B2873" s="5"/>
      <c r="C2873" s="6"/>
      <c r="D2873" s="6"/>
      <c r="E2873" s="6"/>
      <c r="F2873" s="6"/>
      <c r="G2873" s="6"/>
      <c r="H2873" s="6"/>
      <c r="I2873" s="6"/>
      <c r="J2873" s="6"/>
    </row>
    <row r="2874" spans="2:10" x14ac:dyDescent="0.25">
      <c r="B2874" s="5"/>
      <c r="C2874" s="6"/>
      <c r="D2874" s="6"/>
      <c r="E2874" s="6"/>
      <c r="F2874" s="6"/>
      <c r="G2874" s="6"/>
      <c r="H2874" s="6"/>
      <c r="I2874" s="6"/>
      <c r="J2874" s="6"/>
    </row>
    <row r="2875" spans="2:10" x14ac:dyDescent="0.25">
      <c r="B2875" s="5"/>
      <c r="C2875" s="6"/>
      <c r="D2875" s="6"/>
      <c r="E2875" s="6"/>
      <c r="F2875" s="6"/>
      <c r="G2875" s="6"/>
      <c r="H2875" s="6"/>
      <c r="I2875" s="6"/>
      <c r="J2875" s="6"/>
    </row>
    <row r="2876" spans="2:10" x14ac:dyDescent="0.25">
      <c r="B2876" s="5"/>
      <c r="C2876" s="6"/>
      <c r="D2876" s="6"/>
      <c r="E2876" s="6"/>
      <c r="F2876" s="6"/>
      <c r="G2876" s="6"/>
      <c r="H2876" s="6"/>
      <c r="I2876" s="6"/>
      <c r="J2876" s="6"/>
    </row>
    <row r="2877" spans="2:10" x14ac:dyDescent="0.25">
      <c r="B2877" s="5"/>
      <c r="C2877" s="6"/>
      <c r="D2877" s="6"/>
      <c r="E2877" s="6"/>
      <c r="F2877" s="6"/>
      <c r="G2877" s="6"/>
      <c r="H2877" s="6"/>
      <c r="I2877" s="6"/>
      <c r="J2877" s="6"/>
    </row>
    <row r="2878" spans="2:10" x14ac:dyDescent="0.25">
      <c r="B2878" s="5"/>
      <c r="C2878" s="6"/>
      <c r="D2878" s="6"/>
      <c r="E2878" s="6"/>
      <c r="F2878" s="6"/>
      <c r="G2878" s="6"/>
      <c r="H2878" s="6"/>
      <c r="I2878" s="6"/>
      <c r="J2878" s="6"/>
    </row>
    <row r="2879" spans="2:10" x14ac:dyDescent="0.25">
      <c r="B2879" s="5"/>
      <c r="C2879" s="6"/>
      <c r="D2879" s="6"/>
      <c r="E2879" s="6"/>
      <c r="F2879" s="6"/>
      <c r="G2879" s="6"/>
      <c r="H2879" s="6"/>
      <c r="I2879" s="6"/>
      <c r="J2879" s="6"/>
    </row>
    <row r="2880" spans="2:10" x14ac:dyDescent="0.25">
      <c r="B2880" s="5"/>
      <c r="C2880" s="6"/>
      <c r="D2880" s="6"/>
      <c r="E2880" s="6"/>
      <c r="F2880" s="6"/>
      <c r="G2880" s="6"/>
      <c r="H2880" s="6"/>
      <c r="I2880" s="6"/>
      <c r="J2880" s="6"/>
    </row>
    <row r="2881" spans="2:10" x14ac:dyDescent="0.25">
      <c r="B2881" s="5"/>
      <c r="C2881" s="6"/>
      <c r="D2881" s="6"/>
      <c r="E2881" s="6"/>
      <c r="F2881" s="6"/>
      <c r="G2881" s="6"/>
      <c r="H2881" s="6"/>
      <c r="I2881" s="6"/>
      <c r="J2881" s="6"/>
    </row>
    <row r="2882" spans="2:10" x14ac:dyDescent="0.25">
      <c r="B2882" s="5"/>
      <c r="C2882" s="6"/>
      <c r="D2882" s="6"/>
      <c r="E2882" s="6"/>
      <c r="F2882" s="6"/>
      <c r="G2882" s="6"/>
      <c r="H2882" s="6"/>
      <c r="I2882" s="6"/>
      <c r="J2882" s="6"/>
    </row>
    <row r="2883" spans="2:10" x14ac:dyDescent="0.25">
      <c r="B2883" s="5"/>
      <c r="C2883" s="6"/>
      <c r="D2883" s="6"/>
      <c r="E2883" s="6"/>
      <c r="F2883" s="6"/>
      <c r="G2883" s="6"/>
      <c r="H2883" s="6"/>
      <c r="I2883" s="6"/>
      <c r="J2883" s="6"/>
    </row>
    <row r="2884" spans="2:10" x14ac:dyDescent="0.25">
      <c r="B2884" s="5"/>
      <c r="C2884" s="6"/>
      <c r="D2884" s="6"/>
      <c r="E2884" s="6"/>
      <c r="F2884" s="6"/>
      <c r="G2884" s="6"/>
      <c r="H2884" s="6"/>
      <c r="I2884" s="6"/>
      <c r="J2884" s="6"/>
    </row>
    <row r="2885" spans="2:10" x14ac:dyDescent="0.25">
      <c r="B2885" s="5"/>
      <c r="C2885" s="6"/>
      <c r="D2885" s="6"/>
      <c r="E2885" s="6"/>
      <c r="F2885" s="6"/>
      <c r="G2885" s="6"/>
      <c r="H2885" s="6"/>
      <c r="I2885" s="6"/>
      <c r="J2885" s="6"/>
    </row>
    <row r="2886" spans="2:10" x14ac:dyDescent="0.25">
      <c r="B2886" s="5"/>
      <c r="C2886" s="6"/>
      <c r="D2886" s="6"/>
      <c r="E2886" s="6"/>
      <c r="F2886" s="6"/>
      <c r="G2886" s="6"/>
      <c r="H2886" s="6"/>
      <c r="I2886" s="6"/>
      <c r="J2886" s="6"/>
    </row>
    <row r="2887" spans="2:10" x14ac:dyDescent="0.25">
      <c r="B2887" s="5"/>
      <c r="C2887" s="6"/>
      <c r="D2887" s="6"/>
      <c r="E2887" s="6"/>
      <c r="F2887" s="6"/>
      <c r="G2887" s="6"/>
      <c r="H2887" s="6"/>
      <c r="I2887" s="6"/>
      <c r="J2887" s="6"/>
    </row>
    <row r="2888" spans="2:10" x14ac:dyDescent="0.25">
      <c r="B2888" s="5"/>
      <c r="C2888" s="6"/>
      <c r="D2888" s="6"/>
      <c r="E2888" s="6"/>
      <c r="F2888" s="6"/>
      <c r="G2888" s="6"/>
      <c r="H2888" s="6"/>
      <c r="I2888" s="6"/>
      <c r="J2888" s="6"/>
    </row>
    <row r="2889" spans="2:10" x14ac:dyDescent="0.25">
      <c r="B2889" s="5"/>
      <c r="C2889" s="6"/>
      <c r="D2889" s="6"/>
      <c r="E2889" s="6"/>
      <c r="F2889" s="6"/>
      <c r="G2889" s="6"/>
      <c r="H2889" s="6"/>
      <c r="I2889" s="6"/>
      <c r="J2889" s="6"/>
    </row>
    <row r="2890" spans="2:10" x14ac:dyDescent="0.25">
      <c r="B2890" s="5"/>
      <c r="C2890" s="6"/>
      <c r="D2890" s="6"/>
      <c r="E2890" s="6"/>
      <c r="F2890" s="6"/>
      <c r="G2890" s="6"/>
      <c r="H2890" s="6"/>
      <c r="I2890" s="6"/>
      <c r="J2890" s="6"/>
    </row>
    <row r="2891" spans="2:10" x14ac:dyDescent="0.25">
      <c r="B2891" s="5"/>
      <c r="C2891" s="6"/>
      <c r="D2891" s="6"/>
      <c r="E2891" s="6"/>
      <c r="F2891" s="6"/>
      <c r="G2891" s="6"/>
      <c r="H2891" s="6"/>
      <c r="I2891" s="6"/>
      <c r="J2891" s="6"/>
    </row>
    <row r="2892" spans="2:10" x14ac:dyDescent="0.25">
      <c r="B2892" s="5"/>
      <c r="C2892" s="6"/>
      <c r="D2892" s="6"/>
      <c r="E2892" s="6"/>
      <c r="F2892" s="6"/>
      <c r="G2892" s="6"/>
      <c r="H2892" s="6"/>
      <c r="I2892" s="6"/>
      <c r="J2892" s="6"/>
    </row>
    <row r="2893" spans="2:10" x14ac:dyDescent="0.25">
      <c r="B2893" s="5"/>
      <c r="C2893" s="6"/>
      <c r="D2893" s="6"/>
      <c r="E2893" s="6"/>
      <c r="F2893" s="6"/>
      <c r="G2893" s="6"/>
      <c r="H2893" s="6"/>
      <c r="I2893" s="6"/>
      <c r="J2893" s="6"/>
    </row>
    <row r="2894" spans="2:10" x14ac:dyDescent="0.25">
      <c r="B2894" s="5"/>
      <c r="C2894" s="6"/>
      <c r="D2894" s="6"/>
      <c r="E2894" s="6"/>
      <c r="F2894" s="6"/>
      <c r="G2894" s="6"/>
      <c r="H2894" s="6"/>
      <c r="I2894" s="6"/>
      <c r="J2894" s="6"/>
    </row>
    <row r="2895" spans="2:10" x14ac:dyDescent="0.25">
      <c r="B2895" s="5"/>
      <c r="C2895" s="6"/>
      <c r="D2895" s="6"/>
      <c r="E2895" s="6"/>
      <c r="F2895" s="6"/>
      <c r="G2895" s="6"/>
      <c r="H2895" s="6"/>
      <c r="I2895" s="6"/>
      <c r="J2895" s="6"/>
    </row>
    <row r="2896" spans="2:10" x14ac:dyDescent="0.25">
      <c r="B2896" s="5"/>
      <c r="C2896" s="6"/>
      <c r="D2896" s="6"/>
      <c r="E2896" s="6"/>
      <c r="F2896" s="6"/>
      <c r="G2896" s="6"/>
      <c r="H2896" s="6"/>
      <c r="I2896" s="6"/>
      <c r="J2896" s="6"/>
    </row>
    <row r="2897" spans="2:10" x14ac:dyDescent="0.25">
      <c r="B2897" s="5"/>
      <c r="C2897" s="6"/>
      <c r="D2897" s="6"/>
      <c r="E2897" s="6"/>
      <c r="F2897" s="6"/>
      <c r="G2897" s="6"/>
      <c r="H2897" s="6"/>
      <c r="I2897" s="6"/>
      <c r="J2897" s="6"/>
    </row>
    <row r="2898" spans="2:10" x14ac:dyDescent="0.25">
      <c r="B2898" s="5"/>
      <c r="C2898" s="6"/>
      <c r="D2898" s="6"/>
      <c r="E2898" s="6"/>
      <c r="F2898" s="6"/>
      <c r="G2898" s="6"/>
      <c r="H2898" s="6"/>
      <c r="I2898" s="6"/>
      <c r="J2898" s="6"/>
    </row>
    <row r="2899" spans="2:10" x14ac:dyDescent="0.25">
      <c r="B2899" s="5"/>
      <c r="C2899" s="6"/>
      <c r="D2899" s="6"/>
      <c r="E2899" s="6"/>
      <c r="F2899" s="6"/>
      <c r="G2899" s="6"/>
      <c r="H2899" s="6"/>
      <c r="I2899" s="6"/>
      <c r="J2899" s="6"/>
    </row>
    <row r="2900" spans="2:10" x14ac:dyDescent="0.25">
      <c r="B2900" s="5"/>
      <c r="C2900" s="6"/>
      <c r="D2900" s="6"/>
      <c r="E2900" s="6"/>
      <c r="F2900" s="6"/>
      <c r="G2900" s="6"/>
      <c r="H2900" s="6"/>
      <c r="I2900" s="6"/>
      <c r="J2900" s="6"/>
    </row>
    <row r="2901" spans="2:10" x14ac:dyDescent="0.25">
      <c r="B2901" s="5"/>
      <c r="C2901" s="6"/>
      <c r="D2901" s="6"/>
      <c r="E2901" s="6"/>
      <c r="F2901" s="6"/>
      <c r="G2901" s="6"/>
      <c r="H2901" s="6"/>
      <c r="I2901" s="6"/>
      <c r="J2901" s="6"/>
    </row>
    <row r="2902" spans="2:10" x14ac:dyDescent="0.25">
      <c r="B2902" s="5"/>
      <c r="C2902" s="6"/>
      <c r="D2902" s="6"/>
      <c r="E2902" s="6"/>
      <c r="F2902" s="6"/>
      <c r="G2902" s="6"/>
      <c r="H2902" s="6"/>
      <c r="I2902" s="6"/>
      <c r="J2902" s="6"/>
    </row>
    <row r="2903" spans="2:10" x14ac:dyDescent="0.25">
      <c r="B2903" s="5"/>
      <c r="C2903" s="6"/>
      <c r="D2903" s="6"/>
      <c r="E2903" s="6"/>
      <c r="F2903" s="6"/>
      <c r="G2903" s="6"/>
      <c r="H2903" s="6"/>
      <c r="I2903" s="6"/>
      <c r="J2903" s="6"/>
    </row>
    <row r="2904" spans="2:10" x14ac:dyDescent="0.25">
      <c r="B2904" s="5"/>
      <c r="C2904" s="6"/>
      <c r="D2904" s="6"/>
      <c r="E2904" s="6"/>
      <c r="F2904" s="6"/>
      <c r="G2904" s="6"/>
      <c r="H2904" s="6"/>
      <c r="I2904" s="6"/>
      <c r="J2904" s="6"/>
    </row>
    <row r="2905" spans="2:10" x14ac:dyDescent="0.25">
      <c r="B2905" s="5"/>
      <c r="C2905" s="6"/>
      <c r="D2905" s="6"/>
      <c r="E2905" s="6"/>
      <c r="F2905" s="6"/>
      <c r="G2905" s="6"/>
      <c r="H2905" s="6"/>
      <c r="I2905" s="6"/>
      <c r="J2905" s="6"/>
    </row>
    <row r="2906" spans="2:10" x14ac:dyDescent="0.25">
      <c r="B2906" s="5"/>
      <c r="C2906" s="6"/>
      <c r="D2906" s="6"/>
      <c r="E2906" s="6"/>
      <c r="F2906" s="6"/>
      <c r="G2906" s="6"/>
      <c r="H2906" s="6"/>
      <c r="I2906" s="6"/>
      <c r="J2906" s="6"/>
    </row>
    <row r="2907" spans="2:10" x14ac:dyDescent="0.25">
      <c r="B2907" s="5"/>
      <c r="C2907" s="6"/>
      <c r="D2907" s="6"/>
      <c r="E2907" s="6"/>
      <c r="F2907" s="6"/>
      <c r="G2907" s="6"/>
      <c r="H2907" s="6"/>
      <c r="I2907" s="6"/>
      <c r="J2907" s="6"/>
    </row>
    <row r="2908" spans="2:10" x14ac:dyDescent="0.25">
      <c r="B2908" s="5"/>
      <c r="C2908" s="6"/>
      <c r="D2908" s="6"/>
      <c r="E2908" s="6"/>
      <c r="F2908" s="6"/>
      <c r="G2908" s="6"/>
      <c r="H2908" s="6"/>
      <c r="I2908" s="6"/>
      <c r="J2908" s="6"/>
    </row>
    <row r="2909" spans="2:10" x14ac:dyDescent="0.25">
      <c r="B2909" s="5"/>
      <c r="C2909" s="6"/>
      <c r="D2909" s="6"/>
      <c r="E2909" s="6"/>
      <c r="F2909" s="6"/>
      <c r="G2909" s="6"/>
      <c r="H2909" s="6"/>
      <c r="I2909" s="6"/>
      <c r="J2909" s="6"/>
    </row>
    <row r="2910" spans="2:10" x14ac:dyDescent="0.25">
      <c r="B2910" s="5"/>
      <c r="C2910" s="6"/>
      <c r="D2910" s="6"/>
      <c r="E2910" s="6"/>
      <c r="F2910" s="6"/>
      <c r="G2910" s="6"/>
      <c r="H2910" s="6"/>
      <c r="I2910" s="6"/>
      <c r="J2910" s="6"/>
    </row>
    <row r="2911" spans="2:10" x14ac:dyDescent="0.25">
      <c r="B2911" s="5"/>
      <c r="C2911" s="6"/>
      <c r="D2911" s="6"/>
      <c r="E2911" s="6"/>
      <c r="F2911" s="6"/>
      <c r="G2911" s="6"/>
      <c r="H2911" s="6"/>
      <c r="I2911" s="6"/>
      <c r="J2911" s="6"/>
    </row>
    <row r="2912" spans="2:10" x14ac:dyDescent="0.25">
      <c r="B2912" s="5"/>
      <c r="C2912" s="6"/>
      <c r="D2912" s="6"/>
      <c r="E2912" s="6"/>
      <c r="F2912" s="6"/>
      <c r="G2912" s="6"/>
      <c r="H2912" s="6"/>
      <c r="I2912" s="6"/>
      <c r="J2912" s="6"/>
    </row>
    <row r="2913" spans="2:10" x14ac:dyDescent="0.25">
      <c r="B2913" s="5"/>
      <c r="C2913" s="6"/>
      <c r="D2913" s="6"/>
      <c r="E2913" s="6"/>
      <c r="F2913" s="6"/>
      <c r="G2913" s="6"/>
      <c r="H2913" s="6"/>
      <c r="I2913" s="6"/>
      <c r="J2913" s="6"/>
    </row>
    <row r="2914" spans="2:10" x14ac:dyDescent="0.25">
      <c r="B2914" s="5"/>
      <c r="C2914" s="6"/>
      <c r="D2914" s="6"/>
      <c r="E2914" s="6"/>
      <c r="F2914" s="6"/>
      <c r="G2914" s="6"/>
      <c r="H2914" s="6"/>
      <c r="I2914" s="6"/>
      <c r="J2914" s="6"/>
    </row>
    <row r="2915" spans="2:10" x14ac:dyDescent="0.25">
      <c r="B2915" s="5"/>
      <c r="C2915" s="6"/>
      <c r="D2915" s="6"/>
      <c r="E2915" s="6"/>
      <c r="F2915" s="6"/>
      <c r="G2915" s="6"/>
      <c r="H2915" s="6"/>
      <c r="I2915" s="6"/>
      <c r="J2915" s="6"/>
    </row>
    <row r="2916" spans="2:10" x14ac:dyDescent="0.25">
      <c r="B2916" s="5"/>
      <c r="C2916" s="6"/>
      <c r="D2916" s="6"/>
      <c r="E2916" s="6"/>
      <c r="F2916" s="6"/>
      <c r="G2916" s="6"/>
      <c r="H2916" s="6"/>
      <c r="I2916" s="6"/>
      <c r="J2916" s="6"/>
    </row>
    <row r="2917" spans="2:10" x14ac:dyDescent="0.25">
      <c r="B2917" s="5"/>
      <c r="C2917" s="6"/>
      <c r="D2917" s="6"/>
      <c r="E2917" s="6"/>
      <c r="F2917" s="6"/>
      <c r="G2917" s="6"/>
      <c r="H2917" s="6"/>
      <c r="I2917" s="6"/>
      <c r="J2917" s="6"/>
    </row>
    <row r="2918" spans="2:10" x14ac:dyDescent="0.25">
      <c r="B2918" s="5"/>
      <c r="C2918" s="6"/>
      <c r="D2918" s="6"/>
      <c r="E2918" s="6"/>
      <c r="F2918" s="6"/>
      <c r="G2918" s="6"/>
      <c r="H2918" s="6"/>
      <c r="I2918" s="6"/>
      <c r="J2918" s="6"/>
    </row>
    <row r="2919" spans="2:10" x14ac:dyDescent="0.25">
      <c r="B2919" s="5"/>
      <c r="C2919" s="6"/>
      <c r="D2919" s="6"/>
      <c r="E2919" s="6"/>
      <c r="F2919" s="6"/>
      <c r="G2919" s="6"/>
      <c r="H2919" s="6"/>
      <c r="I2919" s="6"/>
      <c r="J2919" s="6"/>
    </row>
    <row r="2920" spans="2:10" x14ac:dyDescent="0.25">
      <c r="B2920" s="5"/>
      <c r="C2920" s="6"/>
      <c r="D2920" s="6"/>
      <c r="E2920" s="6"/>
      <c r="F2920" s="6"/>
      <c r="G2920" s="6"/>
      <c r="H2920" s="6"/>
      <c r="I2920" s="6"/>
      <c r="J2920" s="6"/>
    </row>
    <row r="2921" spans="2:10" x14ac:dyDescent="0.25">
      <c r="B2921" s="5"/>
      <c r="C2921" s="6"/>
      <c r="D2921" s="6"/>
      <c r="E2921" s="6"/>
      <c r="F2921" s="6"/>
      <c r="G2921" s="6"/>
      <c r="H2921" s="6"/>
      <c r="I2921" s="6"/>
      <c r="J2921" s="6"/>
    </row>
    <row r="2922" spans="2:10" x14ac:dyDescent="0.25">
      <c r="B2922" s="5"/>
      <c r="C2922" s="6"/>
      <c r="D2922" s="6"/>
      <c r="E2922" s="6"/>
      <c r="F2922" s="6"/>
      <c r="G2922" s="6"/>
      <c r="H2922" s="6"/>
      <c r="I2922" s="6"/>
      <c r="J2922" s="6"/>
    </row>
    <row r="2923" spans="2:10" x14ac:dyDescent="0.25">
      <c r="B2923" s="5"/>
      <c r="C2923" s="6"/>
      <c r="D2923" s="6"/>
      <c r="E2923" s="6"/>
      <c r="F2923" s="6"/>
      <c r="G2923" s="6"/>
      <c r="H2923" s="6"/>
      <c r="I2923" s="6"/>
      <c r="J2923" s="6"/>
    </row>
    <row r="2924" spans="2:10" x14ac:dyDescent="0.25">
      <c r="B2924" s="5"/>
      <c r="C2924" s="6"/>
      <c r="D2924" s="6"/>
      <c r="E2924" s="6"/>
      <c r="F2924" s="6"/>
      <c r="G2924" s="6"/>
      <c r="H2924" s="6"/>
      <c r="I2924" s="6"/>
      <c r="J2924" s="6"/>
    </row>
    <row r="2925" spans="2:10" x14ac:dyDescent="0.25">
      <c r="B2925" s="5"/>
      <c r="C2925" s="6"/>
      <c r="D2925" s="6"/>
      <c r="E2925" s="6"/>
      <c r="F2925" s="6"/>
      <c r="G2925" s="6"/>
      <c r="H2925" s="6"/>
      <c r="I2925" s="6"/>
      <c r="J2925" s="6"/>
    </row>
    <row r="2926" spans="2:10" x14ac:dyDescent="0.25">
      <c r="B2926" s="5"/>
      <c r="C2926" s="6"/>
      <c r="D2926" s="6"/>
      <c r="E2926" s="6"/>
      <c r="F2926" s="6"/>
      <c r="G2926" s="6"/>
      <c r="H2926" s="6"/>
      <c r="I2926" s="6"/>
      <c r="J2926" s="6"/>
    </row>
    <row r="2927" spans="2:10" x14ac:dyDescent="0.25">
      <c r="B2927" s="5"/>
      <c r="C2927" s="6"/>
      <c r="D2927" s="6"/>
      <c r="E2927" s="6"/>
      <c r="F2927" s="6"/>
      <c r="G2927" s="6"/>
      <c r="H2927" s="6"/>
      <c r="I2927" s="6"/>
      <c r="J2927" s="6"/>
    </row>
    <row r="2928" spans="2:10" x14ac:dyDescent="0.25">
      <c r="B2928" s="5"/>
      <c r="C2928" s="6"/>
      <c r="D2928" s="6"/>
      <c r="E2928" s="6"/>
      <c r="F2928" s="6"/>
      <c r="G2928" s="6"/>
      <c r="H2928" s="6"/>
      <c r="I2928" s="6"/>
      <c r="J2928" s="6"/>
    </row>
    <row r="2929" spans="2:10" x14ac:dyDescent="0.25">
      <c r="B2929" s="5"/>
      <c r="C2929" s="6"/>
      <c r="D2929" s="6"/>
      <c r="E2929" s="6"/>
      <c r="F2929" s="6"/>
      <c r="G2929" s="6"/>
      <c r="H2929" s="6"/>
      <c r="I2929" s="6"/>
      <c r="J2929" s="6"/>
    </row>
    <row r="2930" spans="2:10" x14ac:dyDescent="0.25">
      <c r="B2930" s="5"/>
      <c r="C2930" s="6"/>
      <c r="D2930" s="6"/>
      <c r="E2930" s="6"/>
      <c r="F2930" s="6"/>
      <c r="G2930" s="6"/>
      <c r="H2930" s="6"/>
      <c r="I2930" s="6"/>
      <c r="J2930" s="6"/>
    </row>
    <row r="2931" spans="2:10" x14ac:dyDescent="0.25">
      <c r="B2931" s="5"/>
      <c r="C2931" s="6"/>
      <c r="D2931" s="6"/>
      <c r="E2931" s="6"/>
      <c r="F2931" s="6"/>
      <c r="G2931" s="6"/>
      <c r="H2931" s="6"/>
      <c r="I2931" s="6"/>
      <c r="J2931" s="6"/>
    </row>
    <row r="2932" spans="2:10" x14ac:dyDescent="0.25">
      <c r="B2932" s="5"/>
      <c r="C2932" s="6"/>
      <c r="D2932" s="6"/>
      <c r="E2932" s="6"/>
      <c r="F2932" s="6"/>
      <c r="G2932" s="6"/>
      <c r="H2932" s="6"/>
      <c r="I2932" s="6"/>
      <c r="J2932" s="6"/>
    </row>
    <row r="2933" spans="2:10" x14ac:dyDescent="0.25">
      <c r="B2933" s="5"/>
      <c r="C2933" s="6"/>
      <c r="D2933" s="6"/>
      <c r="E2933" s="6"/>
      <c r="F2933" s="6"/>
      <c r="G2933" s="6"/>
      <c r="H2933" s="6"/>
      <c r="I2933" s="6"/>
      <c r="J2933" s="6"/>
    </row>
    <row r="2934" spans="2:10" x14ac:dyDescent="0.25">
      <c r="B2934" s="5"/>
      <c r="C2934" s="6"/>
      <c r="D2934" s="6"/>
      <c r="E2934" s="6"/>
      <c r="F2934" s="6"/>
      <c r="G2934" s="6"/>
      <c r="H2934" s="6"/>
      <c r="I2934" s="6"/>
      <c r="J2934" s="6"/>
    </row>
    <row r="2935" spans="2:10" x14ac:dyDescent="0.25">
      <c r="B2935" s="5"/>
      <c r="C2935" s="6"/>
      <c r="D2935" s="6"/>
      <c r="E2935" s="6"/>
      <c r="F2935" s="6"/>
      <c r="G2935" s="6"/>
      <c r="H2935" s="6"/>
      <c r="I2935" s="6"/>
      <c r="J2935" s="6"/>
    </row>
    <row r="2936" spans="2:10" x14ac:dyDescent="0.25">
      <c r="B2936" s="5"/>
      <c r="C2936" s="6"/>
      <c r="D2936" s="6"/>
      <c r="E2936" s="6"/>
      <c r="F2936" s="6"/>
      <c r="G2936" s="6"/>
      <c r="H2936" s="6"/>
      <c r="I2936" s="6"/>
      <c r="J2936" s="6"/>
    </row>
    <row r="2937" spans="2:10" x14ac:dyDescent="0.25">
      <c r="B2937" s="5"/>
      <c r="C2937" s="6"/>
      <c r="D2937" s="6"/>
      <c r="E2937" s="6"/>
      <c r="F2937" s="6"/>
      <c r="G2937" s="6"/>
      <c r="H2937" s="6"/>
      <c r="I2937" s="6"/>
      <c r="J2937" s="6"/>
    </row>
    <row r="2938" spans="2:10" x14ac:dyDescent="0.25">
      <c r="B2938" s="5"/>
      <c r="C2938" s="6"/>
      <c r="D2938" s="6"/>
      <c r="E2938" s="6"/>
      <c r="F2938" s="6"/>
      <c r="G2938" s="6"/>
      <c r="H2938" s="6"/>
      <c r="I2938" s="6"/>
      <c r="J2938" s="6"/>
    </row>
    <row r="2939" spans="2:10" x14ac:dyDescent="0.25">
      <c r="B2939" s="5"/>
      <c r="C2939" s="6"/>
      <c r="D2939" s="6"/>
      <c r="E2939" s="6"/>
      <c r="F2939" s="6"/>
      <c r="G2939" s="6"/>
      <c r="H2939" s="6"/>
      <c r="I2939" s="6"/>
      <c r="J2939" s="6"/>
    </row>
    <row r="2940" spans="2:10" x14ac:dyDescent="0.25">
      <c r="B2940" s="5"/>
      <c r="C2940" s="6"/>
      <c r="D2940" s="6"/>
      <c r="E2940" s="6"/>
      <c r="F2940" s="6"/>
      <c r="G2940" s="6"/>
      <c r="H2940" s="6"/>
      <c r="I2940" s="6"/>
      <c r="J2940" s="6"/>
    </row>
    <row r="2941" spans="2:10" x14ac:dyDescent="0.25">
      <c r="B2941" s="5"/>
      <c r="C2941" s="6"/>
      <c r="D2941" s="6"/>
      <c r="E2941" s="6"/>
      <c r="F2941" s="6"/>
      <c r="G2941" s="6"/>
      <c r="H2941" s="6"/>
      <c r="I2941" s="6"/>
      <c r="J2941" s="6"/>
    </row>
    <row r="2942" spans="2:10" x14ac:dyDescent="0.25">
      <c r="B2942" s="5"/>
      <c r="C2942" s="6"/>
      <c r="D2942" s="6"/>
      <c r="E2942" s="6"/>
      <c r="F2942" s="6"/>
      <c r="G2942" s="6"/>
      <c r="H2942" s="6"/>
      <c r="I2942" s="6"/>
      <c r="J2942" s="6"/>
    </row>
    <row r="2943" spans="2:10" x14ac:dyDescent="0.25">
      <c r="B2943" s="5"/>
      <c r="C2943" s="6"/>
      <c r="D2943" s="6"/>
      <c r="E2943" s="6"/>
      <c r="F2943" s="6"/>
      <c r="G2943" s="6"/>
      <c r="H2943" s="6"/>
      <c r="I2943" s="6"/>
      <c r="J2943" s="6"/>
    </row>
    <row r="2944" spans="2:10" x14ac:dyDescent="0.25">
      <c r="B2944" s="5"/>
      <c r="C2944" s="6"/>
      <c r="D2944" s="6"/>
      <c r="E2944" s="6"/>
      <c r="F2944" s="6"/>
      <c r="G2944" s="6"/>
      <c r="H2944" s="6"/>
      <c r="I2944" s="6"/>
      <c r="J2944" s="6"/>
    </row>
    <row r="2945" spans="2:10" x14ac:dyDescent="0.25">
      <c r="B2945" s="5"/>
      <c r="C2945" s="6"/>
      <c r="D2945" s="6"/>
      <c r="E2945" s="6"/>
      <c r="F2945" s="6"/>
      <c r="G2945" s="6"/>
      <c r="H2945" s="6"/>
      <c r="I2945" s="6"/>
      <c r="J2945" s="6"/>
    </row>
    <row r="2946" spans="2:10" x14ac:dyDescent="0.25">
      <c r="B2946" s="5"/>
      <c r="C2946" s="6"/>
      <c r="D2946" s="6"/>
      <c r="E2946" s="6"/>
      <c r="F2946" s="6"/>
      <c r="G2946" s="6"/>
      <c r="H2946" s="6"/>
      <c r="I2946" s="6"/>
      <c r="J2946" s="6"/>
    </row>
    <row r="2947" spans="2:10" x14ac:dyDescent="0.25">
      <c r="B2947" s="5"/>
      <c r="C2947" s="6"/>
      <c r="D2947" s="6"/>
      <c r="E2947" s="6"/>
      <c r="F2947" s="6"/>
      <c r="G2947" s="6"/>
      <c r="H2947" s="6"/>
      <c r="I2947" s="6"/>
      <c r="J2947" s="6"/>
    </row>
    <row r="2948" spans="2:10" x14ac:dyDescent="0.25">
      <c r="B2948" s="5"/>
      <c r="C2948" s="6"/>
      <c r="D2948" s="6"/>
      <c r="E2948" s="6"/>
      <c r="F2948" s="6"/>
      <c r="G2948" s="6"/>
      <c r="H2948" s="6"/>
      <c r="I2948" s="6"/>
      <c r="J2948" s="6"/>
    </row>
    <row r="2949" spans="2:10" x14ac:dyDescent="0.25">
      <c r="B2949" s="5"/>
      <c r="C2949" s="6"/>
      <c r="D2949" s="6"/>
      <c r="E2949" s="6"/>
      <c r="F2949" s="6"/>
      <c r="G2949" s="6"/>
      <c r="H2949" s="6"/>
      <c r="I2949" s="6"/>
      <c r="J2949" s="6"/>
    </row>
    <row r="2950" spans="2:10" x14ac:dyDescent="0.25">
      <c r="B2950" s="5"/>
      <c r="C2950" s="6"/>
      <c r="D2950" s="6"/>
      <c r="E2950" s="6"/>
      <c r="F2950" s="6"/>
      <c r="G2950" s="6"/>
      <c r="H2950" s="6"/>
      <c r="I2950" s="6"/>
      <c r="J2950" s="6"/>
    </row>
    <row r="2951" spans="2:10" x14ac:dyDescent="0.25">
      <c r="B2951" s="5"/>
      <c r="C2951" s="6"/>
      <c r="D2951" s="6"/>
      <c r="E2951" s="6"/>
      <c r="F2951" s="6"/>
      <c r="G2951" s="6"/>
      <c r="H2951" s="6"/>
      <c r="I2951" s="6"/>
      <c r="J2951" s="6"/>
    </row>
    <row r="2952" spans="2:10" x14ac:dyDescent="0.25">
      <c r="B2952" s="5"/>
      <c r="C2952" s="6"/>
      <c r="D2952" s="6"/>
      <c r="E2952" s="6"/>
      <c r="F2952" s="6"/>
      <c r="G2952" s="6"/>
      <c r="H2952" s="6"/>
      <c r="I2952" s="6"/>
      <c r="J2952" s="6"/>
    </row>
    <row r="2953" spans="2:10" x14ac:dyDescent="0.25">
      <c r="B2953" s="5"/>
      <c r="C2953" s="6"/>
      <c r="D2953" s="6"/>
      <c r="E2953" s="6"/>
      <c r="F2953" s="6"/>
      <c r="G2953" s="6"/>
      <c r="H2953" s="6"/>
      <c r="I2953" s="6"/>
      <c r="J2953" s="6"/>
    </row>
    <row r="2954" spans="2:10" x14ac:dyDescent="0.25">
      <c r="B2954" s="5"/>
      <c r="C2954" s="6"/>
      <c r="D2954" s="6"/>
      <c r="E2954" s="6"/>
      <c r="F2954" s="6"/>
      <c r="G2954" s="6"/>
      <c r="H2954" s="6"/>
      <c r="I2954" s="6"/>
      <c r="J2954" s="6"/>
    </row>
    <row r="2955" spans="2:10" x14ac:dyDescent="0.25">
      <c r="B2955" s="5"/>
      <c r="C2955" s="6"/>
      <c r="D2955" s="6"/>
      <c r="E2955" s="6"/>
      <c r="F2955" s="6"/>
      <c r="G2955" s="6"/>
      <c r="H2955" s="6"/>
      <c r="I2955" s="6"/>
      <c r="J2955" s="6"/>
    </row>
    <row r="2956" spans="2:10" x14ac:dyDescent="0.25">
      <c r="B2956" s="5"/>
      <c r="C2956" s="6"/>
      <c r="D2956" s="6"/>
      <c r="E2956" s="6"/>
      <c r="F2956" s="6"/>
      <c r="G2956" s="6"/>
      <c r="H2956" s="6"/>
      <c r="I2956" s="6"/>
      <c r="J2956" s="6"/>
    </row>
    <row r="2957" spans="2:10" x14ac:dyDescent="0.25">
      <c r="B2957" s="5"/>
      <c r="C2957" s="6"/>
      <c r="D2957" s="6"/>
      <c r="E2957" s="6"/>
      <c r="F2957" s="6"/>
      <c r="G2957" s="6"/>
      <c r="H2957" s="6"/>
      <c r="I2957" s="6"/>
      <c r="J2957" s="6"/>
    </row>
    <row r="2958" spans="2:10" x14ac:dyDescent="0.25">
      <c r="B2958" s="5"/>
      <c r="C2958" s="6"/>
      <c r="D2958" s="6"/>
      <c r="E2958" s="6"/>
      <c r="F2958" s="6"/>
      <c r="G2958" s="6"/>
      <c r="H2958" s="6"/>
      <c r="I2958" s="6"/>
      <c r="J2958" s="6"/>
    </row>
    <row r="2959" spans="2:10" x14ac:dyDescent="0.25">
      <c r="B2959" s="5"/>
      <c r="C2959" s="6"/>
      <c r="D2959" s="6"/>
      <c r="E2959" s="6"/>
      <c r="F2959" s="6"/>
      <c r="G2959" s="6"/>
      <c r="H2959" s="6"/>
      <c r="I2959" s="6"/>
      <c r="J2959" s="6"/>
    </row>
    <row r="2960" spans="2:10" x14ac:dyDescent="0.25">
      <c r="B2960" s="5"/>
      <c r="C2960" s="6"/>
      <c r="D2960" s="6"/>
      <c r="E2960" s="6"/>
      <c r="F2960" s="6"/>
      <c r="G2960" s="6"/>
      <c r="H2960" s="6"/>
      <c r="I2960" s="6"/>
      <c r="J2960" s="6"/>
    </row>
    <row r="2961" spans="2:10" x14ac:dyDescent="0.25">
      <c r="B2961" s="5"/>
      <c r="C2961" s="6"/>
      <c r="D2961" s="6"/>
      <c r="E2961" s="6"/>
      <c r="F2961" s="6"/>
      <c r="G2961" s="6"/>
      <c r="H2961" s="6"/>
      <c r="I2961" s="6"/>
      <c r="J2961" s="6"/>
    </row>
    <row r="2962" spans="2:10" x14ac:dyDescent="0.25">
      <c r="B2962" s="5"/>
      <c r="C2962" s="6"/>
      <c r="D2962" s="6"/>
      <c r="E2962" s="6"/>
      <c r="F2962" s="6"/>
      <c r="G2962" s="6"/>
      <c r="H2962" s="6"/>
      <c r="I2962" s="6"/>
      <c r="J2962" s="6"/>
    </row>
    <row r="2963" spans="2:10" x14ac:dyDescent="0.25">
      <c r="B2963" s="5"/>
      <c r="C2963" s="6"/>
      <c r="D2963" s="6"/>
      <c r="E2963" s="6"/>
      <c r="F2963" s="6"/>
      <c r="G2963" s="6"/>
      <c r="H2963" s="6"/>
      <c r="I2963" s="6"/>
      <c r="J2963" s="6"/>
    </row>
    <row r="2964" spans="2:10" x14ac:dyDescent="0.25">
      <c r="B2964" s="5"/>
      <c r="C2964" s="6"/>
      <c r="D2964" s="6"/>
      <c r="E2964" s="6"/>
      <c r="F2964" s="6"/>
      <c r="G2964" s="6"/>
      <c r="H2964" s="6"/>
      <c r="I2964" s="6"/>
      <c r="J2964" s="6"/>
    </row>
    <row r="2965" spans="2:10" x14ac:dyDescent="0.25">
      <c r="B2965" s="5"/>
      <c r="C2965" s="6"/>
      <c r="D2965" s="6"/>
      <c r="E2965" s="6"/>
      <c r="F2965" s="6"/>
      <c r="G2965" s="6"/>
      <c r="H2965" s="6"/>
      <c r="I2965" s="6"/>
      <c r="J2965" s="6"/>
    </row>
    <row r="2966" spans="2:10" x14ac:dyDescent="0.25">
      <c r="B2966" s="5"/>
      <c r="C2966" s="6"/>
      <c r="D2966" s="6"/>
      <c r="E2966" s="6"/>
      <c r="F2966" s="6"/>
      <c r="G2966" s="6"/>
      <c r="H2966" s="6"/>
      <c r="I2966" s="6"/>
      <c r="J2966" s="6"/>
    </row>
    <row r="2967" spans="2:10" x14ac:dyDescent="0.25">
      <c r="B2967" s="5"/>
      <c r="C2967" s="6"/>
      <c r="D2967" s="6"/>
      <c r="E2967" s="6"/>
      <c r="F2967" s="6"/>
      <c r="G2967" s="6"/>
      <c r="H2967" s="6"/>
      <c r="I2967" s="6"/>
      <c r="J2967" s="6"/>
    </row>
    <row r="2968" spans="2:10" x14ac:dyDescent="0.25">
      <c r="B2968" s="5"/>
      <c r="C2968" s="6"/>
      <c r="D2968" s="6"/>
      <c r="E2968" s="6"/>
      <c r="F2968" s="6"/>
      <c r="G2968" s="6"/>
      <c r="H2968" s="6"/>
      <c r="I2968" s="6"/>
      <c r="J2968" s="6"/>
    </row>
    <row r="2969" spans="2:10" x14ac:dyDescent="0.25">
      <c r="B2969" s="5"/>
      <c r="C2969" s="6"/>
      <c r="D2969" s="6"/>
      <c r="E2969" s="6"/>
      <c r="F2969" s="6"/>
      <c r="G2969" s="6"/>
      <c r="H2969" s="6"/>
      <c r="I2969" s="6"/>
      <c r="J2969" s="6"/>
    </row>
    <row r="2970" spans="2:10" x14ac:dyDescent="0.25">
      <c r="B2970" s="5"/>
      <c r="C2970" s="6"/>
      <c r="D2970" s="6"/>
      <c r="E2970" s="6"/>
      <c r="F2970" s="6"/>
      <c r="G2970" s="6"/>
      <c r="H2970" s="6"/>
      <c r="I2970" s="6"/>
      <c r="J2970" s="6"/>
    </row>
    <row r="2971" spans="2:10" x14ac:dyDescent="0.25">
      <c r="B2971" s="5"/>
      <c r="C2971" s="6"/>
      <c r="D2971" s="6"/>
      <c r="E2971" s="6"/>
      <c r="F2971" s="6"/>
      <c r="G2971" s="6"/>
      <c r="H2971" s="6"/>
      <c r="I2971" s="6"/>
      <c r="J2971" s="6"/>
    </row>
    <row r="2972" spans="2:10" x14ac:dyDescent="0.25">
      <c r="B2972" s="5"/>
      <c r="C2972" s="6"/>
      <c r="D2972" s="6"/>
      <c r="E2972" s="6"/>
      <c r="F2972" s="6"/>
      <c r="G2972" s="6"/>
      <c r="H2972" s="6"/>
      <c r="I2972" s="6"/>
      <c r="J2972" s="6"/>
    </row>
    <row r="2973" spans="2:10" x14ac:dyDescent="0.25">
      <c r="B2973" s="5"/>
      <c r="C2973" s="6"/>
      <c r="D2973" s="6"/>
      <c r="E2973" s="6"/>
      <c r="F2973" s="6"/>
      <c r="G2973" s="6"/>
      <c r="H2973" s="6"/>
      <c r="I2973" s="6"/>
      <c r="J2973" s="6"/>
    </row>
    <row r="2974" spans="2:10" x14ac:dyDescent="0.25">
      <c r="B2974" s="5"/>
      <c r="C2974" s="6"/>
      <c r="D2974" s="6"/>
      <c r="E2974" s="6"/>
      <c r="F2974" s="6"/>
      <c r="G2974" s="6"/>
      <c r="H2974" s="6"/>
      <c r="I2974" s="6"/>
      <c r="J2974" s="6"/>
    </row>
    <row r="2975" spans="2:10" x14ac:dyDescent="0.25">
      <c r="B2975" s="5"/>
      <c r="C2975" s="6"/>
      <c r="D2975" s="6"/>
      <c r="E2975" s="6"/>
      <c r="F2975" s="6"/>
      <c r="G2975" s="6"/>
      <c r="H2975" s="6"/>
      <c r="I2975" s="6"/>
      <c r="J2975" s="6"/>
    </row>
    <row r="2976" spans="2:10" x14ac:dyDescent="0.25">
      <c r="B2976" s="5"/>
      <c r="C2976" s="6"/>
      <c r="D2976" s="6"/>
      <c r="E2976" s="6"/>
      <c r="F2976" s="6"/>
      <c r="G2976" s="6"/>
      <c r="H2976" s="6"/>
      <c r="I2976" s="6"/>
      <c r="J2976" s="6"/>
    </row>
    <row r="2977" spans="2:10" x14ac:dyDescent="0.25">
      <c r="B2977" s="5"/>
      <c r="C2977" s="6"/>
      <c r="D2977" s="6"/>
      <c r="E2977" s="6"/>
      <c r="F2977" s="6"/>
      <c r="G2977" s="6"/>
      <c r="H2977" s="6"/>
      <c r="I2977" s="6"/>
      <c r="J2977" s="6"/>
    </row>
    <row r="2978" spans="2:10" x14ac:dyDescent="0.25">
      <c r="B2978" s="5"/>
      <c r="C2978" s="6"/>
      <c r="D2978" s="6"/>
      <c r="E2978" s="6"/>
      <c r="F2978" s="6"/>
      <c r="G2978" s="6"/>
      <c r="H2978" s="6"/>
      <c r="I2978" s="6"/>
      <c r="J2978" s="6"/>
    </row>
    <row r="2979" spans="2:10" x14ac:dyDescent="0.25">
      <c r="B2979" s="5"/>
      <c r="C2979" s="6"/>
      <c r="D2979" s="6"/>
      <c r="E2979" s="6"/>
      <c r="F2979" s="6"/>
      <c r="G2979" s="6"/>
      <c r="H2979" s="6"/>
      <c r="I2979" s="6"/>
      <c r="J2979" s="6"/>
    </row>
    <row r="2980" spans="2:10" x14ac:dyDescent="0.25">
      <c r="B2980" s="5"/>
      <c r="C2980" s="6"/>
      <c r="D2980" s="6"/>
      <c r="E2980" s="6"/>
      <c r="F2980" s="6"/>
      <c r="G2980" s="6"/>
      <c r="H2980" s="6"/>
      <c r="I2980" s="6"/>
      <c r="J2980" s="6"/>
    </row>
    <row r="2981" spans="2:10" x14ac:dyDescent="0.25">
      <c r="B2981" s="5"/>
      <c r="C2981" s="6"/>
      <c r="D2981" s="6"/>
      <c r="E2981" s="6"/>
      <c r="F2981" s="6"/>
      <c r="G2981" s="6"/>
      <c r="H2981" s="6"/>
      <c r="I2981" s="6"/>
      <c r="J2981" s="6"/>
    </row>
    <row r="2982" spans="2:10" x14ac:dyDescent="0.25">
      <c r="B2982" s="5"/>
      <c r="C2982" s="6"/>
      <c r="D2982" s="6"/>
      <c r="E2982" s="6"/>
      <c r="F2982" s="6"/>
      <c r="G2982" s="6"/>
      <c r="H2982" s="6"/>
      <c r="I2982" s="6"/>
      <c r="J2982" s="6"/>
    </row>
    <row r="2983" spans="2:10" x14ac:dyDescent="0.25">
      <c r="B2983" s="5"/>
      <c r="C2983" s="6"/>
      <c r="D2983" s="6"/>
      <c r="E2983" s="6"/>
      <c r="F2983" s="6"/>
      <c r="G2983" s="6"/>
      <c r="H2983" s="6"/>
      <c r="I2983" s="6"/>
      <c r="J2983" s="6"/>
    </row>
    <row r="2984" spans="2:10" x14ac:dyDescent="0.25">
      <c r="B2984" s="5"/>
      <c r="C2984" s="6"/>
      <c r="D2984" s="6"/>
      <c r="E2984" s="6"/>
      <c r="F2984" s="6"/>
      <c r="G2984" s="6"/>
      <c r="H2984" s="6"/>
      <c r="I2984" s="6"/>
      <c r="J2984" s="6"/>
    </row>
    <row r="2985" spans="2:10" x14ac:dyDescent="0.25">
      <c r="B2985" s="5"/>
      <c r="C2985" s="6"/>
      <c r="D2985" s="6"/>
      <c r="E2985" s="6"/>
      <c r="F2985" s="6"/>
      <c r="G2985" s="6"/>
      <c r="H2985" s="6"/>
      <c r="I2985" s="6"/>
      <c r="J2985" s="6"/>
    </row>
    <row r="2986" spans="2:10" x14ac:dyDescent="0.25">
      <c r="B2986" s="5"/>
      <c r="C2986" s="6"/>
      <c r="D2986" s="6"/>
      <c r="E2986" s="6"/>
      <c r="F2986" s="6"/>
      <c r="G2986" s="6"/>
      <c r="H2986" s="6"/>
      <c r="I2986" s="6"/>
      <c r="J2986" s="6"/>
    </row>
    <row r="2987" spans="2:10" x14ac:dyDescent="0.25">
      <c r="B2987" s="5"/>
      <c r="C2987" s="6"/>
      <c r="D2987" s="6"/>
      <c r="E2987" s="6"/>
      <c r="F2987" s="6"/>
      <c r="G2987" s="6"/>
      <c r="H2987" s="6"/>
      <c r="I2987" s="6"/>
      <c r="J2987" s="6"/>
    </row>
    <row r="2988" spans="2:10" x14ac:dyDescent="0.25">
      <c r="B2988" s="5"/>
      <c r="C2988" s="6"/>
      <c r="D2988" s="6"/>
      <c r="E2988" s="6"/>
      <c r="F2988" s="6"/>
      <c r="G2988" s="6"/>
      <c r="H2988" s="6"/>
      <c r="I2988" s="6"/>
      <c r="J2988" s="6"/>
    </row>
    <row r="2989" spans="2:10" x14ac:dyDescent="0.25">
      <c r="B2989" s="5"/>
      <c r="C2989" s="6"/>
      <c r="D2989" s="6"/>
      <c r="E2989" s="6"/>
      <c r="F2989" s="6"/>
      <c r="G2989" s="6"/>
      <c r="H2989" s="6"/>
      <c r="I2989" s="6"/>
      <c r="J2989" s="6"/>
    </row>
    <row r="2990" spans="2:10" x14ac:dyDescent="0.25">
      <c r="B2990" s="5"/>
      <c r="C2990" s="6"/>
      <c r="D2990" s="6"/>
      <c r="E2990" s="6"/>
      <c r="F2990" s="6"/>
      <c r="G2990" s="6"/>
      <c r="H2990" s="6"/>
      <c r="I2990" s="6"/>
      <c r="J2990" s="6"/>
    </row>
    <row r="2991" spans="2:10" x14ac:dyDescent="0.25">
      <c r="B2991" s="5"/>
      <c r="C2991" s="6"/>
      <c r="D2991" s="6"/>
      <c r="E2991" s="6"/>
      <c r="F2991" s="6"/>
      <c r="G2991" s="6"/>
      <c r="H2991" s="6"/>
      <c r="I2991" s="6"/>
      <c r="J2991" s="6"/>
    </row>
    <row r="2992" spans="2:10" x14ac:dyDescent="0.25">
      <c r="B2992" s="5"/>
      <c r="C2992" s="6"/>
      <c r="D2992" s="6"/>
      <c r="E2992" s="6"/>
      <c r="F2992" s="6"/>
      <c r="G2992" s="6"/>
      <c r="H2992" s="6"/>
      <c r="I2992" s="6"/>
      <c r="J2992" s="6"/>
    </row>
    <row r="2993" spans="2:10" x14ac:dyDescent="0.25">
      <c r="B2993" s="5"/>
      <c r="C2993" s="6"/>
      <c r="D2993" s="6"/>
      <c r="E2993" s="6"/>
      <c r="F2993" s="6"/>
      <c r="G2993" s="6"/>
      <c r="H2993" s="6"/>
      <c r="I2993" s="6"/>
      <c r="J2993" s="6"/>
    </row>
    <row r="2994" spans="2:10" x14ac:dyDescent="0.25">
      <c r="B2994" s="5"/>
      <c r="C2994" s="6"/>
      <c r="D2994" s="6"/>
      <c r="E2994" s="6"/>
      <c r="F2994" s="6"/>
      <c r="G2994" s="6"/>
      <c r="H2994" s="6"/>
      <c r="I2994" s="6"/>
      <c r="J2994" s="6"/>
    </row>
    <row r="2995" spans="2:10" x14ac:dyDescent="0.25">
      <c r="B2995" s="5"/>
      <c r="C2995" s="6"/>
      <c r="D2995" s="6"/>
      <c r="E2995" s="6"/>
      <c r="F2995" s="6"/>
      <c r="G2995" s="6"/>
      <c r="H2995" s="6"/>
      <c r="I2995" s="6"/>
      <c r="J2995" s="6"/>
    </row>
    <row r="2996" spans="2:10" x14ac:dyDescent="0.25">
      <c r="B2996" s="5"/>
      <c r="C2996" s="6"/>
      <c r="D2996" s="6"/>
      <c r="E2996" s="6"/>
      <c r="F2996" s="6"/>
      <c r="G2996" s="6"/>
      <c r="H2996" s="6"/>
      <c r="I2996" s="6"/>
      <c r="J2996" s="6"/>
    </row>
    <row r="2997" spans="2:10" x14ac:dyDescent="0.25">
      <c r="B2997" s="5"/>
      <c r="C2997" s="6"/>
      <c r="D2997" s="6"/>
      <c r="E2997" s="6"/>
      <c r="F2997" s="6"/>
      <c r="G2997" s="6"/>
      <c r="H2997" s="6"/>
      <c r="I2997" s="6"/>
      <c r="J2997" s="6"/>
    </row>
    <row r="2998" spans="2:10" x14ac:dyDescent="0.25">
      <c r="B2998" s="5"/>
      <c r="C2998" s="6"/>
      <c r="D2998" s="6"/>
      <c r="E2998" s="6"/>
      <c r="F2998" s="6"/>
      <c r="G2998" s="6"/>
      <c r="H2998" s="6"/>
      <c r="I2998" s="6"/>
      <c r="J2998" s="6"/>
    </row>
    <row r="2999" spans="2:10" x14ac:dyDescent="0.25">
      <c r="B2999" s="5"/>
      <c r="C2999" s="6"/>
      <c r="D2999" s="6"/>
      <c r="E2999" s="6"/>
      <c r="F2999" s="6"/>
      <c r="G2999" s="6"/>
      <c r="H2999" s="6"/>
      <c r="I2999" s="6"/>
      <c r="J2999" s="6"/>
    </row>
    <row r="3000" spans="2:10" x14ac:dyDescent="0.25">
      <c r="B3000" s="5"/>
      <c r="C3000" s="6"/>
      <c r="D3000" s="6"/>
      <c r="E3000" s="6"/>
      <c r="F3000" s="6"/>
      <c r="G3000" s="6"/>
      <c r="H3000" s="6"/>
      <c r="I3000" s="6"/>
      <c r="J3000" s="6"/>
    </row>
    <row r="3001" spans="2:10" x14ac:dyDescent="0.25">
      <c r="B3001" s="5"/>
      <c r="C3001" s="6"/>
      <c r="D3001" s="6"/>
      <c r="E3001" s="6"/>
      <c r="F3001" s="6"/>
      <c r="G3001" s="6"/>
      <c r="H3001" s="6"/>
      <c r="I3001" s="6"/>
      <c r="J3001" s="6"/>
    </row>
    <row r="3002" spans="2:10" x14ac:dyDescent="0.25">
      <c r="B3002" s="5"/>
      <c r="C3002" s="6"/>
      <c r="D3002" s="6"/>
      <c r="E3002" s="6"/>
      <c r="F3002" s="6"/>
      <c r="G3002" s="6"/>
      <c r="H3002" s="6"/>
      <c r="I3002" s="6"/>
      <c r="J3002" s="6"/>
    </row>
    <row r="3003" spans="2:10" x14ac:dyDescent="0.25">
      <c r="B3003" s="5"/>
      <c r="C3003" s="6"/>
      <c r="D3003" s="6"/>
      <c r="E3003" s="6"/>
      <c r="F3003" s="6"/>
      <c r="G3003" s="6"/>
      <c r="H3003" s="6"/>
      <c r="I3003" s="6"/>
      <c r="J3003" s="6"/>
    </row>
    <row r="3004" spans="2:10" x14ac:dyDescent="0.25">
      <c r="B3004" s="5"/>
      <c r="C3004" s="6"/>
      <c r="D3004" s="6"/>
      <c r="E3004" s="6"/>
      <c r="F3004" s="6"/>
      <c r="G3004" s="6"/>
      <c r="H3004" s="6"/>
      <c r="I3004" s="6"/>
      <c r="J3004" s="6"/>
    </row>
    <row r="3005" spans="2:10" x14ac:dyDescent="0.25">
      <c r="B3005" s="5"/>
      <c r="C3005" s="6"/>
      <c r="D3005" s="6"/>
      <c r="E3005" s="6"/>
      <c r="F3005" s="6"/>
      <c r="G3005" s="6"/>
      <c r="H3005" s="6"/>
      <c r="I3005" s="6"/>
      <c r="J3005" s="6"/>
    </row>
    <row r="3006" spans="2:10" x14ac:dyDescent="0.25">
      <c r="B3006" s="5"/>
      <c r="C3006" s="6"/>
      <c r="D3006" s="6"/>
      <c r="E3006" s="6"/>
      <c r="F3006" s="6"/>
      <c r="G3006" s="6"/>
      <c r="H3006" s="6"/>
      <c r="I3006" s="6"/>
      <c r="J3006" s="6"/>
    </row>
    <row r="3007" spans="2:10" x14ac:dyDescent="0.25">
      <c r="B3007" s="5"/>
      <c r="C3007" s="6"/>
      <c r="D3007" s="6"/>
      <c r="E3007" s="6"/>
      <c r="F3007" s="6"/>
      <c r="G3007" s="6"/>
      <c r="H3007" s="6"/>
      <c r="I3007" s="6"/>
      <c r="J3007" s="6"/>
    </row>
    <row r="3008" spans="2:10" x14ac:dyDescent="0.25">
      <c r="B3008" s="5"/>
      <c r="C3008" s="6"/>
      <c r="D3008" s="6"/>
      <c r="E3008" s="6"/>
      <c r="F3008" s="6"/>
      <c r="G3008" s="6"/>
      <c r="H3008" s="6"/>
      <c r="I3008" s="6"/>
      <c r="J3008" s="6"/>
    </row>
    <row r="3009" spans="2:10" x14ac:dyDescent="0.25">
      <c r="B3009" s="5"/>
      <c r="C3009" s="6"/>
      <c r="D3009" s="6"/>
      <c r="E3009" s="6"/>
      <c r="F3009" s="6"/>
      <c r="G3009" s="6"/>
      <c r="H3009" s="6"/>
      <c r="I3009" s="6"/>
      <c r="J3009" s="6"/>
    </row>
    <row r="3010" spans="2:10" x14ac:dyDescent="0.25">
      <c r="B3010" s="5"/>
      <c r="C3010" s="6"/>
      <c r="D3010" s="6"/>
      <c r="E3010" s="6"/>
      <c r="F3010" s="6"/>
      <c r="G3010" s="6"/>
      <c r="H3010" s="6"/>
      <c r="I3010" s="6"/>
      <c r="J3010" s="6"/>
    </row>
    <row r="3011" spans="2:10" x14ac:dyDescent="0.25">
      <c r="B3011" s="5"/>
      <c r="C3011" s="6"/>
      <c r="D3011" s="6"/>
      <c r="E3011" s="6"/>
      <c r="F3011" s="6"/>
      <c r="G3011" s="6"/>
      <c r="H3011" s="6"/>
      <c r="I3011" s="6"/>
      <c r="J3011" s="6"/>
    </row>
    <row r="3012" spans="2:10" x14ac:dyDescent="0.25">
      <c r="B3012" s="5"/>
      <c r="C3012" s="6"/>
      <c r="D3012" s="6"/>
      <c r="E3012" s="6"/>
      <c r="F3012" s="6"/>
      <c r="G3012" s="6"/>
      <c r="H3012" s="6"/>
      <c r="I3012" s="6"/>
      <c r="J3012" s="6"/>
    </row>
    <row r="3013" spans="2:10" x14ac:dyDescent="0.25">
      <c r="B3013" s="5"/>
      <c r="C3013" s="6"/>
      <c r="D3013" s="6"/>
      <c r="E3013" s="6"/>
      <c r="F3013" s="6"/>
      <c r="G3013" s="6"/>
      <c r="H3013" s="6"/>
      <c r="I3013" s="6"/>
      <c r="J3013" s="6"/>
    </row>
    <row r="3014" spans="2:10" x14ac:dyDescent="0.25">
      <c r="B3014" s="5"/>
      <c r="C3014" s="6"/>
      <c r="D3014" s="6"/>
      <c r="E3014" s="6"/>
      <c r="F3014" s="6"/>
      <c r="G3014" s="6"/>
      <c r="H3014" s="6"/>
      <c r="I3014" s="6"/>
      <c r="J3014" s="6"/>
    </row>
    <row r="3015" spans="2:10" x14ac:dyDescent="0.25">
      <c r="B3015" s="5"/>
      <c r="C3015" s="6"/>
      <c r="D3015" s="6"/>
      <c r="E3015" s="6"/>
      <c r="F3015" s="6"/>
      <c r="G3015" s="6"/>
      <c r="H3015" s="6"/>
      <c r="I3015" s="6"/>
      <c r="J3015" s="6"/>
    </row>
    <row r="3016" spans="2:10" x14ac:dyDescent="0.25">
      <c r="B3016" s="5"/>
      <c r="C3016" s="6"/>
      <c r="D3016" s="6"/>
      <c r="E3016" s="6"/>
      <c r="F3016" s="6"/>
      <c r="G3016" s="6"/>
      <c r="H3016" s="6"/>
      <c r="I3016" s="6"/>
      <c r="J3016" s="6"/>
    </row>
    <row r="3017" spans="2:10" x14ac:dyDescent="0.25">
      <c r="B3017" s="5"/>
      <c r="C3017" s="6"/>
      <c r="D3017" s="6"/>
      <c r="E3017" s="6"/>
      <c r="F3017" s="6"/>
      <c r="G3017" s="6"/>
      <c r="H3017" s="6"/>
      <c r="I3017" s="6"/>
      <c r="J3017" s="6"/>
    </row>
    <row r="3018" spans="2:10" x14ac:dyDescent="0.25">
      <c r="B3018" s="5"/>
      <c r="C3018" s="6"/>
      <c r="D3018" s="6"/>
      <c r="E3018" s="6"/>
      <c r="F3018" s="6"/>
      <c r="G3018" s="6"/>
      <c r="H3018" s="6"/>
      <c r="I3018" s="6"/>
      <c r="J3018" s="6"/>
    </row>
    <row r="3019" spans="2:10" x14ac:dyDescent="0.25">
      <c r="B3019" s="5"/>
      <c r="C3019" s="6"/>
      <c r="D3019" s="6"/>
      <c r="E3019" s="6"/>
      <c r="F3019" s="6"/>
      <c r="G3019" s="6"/>
      <c r="H3019" s="6"/>
      <c r="I3019" s="6"/>
      <c r="J3019" s="6"/>
    </row>
    <row r="3020" spans="2:10" x14ac:dyDescent="0.25">
      <c r="B3020" s="5"/>
      <c r="C3020" s="6"/>
      <c r="D3020" s="6"/>
      <c r="E3020" s="6"/>
      <c r="F3020" s="6"/>
      <c r="G3020" s="6"/>
      <c r="H3020" s="6"/>
      <c r="I3020" s="6"/>
      <c r="J3020" s="6"/>
    </row>
    <row r="3021" spans="2:10" x14ac:dyDescent="0.25">
      <c r="B3021" s="5"/>
      <c r="C3021" s="6"/>
      <c r="D3021" s="6"/>
      <c r="E3021" s="6"/>
      <c r="F3021" s="6"/>
      <c r="G3021" s="6"/>
      <c r="H3021" s="6"/>
      <c r="I3021" s="6"/>
      <c r="J3021" s="6"/>
    </row>
    <row r="3022" spans="2:10" x14ac:dyDescent="0.25">
      <c r="B3022" s="5"/>
      <c r="C3022" s="6"/>
      <c r="D3022" s="6"/>
      <c r="E3022" s="6"/>
      <c r="F3022" s="6"/>
      <c r="G3022" s="6"/>
      <c r="H3022" s="6"/>
      <c r="I3022" s="6"/>
      <c r="J3022" s="6"/>
    </row>
    <row r="3023" spans="2:10" x14ac:dyDescent="0.25">
      <c r="B3023" s="5"/>
      <c r="C3023" s="6"/>
      <c r="D3023" s="6"/>
      <c r="E3023" s="6"/>
      <c r="F3023" s="6"/>
      <c r="G3023" s="6"/>
      <c r="H3023" s="6"/>
      <c r="I3023" s="6"/>
      <c r="J3023" s="6"/>
    </row>
    <row r="3024" spans="2:10" x14ac:dyDescent="0.25">
      <c r="B3024" s="5"/>
      <c r="C3024" s="6"/>
      <c r="D3024" s="6"/>
      <c r="E3024" s="6"/>
      <c r="F3024" s="6"/>
      <c r="G3024" s="6"/>
      <c r="H3024" s="6"/>
      <c r="I3024" s="6"/>
      <c r="J3024" s="6"/>
    </row>
    <row r="3025" spans="2:10" x14ac:dyDescent="0.25">
      <c r="B3025" s="5"/>
      <c r="C3025" s="6"/>
      <c r="D3025" s="6"/>
      <c r="E3025" s="6"/>
      <c r="F3025" s="6"/>
      <c r="G3025" s="6"/>
      <c r="H3025" s="6"/>
      <c r="I3025" s="6"/>
      <c r="J3025" s="6"/>
    </row>
    <row r="3026" spans="2:10" x14ac:dyDescent="0.25">
      <c r="B3026" s="5"/>
      <c r="C3026" s="6"/>
      <c r="D3026" s="6"/>
      <c r="E3026" s="6"/>
      <c r="F3026" s="6"/>
      <c r="G3026" s="6"/>
      <c r="H3026" s="6"/>
      <c r="I3026" s="6"/>
      <c r="J3026" s="6"/>
    </row>
    <row r="3027" spans="2:10" x14ac:dyDescent="0.25">
      <c r="B3027" s="5"/>
      <c r="C3027" s="6"/>
      <c r="D3027" s="6"/>
      <c r="E3027" s="6"/>
      <c r="F3027" s="6"/>
      <c r="G3027" s="6"/>
      <c r="H3027" s="6"/>
      <c r="I3027" s="6"/>
      <c r="J3027" s="6"/>
    </row>
    <row r="3028" spans="2:10" x14ac:dyDescent="0.25">
      <c r="B3028" s="5"/>
      <c r="C3028" s="6"/>
      <c r="D3028" s="6"/>
      <c r="E3028" s="6"/>
      <c r="F3028" s="6"/>
      <c r="G3028" s="6"/>
      <c r="H3028" s="6"/>
      <c r="I3028" s="6"/>
      <c r="J3028" s="6"/>
    </row>
    <row r="3029" spans="2:10" x14ac:dyDescent="0.25">
      <c r="B3029" s="5"/>
      <c r="C3029" s="6"/>
      <c r="D3029" s="6"/>
      <c r="E3029" s="6"/>
      <c r="F3029" s="6"/>
      <c r="G3029" s="6"/>
      <c r="H3029" s="6"/>
      <c r="I3029" s="6"/>
      <c r="J3029" s="6"/>
    </row>
    <row r="3030" spans="2:10" x14ac:dyDescent="0.25">
      <c r="B3030" s="5"/>
      <c r="C3030" s="6"/>
      <c r="D3030" s="6"/>
      <c r="E3030" s="6"/>
      <c r="F3030" s="6"/>
      <c r="G3030" s="6"/>
      <c r="H3030" s="6"/>
      <c r="I3030" s="6"/>
      <c r="J3030" s="6"/>
    </row>
    <row r="3031" spans="2:10" x14ac:dyDescent="0.25">
      <c r="B3031" s="5"/>
      <c r="C3031" s="6"/>
      <c r="D3031" s="6"/>
      <c r="E3031" s="6"/>
      <c r="F3031" s="6"/>
      <c r="G3031" s="6"/>
      <c r="H3031" s="6"/>
      <c r="I3031" s="6"/>
      <c r="J3031" s="6"/>
    </row>
    <row r="3032" spans="2:10" x14ac:dyDescent="0.25">
      <c r="B3032" s="5"/>
      <c r="C3032" s="6"/>
      <c r="D3032" s="6"/>
      <c r="E3032" s="6"/>
      <c r="F3032" s="6"/>
      <c r="G3032" s="6"/>
      <c r="H3032" s="6"/>
      <c r="I3032" s="6"/>
      <c r="J3032" s="6"/>
    </row>
    <row r="3033" spans="2:10" x14ac:dyDescent="0.25">
      <c r="B3033" s="5"/>
      <c r="C3033" s="6"/>
      <c r="D3033" s="6"/>
      <c r="E3033" s="6"/>
      <c r="F3033" s="6"/>
      <c r="G3033" s="6"/>
      <c r="H3033" s="6"/>
      <c r="I3033" s="6"/>
      <c r="J3033" s="6"/>
    </row>
    <row r="3034" spans="2:10" x14ac:dyDescent="0.25">
      <c r="B3034" s="5"/>
      <c r="C3034" s="6"/>
      <c r="D3034" s="6"/>
      <c r="E3034" s="6"/>
      <c r="F3034" s="6"/>
      <c r="G3034" s="6"/>
      <c r="H3034" s="6"/>
      <c r="I3034" s="6"/>
      <c r="J3034" s="6"/>
    </row>
    <row r="3035" spans="2:10" x14ac:dyDescent="0.25">
      <c r="B3035" s="5"/>
      <c r="C3035" s="6"/>
      <c r="D3035" s="6"/>
      <c r="E3035" s="6"/>
      <c r="F3035" s="6"/>
      <c r="G3035" s="6"/>
      <c r="H3035" s="6"/>
      <c r="I3035" s="6"/>
      <c r="J3035" s="6"/>
    </row>
    <row r="3036" spans="2:10" x14ac:dyDescent="0.25">
      <c r="B3036" s="5"/>
      <c r="C3036" s="6"/>
      <c r="D3036" s="6"/>
      <c r="E3036" s="6"/>
      <c r="F3036" s="6"/>
      <c r="G3036" s="6"/>
      <c r="H3036" s="6"/>
      <c r="I3036" s="6"/>
      <c r="J3036" s="6"/>
    </row>
    <row r="3037" spans="2:10" x14ac:dyDescent="0.25">
      <c r="B3037" s="5"/>
      <c r="C3037" s="6"/>
      <c r="D3037" s="6"/>
      <c r="E3037" s="6"/>
      <c r="F3037" s="6"/>
      <c r="G3037" s="6"/>
      <c r="H3037" s="6"/>
      <c r="I3037" s="6"/>
      <c r="J3037" s="6"/>
    </row>
    <row r="3038" spans="2:10" x14ac:dyDescent="0.25">
      <c r="B3038" s="5"/>
      <c r="C3038" s="6"/>
      <c r="D3038" s="6"/>
      <c r="E3038" s="6"/>
      <c r="F3038" s="6"/>
      <c r="G3038" s="6"/>
      <c r="H3038" s="6"/>
      <c r="I3038" s="6"/>
      <c r="J3038" s="6"/>
    </row>
    <row r="3039" spans="2:10" x14ac:dyDescent="0.25">
      <c r="B3039" s="5"/>
      <c r="C3039" s="6"/>
      <c r="D3039" s="6"/>
      <c r="E3039" s="6"/>
      <c r="F3039" s="6"/>
      <c r="G3039" s="6"/>
      <c r="H3039" s="6"/>
      <c r="I3039" s="6"/>
      <c r="J3039" s="6"/>
    </row>
    <row r="3040" spans="2:10" x14ac:dyDescent="0.25">
      <c r="B3040" s="5"/>
      <c r="C3040" s="6"/>
      <c r="D3040" s="6"/>
      <c r="E3040" s="6"/>
      <c r="F3040" s="6"/>
      <c r="G3040" s="6"/>
      <c r="H3040" s="6"/>
      <c r="I3040" s="6"/>
      <c r="J3040" s="6"/>
    </row>
    <row r="3041" spans="2:10" x14ac:dyDescent="0.25">
      <c r="B3041" s="5"/>
      <c r="C3041" s="6"/>
      <c r="D3041" s="6"/>
      <c r="E3041" s="6"/>
      <c r="F3041" s="6"/>
      <c r="G3041" s="6"/>
      <c r="H3041" s="6"/>
      <c r="I3041" s="6"/>
      <c r="J3041" s="6"/>
    </row>
    <row r="3042" spans="2:10" x14ac:dyDescent="0.25">
      <c r="B3042" s="5"/>
      <c r="C3042" s="6"/>
      <c r="D3042" s="6"/>
      <c r="E3042" s="6"/>
      <c r="F3042" s="6"/>
      <c r="G3042" s="6"/>
      <c r="H3042" s="6"/>
      <c r="I3042" s="6"/>
      <c r="J3042" s="6"/>
    </row>
    <row r="3043" spans="2:10" x14ac:dyDescent="0.25">
      <c r="B3043" s="5"/>
      <c r="C3043" s="6"/>
      <c r="D3043" s="6"/>
      <c r="E3043" s="6"/>
      <c r="F3043" s="6"/>
      <c r="G3043" s="6"/>
      <c r="H3043" s="6"/>
      <c r="I3043" s="6"/>
      <c r="J3043" s="6"/>
    </row>
    <row r="3044" spans="2:10" x14ac:dyDescent="0.25">
      <c r="B3044" s="5"/>
      <c r="C3044" s="6"/>
      <c r="D3044" s="6"/>
      <c r="E3044" s="6"/>
      <c r="F3044" s="6"/>
      <c r="G3044" s="6"/>
      <c r="H3044" s="6"/>
      <c r="I3044" s="6"/>
      <c r="J3044" s="6"/>
    </row>
    <row r="3045" spans="2:10" x14ac:dyDescent="0.25">
      <c r="B3045" s="5"/>
      <c r="C3045" s="6"/>
      <c r="D3045" s="6"/>
      <c r="E3045" s="6"/>
      <c r="F3045" s="6"/>
      <c r="G3045" s="6"/>
      <c r="H3045" s="6"/>
      <c r="I3045" s="6"/>
      <c r="J3045" s="6"/>
    </row>
    <row r="3046" spans="2:10" x14ac:dyDescent="0.25">
      <c r="B3046" s="5"/>
      <c r="C3046" s="6"/>
      <c r="D3046" s="6"/>
      <c r="E3046" s="6"/>
      <c r="F3046" s="6"/>
      <c r="G3046" s="6"/>
      <c r="H3046" s="6"/>
      <c r="I3046" s="6"/>
      <c r="J3046" s="6"/>
    </row>
    <row r="3047" spans="2:10" x14ac:dyDescent="0.25">
      <c r="B3047" s="5"/>
      <c r="C3047" s="6"/>
      <c r="D3047" s="6"/>
      <c r="E3047" s="6"/>
      <c r="F3047" s="6"/>
      <c r="G3047" s="6"/>
      <c r="H3047" s="6"/>
      <c r="I3047" s="6"/>
      <c r="J3047" s="6"/>
    </row>
    <row r="3048" spans="2:10" x14ac:dyDescent="0.25">
      <c r="B3048" s="5"/>
      <c r="C3048" s="6"/>
      <c r="D3048" s="6"/>
      <c r="E3048" s="6"/>
      <c r="F3048" s="6"/>
      <c r="G3048" s="6"/>
      <c r="H3048" s="6"/>
      <c r="I3048" s="6"/>
      <c r="J3048" s="6"/>
    </row>
    <row r="3049" spans="2:10" x14ac:dyDescent="0.25">
      <c r="B3049" s="5"/>
      <c r="C3049" s="6"/>
      <c r="D3049" s="6"/>
      <c r="E3049" s="6"/>
      <c r="F3049" s="6"/>
      <c r="G3049" s="6"/>
      <c r="H3049" s="6"/>
      <c r="I3049" s="6"/>
      <c r="J3049" s="6"/>
    </row>
    <row r="3050" spans="2:10" x14ac:dyDescent="0.25">
      <c r="B3050" s="5"/>
      <c r="C3050" s="6"/>
      <c r="D3050" s="6"/>
      <c r="E3050" s="6"/>
      <c r="F3050" s="6"/>
      <c r="G3050" s="6"/>
      <c r="H3050" s="6"/>
      <c r="I3050" s="6"/>
      <c r="J3050" s="6"/>
    </row>
    <row r="3051" spans="2:10" x14ac:dyDescent="0.25">
      <c r="B3051" s="5"/>
      <c r="C3051" s="6"/>
      <c r="D3051" s="6"/>
      <c r="E3051" s="6"/>
      <c r="F3051" s="6"/>
      <c r="G3051" s="6"/>
      <c r="H3051" s="6"/>
      <c r="I3051" s="6"/>
      <c r="J3051" s="6"/>
    </row>
    <row r="3052" spans="2:10" x14ac:dyDescent="0.25">
      <c r="B3052" s="5"/>
      <c r="C3052" s="6"/>
      <c r="D3052" s="6"/>
      <c r="E3052" s="6"/>
      <c r="F3052" s="6"/>
      <c r="G3052" s="6"/>
      <c r="H3052" s="6"/>
      <c r="I3052" s="6"/>
      <c r="J3052" s="6"/>
    </row>
    <row r="3053" spans="2:10" x14ac:dyDescent="0.25">
      <c r="B3053" s="5"/>
      <c r="C3053" s="6"/>
      <c r="D3053" s="6"/>
      <c r="E3053" s="6"/>
      <c r="F3053" s="6"/>
      <c r="G3053" s="6"/>
      <c r="H3053" s="6"/>
      <c r="I3053" s="6"/>
      <c r="J3053" s="6"/>
    </row>
    <row r="3054" spans="2:10" x14ac:dyDescent="0.25">
      <c r="B3054" s="5"/>
      <c r="C3054" s="6"/>
      <c r="D3054" s="6"/>
      <c r="E3054" s="6"/>
      <c r="F3054" s="6"/>
      <c r="G3054" s="6"/>
      <c r="H3054" s="6"/>
      <c r="I3054" s="6"/>
      <c r="J3054" s="6"/>
    </row>
    <row r="3055" spans="2:10" x14ac:dyDescent="0.25">
      <c r="B3055" s="5"/>
      <c r="C3055" s="6"/>
      <c r="D3055" s="6"/>
      <c r="E3055" s="6"/>
      <c r="F3055" s="6"/>
      <c r="G3055" s="6"/>
      <c r="H3055" s="6"/>
      <c r="I3055" s="6"/>
      <c r="J3055" s="6"/>
    </row>
    <row r="3056" spans="2:10" x14ac:dyDescent="0.25">
      <c r="B3056" s="5"/>
      <c r="C3056" s="6"/>
      <c r="D3056" s="6"/>
      <c r="E3056" s="6"/>
      <c r="F3056" s="6"/>
      <c r="G3056" s="6"/>
      <c r="H3056" s="6"/>
      <c r="I3056" s="6"/>
      <c r="J3056" s="6"/>
    </row>
    <row r="3057" spans="2:10" x14ac:dyDescent="0.25">
      <c r="B3057" s="5"/>
      <c r="C3057" s="6"/>
      <c r="D3057" s="6"/>
      <c r="E3057" s="6"/>
      <c r="F3057" s="6"/>
      <c r="G3057" s="6"/>
      <c r="H3057" s="6"/>
      <c r="I3057" s="6"/>
      <c r="J3057" s="6"/>
    </row>
    <row r="3058" spans="2:10" x14ac:dyDescent="0.25">
      <c r="B3058" s="5"/>
      <c r="C3058" s="6"/>
      <c r="D3058" s="6"/>
      <c r="E3058" s="6"/>
      <c r="F3058" s="6"/>
      <c r="G3058" s="6"/>
      <c r="H3058" s="6"/>
      <c r="I3058" s="6"/>
      <c r="J3058" s="6"/>
    </row>
    <row r="3059" spans="2:10" x14ac:dyDescent="0.25">
      <c r="B3059" s="5"/>
      <c r="C3059" s="6"/>
      <c r="D3059" s="6"/>
      <c r="E3059" s="6"/>
      <c r="F3059" s="6"/>
      <c r="G3059" s="6"/>
      <c r="H3059" s="6"/>
      <c r="I3059" s="6"/>
      <c r="J3059" s="6"/>
    </row>
    <row r="3060" spans="2:10" x14ac:dyDescent="0.25">
      <c r="B3060" s="5"/>
      <c r="C3060" s="6"/>
      <c r="D3060" s="6"/>
      <c r="E3060" s="6"/>
      <c r="F3060" s="6"/>
      <c r="G3060" s="6"/>
      <c r="H3060" s="6"/>
      <c r="I3060" s="6"/>
      <c r="J3060" s="6"/>
    </row>
    <row r="3061" spans="2:10" x14ac:dyDescent="0.25">
      <c r="B3061" s="5"/>
      <c r="C3061" s="6"/>
      <c r="D3061" s="6"/>
      <c r="E3061" s="6"/>
      <c r="F3061" s="6"/>
      <c r="G3061" s="6"/>
      <c r="H3061" s="6"/>
      <c r="I3061" s="6"/>
      <c r="J3061" s="6"/>
    </row>
    <row r="3062" spans="2:10" x14ac:dyDescent="0.25">
      <c r="B3062" s="5"/>
      <c r="C3062" s="6"/>
      <c r="D3062" s="6"/>
      <c r="E3062" s="6"/>
      <c r="F3062" s="6"/>
      <c r="G3062" s="6"/>
      <c r="H3062" s="6"/>
      <c r="I3062" s="6"/>
      <c r="J3062" s="6"/>
    </row>
    <row r="3063" spans="2:10" x14ac:dyDescent="0.25">
      <c r="B3063" s="5"/>
      <c r="C3063" s="6"/>
      <c r="D3063" s="6"/>
      <c r="E3063" s="6"/>
      <c r="F3063" s="6"/>
      <c r="G3063" s="6"/>
      <c r="H3063" s="6"/>
      <c r="I3063" s="6"/>
      <c r="J3063" s="6"/>
    </row>
    <row r="3064" spans="2:10" x14ac:dyDescent="0.25">
      <c r="B3064" s="5"/>
      <c r="C3064" s="6"/>
      <c r="D3064" s="6"/>
      <c r="E3064" s="6"/>
      <c r="F3064" s="6"/>
      <c r="G3064" s="6"/>
      <c r="H3064" s="6"/>
      <c r="I3064" s="6"/>
      <c r="J3064" s="6"/>
    </row>
    <row r="3065" spans="2:10" x14ac:dyDescent="0.25">
      <c r="B3065" s="5"/>
      <c r="C3065" s="6"/>
      <c r="D3065" s="6"/>
      <c r="E3065" s="6"/>
      <c r="F3065" s="6"/>
      <c r="G3065" s="6"/>
      <c r="H3065" s="6"/>
      <c r="I3065" s="6"/>
      <c r="J3065" s="6"/>
    </row>
    <row r="3066" spans="2:10" x14ac:dyDescent="0.25">
      <c r="B3066" s="5"/>
      <c r="C3066" s="6"/>
      <c r="D3066" s="6"/>
      <c r="E3066" s="6"/>
      <c r="F3066" s="6"/>
      <c r="G3066" s="6"/>
      <c r="H3066" s="6"/>
      <c r="I3066" s="6"/>
      <c r="J3066" s="6"/>
    </row>
    <row r="3067" spans="2:10" x14ac:dyDescent="0.25">
      <c r="B3067" s="5"/>
      <c r="C3067" s="6"/>
      <c r="D3067" s="6"/>
      <c r="E3067" s="6"/>
      <c r="F3067" s="6"/>
      <c r="G3067" s="6"/>
      <c r="H3067" s="6"/>
      <c r="I3067" s="6"/>
      <c r="J3067" s="6"/>
    </row>
    <row r="3068" spans="2:10" x14ac:dyDescent="0.25">
      <c r="B3068" s="5"/>
      <c r="C3068" s="6"/>
      <c r="D3068" s="6"/>
      <c r="E3068" s="6"/>
      <c r="F3068" s="6"/>
      <c r="G3068" s="6"/>
      <c r="H3068" s="6"/>
      <c r="I3068" s="6"/>
      <c r="J3068" s="6"/>
    </row>
    <row r="3069" spans="2:10" x14ac:dyDescent="0.25">
      <c r="B3069" s="5"/>
      <c r="C3069" s="6"/>
      <c r="D3069" s="6"/>
      <c r="E3069" s="6"/>
      <c r="F3069" s="6"/>
      <c r="G3069" s="6"/>
      <c r="H3069" s="6"/>
      <c r="I3069" s="6"/>
      <c r="J3069" s="6"/>
    </row>
    <row r="3070" spans="2:10" x14ac:dyDescent="0.25">
      <c r="B3070" s="5"/>
      <c r="C3070" s="6"/>
      <c r="D3070" s="6"/>
      <c r="E3070" s="6"/>
      <c r="F3070" s="6"/>
      <c r="G3070" s="6"/>
      <c r="H3070" s="6"/>
      <c r="I3070" s="6"/>
      <c r="J3070" s="6"/>
    </row>
    <row r="3071" spans="2:10" x14ac:dyDescent="0.25">
      <c r="B3071" s="5"/>
      <c r="C3071" s="6"/>
      <c r="D3071" s="6"/>
      <c r="E3071" s="6"/>
      <c r="F3071" s="6"/>
      <c r="G3071" s="6"/>
      <c r="H3071" s="6"/>
      <c r="I3071" s="6"/>
      <c r="J3071" s="6"/>
    </row>
    <row r="3072" spans="2:10" x14ac:dyDescent="0.25">
      <c r="B3072" s="5"/>
      <c r="C3072" s="6"/>
      <c r="D3072" s="6"/>
      <c r="E3072" s="6"/>
      <c r="F3072" s="6"/>
      <c r="G3072" s="6"/>
      <c r="H3072" s="6"/>
      <c r="I3072" s="6"/>
      <c r="J3072" s="6"/>
    </row>
    <row r="3073" spans="2:10" x14ac:dyDescent="0.25">
      <c r="B3073" s="5"/>
      <c r="C3073" s="6"/>
      <c r="D3073" s="6"/>
      <c r="E3073" s="6"/>
      <c r="F3073" s="6"/>
      <c r="G3073" s="6"/>
      <c r="H3073" s="6"/>
      <c r="I3073" s="6"/>
      <c r="J3073" s="6"/>
    </row>
    <row r="3074" spans="2:10" x14ac:dyDescent="0.25">
      <c r="B3074" s="5"/>
      <c r="C3074" s="6"/>
      <c r="D3074" s="6"/>
      <c r="E3074" s="6"/>
      <c r="F3074" s="6"/>
      <c r="G3074" s="6"/>
      <c r="H3074" s="6"/>
      <c r="I3074" s="6"/>
      <c r="J3074" s="6"/>
    </row>
    <row r="3075" spans="2:10" x14ac:dyDescent="0.25">
      <c r="B3075" s="5"/>
      <c r="C3075" s="6"/>
      <c r="D3075" s="6"/>
      <c r="E3075" s="6"/>
      <c r="F3075" s="6"/>
      <c r="G3075" s="6"/>
      <c r="H3075" s="6"/>
      <c r="I3075" s="6"/>
      <c r="J3075" s="6"/>
    </row>
    <row r="3076" spans="2:10" x14ac:dyDescent="0.25">
      <c r="B3076" s="5"/>
      <c r="C3076" s="6"/>
      <c r="D3076" s="6"/>
      <c r="E3076" s="6"/>
      <c r="F3076" s="6"/>
      <c r="G3076" s="6"/>
      <c r="H3076" s="6"/>
      <c r="I3076" s="6"/>
      <c r="J3076" s="6"/>
    </row>
    <row r="3077" spans="2:10" x14ac:dyDescent="0.25">
      <c r="B3077" s="5"/>
      <c r="C3077" s="6"/>
      <c r="D3077" s="6"/>
      <c r="E3077" s="6"/>
      <c r="F3077" s="6"/>
      <c r="G3077" s="6"/>
      <c r="H3077" s="6"/>
      <c r="I3077" s="6"/>
      <c r="J3077" s="6"/>
    </row>
    <row r="3078" spans="2:10" x14ac:dyDescent="0.25">
      <c r="B3078" s="5"/>
      <c r="C3078" s="6"/>
      <c r="D3078" s="6"/>
      <c r="E3078" s="6"/>
      <c r="F3078" s="6"/>
      <c r="G3078" s="6"/>
      <c r="H3078" s="6"/>
      <c r="I3078" s="6"/>
      <c r="J3078" s="6"/>
    </row>
    <row r="3079" spans="2:10" x14ac:dyDescent="0.25">
      <c r="B3079" s="5"/>
      <c r="C3079" s="6"/>
      <c r="D3079" s="6"/>
      <c r="E3079" s="6"/>
      <c r="F3079" s="6"/>
      <c r="G3079" s="6"/>
      <c r="H3079" s="6"/>
      <c r="I3079" s="6"/>
      <c r="J3079" s="6"/>
    </row>
    <row r="3080" spans="2:10" x14ac:dyDescent="0.25">
      <c r="B3080" s="5"/>
      <c r="C3080" s="6"/>
      <c r="D3080" s="6"/>
      <c r="E3080" s="6"/>
      <c r="F3080" s="6"/>
      <c r="G3080" s="6"/>
      <c r="H3080" s="6"/>
      <c r="I3080" s="6"/>
      <c r="J3080" s="6"/>
    </row>
    <row r="3081" spans="2:10" x14ac:dyDescent="0.25">
      <c r="B3081" s="5"/>
      <c r="C3081" s="6"/>
      <c r="D3081" s="6"/>
      <c r="E3081" s="6"/>
      <c r="F3081" s="6"/>
      <c r="G3081" s="6"/>
      <c r="H3081" s="6"/>
      <c r="I3081" s="6"/>
      <c r="J3081" s="6"/>
    </row>
    <row r="3082" spans="2:10" x14ac:dyDescent="0.25">
      <c r="B3082" s="5"/>
      <c r="C3082" s="6"/>
      <c r="D3082" s="6"/>
      <c r="E3082" s="6"/>
      <c r="F3082" s="6"/>
      <c r="G3082" s="6"/>
      <c r="H3082" s="6"/>
      <c r="I3082" s="6"/>
      <c r="J3082" s="6"/>
    </row>
    <row r="3083" spans="2:10" x14ac:dyDescent="0.25">
      <c r="B3083" s="5"/>
      <c r="C3083" s="6"/>
      <c r="D3083" s="6"/>
      <c r="E3083" s="6"/>
      <c r="F3083" s="6"/>
      <c r="G3083" s="6"/>
      <c r="H3083" s="6"/>
      <c r="I3083" s="6"/>
      <c r="J3083" s="6"/>
    </row>
    <row r="3084" spans="2:10" x14ac:dyDescent="0.25">
      <c r="B3084" s="5"/>
      <c r="C3084" s="6"/>
      <c r="D3084" s="6"/>
      <c r="E3084" s="6"/>
      <c r="F3084" s="6"/>
      <c r="G3084" s="6"/>
      <c r="H3084" s="6"/>
      <c r="I3084" s="6"/>
      <c r="J3084" s="6"/>
    </row>
    <row r="3085" spans="2:10" x14ac:dyDescent="0.25">
      <c r="B3085" s="5"/>
      <c r="C3085" s="6"/>
      <c r="D3085" s="6"/>
      <c r="E3085" s="6"/>
      <c r="F3085" s="6"/>
      <c r="G3085" s="6"/>
      <c r="H3085" s="6"/>
      <c r="I3085" s="6"/>
      <c r="J3085" s="6"/>
    </row>
    <row r="3086" spans="2:10" x14ac:dyDescent="0.25">
      <c r="B3086" s="5"/>
      <c r="C3086" s="6"/>
      <c r="D3086" s="6"/>
      <c r="E3086" s="6"/>
      <c r="F3086" s="6"/>
      <c r="G3086" s="6"/>
      <c r="H3086" s="6"/>
      <c r="I3086" s="6"/>
      <c r="J3086" s="6"/>
    </row>
    <row r="3087" spans="2:10" x14ac:dyDescent="0.25">
      <c r="B3087" s="5"/>
      <c r="C3087" s="6"/>
      <c r="D3087" s="6"/>
      <c r="E3087" s="6"/>
      <c r="F3087" s="6"/>
      <c r="G3087" s="6"/>
      <c r="H3087" s="6"/>
      <c r="I3087" s="6"/>
      <c r="J3087" s="6"/>
    </row>
    <row r="3088" spans="2:10" x14ac:dyDescent="0.25">
      <c r="B3088" s="5"/>
      <c r="C3088" s="6"/>
      <c r="D3088" s="6"/>
      <c r="E3088" s="6"/>
      <c r="F3088" s="6"/>
      <c r="G3088" s="6"/>
      <c r="H3088" s="6"/>
      <c r="I3088" s="6"/>
      <c r="J3088" s="6"/>
    </row>
    <row r="3089" spans="2:10" x14ac:dyDescent="0.25">
      <c r="B3089" s="5"/>
      <c r="C3089" s="6"/>
      <c r="D3089" s="6"/>
      <c r="E3089" s="6"/>
      <c r="F3089" s="6"/>
      <c r="G3089" s="6"/>
      <c r="H3089" s="6"/>
      <c r="I3089" s="6"/>
      <c r="J3089" s="6"/>
    </row>
    <row r="3090" spans="2:10" x14ac:dyDescent="0.25">
      <c r="B3090" s="5"/>
      <c r="C3090" s="6"/>
      <c r="D3090" s="6"/>
      <c r="E3090" s="6"/>
      <c r="F3090" s="6"/>
      <c r="G3090" s="6"/>
      <c r="H3090" s="6"/>
      <c r="I3090" s="6"/>
      <c r="J3090" s="6"/>
    </row>
    <row r="3091" spans="2:10" x14ac:dyDescent="0.25">
      <c r="B3091" s="5"/>
      <c r="C3091" s="6"/>
      <c r="D3091" s="6"/>
      <c r="E3091" s="6"/>
      <c r="F3091" s="6"/>
      <c r="G3091" s="6"/>
      <c r="H3091" s="6"/>
      <c r="I3091" s="6"/>
      <c r="J3091" s="6"/>
    </row>
    <row r="3092" spans="2:10" x14ac:dyDescent="0.25">
      <c r="B3092" s="5"/>
      <c r="C3092" s="6"/>
      <c r="D3092" s="6"/>
      <c r="E3092" s="6"/>
      <c r="F3092" s="6"/>
      <c r="G3092" s="6"/>
      <c r="H3092" s="6"/>
      <c r="I3092" s="6"/>
      <c r="J3092" s="6"/>
    </row>
    <row r="3093" spans="2:10" x14ac:dyDescent="0.25">
      <c r="B3093" s="5"/>
      <c r="C3093" s="6"/>
      <c r="D3093" s="6"/>
      <c r="E3093" s="6"/>
      <c r="F3093" s="6"/>
      <c r="G3093" s="6"/>
      <c r="H3093" s="6"/>
      <c r="I3093" s="6"/>
      <c r="J3093" s="6"/>
    </row>
    <row r="3094" spans="2:10" x14ac:dyDescent="0.25">
      <c r="B3094" s="5"/>
      <c r="C3094" s="6"/>
      <c r="D3094" s="6"/>
      <c r="E3094" s="6"/>
      <c r="F3094" s="6"/>
      <c r="G3094" s="6"/>
      <c r="H3094" s="6"/>
      <c r="I3094" s="6"/>
      <c r="J3094" s="6"/>
    </row>
    <row r="3095" spans="2:10" x14ac:dyDescent="0.25">
      <c r="B3095" s="5"/>
      <c r="C3095" s="6"/>
      <c r="D3095" s="6"/>
      <c r="E3095" s="6"/>
      <c r="F3095" s="6"/>
      <c r="G3095" s="6"/>
      <c r="H3095" s="6"/>
      <c r="I3095" s="6"/>
      <c r="J3095" s="6"/>
    </row>
    <row r="3096" spans="2:10" x14ac:dyDescent="0.25">
      <c r="B3096" s="5"/>
      <c r="C3096" s="6"/>
      <c r="D3096" s="6"/>
      <c r="E3096" s="6"/>
      <c r="F3096" s="6"/>
      <c r="G3096" s="6"/>
      <c r="H3096" s="6"/>
      <c r="I3096" s="6"/>
      <c r="J3096" s="6"/>
    </row>
    <row r="3097" spans="2:10" x14ac:dyDescent="0.25">
      <c r="B3097" s="5"/>
      <c r="C3097" s="6"/>
      <c r="D3097" s="6"/>
      <c r="E3097" s="6"/>
      <c r="F3097" s="6"/>
      <c r="G3097" s="6"/>
      <c r="H3097" s="6"/>
      <c r="I3097" s="6"/>
      <c r="J3097" s="6"/>
    </row>
    <row r="3098" spans="2:10" x14ac:dyDescent="0.25">
      <c r="B3098" s="5"/>
      <c r="C3098" s="6"/>
      <c r="D3098" s="6"/>
      <c r="E3098" s="6"/>
      <c r="F3098" s="6"/>
      <c r="G3098" s="6"/>
      <c r="H3098" s="6"/>
      <c r="I3098" s="6"/>
      <c r="J3098" s="6"/>
    </row>
    <row r="3099" spans="2:10" x14ac:dyDescent="0.25">
      <c r="B3099" s="5"/>
      <c r="C3099" s="6"/>
      <c r="D3099" s="6"/>
      <c r="E3099" s="6"/>
      <c r="F3099" s="6"/>
      <c r="G3099" s="6"/>
      <c r="H3099" s="6"/>
      <c r="I3099" s="6"/>
      <c r="J3099" s="6"/>
    </row>
    <row r="3100" spans="2:10" x14ac:dyDescent="0.25">
      <c r="B3100" s="5"/>
      <c r="C3100" s="6"/>
      <c r="D3100" s="6"/>
      <c r="E3100" s="6"/>
      <c r="F3100" s="6"/>
      <c r="G3100" s="6"/>
      <c r="H3100" s="6"/>
      <c r="I3100" s="6"/>
      <c r="J3100" s="6"/>
    </row>
    <row r="3101" spans="2:10" x14ac:dyDescent="0.25">
      <c r="B3101" s="5"/>
      <c r="C3101" s="6"/>
      <c r="D3101" s="6"/>
      <c r="E3101" s="6"/>
      <c r="F3101" s="6"/>
      <c r="G3101" s="6"/>
      <c r="H3101" s="6"/>
      <c r="I3101" s="6"/>
      <c r="J3101" s="6"/>
    </row>
    <row r="3102" spans="2:10" x14ac:dyDescent="0.25">
      <c r="B3102" s="5"/>
      <c r="C3102" s="6"/>
      <c r="D3102" s="6"/>
      <c r="E3102" s="6"/>
      <c r="F3102" s="6"/>
      <c r="G3102" s="6"/>
      <c r="H3102" s="6"/>
      <c r="I3102" s="6"/>
      <c r="J3102" s="6"/>
    </row>
    <row r="3103" spans="2:10" x14ac:dyDescent="0.25">
      <c r="B3103" s="5"/>
      <c r="C3103" s="6"/>
      <c r="D3103" s="6"/>
      <c r="E3103" s="6"/>
      <c r="F3103" s="6"/>
      <c r="G3103" s="6"/>
      <c r="H3103" s="6"/>
      <c r="I3103" s="6"/>
      <c r="J3103" s="6"/>
    </row>
    <row r="3104" spans="2:10" x14ac:dyDescent="0.25">
      <c r="B3104" s="5"/>
      <c r="C3104" s="6"/>
      <c r="D3104" s="6"/>
      <c r="E3104" s="6"/>
      <c r="F3104" s="6"/>
      <c r="G3104" s="6"/>
      <c r="H3104" s="6"/>
      <c r="I3104" s="6"/>
      <c r="J3104" s="6"/>
    </row>
    <row r="3105" spans="2:10" x14ac:dyDescent="0.25">
      <c r="B3105" s="5"/>
      <c r="C3105" s="6"/>
      <c r="D3105" s="6"/>
      <c r="E3105" s="6"/>
      <c r="F3105" s="6"/>
      <c r="G3105" s="6"/>
      <c r="H3105" s="6"/>
      <c r="I3105" s="6"/>
      <c r="J3105" s="6"/>
    </row>
    <row r="3106" spans="2:10" x14ac:dyDescent="0.25">
      <c r="B3106" s="5"/>
      <c r="C3106" s="6"/>
      <c r="D3106" s="6"/>
      <c r="E3106" s="6"/>
      <c r="F3106" s="6"/>
      <c r="G3106" s="6"/>
      <c r="H3106" s="6"/>
      <c r="I3106" s="6"/>
      <c r="J3106" s="6"/>
    </row>
    <row r="3107" spans="2:10" x14ac:dyDescent="0.25">
      <c r="B3107" s="5"/>
      <c r="C3107" s="6"/>
      <c r="D3107" s="6"/>
      <c r="E3107" s="6"/>
      <c r="F3107" s="6"/>
      <c r="G3107" s="6"/>
      <c r="H3107" s="6"/>
      <c r="I3107" s="6"/>
      <c r="J3107" s="6"/>
    </row>
    <row r="3108" spans="2:10" x14ac:dyDescent="0.25">
      <c r="B3108" s="5"/>
      <c r="C3108" s="6"/>
      <c r="D3108" s="6"/>
      <c r="E3108" s="6"/>
      <c r="F3108" s="6"/>
      <c r="G3108" s="6"/>
      <c r="H3108" s="6"/>
      <c r="I3108" s="6"/>
      <c r="J3108" s="6"/>
    </row>
    <row r="3109" spans="2:10" x14ac:dyDescent="0.25">
      <c r="B3109" s="5"/>
      <c r="C3109" s="6"/>
      <c r="D3109" s="6"/>
      <c r="E3109" s="6"/>
      <c r="F3109" s="6"/>
      <c r="G3109" s="6"/>
      <c r="H3109" s="6"/>
      <c r="I3109" s="6"/>
      <c r="J3109" s="6"/>
    </row>
    <row r="3110" spans="2:10" x14ac:dyDescent="0.25">
      <c r="B3110" s="5"/>
      <c r="C3110" s="6"/>
      <c r="D3110" s="6"/>
      <c r="E3110" s="6"/>
      <c r="F3110" s="6"/>
      <c r="G3110" s="6"/>
      <c r="H3110" s="6"/>
      <c r="I3110" s="6"/>
      <c r="J3110" s="6"/>
    </row>
    <row r="3111" spans="2:10" x14ac:dyDescent="0.25">
      <c r="B3111" s="5"/>
      <c r="C3111" s="6"/>
      <c r="D3111" s="6"/>
      <c r="E3111" s="6"/>
      <c r="F3111" s="6"/>
      <c r="G3111" s="6"/>
      <c r="H3111" s="6"/>
      <c r="I3111" s="6"/>
      <c r="J3111" s="6"/>
    </row>
    <row r="3112" spans="2:10" x14ac:dyDescent="0.25">
      <c r="B3112" s="5"/>
      <c r="C3112" s="6"/>
      <c r="D3112" s="6"/>
      <c r="E3112" s="6"/>
      <c r="F3112" s="6"/>
      <c r="G3112" s="6"/>
      <c r="H3112" s="6"/>
      <c r="I3112" s="6"/>
      <c r="J3112" s="6"/>
    </row>
    <row r="3113" spans="2:10" x14ac:dyDescent="0.25">
      <c r="B3113" s="5"/>
      <c r="C3113" s="6"/>
      <c r="D3113" s="6"/>
      <c r="E3113" s="6"/>
      <c r="F3113" s="6"/>
      <c r="G3113" s="6"/>
      <c r="H3113" s="6"/>
      <c r="I3113" s="6"/>
      <c r="J3113" s="6"/>
    </row>
    <row r="3114" spans="2:10" x14ac:dyDescent="0.25">
      <c r="B3114" s="5"/>
      <c r="C3114" s="6"/>
      <c r="D3114" s="6"/>
      <c r="E3114" s="6"/>
      <c r="F3114" s="6"/>
      <c r="G3114" s="6"/>
      <c r="H3114" s="6"/>
      <c r="I3114" s="6"/>
      <c r="J3114" s="6"/>
    </row>
    <row r="3115" spans="2:10" x14ac:dyDescent="0.25">
      <c r="B3115" s="5"/>
      <c r="C3115" s="6"/>
      <c r="D3115" s="6"/>
      <c r="E3115" s="6"/>
      <c r="F3115" s="6"/>
      <c r="G3115" s="6"/>
      <c r="H3115" s="6"/>
      <c r="I3115" s="6"/>
      <c r="J3115" s="6"/>
    </row>
    <row r="3116" spans="2:10" x14ac:dyDescent="0.25">
      <c r="B3116" s="5"/>
      <c r="C3116" s="6"/>
      <c r="D3116" s="6"/>
      <c r="E3116" s="6"/>
      <c r="F3116" s="6"/>
      <c r="G3116" s="6"/>
      <c r="H3116" s="6"/>
      <c r="I3116" s="6"/>
      <c r="J3116" s="6"/>
    </row>
    <row r="3117" spans="2:10" x14ac:dyDescent="0.25">
      <c r="B3117" s="5"/>
      <c r="C3117" s="6"/>
      <c r="D3117" s="6"/>
      <c r="E3117" s="6"/>
      <c r="F3117" s="6"/>
      <c r="G3117" s="6"/>
      <c r="H3117" s="6"/>
      <c r="I3117" s="6"/>
      <c r="J3117" s="6"/>
    </row>
    <row r="3118" spans="2:10" x14ac:dyDescent="0.25">
      <c r="B3118" s="5"/>
      <c r="C3118" s="6"/>
      <c r="D3118" s="6"/>
      <c r="E3118" s="6"/>
      <c r="F3118" s="6"/>
      <c r="G3118" s="6"/>
      <c r="H3118" s="6"/>
      <c r="I3118" s="6"/>
      <c r="J3118" s="6"/>
    </row>
    <row r="3119" spans="2:10" x14ac:dyDescent="0.25">
      <c r="B3119" s="5"/>
      <c r="C3119" s="6"/>
      <c r="D3119" s="6"/>
      <c r="E3119" s="6"/>
      <c r="F3119" s="6"/>
      <c r="G3119" s="6"/>
      <c r="H3119" s="6"/>
      <c r="I3119" s="6"/>
      <c r="J3119" s="6"/>
    </row>
    <row r="3120" spans="2:10" x14ac:dyDescent="0.25">
      <c r="B3120" s="5"/>
      <c r="C3120" s="6"/>
      <c r="D3120" s="6"/>
      <c r="E3120" s="6"/>
      <c r="F3120" s="6"/>
      <c r="G3120" s="6"/>
      <c r="H3120" s="6"/>
      <c r="I3120" s="6"/>
      <c r="J3120" s="6"/>
    </row>
    <row r="3121" spans="2:10" x14ac:dyDescent="0.25">
      <c r="B3121" s="5"/>
      <c r="C3121" s="6"/>
      <c r="D3121" s="6"/>
      <c r="E3121" s="6"/>
      <c r="F3121" s="6"/>
      <c r="G3121" s="6"/>
      <c r="H3121" s="6"/>
      <c r="I3121" s="6"/>
      <c r="J3121" s="6"/>
    </row>
    <row r="3122" spans="2:10" x14ac:dyDescent="0.25">
      <c r="B3122" s="5"/>
      <c r="C3122" s="6"/>
      <c r="D3122" s="6"/>
      <c r="E3122" s="6"/>
      <c r="F3122" s="6"/>
      <c r="G3122" s="6"/>
      <c r="H3122" s="6"/>
      <c r="I3122" s="6"/>
      <c r="J3122" s="6"/>
    </row>
    <row r="3123" spans="2:10" x14ac:dyDescent="0.25">
      <c r="B3123" s="5"/>
      <c r="C3123" s="6"/>
      <c r="D3123" s="6"/>
      <c r="E3123" s="6"/>
      <c r="F3123" s="6"/>
      <c r="G3123" s="6"/>
      <c r="H3123" s="6"/>
      <c r="I3123" s="6"/>
      <c r="J3123" s="6"/>
    </row>
    <row r="3124" spans="2:10" x14ac:dyDescent="0.25">
      <c r="B3124" s="5"/>
      <c r="C3124" s="6"/>
      <c r="D3124" s="6"/>
      <c r="E3124" s="6"/>
      <c r="F3124" s="6"/>
      <c r="G3124" s="6"/>
      <c r="H3124" s="6"/>
      <c r="I3124" s="6"/>
      <c r="J3124" s="6"/>
    </row>
    <row r="3125" spans="2:10" x14ac:dyDescent="0.25">
      <c r="B3125" s="5"/>
      <c r="C3125" s="6"/>
      <c r="D3125" s="6"/>
      <c r="E3125" s="6"/>
      <c r="F3125" s="6"/>
      <c r="G3125" s="6"/>
      <c r="H3125" s="6"/>
      <c r="I3125" s="6"/>
      <c r="J3125" s="6"/>
    </row>
    <row r="3126" spans="2:10" x14ac:dyDescent="0.25">
      <c r="B3126" s="5"/>
      <c r="C3126" s="6"/>
      <c r="D3126" s="6"/>
      <c r="E3126" s="6"/>
      <c r="F3126" s="6"/>
      <c r="G3126" s="6"/>
      <c r="H3126" s="6"/>
      <c r="I3126" s="6"/>
      <c r="J3126" s="6"/>
    </row>
    <row r="3127" spans="2:10" x14ac:dyDescent="0.25">
      <c r="B3127" s="5"/>
      <c r="C3127" s="6"/>
      <c r="D3127" s="6"/>
      <c r="E3127" s="6"/>
      <c r="F3127" s="6"/>
      <c r="G3127" s="6"/>
      <c r="H3127" s="6"/>
      <c r="I3127" s="6"/>
      <c r="J3127" s="6"/>
    </row>
    <row r="3128" spans="2:10" x14ac:dyDescent="0.25">
      <c r="B3128" s="5"/>
      <c r="C3128" s="6"/>
      <c r="D3128" s="6"/>
      <c r="E3128" s="6"/>
      <c r="F3128" s="6"/>
      <c r="G3128" s="6"/>
      <c r="H3128" s="6"/>
      <c r="I3128" s="6"/>
      <c r="J3128" s="6"/>
    </row>
    <row r="3129" spans="2:10" x14ac:dyDescent="0.25">
      <c r="B3129" s="5"/>
      <c r="C3129" s="6"/>
      <c r="D3129" s="6"/>
      <c r="E3129" s="6"/>
      <c r="F3129" s="6"/>
      <c r="G3129" s="6"/>
      <c r="H3129" s="6"/>
      <c r="I3129" s="6"/>
      <c r="J3129" s="6"/>
    </row>
    <row r="3130" spans="2:10" x14ac:dyDescent="0.25">
      <c r="B3130" s="5"/>
      <c r="C3130" s="6"/>
      <c r="D3130" s="6"/>
      <c r="E3130" s="6"/>
      <c r="F3130" s="6"/>
      <c r="G3130" s="6"/>
      <c r="H3130" s="6"/>
      <c r="I3130" s="6"/>
      <c r="J3130" s="6"/>
    </row>
    <row r="3131" spans="2:10" x14ac:dyDescent="0.25">
      <c r="B3131" s="5"/>
      <c r="C3131" s="6"/>
      <c r="D3131" s="6"/>
      <c r="E3131" s="6"/>
      <c r="F3131" s="6"/>
      <c r="G3131" s="6"/>
      <c r="H3131" s="6"/>
      <c r="I3131" s="6"/>
      <c r="J3131" s="6"/>
    </row>
    <row r="3132" spans="2:10" x14ac:dyDescent="0.25">
      <c r="B3132" s="5"/>
      <c r="C3132" s="6"/>
      <c r="D3132" s="6"/>
      <c r="E3132" s="6"/>
      <c r="F3132" s="6"/>
      <c r="G3132" s="6"/>
      <c r="H3132" s="6"/>
      <c r="I3132" s="6"/>
      <c r="J3132" s="6"/>
    </row>
    <row r="3133" spans="2:10" x14ac:dyDescent="0.25">
      <c r="B3133" s="5"/>
      <c r="C3133" s="6"/>
      <c r="D3133" s="6"/>
      <c r="E3133" s="6"/>
      <c r="F3133" s="6"/>
      <c r="G3133" s="6"/>
      <c r="H3133" s="6"/>
      <c r="I3133" s="6"/>
      <c r="J3133" s="6"/>
    </row>
    <row r="3134" spans="2:10" x14ac:dyDescent="0.25">
      <c r="B3134" s="5"/>
      <c r="C3134" s="6"/>
      <c r="D3134" s="6"/>
      <c r="E3134" s="6"/>
      <c r="F3134" s="6"/>
      <c r="G3134" s="6"/>
      <c r="H3134" s="6"/>
      <c r="I3134" s="6"/>
      <c r="J3134" s="6"/>
    </row>
    <row r="3135" spans="2:10" x14ac:dyDescent="0.25">
      <c r="B3135" s="5"/>
      <c r="C3135" s="6"/>
      <c r="D3135" s="6"/>
      <c r="E3135" s="6"/>
      <c r="F3135" s="6"/>
      <c r="G3135" s="6"/>
      <c r="H3135" s="6"/>
      <c r="I3135" s="6"/>
      <c r="J3135" s="6"/>
    </row>
    <row r="3136" spans="2:10" x14ac:dyDescent="0.25">
      <c r="B3136" s="5"/>
      <c r="C3136" s="6"/>
      <c r="D3136" s="6"/>
      <c r="E3136" s="6"/>
      <c r="F3136" s="6"/>
      <c r="G3136" s="6"/>
      <c r="H3136" s="6"/>
      <c r="I3136" s="6"/>
      <c r="J3136" s="6"/>
    </row>
    <row r="3137" spans="2:10" x14ac:dyDescent="0.25">
      <c r="B3137" s="5"/>
      <c r="C3137" s="6"/>
      <c r="D3137" s="6"/>
      <c r="E3137" s="6"/>
      <c r="F3137" s="6"/>
      <c r="G3137" s="6"/>
      <c r="H3137" s="6"/>
      <c r="I3137" s="6"/>
      <c r="J3137" s="6"/>
    </row>
    <row r="3138" spans="2:10" x14ac:dyDescent="0.25">
      <c r="B3138" s="5"/>
      <c r="C3138" s="6"/>
      <c r="D3138" s="6"/>
      <c r="E3138" s="6"/>
      <c r="F3138" s="6"/>
      <c r="G3138" s="6"/>
      <c r="H3138" s="6"/>
      <c r="I3138" s="6"/>
      <c r="J3138" s="6"/>
    </row>
    <row r="3139" spans="2:10" x14ac:dyDescent="0.25">
      <c r="B3139" s="5"/>
      <c r="C3139" s="6"/>
      <c r="D3139" s="6"/>
      <c r="E3139" s="6"/>
      <c r="F3139" s="6"/>
      <c r="G3139" s="6"/>
      <c r="H3139" s="6"/>
      <c r="I3139" s="6"/>
      <c r="J3139" s="6"/>
    </row>
    <row r="3140" spans="2:10" x14ac:dyDescent="0.25">
      <c r="B3140" s="5"/>
      <c r="C3140" s="6"/>
      <c r="D3140" s="6"/>
      <c r="E3140" s="6"/>
      <c r="F3140" s="6"/>
      <c r="G3140" s="6"/>
      <c r="H3140" s="6"/>
      <c r="I3140" s="6"/>
      <c r="J3140" s="6"/>
    </row>
    <row r="3141" spans="2:10" x14ac:dyDescent="0.25">
      <c r="B3141" s="5"/>
      <c r="C3141" s="6"/>
      <c r="D3141" s="6"/>
      <c r="E3141" s="6"/>
      <c r="F3141" s="6"/>
      <c r="G3141" s="6"/>
      <c r="H3141" s="6"/>
      <c r="I3141" s="6"/>
      <c r="J3141" s="6"/>
    </row>
    <row r="3142" spans="2:10" x14ac:dyDescent="0.25">
      <c r="B3142" s="5"/>
      <c r="C3142" s="6"/>
      <c r="D3142" s="6"/>
      <c r="E3142" s="6"/>
      <c r="F3142" s="6"/>
      <c r="G3142" s="6"/>
      <c r="H3142" s="6"/>
      <c r="I3142" s="6"/>
      <c r="J3142" s="6"/>
    </row>
    <row r="3143" spans="2:10" x14ac:dyDescent="0.25">
      <c r="B3143" s="5"/>
      <c r="C3143" s="6"/>
      <c r="D3143" s="6"/>
      <c r="E3143" s="6"/>
      <c r="F3143" s="6"/>
      <c r="G3143" s="6"/>
      <c r="H3143" s="6"/>
      <c r="I3143" s="6"/>
      <c r="J3143" s="6"/>
    </row>
    <row r="3144" spans="2:10" x14ac:dyDescent="0.25">
      <c r="B3144" s="5"/>
      <c r="C3144" s="6"/>
      <c r="D3144" s="6"/>
      <c r="E3144" s="6"/>
      <c r="F3144" s="6"/>
      <c r="G3144" s="6"/>
      <c r="H3144" s="6"/>
      <c r="I3144" s="6"/>
      <c r="J3144" s="6"/>
    </row>
    <row r="3145" spans="2:10" x14ac:dyDescent="0.25">
      <c r="B3145" s="5"/>
      <c r="C3145" s="6"/>
      <c r="D3145" s="6"/>
      <c r="E3145" s="6"/>
      <c r="F3145" s="6"/>
      <c r="G3145" s="6"/>
      <c r="H3145" s="6"/>
      <c r="I3145" s="6"/>
      <c r="J3145" s="6"/>
    </row>
    <row r="3146" spans="2:10" x14ac:dyDescent="0.25">
      <c r="B3146" s="5"/>
      <c r="C3146" s="6"/>
      <c r="D3146" s="6"/>
      <c r="E3146" s="6"/>
      <c r="F3146" s="6"/>
      <c r="G3146" s="6"/>
      <c r="H3146" s="6"/>
      <c r="I3146" s="6"/>
      <c r="J3146" s="6"/>
    </row>
    <row r="3147" spans="2:10" x14ac:dyDescent="0.25">
      <c r="B3147" s="5"/>
      <c r="C3147" s="6"/>
      <c r="D3147" s="6"/>
      <c r="E3147" s="6"/>
      <c r="F3147" s="6"/>
      <c r="G3147" s="6"/>
      <c r="H3147" s="6"/>
      <c r="I3147" s="6"/>
      <c r="J3147" s="6"/>
    </row>
    <row r="3148" spans="2:10" x14ac:dyDescent="0.25">
      <c r="B3148" s="5"/>
      <c r="C3148" s="6"/>
      <c r="D3148" s="6"/>
      <c r="E3148" s="6"/>
      <c r="F3148" s="6"/>
      <c r="G3148" s="6"/>
      <c r="H3148" s="6"/>
      <c r="I3148" s="6"/>
      <c r="J3148" s="6"/>
    </row>
    <row r="3149" spans="2:10" x14ac:dyDescent="0.25">
      <c r="B3149" s="5"/>
      <c r="C3149" s="6"/>
      <c r="D3149" s="6"/>
      <c r="E3149" s="6"/>
      <c r="F3149" s="6"/>
      <c r="G3149" s="6"/>
      <c r="H3149" s="6"/>
      <c r="I3149" s="6"/>
      <c r="J3149" s="6"/>
    </row>
    <row r="3150" spans="2:10" x14ac:dyDescent="0.25">
      <c r="B3150" s="5"/>
      <c r="C3150" s="6"/>
      <c r="D3150" s="6"/>
      <c r="E3150" s="6"/>
      <c r="F3150" s="6"/>
      <c r="G3150" s="6"/>
      <c r="H3150" s="6"/>
      <c r="I3150" s="6"/>
      <c r="J3150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K16"/>
  <sheetViews>
    <sheetView zoomScale="112" zoomScaleNormal="70" workbookViewId="0">
      <selection activeCell="D6" sqref="D6"/>
    </sheetView>
  </sheetViews>
  <sheetFormatPr baseColWidth="10" defaultColWidth="11.5703125" defaultRowHeight="15" x14ac:dyDescent="0.25"/>
  <cols>
    <col min="1" max="1" width="11.5703125" style="9"/>
    <col min="2" max="2" width="17.28515625" style="9" bestFit="1" customWidth="1"/>
    <col min="3" max="3" width="16.5703125" style="9" customWidth="1"/>
    <col min="4" max="16384" width="11.5703125" style="9"/>
  </cols>
  <sheetData>
    <row r="1" spans="1:11" x14ac:dyDescent="0.25">
      <c r="A1" s="9" t="s">
        <v>13</v>
      </c>
    </row>
    <row r="3" spans="1:11" x14ac:dyDescent="0.25">
      <c r="A3" s="10"/>
      <c r="C3" s="13">
        <f ca="1">TODAY()</f>
        <v>44998</v>
      </c>
      <c r="D3" s="13">
        <f ca="1">C3-1</f>
        <v>44997</v>
      </c>
      <c r="E3" s="13">
        <f ca="1">C3-7</f>
        <v>44991</v>
      </c>
      <c r="F3" s="13">
        <f ca="1">DATE(YEAR(C3),MONTH(C3)-1,DAY(C3))</f>
        <v>44970</v>
      </c>
      <c r="G3" s="13">
        <f ca="1">DATE(YEAR(C3)-1,MONTH(C3),DAY(C3))</f>
        <v>44633</v>
      </c>
    </row>
    <row r="4" spans="1:11" ht="25.9" customHeight="1" x14ac:dyDescent="0.25">
      <c r="B4" s="54" t="s">
        <v>14</v>
      </c>
      <c r="C4" s="53" t="str">
        <f ca="1">CONCATENATE("Precio del día, ",DAY(C3)," de ",INDEX($K$5:$K$16,MONTH(C3))," de ",YEAR(C3))</f>
        <v>Precio del día, 13 de marzo de 2023</v>
      </c>
      <c r="D4" s="54" t="s">
        <v>30</v>
      </c>
      <c r="E4" s="54"/>
      <c r="F4" s="54"/>
      <c r="G4" s="54"/>
    </row>
    <row r="5" spans="1:11" ht="25.9" customHeight="1" x14ac:dyDescent="0.25">
      <c r="B5" s="54"/>
      <c r="C5" s="53"/>
      <c r="D5" s="17" t="s">
        <v>26</v>
      </c>
      <c r="E5" s="17" t="s">
        <v>27</v>
      </c>
      <c r="F5" s="17" t="s">
        <v>28</v>
      </c>
      <c r="G5" s="17" t="s">
        <v>29</v>
      </c>
      <c r="K5" s="9" t="s">
        <v>15</v>
      </c>
    </row>
    <row r="6" spans="1:11" ht="18" x14ac:dyDescent="0.25">
      <c r="A6" s="12" t="s">
        <v>1</v>
      </c>
      <c r="B6" s="25" t="s">
        <v>31</v>
      </c>
      <c r="C6" s="26">
        <f ca="1">VLOOKUP(C$3,Diarios!$B$4:$J$5000,MATCH($A6,Diarios!$C$3:$J$3,0)+1,FALSE)</f>
        <v>65.069999999999993</v>
      </c>
      <c r="D6" s="27">
        <f ca="1">($C6/VLOOKUP(D$3,Diarios!$B$4:$J$5000,MATCH($A6,Diarios!$C$3:$J$3,0)+1,FALSE))-1</f>
        <v>-2.6481149012567484E-2</v>
      </c>
      <c r="E6" s="27">
        <f ca="1">($C6/VLOOKUP(E$3,Diarios!$B$4:$J$5000,MATCH($A6,Diarios!$C$3:$J$3,0)+1,FALSE))-1</f>
        <v>-7.53161858746626E-2</v>
      </c>
      <c r="F6" s="27">
        <f ca="1">($C6/VLOOKUP(F$3,Diarios!$B$4:$J$5000,MATCH($A6,Diarios!$C$3:$J$3,0)+1,FALSE))-1</f>
        <v>-7.479027442058872E-2</v>
      </c>
      <c r="G6" s="27">
        <f ca="1">($C6/VLOOKUP(G$3,Diarios!$B$4:$J$5000,MATCH($A6,Diarios!$C$3:$J$3,0)+1,FALSE))-1</f>
        <v>-0.3800495426829269</v>
      </c>
      <c r="K6" s="9" t="s">
        <v>16</v>
      </c>
    </row>
    <row r="7" spans="1:11" ht="18" x14ac:dyDescent="0.25">
      <c r="A7" s="12" t="s">
        <v>2</v>
      </c>
      <c r="B7" s="25" t="s">
        <v>2</v>
      </c>
      <c r="C7" s="26">
        <f ca="1">VLOOKUP(C$3,Diarios!$B$4:$J$5000,MATCH($A7,Diarios!$C$3:$J$3,0)+1,FALSE)</f>
        <v>65.88</v>
      </c>
      <c r="D7" s="27">
        <f ca="1">($C7/VLOOKUP(D$3,Diarios!$B$4:$J$5000,MATCH($A7,Diarios!$C$3:$J$3,0)+1,FALSE))-1</f>
        <v>-2.8891509433962348E-2</v>
      </c>
      <c r="E7" s="27">
        <f ca="1">($C7/VLOOKUP(E$3,Diarios!$B$4:$J$5000,MATCH($A7,Diarios!$C$3:$J$3,0)+1,FALSE))-1</f>
        <v>-7.8730247517829754E-2</v>
      </c>
      <c r="F7" s="27">
        <f ca="1">($C7/VLOOKUP(F$3,Diarios!$B$4:$J$5000,MATCH($A7,Diarios!$C$3:$J$3,0)+1,FALSE))-1</f>
        <v>-8.4745762711864514E-2</v>
      </c>
      <c r="G7" s="27">
        <f ca="1">($C7/VLOOKUP(G$3,Diarios!$B$4:$J$5000,MATCH($A7,Diarios!$C$3:$J$3,0)+1,FALSE))-1</f>
        <v>-0.37878359264497885</v>
      </c>
      <c r="K7" s="9" t="s">
        <v>17</v>
      </c>
    </row>
    <row r="8" spans="1:11" ht="18" x14ac:dyDescent="0.25">
      <c r="A8" s="12" t="s">
        <v>3</v>
      </c>
      <c r="B8" s="25" t="s">
        <v>3</v>
      </c>
      <c r="C8" s="26">
        <f ca="1">VLOOKUP(C$3,Diarios!$B$4:$J$5000,MATCH($A8,Diarios!$C$3:$J$3,0)+1,FALSE)</f>
        <v>61.58</v>
      </c>
      <c r="D8" s="27">
        <f ca="1">($C8/VLOOKUP(D$3,Diarios!$B$4:$J$5000,MATCH($A8,Diarios!$C$3:$J$3,0)+1,FALSE))-1</f>
        <v>-3.0846710733396288E-2</v>
      </c>
      <c r="E8" s="27">
        <f ca="1">($C8/VLOOKUP(E$3,Diarios!$B$4:$J$5000,MATCH($A8,Diarios!$C$3:$J$3,0)+1,FALSE))-1</f>
        <v>-8.3767296533253877E-2</v>
      </c>
      <c r="F8" s="27">
        <f ca="1">($C8/VLOOKUP(F$3,Diarios!$B$4:$J$5000,MATCH($A8,Diarios!$C$3:$J$3,0)+1,FALSE))-1</f>
        <v>-8.6756636511938434E-2</v>
      </c>
      <c r="G8" s="27">
        <f ca="1">($C8/VLOOKUP(G$3,Diarios!$B$4:$J$5000,MATCH($A8,Diarios!$C$3:$J$3,0)+1,FALSE))-1</f>
        <v>-0.40930455635491614</v>
      </c>
      <c r="K8" s="9" t="s">
        <v>18</v>
      </c>
    </row>
    <row r="9" spans="1:11" ht="18" x14ac:dyDescent="0.25">
      <c r="A9" s="12" t="s">
        <v>4</v>
      </c>
      <c r="B9" s="25" t="s">
        <v>4</v>
      </c>
      <c r="C9" s="26">
        <f ca="1">VLOOKUP(C$3,Diarios!$B$4:$J$5000,MATCH($A9,Diarios!$C$3:$J$3,0)+1,FALSE)</f>
        <v>69.08</v>
      </c>
      <c r="D9" s="27">
        <f ca="1">($C9/VLOOKUP(D$3,Diarios!$B$4:$J$5000,MATCH($A9,Diarios!$C$3:$J$3,0)+1,FALSE))-1</f>
        <v>-2.7590090090090169E-2</v>
      </c>
      <c r="E9" s="27">
        <f ca="1">($C9/VLOOKUP(E$3,Diarios!$B$4:$J$5000,MATCH($A9,Diarios!$C$3:$J$3,0)+1,FALSE))-1</f>
        <v>-7.5358051131039994E-2</v>
      </c>
      <c r="F9" s="27">
        <f ca="1">($C9/VLOOKUP(F$3,Diarios!$B$4:$J$5000,MATCH($A9,Diarios!$C$3:$J$3,0)+1,FALSE))-1</f>
        <v>-9.9113197704747136E-2</v>
      </c>
      <c r="G9" s="27">
        <f ca="1">($C9/VLOOKUP(G$3,Diarios!$B$4:$J$5000,MATCH($A9,Diarios!$C$3:$J$3,0)+1,FALSE))-1</f>
        <v>-0.35948076031525267</v>
      </c>
      <c r="K9" s="9" t="s">
        <v>19</v>
      </c>
    </row>
    <row r="10" spans="1:11" ht="18" x14ac:dyDescent="0.25">
      <c r="A10" s="12" t="s">
        <v>5</v>
      </c>
      <c r="B10" s="25" t="s">
        <v>33</v>
      </c>
      <c r="C10" s="26">
        <f ca="1">VLOOKUP(C$3,Diarios!$B$4:$J$5000,MATCH($A10,Diarios!$C$3:$J$3,0)+1,FALSE)</f>
        <v>81.72</v>
      </c>
      <c r="D10" s="27">
        <f ca="1">($C10/VLOOKUP(D$3,Diarios!$B$4:$J$5000,MATCH($A10,Diarios!$C$3:$J$3,0)+1,FALSE))-1</f>
        <v>-1.304347826086949E-2</v>
      </c>
      <c r="E10" s="27">
        <f ca="1">($C10/VLOOKUP(E$3,Diarios!$B$4:$J$5000,MATCH($A10,Diarios!$C$3:$J$3,0)+1,FALSE))-1</f>
        <v>-5.1752146669761023E-2</v>
      </c>
      <c r="F10" s="27">
        <f ca="1">($C10/VLOOKUP(F$3,Diarios!$B$4:$J$5000,MATCH($A10,Diarios!$C$3:$J$3,0)+1,FALSE))-1</f>
        <v>-5.0981302984554611E-2</v>
      </c>
      <c r="G10" s="27">
        <f ca="1">($C10/VLOOKUP(G$3,Diarios!$B$4:$J$5000,MATCH($A10,Diarios!$C$3:$J$3,0)+1,FALSE))-1</f>
        <v>-0.2689210950080515</v>
      </c>
      <c r="K10" s="9" t="s">
        <v>20</v>
      </c>
    </row>
    <row r="11" spans="1:11" ht="18" x14ac:dyDescent="0.25">
      <c r="A11" s="12" t="s">
        <v>6</v>
      </c>
      <c r="B11" s="25" t="s">
        <v>32</v>
      </c>
      <c r="C11" s="26">
        <f ca="1">VLOOKUP(C$3,Diarios!$B$4:$J$5000,MATCH($A11,Diarios!$C$3:$J$3,0)+1,FALSE)</f>
        <v>74.8</v>
      </c>
      <c r="D11" s="27">
        <f ca="1">($C11/VLOOKUP(D$3,Diarios!$B$4:$J$5000,MATCH($A11,Diarios!$C$3:$J$3,0)+1,FALSE))-1</f>
        <v>-2.4517475221700669E-2</v>
      </c>
      <c r="E11" s="27">
        <f ca="1">($C11/VLOOKUP(E$3,Diarios!$B$4:$J$5000,MATCH($A11,Diarios!$C$3:$J$3,0)+1,FALSE))-1</f>
        <v>-7.0345513298533446E-2</v>
      </c>
      <c r="F11" s="27">
        <f ca="1">($C11/VLOOKUP(F$3,Diarios!$B$4:$J$5000,MATCH($A11,Diarios!$C$3:$J$3,0)+1,FALSE))-1</f>
        <v>-6.6633391564761668E-2</v>
      </c>
      <c r="G11" s="27">
        <f ca="1">($C11/VLOOKUP(G$3,Diarios!$B$4:$J$5000,MATCH($A11,Diarios!$C$3:$J$3,0)+1,FALSE))-1</f>
        <v>-0.31583279978048118</v>
      </c>
      <c r="K11" s="9" t="s">
        <v>21</v>
      </c>
    </row>
    <row r="12" spans="1:11" ht="18" x14ac:dyDescent="0.25">
      <c r="A12" s="12" t="s">
        <v>7</v>
      </c>
      <c r="B12" s="25" t="s">
        <v>34</v>
      </c>
      <c r="C12" s="26">
        <f ca="1">VLOOKUP(C$3,Diarios!$B$4:$J$5000,MATCH($A12,Diarios!$C$3:$J$3,0)+1,FALSE)</f>
        <v>77.900000000000006</v>
      </c>
      <c r="D12" s="27">
        <f ca="1">($C12/VLOOKUP(D$3,Diarios!$B$4:$J$5000,MATCH($A12,Diarios!$C$3:$J$3,0)+1,FALSE))-1</f>
        <v>-2.3564803208824259E-2</v>
      </c>
      <c r="E12" s="27">
        <f ca="1">($C12/VLOOKUP(E$3,Diarios!$B$4:$J$5000,MATCH($A12,Diarios!$C$3:$J$3,0)+1,FALSE))-1</f>
        <v>-6.549904030710163E-2</v>
      </c>
      <c r="F12" s="27">
        <f ca="1">($C12/VLOOKUP(F$3,Diarios!$B$4:$J$5000,MATCH($A12,Diarios!$C$3:$J$3,0)+1,FALSE))-1</f>
        <v>-7.3060447405997153E-2</v>
      </c>
      <c r="G12" s="27">
        <f ca="1">($C12/VLOOKUP(G$3,Diarios!$B$4:$J$5000,MATCH($A12,Diarios!$C$3:$J$3,0)+1,FALSE))-1</f>
        <v>-0.30121994976677424</v>
      </c>
      <c r="K12" s="9" t="s">
        <v>22</v>
      </c>
    </row>
    <row r="13" spans="1:11" ht="18" x14ac:dyDescent="0.25">
      <c r="A13" s="12" t="s">
        <v>8</v>
      </c>
      <c r="B13" s="28" t="s">
        <v>35</v>
      </c>
      <c r="C13" s="29">
        <f ca="1">VLOOKUP(C$3,Diarios!$B$4:$J$5000,MATCH($A13,Diarios!$C$3:$J$3,0)+1,FALSE)</f>
        <v>9.730000000000004</v>
      </c>
      <c r="D13" s="30">
        <f ca="1">($C13/VLOOKUP(D$3,Diarios!$B$4:$J$5000,MATCH($A13,Diarios!$C$3:$J$3,0)+1,FALSE))-1</f>
        <v>-1.1178861788617822E-2</v>
      </c>
      <c r="E13" s="30">
        <f ca="1">($C13/VLOOKUP(E$3,Diarios!$B$4:$J$5000,MATCH($A13,Diarios!$C$3:$J$3,0)+1,FALSE))-1</f>
        <v>-3.5678889990087725E-2</v>
      </c>
      <c r="F13" s="30">
        <f ca="1">($C13/VLOOKUP(F$3,Diarios!$B$4:$J$5000,MATCH($A13,Diarios!$C$3:$J$3,0)+1,FALSE))-1</f>
        <v>-8.1549439347602393E-3</v>
      </c>
      <c r="G13" s="30">
        <f ca="1">($C13/VLOOKUP(G$3,Diarios!$B$4:$J$5000,MATCH($A13,Diarios!$C$3:$J$3,0)+1,FALSE))-1</f>
        <v>1.226544622425628</v>
      </c>
      <c r="K13" s="9" t="s">
        <v>23</v>
      </c>
    </row>
    <row r="14" spans="1:11" x14ac:dyDescent="0.25">
      <c r="K14" s="9" t="s">
        <v>24</v>
      </c>
    </row>
    <row r="15" spans="1:11" x14ac:dyDescent="0.25">
      <c r="K15" s="9" t="s">
        <v>25</v>
      </c>
    </row>
    <row r="16" spans="1:11" x14ac:dyDescent="0.25">
      <c r="K16" s="9" t="s">
        <v>39</v>
      </c>
    </row>
  </sheetData>
  <mergeCells count="3">
    <mergeCell ref="C4:C5"/>
    <mergeCell ref="D4:G4"/>
    <mergeCell ref="B4:B5"/>
  </mergeCells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H441"/>
  <sheetViews>
    <sheetView showGridLines="0" topLeftCell="A427" zoomScale="85" zoomScaleNormal="85" workbookViewId="0">
      <selection activeCell="K441" sqref="K441"/>
    </sheetView>
  </sheetViews>
  <sheetFormatPr baseColWidth="10" defaultColWidth="11.5703125" defaultRowHeight="15" x14ac:dyDescent="0.25"/>
  <cols>
    <col min="1" max="1" width="5.28515625" style="9" customWidth="1"/>
    <col min="2" max="5" width="11.5703125" style="9"/>
    <col min="6" max="6" width="5.7109375" style="9" customWidth="1"/>
    <col min="7" max="7" width="11.5703125" style="9"/>
    <col min="8" max="8" width="15.7109375" style="9" customWidth="1"/>
    <col min="9" max="9" width="2.85546875" style="9" customWidth="1"/>
    <col min="10" max="16384" width="11.5703125" style="9"/>
  </cols>
  <sheetData>
    <row r="1" spans="1:8" x14ac:dyDescent="0.25">
      <c r="A1" s="11" t="s">
        <v>36</v>
      </c>
    </row>
    <row r="2" spans="1:8" x14ac:dyDescent="0.25">
      <c r="B2" s="10">
        <f ca="1">TODAY()</f>
        <v>44998</v>
      </c>
    </row>
    <row r="4" spans="1:8" x14ac:dyDescent="0.25">
      <c r="B4" s="14" t="s">
        <v>0</v>
      </c>
      <c r="C4" s="14" t="s">
        <v>1</v>
      </c>
      <c r="D4" s="14" t="s">
        <v>5</v>
      </c>
      <c r="E4" s="14" t="s">
        <v>6</v>
      </c>
      <c r="G4" s="14" t="s">
        <v>0</v>
      </c>
      <c r="H4" s="14" t="s">
        <v>8</v>
      </c>
    </row>
    <row r="5" spans="1:8" x14ac:dyDescent="0.25">
      <c r="B5" s="15">
        <f ca="1">DATE(YEAR(B2),MONTH(B2)-1,DAY(B2))</f>
        <v>44970</v>
      </c>
      <c r="C5" s="16">
        <f ca="1">VLOOKUP($B5,Diarios!$B$4:$J$5000,MATCH(C$4,Diarios!$C$3:$J$3,0)+1,FALSE)</f>
        <v>70.33</v>
      </c>
      <c r="D5" s="16">
        <f ca="1">VLOOKUP($B5,Diarios!$B$4:$J$5000,MATCH(D$4,Diarios!$C$3:$J$3,0)+1,FALSE)</f>
        <v>86.11</v>
      </c>
      <c r="E5" s="16">
        <f ca="1">VLOOKUP($B5,Diarios!$B$4:$J$5000,MATCH(E$4,Diarios!$C$3:$J$3,0)+1,FALSE)</f>
        <v>80.14</v>
      </c>
      <c r="G5" s="15">
        <v>44562</v>
      </c>
      <c r="H5" s="16">
        <f>VLOOKUP($G5,Diarios!$B$4:$J$5000,MATCH(H$4,Diarios!$C$3:$J$3,0)+1,FALSE)</f>
        <v>5.6999999999999886</v>
      </c>
    </row>
    <row r="6" spans="1:8" x14ac:dyDescent="0.25">
      <c r="B6" s="15">
        <f ca="1">B5+1</f>
        <v>44971</v>
      </c>
      <c r="C6" s="16">
        <f ca="1">VLOOKUP($B6,Diarios!$B$4:$J$5000,MATCH(C$4,Diarios!$C$3:$J$3,0)+1,FALSE)</f>
        <v>69.47</v>
      </c>
      <c r="D6" s="16">
        <f ca="1">VLOOKUP($B6,Diarios!$B$4:$J$5000,MATCH(D$4,Diarios!$C$3:$J$3,0)+1,FALSE)</f>
        <v>85.34</v>
      </c>
      <c r="E6" s="16">
        <f ca="1">VLOOKUP($B6,Diarios!$B$4:$J$5000,MATCH(E$4,Diarios!$C$3:$J$3,0)+1,FALSE)</f>
        <v>79.06</v>
      </c>
      <c r="G6" s="15">
        <f>G5+1</f>
        <v>44563</v>
      </c>
      <c r="H6" s="16">
        <f>VLOOKUP($G6,Diarios!$B$4:$J$5000,MATCH(H$4,Diarios!$C$3:$J$3,0)+1,FALSE)</f>
        <v>5.6999999999999886</v>
      </c>
    </row>
    <row r="7" spans="1:8" x14ac:dyDescent="0.25">
      <c r="B7" s="15">
        <f t="shared" ref="B7:B34" ca="1" si="0">B6+1</f>
        <v>44972</v>
      </c>
      <c r="C7" s="16">
        <f ca="1">VLOOKUP($B7,Diarios!$B$4:$J$5000,MATCH(C$4,Diarios!$C$3:$J$3,0)+1,FALSE)</f>
        <v>69.06</v>
      </c>
      <c r="D7" s="16">
        <f ca="1">VLOOKUP($B7,Diarios!$B$4:$J$5000,MATCH(D$4,Diarios!$C$3:$J$3,0)+1,FALSE)</f>
        <v>84.43</v>
      </c>
      <c r="E7" s="16">
        <f ca="1">VLOOKUP($B7,Diarios!$B$4:$J$5000,MATCH(E$4,Diarios!$C$3:$J$3,0)+1,FALSE)</f>
        <v>78.59</v>
      </c>
      <c r="G7" s="15">
        <f t="shared" ref="G7:G70" si="1">G6+1</f>
        <v>44564</v>
      </c>
      <c r="H7" s="16">
        <f>VLOOKUP($G7,Diarios!$B$4:$J$5000,MATCH(H$4,Diarios!$C$3:$J$3,0)+1,FALSE)</f>
        <v>5.1799999999999926</v>
      </c>
    </row>
    <row r="8" spans="1:8" x14ac:dyDescent="0.25">
      <c r="B8" s="15">
        <f t="shared" ca="1" si="0"/>
        <v>44973</v>
      </c>
      <c r="C8" s="16">
        <f ca="1">VLOOKUP($B8,Diarios!$B$4:$J$5000,MATCH(C$4,Diarios!$C$3:$J$3,0)+1,FALSE)</f>
        <v>68.819999999999993</v>
      </c>
      <c r="D8" s="16">
        <f ca="1">VLOOKUP($B8,Diarios!$B$4:$J$5000,MATCH(D$4,Diarios!$C$3:$J$3,0)+1,FALSE)</f>
        <v>85.42</v>
      </c>
      <c r="E8" s="16">
        <f ca="1">VLOOKUP($B8,Diarios!$B$4:$J$5000,MATCH(E$4,Diarios!$C$3:$J$3,0)+1,FALSE)</f>
        <v>78.489999999999995</v>
      </c>
      <c r="G8" s="15">
        <f t="shared" si="1"/>
        <v>44565</v>
      </c>
      <c r="H8" s="16">
        <f>VLOOKUP($G8,Diarios!$B$4:$J$5000,MATCH(H$4,Diarios!$C$3:$J$3,0)+1,FALSE)</f>
        <v>5.1400000000000006</v>
      </c>
    </row>
    <row r="9" spans="1:8" x14ac:dyDescent="0.25">
      <c r="B9" s="15">
        <f t="shared" ca="1" si="0"/>
        <v>44974</v>
      </c>
      <c r="C9" s="16">
        <f ca="1">VLOOKUP($B9,Diarios!$B$4:$J$5000,MATCH(C$4,Diarios!$C$3:$J$3,0)+1,FALSE)</f>
        <v>66.680000000000007</v>
      </c>
      <c r="D9" s="16">
        <f ca="1">VLOOKUP($B9,Diarios!$B$4:$J$5000,MATCH(D$4,Diarios!$C$3:$J$3,0)+1,FALSE)</f>
        <v>83</v>
      </c>
      <c r="E9" s="16">
        <f ca="1">VLOOKUP($B9,Diarios!$B$4:$J$5000,MATCH(E$4,Diarios!$C$3:$J$3,0)+1,FALSE)</f>
        <v>76.34</v>
      </c>
      <c r="G9" s="15">
        <f t="shared" si="1"/>
        <v>44566</v>
      </c>
      <c r="H9" s="16">
        <f>VLOOKUP($G9,Diarios!$B$4:$J$5000,MATCH(H$4,Diarios!$C$3:$J$3,0)+1,FALSE)</f>
        <v>5.0799999999999983</v>
      </c>
    </row>
    <row r="10" spans="1:8" x14ac:dyDescent="0.25">
      <c r="B10" s="15">
        <f t="shared" ca="1" si="0"/>
        <v>44975</v>
      </c>
      <c r="C10" s="16">
        <f ca="1">VLOOKUP($B10,Diarios!$B$4:$J$5000,MATCH(C$4,Diarios!$C$3:$J$3,0)+1,FALSE)</f>
        <v>66.680000000000007</v>
      </c>
      <c r="D10" s="16">
        <f ca="1">VLOOKUP($B10,Diarios!$B$4:$J$5000,MATCH(D$4,Diarios!$C$3:$J$3,0)+1,FALSE)</f>
        <v>83</v>
      </c>
      <c r="E10" s="16">
        <f ca="1">VLOOKUP($B10,Diarios!$B$4:$J$5000,MATCH(E$4,Diarios!$C$3:$J$3,0)+1,FALSE)</f>
        <v>76.34</v>
      </c>
      <c r="G10" s="15">
        <f t="shared" si="1"/>
        <v>44567</v>
      </c>
      <c r="H10" s="16">
        <f>VLOOKUP($G10,Diarios!$B$4:$J$5000,MATCH(H$4,Diarios!$C$3:$J$3,0)+1,FALSE)</f>
        <v>5.3399999999999892</v>
      </c>
    </row>
    <row r="11" spans="1:8" x14ac:dyDescent="0.25">
      <c r="B11" s="15">
        <f t="shared" ca="1" si="0"/>
        <v>44976</v>
      </c>
      <c r="C11" s="16">
        <f ca="1">VLOOKUP($B11,Diarios!$B$4:$J$5000,MATCH(C$4,Diarios!$C$3:$J$3,0)+1,FALSE)</f>
        <v>66.680000000000007</v>
      </c>
      <c r="D11" s="16">
        <f ca="1">VLOOKUP($B11,Diarios!$B$4:$J$5000,MATCH(D$4,Diarios!$C$3:$J$3,0)+1,FALSE)</f>
        <v>83</v>
      </c>
      <c r="E11" s="16">
        <f ca="1">VLOOKUP($B11,Diarios!$B$4:$J$5000,MATCH(E$4,Diarios!$C$3:$J$3,0)+1,FALSE)</f>
        <v>76.34</v>
      </c>
      <c r="G11" s="15">
        <f t="shared" si="1"/>
        <v>44568</v>
      </c>
      <c r="H11" s="16">
        <f>VLOOKUP($G11,Diarios!$B$4:$J$5000,MATCH(H$4,Diarios!$C$3:$J$3,0)+1,FALSE)</f>
        <v>4.8900000000000006</v>
      </c>
    </row>
    <row r="12" spans="1:8" x14ac:dyDescent="0.25">
      <c r="B12" s="15">
        <f t="shared" ca="1" si="0"/>
        <v>44977</v>
      </c>
      <c r="C12" s="16">
        <f ca="1">VLOOKUP($B12,Diarios!$B$4:$J$5000,MATCH(C$4,Diarios!$C$3:$J$3,0)+1,FALSE)</f>
        <v>66.680000000000007</v>
      </c>
      <c r="D12" s="16">
        <f ca="1">VLOOKUP($B12,Diarios!$B$4:$J$5000,MATCH(D$4,Diarios!$C$3:$J$3,0)+1,FALSE)</f>
        <v>83.4</v>
      </c>
      <c r="E12" s="16">
        <f ca="1">VLOOKUP($B12,Diarios!$B$4:$J$5000,MATCH(E$4,Diarios!$C$3:$J$3,0)+1,FALSE)</f>
        <v>76.34</v>
      </c>
      <c r="G12" s="15">
        <f t="shared" si="1"/>
        <v>44569</v>
      </c>
      <c r="H12" s="16">
        <f>VLOOKUP($G12,Diarios!$B$4:$J$5000,MATCH(H$4,Diarios!$C$3:$J$3,0)+1,FALSE)</f>
        <v>4.8900000000000006</v>
      </c>
    </row>
    <row r="13" spans="1:8" x14ac:dyDescent="0.25">
      <c r="B13" s="15">
        <f t="shared" ca="1" si="0"/>
        <v>44978</v>
      </c>
      <c r="C13" s="16">
        <f ca="1">VLOOKUP($B13,Diarios!$B$4:$J$5000,MATCH(C$4,Diarios!$C$3:$J$3,0)+1,FALSE)</f>
        <v>66.63</v>
      </c>
      <c r="D13" s="16">
        <f ca="1">VLOOKUP($B13,Diarios!$B$4:$J$5000,MATCH(D$4,Diarios!$C$3:$J$3,0)+1,FALSE)</f>
        <v>83.19</v>
      </c>
      <c r="E13" s="16">
        <f ca="1">VLOOKUP($B13,Diarios!$B$4:$J$5000,MATCH(E$4,Diarios!$C$3:$J$3,0)+1,FALSE)</f>
        <v>76.16</v>
      </c>
      <c r="G13" s="15">
        <f t="shared" si="1"/>
        <v>44570</v>
      </c>
      <c r="H13" s="16">
        <f>VLOOKUP($G13,Diarios!$B$4:$J$5000,MATCH(H$4,Diarios!$C$3:$J$3,0)+1,FALSE)</f>
        <v>4.8900000000000006</v>
      </c>
    </row>
    <row r="14" spans="1:8" x14ac:dyDescent="0.25">
      <c r="B14" s="15">
        <f t="shared" ca="1" si="0"/>
        <v>44979</v>
      </c>
      <c r="C14" s="16">
        <f ca="1">VLOOKUP($B14,Diarios!$B$4:$J$5000,MATCH(C$4,Diarios!$C$3:$J$3,0)+1,FALSE)</f>
        <v>64.22</v>
      </c>
      <c r="D14" s="16">
        <f ca="1">VLOOKUP($B14,Diarios!$B$4:$J$5000,MATCH(D$4,Diarios!$C$3:$J$3,0)+1,FALSE)</f>
        <v>81.349999999999994</v>
      </c>
      <c r="E14" s="16">
        <f ca="1">VLOOKUP($B14,Diarios!$B$4:$J$5000,MATCH(E$4,Diarios!$C$3:$J$3,0)+1,FALSE)</f>
        <v>73.8</v>
      </c>
      <c r="G14" s="15">
        <f t="shared" si="1"/>
        <v>44571</v>
      </c>
      <c r="H14" s="16">
        <f>VLOOKUP($G14,Diarios!$B$4:$J$5000,MATCH(H$4,Diarios!$C$3:$J$3,0)+1,FALSE)</f>
        <v>4.9100000000000108</v>
      </c>
    </row>
    <row r="15" spans="1:8" x14ac:dyDescent="0.25">
      <c r="B15" s="15">
        <f t="shared" ca="1" si="0"/>
        <v>44980</v>
      </c>
      <c r="C15" s="16">
        <f ca="1">VLOOKUP($B15,Diarios!$B$4:$J$5000,MATCH(C$4,Diarios!$C$3:$J$3,0)+1,FALSE)</f>
        <v>65.69</v>
      </c>
      <c r="D15" s="16">
        <f ca="1">VLOOKUP($B15,Diarios!$B$4:$J$5000,MATCH(D$4,Diarios!$C$3:$J$3,0)+1,FALSE)</f>
        <v>81.84</v>
      </c>
      <c r="E15" s="16">
        <f ca="1">VLOOKUP($B15,Diarios!$B$4:$J$5000,MATCH(E$4,Diarios!$C$3:$J$3,0)+1,FALSE)</f>
        <v>75.290000000000006</v>
      </c>
      <c r="G15" s="15">
        <f t="shared" si="1"/>
        <v>44572</v>
      </c>
      <c r="H15" s="16">
        <f>VLOOKUP($G15,Diarios!$B$4:$J$5000,MATCH(H$4,Diarios!$C$3:$J$3,0)+1,FALSE)</f>
        <v>5.4599999999999937</v>
      </c>
    </row>
    <row r="16" spans="1:8" x14ac:dyDescent="0.25">
      <c r="B16" s="15">
        <f t="shared" ca="1" si="0"/>
        <v>44981</v>
      </c>
      <c r="C16" s="16">
        <f ca="1">VLOOKUP($B16,Diarios!$B$4:$J$5000,MATCH(C$4,Diarios!$C$3:$J$3,0)+1,FALSE)</f>
        <v>66.64</v>
      </c>
      <c r="D16" s="16">
        <f ca="1">VLOOKUP($B16,Diarios!$B$4:$J$5000,MATCH(D$4,Diarios!$C$3:$J$3,0)+1,FALSE)</f>
        <v>82.84</v>
      </c>
      <c r="E16" s="16">
        <f ca="1">VLOOKUP($B16,Diarios!$B$4:$J$5000,MATCH(E$4,Diarios!$C$3:$J$3,0)+1,FALSE)</f>
        <v>76.319999999999993</v>
      </c>
      <c r="G16" s="15">
        <f t="shared" si="1"/>
        <v>44573</v>
      </c>
      <c r="H16" s="16">
        <f>VLOOKUP($G16,Diarios!$B$4:$J$5000,MATCH(H$4,Diarios!$C$3:$J$3,0)+1,FALSE)</f>
        <v>5.6700000000000017</v>
      </c>
    </row>
    <row r="17" spans="2:8" x14ac:dyDescent="0.25">
      <c r="B17" s="15">
        <f t="shared" ca="1" si="0"/>
        <v>44982</v>
      </c>
      <c r="C17" s="16">
        <f ca="1">VLOOKUP($B17,Diarios!$B$4:$J$5000,MATCH(C$4,Diarios!$C$3:$J$3,0)+1,FALSE)</f>
        <v>66.64</v>
      </c>
      <c r="D17" s="16">
        <f ca="1">VLOOKUP($B17,Diarios!$B$4:$J$5000,MATCH(D$4,Diarios!$C$3:$J$3,0)+1,FALSE)</f>
        <v>82.84</v>
      </c>
      <c r="E17" s="16">
        <f ca="1">VLOOKUP($B17,Diarios!$B$4:$J$5000,MATCH(E$4,Diarios!$C$3:$J$3,0)+1,FALSE)</f>
        <v>76.319999999999993</v>
      </c>
      <c r="G17" s="15">
        <f t="shared" si="1"/>
        <v>44574</v>
      </c>
      <c r="H17" s="16">
        <f>VLOOKUP($G17,Diarios!$B$4:$J$5000,MATCH(H$4,Diarios!$C$3:$J$3,0)+1,FALSE)</f>
        <v>5.3700000000000045</v>
      </c>
    </row>
    <row r="18" spans="2:8" x14ac:dyDescent="0.25">
      <c r="B18" s="15">
        <f t="shared" ca="1" si="0"/>
        <v>44983</v>
      </c>
      <c r="C18" s="16">
        <f ca="1">VLOOKUP($B18,Diarios!$B$4:$J$5000,MATCH(C$4,Diarios!$C$3:$J$3,0)+1,FALSE)</f>
        <v>66.64</v>
      </c>
      <c r="D18" s="16">
        <f ca="1">VLOOKUP($B18,Diarios!$B$4:$J$5000,MATCH(D$4,Diarios!$C$3:$J$3,0)+1,FALSE)</f>
        <v>82.84</v>
      </c>
      <c r="E18" s="16">
        <f ca="1">VLOOKUP($B18,Diarios!$B$4:$J$5000,MATCH(E$4,Diarios!$C$3:$J$3,0)+1,FALSE)</f>
        <v>76.319999999999993</v>
      </c>
      <c r="G18" s="15">
        <f t="shared" si="1"/>
        <v>44575</v>
      </c>
      <c r="H18" s="16">
        <f>VLOOKUP($G18,Diarios!$B$4:$J$5000,MATCH(H$4,Diarios!$C$3:$J$3,0)+1,FALSE)</f>
        <v>5.4599999999999937</v>
      </c>
    </row>
    <row r="19" spans="2:8" x14ac:dyDescent="0.25">
      <c r="B19" s="15">
        <f t="shared" ca="1" si="0"/>
        <v>44984</v>
      </c>
      <c r="C19" s="16">
        <f ca="1">VLOOKUP($B19,Diarios!$B$4:$J$5000,MATCH(C$4,Diarios!$C$3:$J$3,0)+1,FALSE)</f>
        <v>66.05</v>
      </c>
      <c r="D19" s="16">
        <f ca="1">VLOOKUP($B19,Diarios!$B$4:$J$5000,MATCH(D$4,Diarios!$C$3:$J$3,0)+1,FALSE)</f>
        <v>82.22</v>
      </c>
      <c r="E19" s="16">
        <f ca="1">VLOOKUP($B19,Diarios!$B$4:$J$5000,MATCH(E$4,Diarios!$C$3:$J$3,0)+1,FALSE)</f>
        <v>75.680000000000007</v>
      </c>
      <c r="G19" s="15">
        <f t="shared" si="1"/>
        <v>44576</v>
      </c>
      <c r="H19" s="16">
        <f>VLOOKUP($G19,Diarios!$B$4:$J$5000,MATCH(H$4,Diarios!$C$3:$J$3,0)+1,FALSE)</f>
        <v>5.4599999999999937</v>
      </c>
    </row>
    <row r="20" spans="2:8" x14ac:dyDescent="0.25">
      <c r="B20" s="15">
        <f t="shared" ca="1" si="0"/>
        <v>44985</v>
      </c>
      <c r="C20" s="16">
        <f ca="1">VLOOKUP($B20,Diarios!$B$4:$J$5000,MATCH(C$4,Diarios!$C$3:$J$3,0)+1,FALSE)</f>
        <v>67.27</v>
      </c>
      <c r="D20" s="16">
        <f ca="1">VLOOKUP($B20,Diarios!$B$4:$J$5000,MATCH(D$4,Diarios!$C$3:$J$3,0)+1,FALSE)</f>
        <v>84.22</v>
      </c>
      <c r="E20" s="16">
        <f ca="1">VLOOKUP($B20,Diarios!$B$4:$J$5000,MATCH(E$4,Diarios!$C$3:$J$3,0)+1,FALSE)</f>
        <v>77.05</v>
      </c>
      <c r="G20" s="15">
        <f t="shared" si="1"/>
        <v>44577</v>
      </c>
      <c r="H20" s="16">
        <f>VLOOKUP($G20,Diarios!$B$4:$J$5000,MATCH(H$4,Diarios!$C$3:$J$3,0)+1,FALSE)</f>
        <v>5.4599999999999937</v>
      </c>
    </row>
    <row r="21" spans="2:8" x14ac:dyDescent="0.25">
      <c r="B21" s="15">
        <f t="shared" ca="1" si="0"/>
        <v>44986</v>
      </c>
      <c r="C21" s="16">
        <f ca="1">VLOOKUP($B21,Diarios!$B$4:$J$5000,MATCH(C$4,Diarios!$C$3:$J$3,0)+1,FALSE)</f>
        <v>68.260000000000005</v>
      </c>
      <c r="D21" s="16">
        <f ca="1">VLOOKUP($B21,Diarios!$B$4:$J$5000,MATCH(D$4,Diarios!$C$3:$J$3,0)+1,FALSE)</f>
        <v>83.71</v>
      </c>
      <c r="E21" s="16">
        <f ca="1">VLOOKUP($B21,Diarios!$B$4:$J$5000,MATCH(E$4,Diarios!$C$3:$J$3,0)+1,FALSE)</f>
        <v>77.69</v>
      </c>
      <c r="G21" s="15">
        <f t="shared" si="1"/>
        <v>44578</v>
      </c>
      <c r="H21" s="16">
        <f>VLOOKUP($G21,Diarios!$B$4:$J$5000,MATCH(H$4,Diarios!$C$3:$J$3,0)+1,FALSE)</f>
        <v>5.4599999999999937</v>
      </c>
    </row>
    <row r="22" spans="2:8" x14ac:dyDescent="0.25">
      <c r="B22" s="15">
        <f t="shared" ca="1" si="0"/>
        <v>44987</v>
      </c>
      <c r="C22" s="16">
        <f ca="1">VLOOKUP($B22,Diarios!$B$4:$J$5000,MATCH(C$4,Diarios!$C$3:$J$3,0)+1,FALSE)</f>
        <v>68.680000000000007</v>
      </c>
      <c r="D22" s="16">
        <f ca="1">VLOOKUP($B22,Diarios!$B$4:$J$5000,MATCH(D$4,Diarios!$C$3:$J$3,0)+1,FALSE)</f>
        <v>85.09</v>
      </c>
      <c r="E22" s="16">
        <f ca="1">VLOOKUP($B22,Diarios!$B$4:$J$5000,MATCH(E$4,Diarios!$C$3:$J$3,0)+1,FALSE)</f>
        <v>78.16</v>
      </c>
      <c r="G22" s="15">
        <f t="shared" si="1"/>
        <v>44579</v>
      </c>
      <c r="H22" s="16">
        <f>VLOOKUP($G22,Diarios!$B$4:$J$5000,MATCH(H$4,Diarios!$C$3:$J$3,0)+1,FALSE)</f>
        <v>7.0700000000000074</v>
      </c>
    </row>
    <row r="23" spans="2:8" x14ac:dyDescent="0.25">
      <c r="B23" s="15">
        <f t="shared" ca="1" si="0"/>
        <v>44988</v>
      </c>
      <c r="C23" s="16">
        <f ca="1">VLOOKUP($B23,Diarios!$B$4:$J$5000,MATCH(C$4,Diarios!$C$3:$J$3,0)+1,FALSE)</f>
        <v>69.88</v>
      </c>
      <c r="D23" s="16">
        <f ca="1">VLOOKUP($B23,Diarios!$B$4:$J$5000,MATCH(D$4,Diarios!$C$3:$J$3,0)+1,FALSE)</f>
        <v>85.44</v>
      </c>
      <c r="E23" s="16">
        <f ca="1">VLOOKUP($B23,Diarios!$B$4:$J$5000,MATCH(E$4,Diarios!$C$3:$J$3,0)+1,FALSE)</f>
        <v>79.680000000000007</v>
      </c>
      <c r="G23" s="15">
        <f t="shared" si="1"/>
        <v>44580</v>
      </c>
      <c r="H23" s="16">
        <f>VLOOKUP($G23,Diarios!$B$4:$J$5000,MATCH(H$4,Diarios!$C$3:$J$3,0)+1,FALSE)</f>
        <v>5.8299999999999983</v>
      </c>
    </row>
    <row r="24" spans="2:8" x14ac:dyDescent="0.25">
      <c r="B24" s="15">
        <f t="shared" ca="1" si="0"/>
        <v>44989</v>
      </c>
      <c r="C24" s="16">
        <f ca="1">VLOOKUP($B24,Diarios!$B$4:$J$5000,MATCH(C$4,Diarios!$C$3:$J$3,0)+1,FALSE)</f>
        <v>69.88</v>
      </c>
      <c r="D24" s="16">
        <f ca="1">VLOOKUP($B24,Diarios!$B$4:$J$5000,MATCH(D$4,Diarios!$C$3:$J$3,0)+1,FALSE)</f>
        <v>85.44</v>
      </c>
      <c r="E24" s="16">
        <f ca="1">VLOOKUP($B24,Diarios!$B$4:$J$5000,MATCH(E$4,Diarios!$C$3:$J$3,0)+1,FALSE)</f>
        <v>79.680000000000007</v>
      </c>
      <c r="G24" s="15">
        <f t="shared" si="1"/>
        <v>44581</v>
      </c>
      <c r="H24" s="16">
        <f>VLOOKUP($G24,Diarios!$B$4:$J$5000,MATCH(H$4,Diarios!$C$3:$J$3,0)+1,FALSE)</f>
        <v>5.8100000000000023</v>
      </c>
    </row>
    <row r="25" spans="2:8" x14ac:dyDescent="0.25">
      <c r="B25" s="15">
        <f t="shared" ca="1" si="0"/>
        <v>44990</v>
      </c>
      <c r="C25" s="16">
        <f ca="1">VLOOKUP($B25,Diarios!$B$4:$J$5000,MATCH(C$4,Diarios!$C$3:$J$3,0)+1,FALSE)</f>
        <v>69.88</v>
      </c>
      <c r="D25" s="16">
        <f ca="1">VLOOKUP($B25,Diarios!$B$4:$J$5000,MATCH(D$4,Diarios!$C$3:$J$3,0)+1,FALSE)</f>
        <v>85.44</v>
      </c>
      <c r="E25" s="16">
        <f ca="1">VLOOKUP($B25,Diarios!$B$4:$J$5000,MATCH(E$4,Diarios!$C$3:$J$3,0)+1,FALSE)</f>
        <v>79.680000000000007</v>
      </c>
      <c r="G25" s="15">
        <f t="shared" si="1"/>
        <v>44582</v>
      </c>
      <c r="H25" s="16">
        <f>VLOOKUP($G25,Diarios!$B$4:$J$5000,MATCH(H$4,Diarios!$C$3:$J$3,0)+1,FALSE)</f>
        <v>5.8700000000000045</v>
      </c>
    </row>
    <row r="26" spans="2:8" x14ac:dyDescent="0.25">
      <c r="B26" s="15">
        <f t="shared" ca="1" si="0"/>
        <v>44991</v>
      </c>
      <c r="C26" s="16">
        <f ca="1">VLOOKUP($B26,Diarios!$B$4:$J$5000,MATCH(C$4,Diarios!$C$3:$J$3,0)+1,FALSE)</f>
        <v>70.37</v>
      </c>
      <c r="D26" s="16">
        <f ca="1">VLOOKUP($B26,Diarios!$B$4:$J$5000,MATCH(D$4,Diarios!$C$3:$J$3,0)+1,FALSE)</f>
        <v>86.18</v>
      </c>
      <c r="E26" s="16">
        <f ca="1">VLOOKUP($B26,Diarios!$B$4:$J$5000,MATCH(E$4,Diarios!$C$3:$J$3,0)+1,FALSE)</f>
        <v>80.459999999999994</v>
      </c>
      <c r="G26" s="15">
        <f t="shared" si="1"/>
        <v>44583</v>
      </c>
      <c r="H26" s="16">
        <f>VLOOKUP($G26,Diarios!$B$4:$J$5000,MATCH(H$4,Diarios!$C$3:$J$3,0)+1,FALSE)</f>
        <v>5.8700000000000045</v>
      </c>
    </row>
    <row r="27" spans="2:8" x14ac:dyDescent="0.25">
      <c r="B27" s="15">
        <f t="shared" ca="1" si="0"/>
        <v>44992</v>
      </c>
      <c r="C27" s="16">
        <f ca="1">VLOOKUP($B27,Diarios!$B$4:$J$5000,MATCH(C$4,Diarios!$C$3:$J$3,0)+1,FALSE)</f>
        <v>67.61</v>
      </c>
      <c r="D27" s="16">
        <f ca="1">VLOOKUP($B27,Diarios!$B$4:$J$5000,MATCH(D$4,Diarios!$C$3:$J$3,0)+1,FALSE)</f>
        <v>84.31</v>
      </c>
      <c r="E27" s="16">
        <f ca="1">VLOOKUP($B27,Diarios!$B$4:$J$5000,MATCH(E$4,Diarios!$C$3:$J$3,0)+1,FALSE)</f>
        <v>77.58</v>
      </c>
      <c r="G27" s="15">
        <f t="shared" si="1"/>
        <v>44584</v>
      </c>
      <c r="H27" s="16">
        <f>VLOOKUP($G27,Diarios!$B$4:$J$5000,MATCH(H$4,Diarios!$C$3:$J$3,0)+1,FALSE)</f>
        <v>5.8700000000000045</v>
      </c>
    </row>
    <row r="28" spans="2:8" x14ac:dyDescent="0.25">
      <c r="B28" s="15">
        <f t="shared" ca="1" si="0"/>
        <v>44993</v>
      </c>
      <c r="C28" s="16">
        <f ca="1">VLOOKUP($B28,Diarios!$B$4:$J$5000,MATCH(C$4,Diarios!$C$3:$J$3,0)+1,FALSE)</f>
        <v>66.819999999999993</v>
      </c>
      <c r="D28" s="16">
        <f ca="1">VLOOKUP($B28,Diarios!$B$4:$J$5000,MATCH(D$4,Diarios!$C$3:$J$3,0)+1,FALSE)</f>
        <v>82.85</v>
      </c>
      <c r="E28" s="16">
        <f ca="1">VLOOKUP($B28,Diarios!$B$4:$J$5000,MATCH(E$4,Diarios!$C$3:$J$3,0)+1,FALSE)</f>
        <v>76.66</v>
      </c>
      <c r="G28" s="15">
        <f t="shared" si="1"/>
        <v>44585</v>
      </c>
      <c r="H28" s="16">
        <f>VLOOKUP($G28,Diarios!$B$4:$J$5000,MATCH(H$4,Diarios!$C$3:$J$3,0)+1,FALSE)</f>
        <v>5.0699999999999932</v>
      </c>
    </row>
    <row r="29" spans="2:8" x14ac:dyDescent="0.25">
      <c r="B29" s="15">
        <f t="shared" ca="1" si="0"/>
        <v>44994</v>
      </c>
      <c r="C29" s="16">
        <f ca="1">VLOOKUP($B29,Diarios!$B$4:$J$5000,MATCH(C$4,Diarios!$C$3:$J$3,0)+1,FALSE)</f>
        <v>65.95</v>
      </c>
      <c r="D29" s="16">
        <f ca="1">VLOOKUP($B29,Diarios!$B$4:$J$5000,MATCH(D$4,Diarios!$C$3:$J$3,0)+1,FALSE)</f>
        <v>83.41</v>
      </c>
      <c r="E29" s="16">
        <f ca="1">VLOOKUP($B29,Diarios!$B$4:$J$5000,MATCH(E$4,Diarios!$C$3:$J$3,0)+1,FALSE)</f>
        <v>75.72</v>
      </c>
      <c r="G29" s="15">
        <f t="shared" si="1"/>
        <v>44586</v>
      </c>
      <c r="H29" s="16">
        <f>VLOOKUP($G29,Diarios!$B$4:$J$5000,MATCH(H$4,Diarios!$C$3:$J$3,0)+1,FALSE)</f>
        <v>4.480000000000004</v>
      </c>
    </row>
    <row r="30" spans="2:8" x14ac:dyDescent="0.25">
      <c r="B30" s="15">
        <f t="shared" ca="1" si="0"/>
        <v>44995</v>
      </c>
      <c r="C30" s="16">
        <f ca="1">VLOOKUP($B30,Diarios!$B$4:$J$5000,MATCH(C$4,Diarios!$C$3:$J$3,0)+1,FALSE)</f>
        <v>66.84</v>
      </c>
      <c r="D30" s="16">
        <f ca="1">VLOOKUP($B30,Diarios!$B$4:$J$5000,MATCH(D$4,Diarios!$C$3:$J$3,0)+1,FALSE)</f>
        <v>82.8</v>
      </c>
      <c r="E30" s="16">
        <f ca="1">VLOOKUP($B30,Diarios!$B$4:$J$5000,MATCH(E$4,Diarios!$C$3:$J$3,0)+1,FALSE)</f>
        <v>76.680000000000007</v>
      </c>
      <c r="G30" s="15">
        <f t="shared" si="1"/>
        <v>44587</v>
      </c>
      <c r="H30" s="16">
        <f>VLOOKUP($G30,Diarios!$B$4:$J$5000,MATCH(H$4,Diarios!$C$3:$J$3,0)+1,FALSE)</f>
        <v>5.2399999999999949</v>
      </c>
    </row>
    <row r="31" spans="2:8" x14ac:dyDescent="0.25">
      <c r="B31" s="15">
        <f t="shared" ca="1" si="0"/>
        <v>44996</v>
      </c>
      <c r="C31" s="16">
        <f ca="1">VLOOKUP($B31,Diarios!$B$4:$J$5000,MATCH(C$4,Diarios!$C$3:$J$3,0)+1,FALSE)</f>
        <v>66.84</v>
      </c>
      <c r="D31" s="16">
        <f ca="1">VLOOKUP($B31,Diarios!$B$4:$J$5000,MATCH(D$4,Diarios!$C$3:$J$3,0)+1,FALSE)</f>
        <v>82.8</v>
      </c>
      <c r="E31" s="16">
        <f ca="1">VLOOKUP($B31,Diarios!$B$4:$J$5000,MATCH(E$4,Diarios!$C$3:$J$3,0)+1,FALSE)</f>
        <v>76.680000000000007</v>
      </c>
      <c r="G31" s="15">
        <f t="shared" si="1"/>
        <v>44588</v>
      </c>
      <c r="H31" s="16">
        <f>VLOOKUP($G31,Diarios!$B$4:$J$5000,MATCH(H$4,Diarios!$C$3:$J$3,0)+1,FALSE)</f>
        <v>5.0100000000000051</v>
      </c>
    </row>
    <row r="32" spans="2:8" x14ac:dyDescent="0.25">
      <c r="B32" s="15">
        <f t="shared" ca="1" si="0"/>
        <v>44997</v>
      </c>
      <c r="C32" s="16">
        <f ca="1">VLOOKUP($B32,Diarios!$B$4:$J$5000,MATCH(C$4,Diarios!$C$3:$J$3,0)+1,FALSE)</f>
        <v>66.84</v>
      </c>
      <c r="D32" s="16">
        <f ca="1">VLOOKUP($B32,Diarios!$B$4:$J$5000,MATCH(D$4,Diarios!$C$3:$J$3,0)+1,FALSE)</f>
        <v>82.8</v>
      </c>
      <c r="E32" s="16">
        <f ca="1">VLOOKUP($B32,Diarios!$B$4:$J$5000,MATCH(E$4,Diarios!$C$3:$J$3,0)+1,FALSE)</f>
        <v>76.680000000000007</v>
      </c>
      <c r="G32" s="15">
        <f t="shared" si="1"/>
        <v>44589</v>
      </c>
      <c r="H32" s="16">
        <f>VLOOKUP($G32,Diarios!$B$4:$J$5000,MATCH(H$4,Diarios!$C$3:$J$3,0)+1,FALSE)</f>
        <v>5.0099999999999909</v>
      </c>
    </row>
    <row r="33" spans="2:8" x14ac:dyDescent="0.25">
      <c r="B33" s="15">
        <f t="shared" ca="1" si="0"/>
        <v>44998</v>
      </c>
      <c r="C33" s="16">
        <f ca="1">VLOOKUP($B33,Diarios!$B$4:$J$5000,MATCH(C$4,Diarios!$C$3:$J$3,0)+1,FALSE)</f>
        <v>65.069999999999993</v>
      </c>
      <c r="D33" s="16">
        <f ca="1">VLOOKUP($B33,Diarios!$B$4:$J$5000,MATCH(D$4,Diarios!$C$3:$J$3,0)+1,FALSE)</f>
        <v>81.72</v>
      </c>
      <c r="E33" s="16">
        <f ca="1">VLOOKUP($B33,Diarios!$B$4:$J$5000,MATCH(E$4,Diarios!$C$3:$J$3,0)+1,FALSE)</f>
        <v>74.8</v>
      </c>
      <c r="G33" s="15">
        <f t="shared" si="1"/>
        <v>44590</v>
      </c>
      <c r="H33" s="16">
        <f>VLOOKUP($G33,Diarios!$B$4:$J$5000,MATCH(H$4,Diarios!$C$3:$J$3,0)+1,FALSE)</f>
        <v>5.0099999999999909</v>
      </c>
    </row>
    <row r="34" spans="2:8" x14ac:dyDescent="0.25">
      <c r="B34" s="15">
        <f t="shared" ca="1" si="0"/>
        <v>44999</v>
      </c>
      <c r="C34" s="16" t="e">
        <f ca="1">VLOOKUP($B34,Diarios!$B$4:$J$5000,MATCH(C$4,Diarios!$C$3:$J$3,0)+1,FALSE)</f>
        <v>#N/A</v>
      </c>
      <c r="D34" s="16" t="e">
        <f ca="1">VLOOKUP($B34,Diarios!$B$4:$J$5000,MATCH(D$4,Diarios!$C$3:$J$3,0)+1,FALSE)</f>
        <v>#N/A</v>
      </c>
      <c r="E34" s="16" t="e">
        <f ca="1">VLOOKUP($B34,Diarios!$B$4:$J$5000,MATCH(E$4,Diarios!$C$3:$J$3,0)+1,FALSE)</f>
        <v>#N/A</v>
      </c>
      <c r="G34" s="15">
        <f t="shared" si="1"/>
        <v>44591</v>
      </c>
      <c r="H34" s="16">
        <f>VLOOKUP($G34,Diarios!$B$4:$J$5000,MATCH(H$4,Diarios!$C$3:$J$3,0)+1,FALSE)</f>
        <v>5.0099999999999909</v>
      </c>
    </row>
    <row r="35" spans="2:8" x14ac:dyDescent="0.25">
      <c r="B35" s="15">
        <f ca="1">B34+1</f>
        <v>45000</v>
      </c>
      <c r="C35" s="16" t="e">
        <f ca="1">VLOOKUP($B35,Diarios!$B$4:$J$5000,MATCH(C$4,Diarios!$C$3:$J$3,0)+1,FALSE)</f>
        <v>#N/A</v>
      </c>
      <c r="D35" s="16" t="e">
        <f ca="1">VLOOKUP($B35,Diarios!$B$4:$J$5000,MATCH(D$4,Diarios!$C$3:$J$3,0)+1,FALSE)</f>
        <v>#N/A</v>
      </c>
      <c r="E35" s="16" t="e">
        <f ca="1">VLOOKUP($B35,Diarios!$B$4:$J$5000,MATCH(E$4,Diarios!$C$3:$J$3,0)+1,FALSE)</f>
        <v>#N/A</v>
      </c>
      <c r="G35" s="15">
        <f t="shared" si="1"/>
        <v>44592</v>
      </c>
      <c r="H35" s="16">
        <f>VLOOKUP($G35,Diarios!$B$4:$J$5000,MATCH(H$4,Diarios!$C$3:$J$3,0)+1,FALSE)</f>
        <v>5.0400000000000063</v>
      </c>
    </row>
    <row r="36" spans="2:8" x14ac:dyDescent="0.25">
      <c r="B36" s="15">
        <f ca="1">B35+1</f>
        <v>45001</v>
      </c>
      <c r="C36" s="16" t="e">
        <f ca="1">VLOOKUP($B36,Diarios!$B$4:$J$5000,MATCH(C$4,Diarios!$C$3:$J$3,0)+1,FALSE)</f>
        <v>#N/A</v>
      </c>
      <c r="D36" s="16" t="e">
        <f ca="1">VLOOKUP($B36,Diarios!$B$4:$J$5000,MATCH(D$4,Diarios!$C$3:$J$3,0)+1,FALSE)</f>
        <v>#N/A</v>
      </c>
      <c r="E36" s="16" t="e">
        <f ca="1">VLOOKUP($B36,Diarios!$B$4:$J$5000,MATCH(E$4,Diarios!$C$3:$J$3,0)+1,FALSE)</f>
        <v>#N/A</v>
      </c>
      <c r="G36" s="15">
        <f t="shared" si="1"/>
        <v>44593</v>
      </c>
      <c r="H36" s="16">
        <f>VLOOKUP($G36,Diarios!$B$4:$J$5000,MATCH(H$4,Diarios!$C$3:$J$3,0)+1,FALSE)</f>
        <v>5.0900000000000034</v>
      </c>
    </row>
    <row r="37" spans="2:8" x14ac:dyDescent="0.25">
      <c r="G37" s="15">
        <f t="shared" si="1"/>
        <v>44594</v>
      </c>
      <c r="H37" s="16">
        <f>VLOOKUP($G37,Diarios!$B$4:$J$5000,MATCH(H$4,Diarios!$C$3:$J$3,0)+1,FALSE)</f>
        <v>5.1500000000000057</v>
      </c>
    </row>
    <row r="38" spans="2:8" x14ac:dyDescent="0.25">
      <c r="G38" s="15">
        <f t="shared" si="1"/>
        <v>44595</v>
      </c>
      <c r="H38" s="16">
        <f>VLOOKUP($G38,Diarios!$B$4:$J$5000,MATCH(H$4,Diarios!$C$3:$J$3,0)+1,FALSE)</f>
        <v>6.4500000000000028</v>
      </c>
    </row>
    <row r="39" spans="2:8" x14ac:dyDescent="0.25">
      <c r="G39" s="15">
        <f t="shared" si="1"/>
        <v>44596</v>
      </c>
      <c r="H39" s="16">
        <f>VLOOKUP($G39,Diarios!$B$4:$J$5000,MATCH(H$4,Diarios!$C$3:$J$3,0)+1,FALSE)</f>
        <v>6.3799999999999955</v>
      </c>
    </row>
    <row r="40" spans="2:8" x14ac:dyDescent="0.25">
      <c r="G40" s="15">
        <f t="shared" si="1"/>
        <v>44597</v>
      </c>
      <c r="H40" s="16">
        <f>VLOOKUP($G40,Diarios!$B$4:$J$5000,MATCH(H$4,Diarios!$C$3:$J$3,0)+1,FALSE)</f>
        <v>6.3799999999999955</v>
      </c>
    </row>
    <row r="41" spans="2:8" x14ac:dyDescent="0.25">
      <c r="G41" s="15">
        <f t="shared" si="1"/>
        <v>44598</v>
      </c>
      <c r="H41" s="16">
        <f>VLOOKUP($G41,Diarios!$B$4:$J$5000,MATCH(H$4,Diarios!$C$3:$J$3,0)+1,FALSE)</f>
        <v>6.3799999999999955</v>
      </c>
    </row>
    <row r="42" spans="2:8" x14ac:dyDescent="0.25">
      <c r="G42" s="15">
        <f t="shared" si="1"/>
        <v>44599</v>
      </c>
      <c r="H42" s="16">
        <f>VLOOKUP($G42,Diarios!$B$4:$J$5000,MATCH(H$4,Diarios!$C$3:$J$3,0)+1,FALSE)</f>
        <v>5.3899999999999864</v>
      </c>
    </row>
    <row r="43" spans="2:8" x14ac:dyDescent="0.25">
      <c r="G43" s="15">
        <f t="shared" si="1"/>
        <v>44600</v>
      </c>
      <c r="H43" s="16">
        <f>VLOOKUP($G43,Diarios!$B$4:$J$5000,MATCH(H$4,Diarios!$C$3:$J$3,0)+1,FALSE)</f>
        <v>5.7600000000000051</v>
      </c>
    </row>
    <row r="44" spans="2:8" x14ac:dyDescent="0.25">
      <c r="G44" s="15">
        <f t="shared" si="1"/>
        <v>44601</v>
      </c>
      <c r="H44" s="16">
        <f>VLOOKUP($G44,Diarios!$B$4:$J$5000,MATCH(H$4,Diarios!$C$3:$J$3,0)+1,FALSE)</f>
        <v>5.7000000000000028</v>
      </c>
    </row>
    <row r="45" spans="2:8" x14ac:dyDescent="0.25">
      <c r="G45" s="15">
        <f t="shared" si="1"/>
        <v>44602</v>
      </c>
      <c r="H45" s="16">
        <f>VLOOKUP($G45,Diarios!$B$4:$J$5000,MATCH(H$4,Diarios!$C$3:$J$3,0)+1,FALSE)</f>
        <v>5.7599999999999909</v>
      </c>
    </row>
    <row r="46" spans="2:8" x14ac:dyDescent="0.25">
      <c r="G46" s="15">
        <f t="shared" si="1"/>
        <v>44603</v>
      </c>
      <c r="H46" s="16">
        <f>VLOOKUP($G46,Diarios!$B$4:$J$5000,MATCH(H$4,Diarios!$C$3:$J$3,0)+1,FALSE)</f>
        <v>6.2599999999999909</v>
      </c>
    </row>
    <row r="47" spans="2:8" x14ac:dyDescent="0.25">
      <c r="G47" s="15">
        <f t="shared" si="1"/>
        <v>44604</v>
      </c>
      <c r="H47" s="16">
        <f>VLOOKUP($G47,Diarios!$B$4:$J$5000,MATCH(H$4,Diarios!$C$3:$J$3,0)+1,FALSE)</f>
        <v>6.2599999999999909</v>
      </c>
    </row>
    <row r="48" spans="2:8" x14ac:dyDescent="0.25">
      <c r="G48" s="15">
        <f t="shared" si="1"/>
        <v>44605</v>
      </c>
      <c r="H48" s="16">
        <f>VLOOKUP($G48,Diarios!$B$4:$J$5000,MATCH(H$4,Diarios!$C$3:$J$3,0)+1,FALSE)</f>
        <v>6.2599999999999909</v>
      </c>
    </row>
    <row r="49" spans="7:8" x14ac:dyDescent="0.25">
      <c r="G49" s="15">
        <f t="shared" si="1"/>
        <v>44606</v>
      </c>
      <c r="H49" s="16">
        <f>VLOOKUP($G49,Diarios!$B$4:$J$5000,MATCH(H$4,Diarios!$C$3:$J$3,0)+1,FALSE)</f>
        <v>6.3599999999999994</v>
      </c>
    </row>
    <row r="50" spans="7:8" x14ac:dyDescent="0.25">
      <c r="G50" s="15">
        <f t="shared" si="1"/>
        <v>44607</v>
      </c>
      <c r="H50" s="16">
        <f>VLOOKUP($G50,Diarios!$B$4:$J$5000,MATCH(H$4,Diarios!$C$3:$J$3,0)+1,FALSE)</f>
        <v>5.8599999999999994</v>
      </c>
    </row>
    <row r="51" spans="7:8" x14ac:dyDescent="0.25">
      <c r="G51" s="15">
        <f t="shared" si="1"/>
        <v>44608</v>
      </c>
      <c r="H51" s="16">
        <f>VLOOKUP($G51,Diarios!$B$4:$J$5000,MATCH(H$4,Diarios!$C$3:$J$3,0)+1,FALSE)</f>
        <v>6.2199999999999989</v>
      </c>
    </row>
    <row r="52" spans="7:8" x14ac:dyDescent="0.25">
      <c r="G52" s="15">
        <f t="shared" si="1"/>
        <v>44609</v>
      </c>
      <c r="H52" s="16">
        <f>VLOOKUP($G52,Diarios!$B$4:$J$5000,MATCH(H$4,Diarios!$C$3:$J$3,0)+1,FALSE)</f>
        <v>6.0400000000000063</v>
      </c>
    </row>
    <row r="53" spans="7:8" x14ac:dyDescent="0.25">
      <c r="G53" s="15">
        <f t="shared" si="1"/>
        <v>44610</v>
      </c>
      <c r="H53" s="16">
        <f>VLOOKUP($G53,Diarios!$B$4:$J$5000,MATCH(H$4,Diarios!$C$3:$J$3,0)+1,FALSE)</f>
        <v>5.519999999999996</v>
      </c>
    </row>
    <row r="54" spans="7:8" x14ac:dyDescent="0.25">
      <c r="G54" s="15">
        <f t="shared" si="1"/>
        <v>44611</v>
      </c>
      <c r="H54" s="16">
        <f>VLOOKUP($G54,Diarios!$B$4:$J$5000,MATCH(H$4,Diarios!$C$3:$J$3,0)+1,FALSE)</f>
        <v>5.519999999999996</v>
      </c>
    </row>
    <row r="55" spans="7:8" x14ac:dyDescent="0.25">
      <c r="G55" s="15">
        <f t="shared" si="1"/>
        <v>44612</v>
      </c>
      <c r="H55" s="16">
        <f>VLOOKUP($G55,Diarios!$B$4:$J$5000,MATCH(H$4,Diarios!$C$3:$J$3,0)+1,FALSE)</f>
        <v>5.519999999999996</v>
      </c>
    </row>
    <row r="56" spans="7:8" x14ac:dyDescent="0.25">
      <c r="G56" s="15">
        <f t="shared" si="1"/>
        <v>44613</v>
      </c>
      <c r="H56" s="16">
        <f>VLOOKUP($G56,Diarios!$B$4:$J$5000,MATCH(H$4,Diarios!$C$3:$J$3,0)+1,FALSE)</f>
        <v>5.519999999999996</v>
      </c>
    </row>
    <row r="57" spans="7:8" x14ac:dyDescent="0.25">
      <c r="G57" s="15">
        <f t="shared" si="1"/>
        <v>44614</v>
      </c>
      <c r="H57" s="16">
        <f>VLOOKUP($G57,Diarios!$B$4:$J$5000,MATCH(H$4,Diarios!$C$3:$J$3,0)+1,FALSE)</f>
        <v>3.8699999999999903</v>
      </c>
    </row>
    <row r="58" spans="7:8" x14ac:dyDescent="0.25">
      <c r="G58" s="15">
        <f t="shared" si="1"/>
        <v>44615</v>
      </c>
      <c r="H58" s="16">
        <f>VLOOKUP($G58,Diarios!$B$4:$J$5000,MATCH(H$4,Diarios!$C$3:$J$3,0)+1,FALSE)</f>
        <v>4.4200000000000017</v>
      </c>
    </row>
    <row r="59" spans="7:8" x14ac:dyDescent="0.25">
      <c r="G59" s="15">
        <f t="shared" si="1"/>
        <v>44616</v>
      </c>
      <c r="H59" s="16">
        <f>VLOOKUP($G59,Diarios!$B$4:$J$5000,MATCH(H$4,Diarios!$C$3:$J$3,0)+1,FALSE)</f>
        <v>3.1400000000000006</v>
      </c>
    </row>
    <row r="60" spans="7:8" x14ac:dyDescent="0.25">
      <c r="G60" s="15">
        <f t="shared" si="1"/>
        <v>44617</v>
      </c>
      <c r="H60" s="16">
        <f>VLOOKUP($G60,Diarios!$B$4:$J$5000,MATCH(H$4,Diarios!$C$3:$J$3,0)+1,FALSE)</f>
        <v>3.6299999999999955</v>
      </c>
    </row>
    <row r="61" spans="7:8" x14ac:dyDescent="0.25">
      <c r="G61" s="15">
        <f t="shared" si="1"/>
        <v>44618</v>
      </c>
      <c r="H61" s="16">
        <f>VLOOKUP($G61,Diarios!$B$4:$J$5000,MATCH(H$4,Diarios!$C$3:$J$3,0)+1,FALSE)</f>
        <v>3.6299999999999955</v>
      </c>
    </row>
    <row r="62" spans="7:8" x14ac:dyDescent="0.25">
      <c r="G62" s="15">
        <f t="shared" si="1"/>
        <v>44619</v>
      </c>
      <c r="H62" s="16">
        <f>VLOOKUP($G62,Diarios!$B$4:$J$5000,MATCH(H$4,Diarios!$C$3:$J$3,0)+1,FALSE)</f>
        <v>3.6299999999999955</v>
      </c>
    </row>
    <row r="63" spans="7:8" x14ac:dyDescent="0.25">
      <c r="G63" s="15">
        <f t="shared" si="1"/>
        <v>44620</v>
      </c>
      <c r="H63" s="16">
        <f>VLOOKUP($G63,Diarios!$B$4:$J$5000,MATCH(H$4,Diarios!$C$3:$J$3,0)+1,FALSE)</f>
        <v>3.9200000000000017</v>
      </c>
    </row>
    <row r="64" spans="7:8" x14ac:dyDescent="0.25">
      <c r="G64" s="15">
        <f t="shared" si="1"/>
        <v>44621</v>
      </c>
      <c r="H64" s="16">
        <f>VLOOKUP($G64,Diarios!$B$4:$J$5000,MATCH(H$4,Diarios!$C$3:$J$3,0)+1,FALSE)</f>
        <v>5.8400000000000034</v>
      </c>
    </row>
    <row r="65" spans="7:8" x14ac:dyDescent="0.25">
      <c r="G65" s="15">
        <f t="shared" si="1"/>
        <v>44622</v>
      </c>
      <c r="H65" s="16">
        <f>VLOOKUP($G65,Diarios!$B$4:$J$5000,MATCH(H$4,Diarios!$C$3:$J$3,0)+1,FALSE)</f>
        <v>5.0799999999999983</v>
      </c>
    </row>
    <row r="66" spans="7:8" x14ac:dyDescent="0.25">
      <c r="G66" s="15">
        <f t="shared" si="1"/>
        <v>44623</v>
      </c>
      <c r="H66" s="16">
        <f>VLOOKUP($G66,Diarios!$B$4:$J$5000,MATCH(H$4,Diarios!$C$3:$J$3,0)+1,FALSE)</f>
        <v>3.960000000000008</v>
      </c>
    </row>
    <row r="67" spans="7:8" x14ac:dyDescent="0.25">
      <c r="G67" s="15">
        <f t="shared" si="1"/>
        <v>44624</v>
      </c>
      <c r="H67" s="16">
        <f>VLOOKUP($G67,Diarios!$B$4:$J$5000,MATCH(H$4,Diarios!$C$3:$J$3,0)+1,FALSE)</f>
        <v>5.6600000000000108</v>
      </c>
    </row>
    <row r="68" spans="7:8" x14ac:dyDescent="0.25">
      <c r="G68" s="15">
        <f t="shared" si="1"/>
        <v>44625</v>
      </c>
      <c r="H68" s="16">
        <f>VLOOKUP($G68,Diarios!$B$4:$J$5000,MATCH(H$4,Diarios!$C$3:$J$3,0)+1,FALSE)</f>
        <v>5.6600000000000108</v>
      </c>
    </row>
    <row r="69" spans="7:8" x14ac:dyDescent="0.25">
      <c r="G69" s="15">
        <f t="shared" si="1"/>
        <v>44626</v>
      </c>
      <c r="H69" s="16">
        <f>VLOOKUP($G69,Diarios!$B$4:$J$5000,MATCH(H$4,Diarios!$C$3:$J$3,0)+1,FALSE)</f>
        <v>5.6600000000000108</v>
      </c>
    </row>
    <row r="70" spans="7:8" x14ac:dyDescent="0.25">
      <c r="G70" s="15">
        <f t="shared" si="1"/>
        <v>44627</v>
      </c>
      <c r="H70" s="16">
        <f>VLOOKUP($G70,Diarios!$B$4:$J$5000,MATCH(H$4,Diarios!$C$3:$J$3,0)+1,FALSE)</f>
        <v>3.7400000000000091</v>
      </c>
    </row>
    <row r="71" spans="7:8" x14ac:dyDescent="0.25">
      <c r="G71" s="15">
        <f t="shared" ref="G71:G134" si="2">G70+1</f>
        <v>44628</v>
      </c>
      <c r="H71" s="16">
        <f>VLOOKUP($G71,Diarios!$B$4:$J$5000,MATCH(H$4,Diarios!$C$3:$J$3,0)+1,FALSE)</f>
        <v>4.0799999999999983</v>
      </c>
    </row>
    <row r="72" spans="7:8" x14ac:dyDescent="0.25">
      <c r="G72" s="15">
        <f t="shared" si="2"/>
        <v>44629</v>
      </c>
      <c r="H72" s="16">
        <f>VLOOKUP($G72,Diarios!$B$4:$J$5000,MATCH(H$4,Diarios!$C$3:$J$3,0)+1,FALSE)</f>
        <v>2.730000000000004</v>
      </c>
    </row>
    <row r="73" spans="7:8" x14ac:dyDescent="0.25">
      <c r="G73" s="15">
        <f t="shared" si="2"/>
        <v>44630</v>
      </c>
      <c r="H73" s="16">
        <f>VLOOKUP($G73,Diarios!$B$4:$J$5000,MATCH(H$4,Diarios!$C$3:$J$3,0)+1,FALSE)</f>
        <v>3.5300000000000011</v>
      </c>
    </row>
    <row r="74" spans="7:8" x14ac:dyDescent="0.25">
      <c r="G74" s="15">
        <f t="shared" si="2"/>
        <v>44631</v>
      </c>
      <c r="H74" s="16">
        <f>VLOOKUP($G74,Diarios!$B$4:$J$5000,MATCH(H$4,Diarios!$C$3:$J$3,0)+1,FALSE)</f>
        <v>4.3700000000000045</v>
      </c>
    </row>
    <row r="75" spans="7:8" x14ac:dyDescent="0.25">
      <c r="G75" s="15">
        <f t="shared" si="2"/>
        <v>44632</v>
      </c>
      <c r="H75" s="16">
        <f>VLOOKUP($G75,Diarios!$B$4:$J$5000,MATCH(H$4,Diarios!$C$3:$J$3,0)+1,FALSE)</f>
        <v>4.3700000000000045</v>
      </c>
    </row>
    <row r="76" spans="7:8" x14ac:dyDescent="0.25">
      <c r="G76" s="15">
        <f t="shared" si="2"/>
        <v>44633</v>
      </c>
      <c r="H76" s="16">
        <f>VLOOKUP($G76,Diarios!$B$4:$J$5000,MATCH(H$4,Diarios!$C$3:$J$3,0)+1,FALSE)</f>
        <v>4.3700000000000045</v>
      </c>
    </row>
    <row r="77" spans="7:8" x14ac:dyDescent="0.25">
      <c r="G77" s="15">
        <f t="shared" si="2"/>
        <v>44634</v>
      </c>
      <c r="H77" s="16">
        <f>VLOOKUP($G77,Diarios!$B$4:$J$5000,MATCH(H$4,Diarios!$C$3:$J$3,0)+1,FALSE)</f>
        <v>3.5300000000000011</v>
      </c>
    </row>
    <row r="78" spans="7:8" x14ac:dyDescent="0.25">
      <c r="G78" s="15">
        <f t="shared" si="2"/>
        <v>44635</v>
      </c>
      <c r="H78" s="16">
        <f>VLOOKUP($G78,Diarios!$B$4:$J$5000,MATCH(H$4,Diarios!$C$3:$J$3,0)+1,FALSE)</f>
        <v>4.1799999999999926</v>
      </c>
    </row>
    <row r="79" spans="7:8" x14ac:dyDescent="0.25">
      <c r="G79" s="15">
        <f t="shared" si="2"/>
        <v>44636</v>
      </c>
      <c r="H79" s="16">
        <f>VLOOKUP($G79,Diarios!$B$4:$J$5000,MATCH(H$4,Diarios!$C$3:$J$3,0)+1,FALSE)</f>
        <v>4.0800000000000125</v>
      </c>
    </row>
    <row r="80" spans="7:8" x14ac:dyDescent="0.25">
      <c r="G80" s="15">
        <f t="shared" si="2"/>
        <v>44637</v>
      </c>
      <c r="H80" s="16">
        <f>VLOOKUP($G80,Diarios!$B$4:$J$5000,MATCH(H$4,Diarios!$C$3:$J$3,0)+1,FALSE)</f>
        <v>4.7000000000000028</v>
      </c>
    </row>
    <row r="81" spans="7:8" x14ac:dyDescent="0.25">
      <c r="G81" s="15">
        <f t="shared" si="2"/>
        <v>44638</v>
      </c>
      <c r="H81" s="16">
        <f>VLOOKUP($G81,Diarios!$B$4:$J$5000,MATCH(H$4,Diarios!$C$3:$J$3,0)+1,FALSE)</f>
        <v>6.4200000000000017</v>
      </c>
    </row>
    <row r="82" spans="7:8" x14ac:dyDescent="0.25">
      <c r="G82" s="15">
        <f t="shared" si="2"/>
        <v>44639</v>
      </c>
      <c r="H82" s="16">
        <f>VLOOKUP($G82,Diarios!$B$4:$J$5000,MATCH(H$4,Diarios!$C$3:$J$3,0)+1,FALSE)</f>
        <v>6.4200000000000017</v>
      </c>
    </row>
    <row r="83" spans="7:8" x14ac:dyDescent="0.25">
      <c r="G83" s="15">
        <f t="shared" si="2"/>
        <v>44640</v>
      </c>
      <c r="H83" s="16">
        <f>VLOOKUP($G83,Diarios!$B$4:$J$5000,MATCH(H$4,Diarios!$C$3:$J$3,0)+1,FALSE)</f>
        <v>6.4200000000000017</v>
      </c>
    </row>
    <row r="84" spans="7:8" x14ac:dyDescent="0.25">
      <c r="G84" s="15">
        <f t="shared" si="2"/>
        <v>44641</v>
      </c>
      <c r="H84" s="16">
        <f>VLOOKUP($G84,Diarios!$B$4:$J$5000,MATCH(H$4,Diarios!$C$3:$J$3,0)+1,FALSE)</f>
        <v>6.4200000000000017</v>
      </c>
    </row>
    <row r="85" spans="7:8" x14ac:dyDescent="0.25">
      <c r="G85" s="15">
        <f t="shared" si="2"/>
        <v>44642</v>
      </c>
      <c r="H85" s="16">
        <f>VLOOKUP($G85,Diarios!$B$4:$J$5000,MATCH(H$4,Diarios!$C$3:$J$3,0)+1,FALSE)</f>
        <v>4.730000000000004</v>
      </c>
    </row>
    <row r="86" spans="7:8" x14ac:dyDescent="0.25">
      <c r="G86" s="15">
        <f t="shared" si="2"/>
        <v>44643</v>
      </c>
      <c r="H86" s="16">
        <f>VLOOKUP($G86,Diarios!$B$4:$J$5000,MATCH(H$4,Diarios!$C$3:$J$3,0)+1,FALSE)</f>
        <v>5.2900000000000063</v>
      </c>
    </row>
    <row r="87" spans="7:8" x14ac:dyDescent="0.25">
      <c r="G87" s="15">
        <f t="shared" si="2"/>
        <v>44644</v>
      </c>
      <c r="H87" s="16">
        <f>VLOOKUP($G87,Diarios!$B$4:$J$5000,MATCH(H$4,Diarios!$C$3:$J$3,0)+1,FALSE)</f>
        <v>4.5</v>
      </c>
    </row>
    <row r="88" spans="7:8" x14ac:dyDescent="0.25">
      <c r="G88" s="15">
        <f t="shared" si="2"/>
        <v>44645</v>
      </c>
      <c r="H88" s="16">
        <f>VLOOKUP($G88,Diarios!$B$4:$J$5000,MATCH(H$4,Diarios!$C$3:$J$3,0)+1,FALSE)</f>
        <v>5.4500000000000028</v>
      </c>
    </row>
    <row r="89" spans="7:8" x14ac:dyDescent="0.25">
      <c r="G89" s="15">
        <f t="shared" si="2"/>
        <v>44646</v>
      </c>
      <c r="H89" s="16">
        <f>VLOOKUP($G89,Diarios!$B$4:$J$5000,MATCH(H$4,Diarios!$C$3:$J$3,0)+1,FALSE)</f>
        <v>5.4500000000000028</v>
      </c>
    </row>
    <row r="90" spans="7:8" x14ac:dyDescent="0.25">
      <c r="G90" s="15">
        <f t="shared" si="2"/>
        <v>44647</v>
      </c>
      <c r="H90" s="16">
        <f>VLOOKUP($G90,Diarios!$B$4:$J$5000,MATCH(H$4,Diarios!$C$3:$J$3,0)+1,FALSE)</f>
        <v>5.4500000000000028</v>
      </c>
    </row>
    <row r="91" spans="7:8" x14ac:dyDescent="0.25">
      <c r="G91" s="15">
        <f t="shared" si="2"/>
        <v>44648</v>
      </c>
      <c r="H91" s="16">
        <f>VLOOKUP($G91,Diarios!$B$4:$J$5000,MATCH(H$4,Diarios!$C$3:$J$3,0)+1,FALSE)</f>
        <v>2.9199999999999875</v>
      </c>
    </row>
    <row r="92" spans="7:8" x14ac:dyDescent="0.25">
      <c r="G92" s="15">
        <f t="shared" si="2"/>
        <v>44649</v>
      </c>
      <c r="H92" s="16">
        <f>VLOOKUP($G92,Diarios!$B$4:$J$5000,MATCH(H$4,Diarios!$C$3:$J$3,0)+1,FALSE)</f>
        <v>3.25</v>
      </c>
    </row>
    <row r="93" spans="7:8" x14ac:dyDescent="0.25">
      <c r="G93" s="15">
        <f t="shared" si="2"/>
        <v>44650</v>
      </c>
      <c r="H93" s="16">
        <f>VLOOKUP($G93,Diarios!$B$4:$J$5000,MATCH(H$4,Diarios!$C$3:$J$3,0)+1,FALSE)</f>
        <v>3.7799999999999869</v>
      </c>
    </row>
    <row r="94" spans="7:8" x14ac:dyDescent="0.25">
      <c r="G94" s="15">
        <f t="shared" si="2"/>
        <v>44651</v>
      </c>
      <c r="H94" s="16">
        <f>VLOOKUP($G94,Diarios!$B$4:$J$5000,MATCH(H$4,Diarios!$C$3:$J$3,0)+1,FALSE)</f>
        <v>2.2800000000000011</v>
      </c>
    </row>
    <row r="95" spans="7:8" x14ac:dyDescent="0.25">
      <c r="G95" s="15">
        <f t="shared" si="2"/>
        <v>44652</v>
      </c>
      <c r="H95" s="16">
        <f>VLOOKUP($G95,Diarios!$B$4:$J$5000,MATCH(H$4,Diarios!$C$3:$J$3,0)+1,FALSE)</f>
        <v>2.019999999999996</v>
      </c>
    </row>
    <row r="96" spans="7:8" x14ac:dyDescent="0.25">
      <c r="G96" s="15">
        <f t="shared" si="2"/>
        <v>44653</v>
      </c>
      <c r="H96" s="16">
        <f>VLOOKUP($G96,Diarios!$B$4:$J$5000,MATCH(H$4,Diarios!$C$3:$J$3,0)+1,FALSE)</f>
        <v>2.019999999999996</v>
      </c>
    </row>
    <row r="97" spans="7:8" x14ac:dyDescent="0.25">
      <c r="G97" s="15">
        <f t="shared" si="2"/>
        <v>44654</v>
      </c>
      <c r="H97" s="16">
        <f>VLOOKUP($G97,Diarios!$B$4:$J$5000,MATCH(H$4,Diarios!$C$3:$J$3,0)+1,FALSE)</f>
        <v>2.019999999999996</v>
      </c>
    </row>
    <row r="98" spans="7:8" x14ac:dyDescent="0.25">
      <c r="G98" s="15">
        <f t="shared" si="2"/>
        <v>44655</v>
      </c>
      <c r="H98" s="16">
        <f>VLOOKUP($G98,Diarios!$B$4:$J$5000,MATCH(H$4,Diarios!$C$3:$J$3,0)+1,FALSE)</f>
        <v>3.1200000000000045</v>
      </c>
    </row>
    <row r="99" spans="7:8" x14ac:dyDescent="0.25">
      <c r="G99" s="15">
        <f t="shared" si="2"/>
        <v>44656</v>
      </c>
      <c r="H99" s="16">
        <f>VLOOKUP($G99,Diarios!$B$4:$J$5000,MATCH(H$4,Diarios!$C$3:$J$3,0)+1,FALSE)</f>
        <v>2.0999999999999943</v>
      </c>
    </row>
    <row r="100" spans="7:8" x14ac:dyDescent="0.25">
      <c r="G100" s="15">
        <f t="shared" si="2"/>
        <v>44657</v>
      </c>
      <c r="H100" s="16">
        <f>VLOOKUP($G100,Diarios!$B$4:$J$5000,MATCH(H$4,Diarios!$C$3:$J$3,0)+1,FALSE)</f>
        <v>1.2600000000000051</v>
      </c>
    </row>
    <row r="101" spans="7:8" x14ac:dyDescent="0.25">
      <c r="G101" s="15">
        <f t="shared" si="2"/>
        <v>44658</v>
      </c>
      <c r="H101" s="16">
        <f>VLOOKUP($G101,Diarios!$B$4:$J$5000,MATCH(H$4,Diarios!$C$3:$J$3,0)+1,FALSE)</f>
        <v>2.5999999999999943</v>
      </c>
    </row>
    <row r="102" spans="7:8" x14ac:dyDescent="0.25">
      <c r="G102" s="15">
        <f t="shared" si="2"/>
        <v>44659</v>
      </c>
      <c r="H102" s="16">
        <f>VLOOKUP($G102,Diarios!$B$4:$J$5000,MATCH(H$4,Diarios!$C$3:$J$3,0)+1,FALSE)</f>
        <v>2.9000000000000057</v>
      </c>
    </row>
    <row r="103" spans="7:8" x14ac:dyDescent="0.25">
      <c r="G103" s="15">
        <f t="shared" si="2"/>
        <v>44660</v>
      </c>
      <c r="H103" s="16">
        <f>VLOOKUP($G103,Diarios!$B$4:$J$5000,MATCH(H$4,Diarios!$C$3:$J$3,0)+1,FALSE)</f>
        <v>2.9000000000000057</v>
      </c>
    </row>
    <row r="104" spans="7:8" x14ac:dyDescent="0.25">
      <c r="G104" s="15">
        <f t="shared" si="2"/>
        <v>44661</v>
      </c>
      <c r="H104" s="16">
        <f>VLOOKUP($G104,Diarios!$B$4:$J$5000,MATCH(H$4,Diarios!$C$3:$J$3,0)+1,FALSE)</f>
        <v>2.9000000000000057</v>
      </c>
    </row>
    <row r="105" spans="7:8" x14ac:dyDescent="0.25">
      <c r="G105" s="15">
        <f t="shared" si="2"/>
        <v>44662</v>
      </c>
      <c r="H105" s="16">
        <f>VLOOKUP($G105,Diarios!$B$4:$J$5000,MATCH(H$4,Diarios!$C$3:$J$3,0)+1,FALSE)</f>
        <v>2.3599999999999994</v>
      </c>
    </row>
    <row r="106" spans="7:8" x14ac:dyDescent="0.25">
      <c r="G106" s="15">
        <f t="shared" si="2"/>
        <v>44663</v>
      </c>
      <c r="H106" s="16">
        <f>VLOOKUP($G106,Diarios!$B$4:$J$5000,MATCH(H$4,Diarios!$C$3:$J$3,0)+1,FALSE)</f>
        <v>3.4399999999999977</v>
      </c>
    </row>
    <row r="107" spans="7:8" x14ac:dyDescent="0.25">
      <c r="G107" s="15">
        <f t="shared" si="2"/>
        <v>44664</v>
      </c>
      <c r="H107" s="16">
        <f>VLOOKUP($G107,Diarios!$B$4:$J$5000,MATCH(H$4,Diarios!$C$3:$J$3,0)+1,FALSE)</f>
        <v>3.1099999999999994</v>
      </c>
    </row>
    <row r="108" spans="7:8" x14ac:dyDescent="0.25">
      <c r="G108" s="15">
        <f t="shared" si="2"/>
        <v>44665</v>
      </c>
      <c r="H108" s="16">
        <f>VLOOKUP($G108,Diarios!$B$4:$J$5000,MATCH(H$4,Diarios!$C$3:$J$3,0)+1,FALSE)</f>
        <v>5.8100000000000023</v>
      </c>
    </row>
    <row r="109" spans="7:8" x14ac:dyDescent="0.25">
      <c r="G109" s="15">
        <f t="shared" si="2"/>
        <v>44666</v>
      </c>
      <c r="H109" s="16">
        <f>VLOOKUP($G109,Diarios!$B$4:$J$5000,MATCH(H$4,Diarios!$C$3:$J$3,0)+1,FALSE)</f>
        <v>5.8100000000000023</v>
      </c>
    </row>
    <row r="110" spans="7:8" x14ac:dyDescent="0.25">
      <c r="G110" s="15">
        <f t="shared" si="2"/>
        <v>44667</v>
      </c>
      <c r="H110" s="16">
        <f>VLOOKUP($G110,Diarios!$B$4:$J$5000,MATCH(H$4,Diarios!$C$3:$J$3,0)+1,FALSE)</f>
        <v>5.8100000000000023</v>
      </c>
    </row>
    <row r="111" spans="7:8" x14ac:dyDescent="0.25">
      <c r="G111" s="15">
        <f t="shared" si="2"/>
        <v>44668</v>
      </c>
      <c r="H111" s="16">
        <f>VLOOKUP($G111,Diarios!$B$4:$J$5000,MATCH(H$4,Diarios!$C$3:$J$3,0)+1,FALSE)</f>
        <v>5.8100000000000023</v>
      </c>
    </row>
    <row r="112" spans="7:8" x14ac:dyDescent="0.25">
      <c r="G112" s="15">
        <f t="shared" si="2"/>
        <v>44669</v>
      </c>
      <c r="H112" s="16">
        <f>VLOOKUP($G112,Diarios!$B$4:$J$5000,MATCH(H$4,Diarios!$C$3:$J$3,0)+1,FALSE)</f>
        <v>2.7099999999999937</v>
      </c>
    </row>
    <row r="113" spans="7:8" x14ac:dyDescent="0.25">
      <c r="G113" s="15">
        <f t="shared" si="2"/>
        <v>44670</v>
      </c>
      <c r="H113" s="16">
        <f>VLOOKUP($G113,Diarios!$B$4:$J$5000,MATCH(H$4,Diarios!$C$3:$J$3,0)+1,FALSE)</f>
        <v>1.6400000000000006</v>
      </c>
    </row>
    <row r="114" spans="7:8" x14ac:dyDescent="0.25">
      <c r="G114" s="15">
        <f t="shared" si="2"/>
        <v>44671</v>
      </c>
      <c r="H114" s="16">
        <f>VLOOKUP($G114,Diarios!$B$4:$J$5000,MATCH(H$4,Diarios!$C$3:$J$3,0)+1,FALSE)</f>
        <v>2.5</v>
      </c>
    </row>
    <row r="115" spans="7:8" x14ac:dyDescent="0.25">
      <c r="G115" s="15">
        <f t="shared" si="2"/>
        <v>44672</v>
      </c>
      <c r="H115" s="16">
        <f>VLOOKUP($G115,Diarios!$B$4:$J$5000,MATCH(H$4,Diarios!$C$3:$J$3,0)+1,FALSE)</f>
        <v>2.9099999999999966</v>
      </c>
    </row>
    <row r="116" spans="7:8" x14ac:dyDescent="0.25">
      <c r="G116" s="15">
        <f t="shared" si="2"/>
        <v>44673</v>
      </c>
      <c r="H116" s="16">
        <f>VLOOKUP($G116,Diarios!$B$4:$J$5000,MATCH(H$4,Diarios!$C$3:$J$3,0)+1,FALSE)</f>
        <v>2.7600000000000051</v>
      </c>
    </row>
    <row r="117" spans="7:8" x14ac:dyDescent="0.25">
      <c r="G117" s="15">
        <f t="shared" si="2"/>
        <v>44674</v>
      </c>
      <c r="H117" s="16">
        <f>VLOOKUP($G117,Diarios!$B$4:$J$5000,MATCH(H$4,Diarios!$C$3:$J$3,0)+1,FALSE)</f>
        <v>2.7600000000000051</v>
      </c>
    </row>
    <row r="118" spans="7:8" x14ac:dyDescent="0.25">
      <c r="G118" s="15">
        <f t="shared" si="2"/>
        <v>44675</v>
      </c>
      <c r="H118" s="16">
        <f>VLOOKUP($G118,Diarios!$B$4:$J$5000,MATCH(H$4,Diarios!$C$3:$J$3,0)+1,FALSE)</f>
        <v>2.7600000000000051</v>
      </c>
    </row>
    <row r="119" spans="7:8" x14ac:dyDescent="0.25">
      <c r="G119" s="15">
        <f t="shared" si="2"/>
        <v>44676</v>
      </c>
      <c r="H119" s="16">
        <f>VLOOKUP($G119,Diarios!$B$4:$J$5000,MATCH(H$4,Diarios!$C$3:$J$3,0)+1,FALSE)</f>
        <v>3.480000000000004</v>
      </c>
    </row>
    <row r="120" spans="7:8" x14ac:dyDescent="0.25">
      <c r="G120" s="15">
        <f t="shared" si="2"/>
        <v>44677</v>
      </c>
      <c r="H120" s="16">
        <f>VLOOKUP($G120,Diarios!$B$4:$J$5000,MATCH(H$4,Diarios!$C$3:$J$3,0)+1,FALSE)</f>
        <v>3.6800000000000068</v>
      </c>
    </row>
    <row r="121" spans="7:8" x14ac:dyDescent="0.25">
      <c r="G121" s="15">
        <f t="shared" si="2"/>
        <v>44678</v>
      </c>
      <c r="H121" s="16">
        <f>VLOOKUP($G121,Diarios!$B$4:$J$5000,MATCH(H$4,Diarios!$C$3:$J$3,0)+1,FALSE)</f>
        <v>3.1299999999999955</v>
      </c>
    </row>
    <row r="122" spans="7:8" x14ac:dyDescent="0.25">
      <c r="G122" s="15">
        <f t="shared" si="2"/>
        <v>44679</v>
      </c>
      <c r="H122" s="16">
        <f>VLOOKUP($G122,Diarios!$B$4:$J$5000,MATCH(H$4,Diarios!$C$3:$J$3,0)+1,FALSE)</f>
        <v>4.2000000000000028</v>
      </c>
    </row>
    <row r="123" spans="7:8" x14ac:dyDescent="0.25">
      <c r="G123" s="15">
        <f t="shared" si="2"/>
        <v>44680</v>
      </c>
      <c r="H123" s="16">
        <f>VLOOKUP($G123,Diarios!$B$4:$J$5000,MATCH(H$4,Diarios!$C$3:$J$3,0)+1,FALSE)</f>
        <v>2.6700000000000017</v>
      </c>
    </row>
    <row r="124" spans="7:8" x14ac:dyDescent="0.25">
      <c r="G124" s="15">
        <f t="shared" si="2"/>
        <v>44681</v>
      </c>
      <c r="H124" s="16">
        <f>VLOOKUP($G124,Diarios!$B$4:$J$5000,MATCH(H$4,Diarios!$C$3:$J$3,0)+1,FALSE)</f>
        <v>2.6700000000000017</v>
      </c>
    </row>
    <row r="125" spans="7:8" x14ac:dyDescent="0.25">
      <c r="G125" s="15">
        <f t="shared" si="2"/>
        <v>44682</v>
      </c>
      <c r="H125" s="16">
        <f>VLOOKUP($G125,Diarios!$B$4:$J$5000,MATCH(H$4,Diarios!$C$3:$J$3,0)+1,FALSE)</f>
        <v>2.6700000000000017</v>
      </c>
    </row>
    <row r="126" spans="7:8" x14ac:dyDescent="0.25">
      <c r="G126" s="15">
        <f t="shared" si="2"/>
        <v>44683</v>
      </c>
      <c r="H126" s="16">
        <f>VLOOKUP($G126,Diarios!$B$4:$J$5000,MATCH(H$4,Diarios!$C$3:$J$3,0)+1,FALSE)</f>
        <v>3.1500000000000057</v>
      </c>
    </row>
    <row r="127" spans="7:8" x14ac:dyDescent="0.25">
      <c r="G127" s="15">
        <f t="shared" si="2"/>
        <v>44684</v>
      </c>
      <c r="H127" s="16">
        <f>VLOOKUP($G127,Diarios!$B$4:$J$5000,MATCH(H$4,Diarios!$C$3:$J$3,0)+1,FALSE)</f>
        <v>0.39000000000000057</v>
      </c>
    </row>
    <row r="128" spans="7:8" x14ac:dyDescent="0.25">
      <c r="G128" s="15">
        <f t="shared" si="2"/>
        <v>44685</v>
      </c>
      <c r="H128" s="16">
        <f>VLOOKUP($G128,Diarios!$B$4:$J$5000,MATCH(H$4,Diarios!$C$3:$J$3,0)+1,FALSE)</f>
        <v>3.6299999999999955</v>
      </c>
    </row>
    <row r="129" spans="7:8" x14ac:dyDescent="0.25">
      <c r="G129" s="15">
        <f t="shared" si="2"/>
        <v>44686</v>
      </c>
      <c r="H129" s="16">
        <f>VLOOKUP($G129,Diarios!$B$4:$J$5000,MATCH(H$4,Diarios!$C$3:$J$3,0)+1,FALSE)</f>
        <v>4.0799999999999983</v>
      </c>
    </row>
    <row r="130" spans="7:8" x14ac:dyDescent="0.25">
      <c r="G130" s="15">
        <f t="shared" si="2"/>
        <v>44687</v>
      </c>
      <c r="H130" s="16">
        <f>VLOOKUP($G130,Diarios!$B$4:$J$5000,MATCH(H$4,Diarios!$C$3:$J$3,0)+1,FALSE)</f>
        <v>3.3199999999999932</v>
      </c>
    </row>
    <row r="131" spans="7:8" x14ac:dyDescent="0.25">
      <c r="G131" s="15">
        <f t="shared" si="2"/>
        <v>44688</v>
      </c>
      <c r="H131" s="16">
        <f>VLOOKUP($G131,Diarios!$B$4:$J$5000,MATCH(H$4,Diarios!$C$3:$J$3,0)+1,FALSE)</f>
        <v>3.3199999999999932</v>
      </c>
    </row>
    <row r="132" spans="7:8" x14ac:dyDescent="0.25">
      <c r="G132" s="15">
        <f t="shared" si="2"/>
        <v>44689</v>
      </c>
      <c r="H132" s="16">
        <f>VLOOKUP($G132,Diarios!$B$4:$J$5000,MATCH(H$4,Diarios!$C$3:$J$3,0)+1,FALSE)</f>
        <v>3.3199999999999932</v>
      </c>
    </row>
    <row r="133" spans="7:8" x14ac:dyDescent="0.25">
      <c r="G133" s="15">
        <f t="shared" si="2"/>
        <v>44690</v>
      </c>
      <c r="H133" s="16">
        <f>VLOOKUP($G133,Diarios!$B$4:$J$5000,MATCH(H$4,Diarios!$C$3:$J$3,0)+1,FALSE)</f>
        <v>2.2700000000000102</v>
      </c>
    </row>
    <row r="134" spans="7:8" x14ac:dyDescent="0.25">
      <c r="G134" s="15">
        <f t="shared" si="2"/>
        <v>44691</v>
      </c>
      <c r="H134" s="16">
        <f>VLOOKUP($G134,Diarios!$B$4:$J$5000,MATCH(H$4,Diarios!$C$3:$J$3,0)+1,FALSE)</f>
        <v>2.5</v>
      </c>
    </row>
    <row r="135" spans="7:8" x14ac:dyDescent="0.25">
      <c r="G135" s="15">
        <f t="shared" ref="G135:G198" si="3">G134+1</f>
        <v>44692</v>
      </c>
      <c r="H135" s="16">
        <f>VLOOKUP($G135,Diarios!$B$4:$J$5000,MATCH(H$4,Diarios!$C$3:$J$3,0)+1,FALSE)</f>
        <v>3.6799999999999926</v>
      </c>
    </row>
    <row r="136" spans="7:8" x14ac:dyDescent="0.25">
      <c r="G136" s="15">
        <f t="shared" si="3"/>
        <v>44693</v>
      </c>
      <c r="H136" s="16">
        <f>VLOOKUP($G136,Diarios!$B$4:$J$5000,MATCH(H$4,Diarios!$C$3:$J$3,0)+1,FALSE)</f>
        <v>3.9899999999999949</v>
      </c>
    </row>
    <row r="137" spans="7:8" x14ac:dyDescent="0.25">
      <c r="G137" s="15">
        <f t="shared" si="3"/>
        <v>44694</v>
      </c>
      <c r="H137" s="16">
        <f>VLOOKUP($G137,Diarios!$B$4:$J$5000,MATCH(H$4,Diarios!$C$3:$J$3,0)+1,FALSE)</f>
        <v>4.1299999999999955</v>
      </c>
    </row>
    <row r="138" spans="7:8" x14ac:dyDescent="0.25">
      <c r="G138" s="15">
        <f t="shared" si="3"/>
        <v>44695</v>
      </c>
      <c r="H138" s="16">
        <f>VLOOKUP($G138,Diarios!$B$4:$J$5000,MATCH(H$4,Diarios!$C$3:$J$3,0)+1,FALSE)</f>
        <v>4.1299999999999955</v>
      </c>
    </row>
    <row r="139" spans="7:8" x14ac:dyDescent="0.25">
      <c r="G139" s="15">
        <f t="shared" si="3"/>
        <v>44696</v>
      </c>
      <c r="H139" s="16">
        <f>VLOOKUP($G139,Diarios!$B$4:$J$5000,MATCH(H$4,Diarios!$C$3:$J$3,0)+1,FALSE)</f>
        <v>4.1299999999999955</v>
      </c>
    </row>
    <row r="140" spans="7:8" x14ac:dyDescent="0.25">
      <c r="G140" s="15">
        <f t="shared" si="3"/>
        <v>44697</v>
      </c>
      <c r="H140" s="16">
        <f>VLOOKUP($G140,Diarios!$B$4:$J$5000,MATCH(H$4,Diarios!$C$3:$J$3,0)+1,FALSE)</f>
        <v>7.8400000000000034</v>
      </c>
    </row>
    <row r="141" spans="7:8" x14ac:dyDescent="0.25">
      <c r="G141" s="15">
        <f t="shared" si="3"/>
        <v>44698</v>
      </c>
      <c r="H141" s="16">
        <f>VLOOKUP($G141,Diarios!$B$4:$J$5000,MATCH(H$4,Diarios!$C$3:$J$3,0)+1,FALSE)</f>
        <v>4.6000000000000085</v>
      </c>
    </row>
    <row r="142" spans="7:8" x14ac:dyDescent="0.25">
      <c r="G142" s="15">
        <f t="shared" si="3"/>
        <v>44699</v>
      </c>
      <c r="H142" s="16">
        <f>VLOOKUP($G142,Diarios!$B$4:$J$5000,MATCH(H$4,Diarios!$C$3:$J$3,0)+1,FALSE)</f>
        <v>4.4699999999999989</v>
      </c>
    </row>
    <row r="143" spans="7:8" x14ac:dyDescent="0.25">
      <c r="G143" s="15">
        <f t="shared" si="3"/>
        <v>44700</v>
      </c>
      <c r="H143" s="16">
        <f>VLOOKUP($G143,Diarios!$B$4:$J$5000,MATCH(H$4,Diarios!$C$3:$J$3,0)+1,FALSE)</f>
        <v>5.1899999999999977</v>
      </c>
    </row>
    <row r="144" spans="7:8" x14ac:dyDescent="0.25">
      <c r="G144" s="15">
        <f t="shared" si="3"/>
        <v>44701</v>
      </c>
      <c r="H144" s="16">
        <f>VLOOKUP($G144,Diarios!$B$4:$J$5000,MATCH(H$4,Diarios!$C$3:$J$3,0)+1,FALSE)</f>
        <v>5.3700000000000045</v>
      </c>
    </row>
    <row r="145" spans="7:8" x14ac:dyDescent="0.25">
      <c r="G145" s="15">
        <f t="shared" si="3"/>
        <v>44702</v>
      </c>
      <c r="H145" s="16">
        <f>VLOOKUP($G145,Diarios!$B$4:$J$5000,MATCH(H$4,Diarios!$C$3:$J$3,0)+1,FALSE)</f>
        <v>5.3700000000000045</v>
      </c>
    </row>
    <row r="146" spans="7:8" x14ac:dyDescent="0.25">
      <c r="G146" s="15">
        <f t="shared" si="3"/>
        <v>44703</v>
      </c>
      <c r="H146" s="16">
        <f>VLOOKUP($G146,Diarios!$B$4:$J$5000,MATCH(H$4,Diarios!$C$3:$J$3,0)+1,FALSE)</f>
        <v>5.3700000000000045</v>
      </c>
    </row>
    <row r="147" spans="7:8" x14ac:dyDescent="0.25">
      <c r="G147" s="15">
        <f t="shared" si="3"/>
        <v>44704</v>
      </c>
      <c r="H147" s="16">
        <f>VLOOKUP($G147,Diarios!$B$4:$J$5000,MATCH(H$4,Diarios!$C$3:$J$3,0)+1,FALSE)</f>
        <v>4.8099999999999881</v>
      </c>
    </row>
    <row r="148" spans="7:8" x14ac:dyDescent="0.25">
      <c r="G148" s="15">
        <f t="shared" si="3"/>
        <v>44705</v>
      </c>
      <c r="H148" s="16">
        <f>VLOOKUP($G148,Diarios!$B$4:$J$5000,MATCH(H$4,Diarios!$C$3:$J$3,0)+1,FALSE)</f>
        <v>4.4299999999999926</v>
      </c>
    </row>
    <row r="149" spans="7:8" x14ac:dyDescent="0.25">
      <c r="G149" s="15">
        <f t="shared" si="3"/>
        <v>44706</v>
      </c>
      <c r="H149" s="16">
        <f>VLOOKUP($G149,Diarios!$B$4:$J$5000,MATCH(H$4,Diarios!$C$3:$J$3,0)+1,FALSE)</f>
        <v>4.4200000000000017</v>
      </c>
    </row>
    <row r="150" spans="7:8" x14ac:dyDescent="0.25">
      <c r="G150" s="15">
        <f t="shared" si="3"/>
        <v>44707</v>
      </c>
      <c r="H150" s="16">
        <f>VLOOKUP($G150,Diarios!$B$4:$J$5000,MATCH(H$4,Diarios!$C$3:$J$3,0)+1,FALSE)</f>
        <v>3.6500000000000057</v>
      </c>
    </row>
    <row r="151" spans="7:8" x14ac:dyDescent="0.25">
      <c r="G151" s="15">
        <f t="shared" si="3"/>
        <v>44708</v>
      </c>
      <c r="H151" s="16">
        <f>VLOOKUP($G151,Diarios!$B$4:$J$5000,MATCH(H$4,Diarios!$C$3:$J$3,0)+1,FALSE)</f>
        <v>2.8699999999999903</v>
      </c>
    </row>
    <row r="152" spans="7:8" x14ac:dyDescent="0.25">
      <c r="G152" s="15">
        <f t="shared" si="3"/>
        <v>44709</v>
      </c>
      <c r="H152" s="16">
        <f>VLOOKUP($G152,Diarios!$B$4:$J$5000,MATCH(H$4,Diarios!$C$3:$J$3,0)+1,FALSE)</f>
        <v>2.8699999999999903</v>
      </c>
    </row>
    <row r="153" spans="7:8" x14ac:dyDescent="0.25">
      <c r="G153" s="15">
        <f t="shared" si="3"/>
        <v>44710</v>
      </c>
      <c r="H153" s="16">
        <f>VLOOKUP($G153,Diarios!$B$4:$J$5000,MATCH(H$4,Diarios!$C$3:$J$3,0)+1,FALSE)</f>
        <v>2.8699999999999903</v>
      </c>
    </row>
    <row r="154" spans="7:8" x14ac:dyDescent="0.25">
      <c r="G154" s="15">
        <f t="shared" si="3"/>
        <v>44711</v>
      </c>
      <c r="H154" s="16">
        <f>VLOOKUP($G154,Diarios!$B$4:$J$5000,MATCH(H$4,Diarios!$C$3:$J$3,0)+1,FALSE)</f>
        <v>2.8699999999999903</v>
      </c>
    </row>
    <row r="155" spans="7:8" x14ac:dyDescent="0.25">
      <c r="G155" s="15">
        <f t="shared" si="3"/>
        <v>44712</v>
      </c>
      <c r="H155" s="16">
        <f>VLOOKUP($G155,Diarios!$B$4:$J$5000,MATCH(H$4,Diarios!$C$3:$J$3,0)+1,FALSE)</f>
        <v>0.84000000000000341</v>
      </c>
    </row>
    <row r="156" spans="7:8" x14ac:dyDescent="0.25">
      <c r="G156" s="15">
        <f t="shared" si="3"/>
        <v>44713</v>
      </c>
      <c r="H156" s="16">
        <f>VLOOKUP($G156,Diarios!$B$4:$J$5000,MATCH(H$4,Diarios!$C$3:$J$3,0)+1,FALSE)</f>
        <v>5.6300000000000097</v>
      </c>
    </row>
    <row r="157" spans="7:8" x14ac:dyDescent="0.25">
      <c r="G157" s="15">
        <f t="shared" si="3"/>
        <v>44714</v>
      </c>
      <c r="H157" s="16">
        <f>VLOOKUP($G157,Diarios!$B$4:$J$5000,MATCH(H$4,Diarios!$C$3:$J$3,0)+1,FALSE)</f>
        <v>6.3200000000000074</v>
      </c>
    </row>
    <row r="158" spans="7:8" x14ac:dyDescent="0.25">
      <c r="G158" s="15">
        <f t="shared" si="3"/>
        <v>44715</v>
      </c>
      <c r="H158" s="16">
        <f>VLOOKUP($G158,Diarios!$B$4:$J$5000,MATCH(H$4,Diarios!$C$3:$J$3,0)+1,FALSE)</f>
        <v>6.1700000000000017</v>
      </c>
    </row>
    <row r="159" spans="7:8" x14ac:dyDescent="0.25">
      <c r="G159" s="15">
        <f t="shared" si="3"/>
        <v>44716</v>
      </c>
      <c r="H159" s="16">
        <f>VLOOKUP($G159,Diarios!$B$4:$J$5000,MATCH(H$4,Diarios!$C$3:$J$3,0)+1,FALSE)</f>
        <v>6.1700000000000017</v>
      </c>
    </row>
    <row r="160" spans="7:8" x14ac:dyDescent="0.25">
      <c r="G160" s="15">
        <f t="shared" si="3"/>
        <v>44717</v>
      </c>
      <c r="H160" s="16">
        <f>VLOOKUP($G160,Diarios!$B$4:$J$5000,MATCH(H$4,Diarios!$C$3:$J$3,0)+1,FALSE)</f>
        <v>6.1700000000000017</v>
      </c>
    </row>
    <row r="161" spans="7:8" x14ac:dyDescent="0.25">
      <c r="G161" s="15">
        <f t="shared" si="3"/>
        <v>44718</v>
      </c>
      <c r="H161" s="16">
        <f>VLOOKUP($G161,Diarios!$B$4:$J$5000,MATCH(H$4,Diarios!$C$3:$J$3,0)+1,FALSE)</f>
        <v>5.75</v>
      </c>
    </row>
    <row r="162" spans="7:8" x14ac:dyDescent="0.25">
      <c r="G162" s="15">
        <f t="shared" si="3"/>
        <v>44719</v>
      </c>
      <c r="H162" s="16">
        <f>VLOOKUP($G162,Diarios!$B$4:$J$5000,MATCH(H$4,Diarios!$C$3:$J$3,0)+1,FALSE)</f>
        <v>5.8199999999999932</v>
      </c>
    </row>
    <row r="163" spans="7:8" x14ac:dyDescent="0.25">
      <c r="G163" s="15">
        <f t="shared" si="3"/>
        <v>44720</v>
      </c>
      <c r="H163" s="16">
        <f>VLOOKUP($G163,Diarios!$B$4:$J$5000,MATCH(H$4,Diarios!$C$3:$J$3,0)+1,FALSE)</f>
        <v>5.8299999999999983</v>
      </c>
    </row>
    <row r="164" spans="7:8" x14ac:dyDescent="0.25">
      <c r="G164" s="15">
        <f t="shared" si="3"/>
        <v>44721</v>
      </c>
      <c r="H164" s="16">
        <f>VLOOKUP($G164,Diarios!$B$4:$J$5000,MATCH(H$4,Diarios!$C$3:$J$3,0)+1,FALSE)</f>
        <v>5.5300000000000011</v>
      </c>
    </row>
    <row r="165" spans="7:8" x14ac:dyDescent="0.25">
      <c r="G165" s="15">
        <f t="shared" si="3"/>
        <v>44722</v>
      </c>
      <c r="H165" s="16">
        <f>VLOOKUP($G165,Diarios!$B$4:$J$5000,MATCH(H$4,Diarios!$C$3:$J$3,0)+1,FALSE)</f>
        <v>5.4699999999999989</v>
      </c>
    </row>
    <row r="166" spans="7:8" x14ac:dyDescent="0.25">
      <c r="G166" s="15">
        <f t="shared" si="3"/>
        <v>44723</v>
      </c>
      <c r="H166" s="16">
        <f>VLOOKUP($G166,Diarios!$B$4:$J$5000,MATCH(H$4,Diarios!$C$3:$J$3,0)+1,FALSE)</f>
        <v>5.4699999999999989</v>
      </c>
    </row>
    <row r="167" spans="7:8" x14ac:dyDescent="0.25">
      <c r="G167" s="15">
        <f t="shared" si="3"/>
        <v>44724</v>
      </c>
      <c r="H167" s="16">
        <f>VLOOKUP($G167,Diarios!$B$4:$J$5000,MATCH(H$4,Diarios!$C$3:$J$3,0)+1,FALSE)</f>
        <v>5.4699999999999989</v>
      </c>
    </row>
    <row r="168" spans="7:8" x14ac:dyDescent="0.25">
      <c r="G168" s="15">
        <f t="shared" si="3"/>
        <v>44725</v>
      </c>
      <c r="H168" s="16">
        <f>VLOOKUP($G168,Diarios!$B$4:$J$5000,MATCH(H$4,Diarios!$C$3:$J$3,0)+1,FALSE)</f>
        <v>5.8700000000000045</v>
      </c>
    </row>
    <row r="169" spans="7:8" x14ac:dyDescent="0.25">
      <c r="G169" s="15">
        <f t="shared" si="3"/>
        <v>44726</v>
      </c>
      <c r="H169" s="16">
        <f>VLOOKUP($G169,Diarios!$B$4:$J$5000,MATCH(H$4,Diarios!$C$3:$J$3,0)+1,FALSE)</f>
        <v>4.9700000000000131</v>
      </c>
    </row>
    <row r="170" spans="7:8" x14ac:dyDescent="0.25">
      <c r="G170" s="15">
        <f t="shared" si="3"/>
        <v>44727</v>
      </c>
      <c r="H170" s="16">
        <f>VLOOKUP($G170,Diarios!$B$4:$J$5000,MATCH(H$4,Diarios!$C$3:$J$3,0)+1,FALSE)</f>
        <v>4.3900000000000006</v>
      </c>
    </row>
    <row r="171" spans="7:8" x14ac:dyDescent="0.25">
      <c r="G171" s="15">
        <f t="shared" si="3"/>
        <v>44728</v>
      </c>
      <c r="H171" s="16">
        <f>VLOOKUP($G171,Diarios!$B$4:$J$5000,MATCH(H$4,Diarios!$C$3:$J$3,0)+1,FALSE)</f>
        <v>5.1799999999999926</v>
      </c>
    </row>
    <row r="172" spans="7:8" x14ac:dyDescent="0.25">
      <c r="G172" s="15">
        <f t="shared" si="3"/>
        <v>44729</v>
      </c>
      <c r="H172" s="16">
        <f>VLOOKUP($G172,Diarios!$B$4:$J$5000,MATCH(H$4,Diarios!$C$3:$J$3,0)+1,FALSE)</f>
        <v>3.6599999999999966</v>
      </c>
    </row>
    <row r="173" spans="7:8" x14ac:dyDescent="0.25">
      <c r="G173" s="15">
        <f t="shared" si="3"/>
        <v>44730</v>
      </c>
      <c r="H173" s="16">
        <f>VLOOKUP($G173,Diarios!$B$4:$J$5000,MATCH(H$4,Diarios!$C$3:$J$3,0)+1,FALSE)</f>
        <v>3.6599999999999966</v>
      </c>
    </row>
    <row r="174" spans="7:8" x14ac:dyDescent="0.25">
      <c r="G174" s="15">
        <f t="shared" si="3"/>
        <v>44731</v>
      </c>
      <c r="H174" s="16">
        <f>VLOOKUP($G174,Diarios!$B$4:$J$5000,MATCH(H$4,Diarios!$C$3:$J$3,0)+1,FALSE)</f>
        <v>3.6599999999999966</v>
      </c>
    </row>
    <row r="175" spans="7:8" x14ac:dyDescent="0.25">
      <c r="G175" s="15">
        <f t="shared" si="3"/>
        <v>44732</v>
      </c>
      <c r="H175" s="16">
        <f>VLOOKUP($G175,Diarios!$B$4:$J$5000,MATCH(H$4,Diarios!$C$3:$J$3,0)+1,FALSE)</f>
        <v>3.6599999999999966</v>
      </c>
    </row>
    <row r="176" spans="7:8" x14ac:dyDescent="0.25">
      <c r="G176" s="15">
        <f t="shared" si="3"/>
        <v>44733</v>
      </c>
      <c r="H176" s="16">
        <f>VLOOKUP($G176,Diarios!$B$4:$J$5000,MATCH(H$4,Diarios!$C$3:$J$3,0)+1,FALSE)</f>
        <v>3.9300000000000068</v>
      </c>
    </row>
    <row r="177" spans="7:8" x14ac:dyDescent="0.25">
      <c r="G177" s="15">
        <f t="shared" si="3"/>
        <v>44734</v>
      </c>
      <c r="H177" s="16">
        <f>VLOOKUP($G177,Diarios!$B$4:$J$5000,MATCH(H$4,Diarios!$C$3:$J$3,0)+1,FALSE)</f>
        <v>3.8999999999999915</v>
      </c>
    </row>
    <row r="178" spans="7:8" x14ac:dyDescent="0.25">
      <c r="G178" s="15">
        <f t="shared" si="3"/>
        <v>44735</v>
      </c>
      <c r="H178" s="16">
        <f>VLOOKUP($G178,Diarios!$B$4:$J$5000,MATCH(H$4,Diarios!$C$3:$J$3,0)+1,FALSE)</f>
        <v>3.6799999999999926</v>
      </c>
    </row>
    <row r="179" spans="7:8" x14ac:dyDescent="0.25">
      <c r="G179" s="15">
        <f t="shared" si="3"/>
        <v>44736</v>
      </c>
      <c r="H179" s="16">
        <f>VLOOKUP($G179,Diarios!$B$4:$J$5000,MATCH(H$4,Diarios!$C$3:$J$3,0)+1,FALSE)</f>
        <v>4.0600000000000023</v>
      </c>
    </row>
    <row r="180" spans="7:8" x14ac:dyDescent="0.25">
      <c r="G180" s="15">
        <f t="shared" si="3"/>
        <v>44737</v>
      </c>
      <c r="H180" s="16">
        <f>VLOOKUP($G180,Diarios!$B$4:$J$5000,MATCH(H$4,Diarios!$C$3:$J$3,0)+1,FALSE)</f>
        <v>4.0600000000000023</v>
      </c>
    </row>
    <row r="181" spans="7:8" x14ac:dyDescent="0.25">
      <c r="G181" s="15">
        <f t="shared" si="3"/>
        <v>44738</v>
      </c>
      <c r="H181" s="16">
        <f>VLOOKUP($G181,Diarios!$B$4:$J$5000,MATCH(H$4,Diarios!$C$3:$J$3,0)+1,FALSE)</f>
        <v>4.0600000000000023</v>
      </c>
    </row>
    <row r="182" spans="7:8" x14ac:dyDescent="0.25">
      <c r="G182" s="15">
        <f t="shared" si="3"/>
        <v>44739</v>
      </c>
      <c r="H182" s="16">
        <f>VLOOKUP($G182,Diarios!$B$4:$J$5000,MATCH(H$4,Diarios!$C$3:$J$3,0)+1,FALSE)</f>
        <v>3.3199999999999932</v>
      </c>
    </row>
    <row r="183" spans="7:8" x14ac:dyDescent="0.25">
      <c r="G183" s="15">
        <f t="shared" si="3"/>
        <v>44740</v>
      </c>
      <c r="H183" s="16">
        <f>VLOOKUP($G183,Diarios!$B$4:$J$5000,MATCH(H$4,Diarios!$C$3:$J$3,0)+1,FALSE)</f>
        <v>2.9900000000000091</v>
      </c>
    </row>
    <row r="184" spans="7:8" x14ac:dyDescent="0.25">
      <c r="G184" s="15">
        <f t="shared" si="3"/>
        <v>44741</v>
      </c>
      <c r="H184" s="16">
        <f>VLOOKUP($G184,Diarios!$B$4:$J$5000,MATCH(H$4,Diarios!$C$3:$J$3,0)+1,FALSE)</f>
        <v>2.4300000000000068</v>
      </c>
    </row>
    <row r="185" spans="7:8" x14ac:dyDescent="0.25">
      <c r="G185" s="15">
        <f t="shared" si="3"/>
        <v>44742</v>
      </c>
      <c r="H185" s="16">
        <f>VLOOKUP($G185,Diarios!$B$4:$J$5000,MATCH(H$4,Diarios!$C$3:$J$3,0)+1,FALSE)</f>
        <v>0.96999999999999886</v>
      </c>
    </row>
    <row r="186" spans="7:8" x14ac:dyDescent="0.25">
      <c r="G186" s="15">
        <f t="shared" si="3"/>
        <v>44743</v>
      </c>
      <c r="H186" s="16">
        <f>VLOOKUP($G186,Diarios!$B$4:$J$5000,MATCH(H$4,Diarios!$C$3:$J$3,0)+1,FALSE)</f>
        <v>5.4100000000000108</v>
      </c>
    </row>
    <row r="187" spans="7:8" x14ac:dyDescent="0.25">
      <c r="G187" s="15">
        <f t="shared" si="3"/>
        <v>44744</v>
      </c>
      <c r="H187" s="16">
        <f>VLOOKUP($G187,Diarios!$B$4:$J$5000,MATCH(H$4,Diarios!$C$3:$J$3,0)+1,FALSE)</f>
        <v>5.4100000000000108</v>
      </c>
    </row>
    <row r="188" spans="7:8" x14ac:dyDescent="0.25">
      <c r="G188" s="15">
        <f t="shared" si="3"/>
        <v>44745</v>
      </c>
      <c r="H188" s="16">
        <f>VLOOKUP($G188,Diarios!$B$4:$J$5000,MATCH(H$4,Diarios!$C$3:$J$3,0)+1,FALSE)</f>
        <v>5.4100000000000108</v>
      </c>
    </row>
    <row r="189" spans="7:8" x14ac:dyDescent="0.25">
      <c r="G189" s="15">
        <f t="shared" si="3"/>
        <v>44746</v>
      </c>
      <c r="H189" s="16">
        <f>VLOOKUP($G189,Diarios!$B$4:$J$5000,MATCH(H$4,Diarios!$C$3:$J$3,0)+1,FALSE)</f>
        <v>5.4100000000000108</v>
      </c>
    </row>
    <row r="190" spans="7:8" x14ac:dyDescent="0.25">
      <c r="G190" s="15">
        <f t="shared" si="3"/>
        <v>44747</v>
      </c>
      <c r="H190" s="16">
        <f>VLOOKUP($G190,Diarios!$B$4:$J$5000,MATCH(H$4,Diarios!$C$3:$J$3,0)+1,FALSE)</f>
        <v>4.3700000000000045</v>
      </c>
    </row>
    <row r="191" spans="7:8" x14ac:dyDescent="0.25">
      <c r="G191" s="15">
        <f t="shared" si="3"/>
        <v>44748</v>
      </c>
      <c r="H191" s="16">
        <f>VLOOKUP($G191,Diarios!$B$4:$J$5000,MATCH(H$4,Diarios!$C$3:$J$3,0)+1,FALSE)</f>
        <v>5.4500000000000028</v>
      </c>
    </row>
    <row r="192" spans="7:8" x14ac:dyDescent="0.25">
      <c r="G192" s="15">
        <f t="shared" si="3"/>
        <v>44749</v>
      </c>
      <c r="H192" s="16">
        <f>VLOOKUP($G192,Diarios!$B$4:$J$5000,MATCH(H$4,Diarios!$C$3:$J$3,0)+1,FALSE)</f>
        <v>6.2000000000000028</v>
      </c>
    </row>
    <row r="193" spans="7:8" x14ac:dyDescent="0.25">
      <c r="G193" s="15">
        <f t="shared" si="3"/>
        <v>44750</v>
      </c>
      <c r="H193" s="16">
        <f>VLOOKUP($G193,Diarios!$B$4:$J$5000,MATCH(H$4,Diarios!$C$3:$J$3,0)+1,FALSE)</f>
        <v>5.8000000000000114</v>
      </c>
    </row>
    <row r="194" spans="7:8" x14ac:dyDescent="0.25">
      <c r="G194" s="15">
        <f t="shared" si="3"/>
        <v>44751</v>
      </c>
      <c r="H194" s="16">
        <f>VLOOKUP($G194,Diarios!$B$4:$J$5000,MATCH(H$4,Diarios!$C$3:$J$3,0)+1,FALSE)</f>
        <v>5.8000000000000114</v>
      </c>
    </row>
    <row r="195" spans="7:8" x14ac:dyDescent="0.25">
      <c r="G195" s="15">
        <f t="shared" si="3"/>
        <v>44752</v>
      </c>
      <c r="H195" s="16">
        <f>VLOOKUP($G195,Diarios!$B$4:$J$5000,MATCH(H$4,Diarios!$C$3:$J$3,0)+1,FALSE)</f>
        <v>5.8000000000000114</v>
      </c>
    </row>
    <row r="196" spans="7:8" x14ac:dyDescent="0.25">
      <c r="G196" s="15">
        <f t="shared" si="3"/>
        <v>44753</v>
      </c>
      <c r="H196" s="16">
        <f>VLOOKUP($G196,Diarios!$B$4:$J$5000,MATCH(H$4,Diarios!$C$3:$J$3,0)+1,FALSE)</f>
        <v>5.1000000000000085</v>
      </c>
    </row>
    <row r="197" spans="7:8" x14ac:dyDescent="0.25">
      <c r="G197" s="15">
        <f t="shared" si="3"/>
        <v>44754</v>
      </c>
      <c r="H197" s="16">
        <f>VLOOKUP($G197,Diarios!$B$4:$J$5000,MATCH(H$4,Diarios!$C$3:$J$3,0)+1,FALSE)</f>
        <v>4.5400000000000063</v>
      </c>
    </row>
    <row r="198" spans="7:8" x14ac:dyDescent="0.25">
      <c r="G198" s="15">
        <f t="shared" si="3"/>
        <v>44755</v>
      </c>
      <c r="H198" s="16">
        <f>VLOOKUP($G198,Diarios!$B$4:$J$5000,MATCH(H$4,Diarios!$C$3:$J$3,0)+1,FALSE)</f>
        <v>4.9299999999999926</v>
      </c>
    </row>
    <row r="199" spans="7:8" x14ac:dyDescent="0.25">
      <c r="G199" s="15">
        <f t="shared" ref="G199:G262" si="4">G198+1</f>
        <v>44756</v>
      </c>
      <c r="H199" s="16">
        <f>VLOOKUP($G199,Diarios!$B$4:$J$5000,MATCH(H$4,Diarios!$C$3:$J$3,0)+1,FALSE)</f>
        <v>4.9099999999999966</v>
      </c>
    </row>
    <row r="200" spans="7:8" x14ac:dyDescent="0.25">
      <c r="G200" s="15">
        <f t="shared" si="4"/>
        <v>44757</v>
      </c>
      <c r="H200" s="16">
        <f>VLOOKUP($G200,Diarios!$B$4:$J$5000,MATCH(H$4,Diarios!$C$3:$J$3,0)+1,FALSE)</f>
        <v>5.9099999999999966</v>
      </c>
    </row>
    <row r="201" spans="7:8" x14ac:dyDescent="0.25">
      <c r="G201" s="15">
        <f t="shared" si="4"/>
        <v>44758</v>
      </c>
      <c r="H201" s="16">
        <f>VLOOKUP($G201,Diarios!$B$4:$J$5000,MATCH(H$4,Diarios!$C$3:$J$3,0)+1,FALSE)</f>
        <v>5.9099999999999966</v>
      </c>
    </row>
    <row r="202" spans="7:8" x14ac:dyDescent="0.25">
      <c r="G202" s="15">
        <f t="shared" si="4"/>
        <v>44759</v>
      </c>
      <c r="H202" s="16">
        <f>VLOOKUP($G202,Diarios!$B$4:$J$5000,MATCH(H$4,Diarios!$C$3:$J$3,0)+1,FALSE)</f>
        <v>5.9099999999999966</v>
      </c>
    </row>
    <row r="203" spans="7:8" x14ac:dyDescent="0.25">
      <c r="G203" s="15">
        <f t="shared" si="4"/>
        <v>44760</v>
      </c>
      <c r="H203" s="16">
        <f>VLOOKUP($G203,Diarios!$B$4:$J$5000,MATCH(H$4,Diarios!$C$3:$J$3,0)+1,FALSE)</f>
        <v>4.9699999999999989</v>
      </c>
    </row>
    <row r="204" spans="7:8" x14ac:dyDescent="0.25">
      <c r="G204" s="15">
        <f t="shared" si="4"/>
        <v>44761</v>
      </c>
      <c r="H204" s="16">
        <f>VLOOKUP($G204,Diarios!$B$4:$J$5000,MATCH(H$4,Diarios!$C$3:$J$3,0)+1,FALSE)</f>
        <v>4.8599999999999994</v>
      </c>
    </row>
    <row r="205" spans="7:8" x14ac:dyDescent="0.25">
      <c r="G205" s="15">
        <f t="shared" si="4"/>
        <v>44762</v>
      </c>
      <c r="H205" s="16">
        <f>VLOOKUP($G205,Diarios!$B$4:$J$5000,MATCH(H$4,Diarios!$C$3:$J$3,0)+1,FALSE)</f>
        <v>4.1099999999999994</v>
      </c>
    </row>
    <row r="206" spans="7:8" x14ac:dyDescent="0.25">
      <c r="G206" s="15">
        <f t="shared" si="4"/>
        <v>44763</v>
      </c>
      <c r="H206" s="16">
        <f>VLOOKUP($G206,Diarios!$B$4:$J$5000,MATCH(H$4,Diarios!$C$3:$J$3,0)+1,FALSE)</f>
        <v>4.1699999999999875</v>
      </c>
    </row>
    <row r="207" spans="7:8" x14ac:dyDescent="0.25">
      <c r="G207" s="15">
        <f t="shared" si="4"/>
        <v>44764</v>
      </c>
      <c r="H207" s="16">
        <f>VLOOKUP($G207,Diarios!$B$4:$J$5000,MATCH(H$4,Diarios!$C$3:$J$3,0)+1,FALSE)</f>
        <v>2.4599999999999937</v>
      </c>
    </row>
    <row r="208" spans="7:8" x14ac:dyDescent="0.25">
      <c r="G208" s="15">
        <f t="shared" si="4"/>
        <v>44765</v>
      </c>
      <c r="H208" s="16">
        <f>VLOOKUP($G208,Diarios!$B$4:$J$5000,MATCH(H$4,Diarios!$C$3:$J$3,0)+1,FALSE)</f>
        <v>2.4599999999999937</v>
      </c>
    </row>
    <row r="209" spans="7:8" x14ac:dyDescent="0.25">
      <c r="G209" s="15">
        <f t="shared" si="4"/>
        <v>44766</v>
      </c>
      <c r="H209" s="16">
        <f>VLOOKUP($G209,Diarios!$B$4:$J$5000,MATCH(H$4,Diarios!$C$3:$J$3,0)+1,FALSE)</f>
        <v>2.4599999999999937</v>
      </c>
    </row>
    <row r="210" spans="7:8" x14ac:dyDescent="0.25">
      <c r="G210" s="15">
        <f t="shared" si="4"/>
        <v>44767</v>
      </c>
      <c r="H210" s="16">
        <f>VLOOKUP($G210,Diarios!$B$4:$J$5000,MATCH(H$4,Diarios!$C$3:$J$3,0)+1,FALSE)</f>
        <v>1.9099999999999966</v>
      </c>
    </row>
    <row r="211" spans="7:8" x14ac:dyDescent="0.25">
      <c r="G211" s="15">
        <f t="shared" si="4"/>
        <v>44768</v>
      </c>
      <c r="H211" s="16">
        <f>VLOOKUP($G211,Diarios!$B$4:$J$5000,MATCH(H$4,Diarios!$C$3:$J$3,0)+1,FALSE)</f>
        <v>1.3700000000000045</v>
      </c>
    </row>
    <row r="212" spans="7:8" x14ac:dyDescent="0.25">
      <c r="G212" s="15">
        <f t="shared" si="4"/>
        <v>44769</v>
      </c>
      <c r="H212" s="16">
        <f>VLOOKUP($G212,Diarios!$B$4:$J$5000,MATCH(H$4,Diarios!$C$3:$J$3,0)+1,FALSE)</f>
        <v>1.710000000000008</v>
      </c>
    </row>
    <row r="213" spans="7:8" x14ac:dyDescent="0.25">
      <c r="G213" s="15">
        <f t="shared" si="4"/>
        <v>44770</v>
      </c>
      <c r="H213" s="16">
        <f>VLOOKUP($G213,Diarios!$B$4:$J$5000,MATCH(H$4,Diarios!$C$3:$J$3,0)+1,FALSE)</f>
        <v>0.67000000000000171</v>
      </c>
    </row>
    <row r="214" spans="7:8" x14ac:dyDescent="0.25">
      <c r="G214" s="15">
        <f t="shared" si="4"/>
        <v>44771</v>
      </c>
      <c r="H214" s="16">
        <f>VLOOKUP($G214,Diarios!$B$4:$J$5000,MATCH(H$4,Diarios!$C$3:$J$3,0)+1,FALSE)</f>
        <v>0.29000000000000625</v>
      </c>
    </row>
    <row r="215" spans="7:8" x14ac:dyDescent="0.25">
      <c r="G215" s="15">
        <f t="shared" si="4"/>
        <v>44772</v>
      </c>
      <c r="H215" s="16">
        <f>VLOOKUP($G215,Diarios!$B$4:$J$5000,MATCH(H$4,Diarios!$C$3:$J$3,0)+1,FALSE)</f>
        <v>0.29000000000000625</v>
      </c>
    </row>
    <row r="216" spans="7:8" x14ac:dyDescent="0.25">
      <c r="G216" s="15">
        <f t="shared" si="4"/>
        <v>44773</v>
      </c>
      <c r="H216" s="16">
        <f>VLOOKUP($G216,Diarios!$B$4:$J$5000,MATCH(H$4,Diarios!$C$3:$J$3,0)+1,FALSE)</f>
        <v>0.29000000000000625</v>
      </c>
    </row>
    <row r="217" spans="7:8" x14ac:dyDescent="0.25">
      <c r="G217" s="15">
        <f t="shared" si="4"/>
        <v>44774</v>
      </c>
      <c r="H217" s="16">
        <f>VLOOKUP($G217,Diarios!$B$4:$J$5000,MATCH(H$4,Diarios!$C$3:$J$3,0)+1,FALSE)</f>
        <v>3.9300000000000068</v>
      </c>
    </row>
    <row r="218" spans="7:8" x14ac:dyDescent="0.25">
      <c r="G218" s="15">
        <f t="shared" si="4"/>
        <v>44775</v>
      </c>
      <c r="H218" s="16">
        <f>VLOOKUP($G218,Diarios!$B$4:$J$5000,MATCH(H$4,Diarios!$C$3:$J$3,0)+1,FALSE)</f>
        <v>4.4500000000000028</v>
      </c>
    </row>
    <row r="219" spans="7:8" x14ac:dyDescent="0.25">
      <c r="G219" s="15">
        <f t="shared" si="4"/>
        <v>44776</v>
      </c>
      <c r="H219" s="16">
        <f>VLOOKUP($G219,Diarios!$B$4:$J$5000,MATCH(H$4,Diarios!$C$3:$J$3,0)+1,FALSE)</f>
        <v>3.9899999999999949</v>
      </c>
    </row>
    <row r="220" spans="7:8" x14ac:dyDescent="0.25">
      <c r="G220" s="15">
        <f t="shared" si="4"/>
        <v>44777</v>
      </c>
      <c r="H220" s="16">
        <f>VLOOKUP($G220,Diarios!$B$4:$J$5000,MATCH(H$4,Diarios!$C$3:$J$3,0)+1,FALSE)</f>
        <v>4.3400000000000034</v>
      </c>
    </row>
    <row r="221" spans="7:8" x14ac:dyDescent="0.25">
      <c r="G221" s="15">
        <f t="shared" si="4"/>
        <v>44778</v>
      </c>
      <c r="H221" s="16">
        <f>VLOOKUP($G221,Diarios!$B$4:$J$5000,MATCH(H$4,Diarios!$C$3:$J$3,0)+1,FALSE)</f>
        <v>4.4699999999999989</v>
      </c>
    </row>
    <row r="222" spans="7:8" x14ac:dyDescent="0.25">
      <c r="G222" s="15">
        <f t="shared" si="4"/>
        <v>44779</v>
      </c>
      <c r="H222" s="16">
        <f>VLOOKUP($G222,Diarios!$B$4:$J$5000,MATCH(H$4,Diarios!$C$3:$J$3,0)+1,FALSE)</f>
        <v>4.4699999999999989</v>
      </c>
    </row>
    <row r="223" spans="7:8" x14ac:dyDescent="0.25">
      <c r="G223" s="15">
        <f t="shared" si="4"/>
        <v>44780</v>
      </c>
      <c r="H223" s="16">
        <f>VLOOKUP($G223,Diarios!$B$4:$J$5000,MATCH(H$4,Diarios!$C$3:$J$3,0)+1,FALSE)</f>
        <v>4.4699999999999989</v>
      </c>
    </row>
    <row r="224" spans="7:8" x14ac:dyDescent="0.25">
      <c r="G224" s="15">
        <f t="shared" si="4"/>
        <v>44781</v>
      </c>
      <c r="H224" s="16">
        <f>VLOOKUP($G224,Diarios!$B$4:$J$5000,MATCH(H$4,Diarios!$C$3:$J$3,0)+1,FALSE)</f>
        <v>4.6500000000000057</v>
      </c>
    </row>
    <row r="225" spans="7:8" x14ac:dyDescent="0.25">
      <c r="G225" s="15">
        <f t="shared" si="4"/>
        <v>44782</v>
      </c>
      <c r="H225" s="16">
        <f>VLOOKUP($G225,Diarios!$B$4:$J$5000,MATCH(H$4,Diarios!$C$3:$J$3,0)+1,FALSE)</f>
        <v>4.3900000000000006</v>
      </c>
    </row>
    <row r="226" spans="7:8" x14ac:dyDescent="0.25">
      <c r="G226" s="15">
        <f t="shared" si="4"/>
        <v>44783</v>
      </c>
      <c r="H226" s="16">
        <f>VLOOKUP($G226,Diarios!$B$4:$J$5000,MATCH(H$4,Diarios!$C$3:$J$3,0)+1,FALSE)</f>
        <v>4.9700000000000131</v>
      </c>
    </row>
    <row r="227" spans="7:8" x14ac:dyDescent="0.25">
      <c r="G227" s="15">
        <f t="shared" si="4"/>
        <v>44784</v>
      </c>
      <c r="H227" s="16">
        <f>VLOOKUP($G227,Diarios!$B$4:$J$5000,MATCH(H$4,Diarios!$C$3:$J$3,0)+1,FALSE)</f>
        <v>5.2000000000000028</v>
      </c>
    </row>
    <row r="228" spans="7:8" x14ac:dyDescent="0.25">
      <c r="G228" s="15">
        <f t="shared" si="4"/>
        <v>44785</v>
      </c>
      <c r="H228" s="16">
        <f>VLOOKUP($G228,Diarios!$B$4:$J$5000,MATCH(H$4,Diarios!$C$3:$J$3,0)+1,FALSE)</f>
        <v>4.3500000000000085</v>
      </c>
    </row>
    <row r="229" spans="7:8" x14ac:dyDescent="0.25">
      <c r="G229" s="15">
        <f t="shared" si="4"/>
        <v>44786</v>
      </c>
      <c r="H229" s="16">
        <f>VLOOKUP($G229,Diarios!$B$4:$J$5000,MATCH(H$4,Diarios!$C$3:$J$3,0)+1,FALSE)</f>
        <v>4.3500000000000085</v>
      </c>
    </row>
    <row r="230" spans="7:8" x14ac:dyDescent="0.25">
      <c r="G230" s="15">
        <f t="shared" si="4"/>
        <v>44787</v>
      </c>
      <c r="H230" s="16">
        <f>VLOOKUP($G230,Diarios!$B$4:$J$5000,MATCH(H$4,Diarios!$C$3:$J$3,0)+1,FALSE)</f>
        <v>4.3500000000000085</v>
      </c>
    </row>
    <row r="231" spans="7:8" x14ac:dyDescent="0.25">
      <c r="G231" s="15">
        <f t="shared" si="4"/>
        <v>44788</v>
      </c>
      <c r="H231" s="16">
        <f>VLOOKUP($G231,Diarios!$B$4:$J$5000,MATCH(H$4,Diarios!$C$3:$J$3,0)+1,FALSE)</f>
        <v>4.6199999999999903</v>
      </c>
    </row>
    <row r="232" spans="7:8" x14ac:dyDescent="0.25">
      <c r="G232" s="15">
        <f t="shared" si="4"/>
        <v>44789</v>
      </c>
      <c r="H232" s="16">
        <f>VLOOKUP($G232,Diarios!$B$4:$J$5000,MATCH(H$4,Diarios!$C$3:$J$3,0)+1,FALSE)</f>
        <v>4.5799999999999983</v>
      </c>
    </row>
    <row r="233" spans="7:8" x14ac:dyDescent="0.25">
      <c r="G233" s="15">
        <f t="shared" si="4"/>
        <v>44790</v>
      </c>
      <c r="H233" s="16">
        <f>VLOOKUP($G233,Diarios!$B$4:$J$5000,MATCH(H$4,Diarios!$C$3:$J$3,0)+1,FALSE)</f>
        <v>5.0600000000000023</v>
      </c>
    </row>
    <row r="234" spans="7:8" x14ac:dyDescent="0.25">
      <c r="G234" s="15">
        <f t="shared" si="4"/>
        <v>44791</v>
      </c>
      <c r="H234" s="16">
        <f>VLOOKUP($G234,Diarios!$B$4:$J$5000,MATCH(H$4,Diarios!$C$3:$J$3,0)+1,FALSE)</f>
        <v>4.7900000000000063</v>
      </c>
    </row>
    <row r="235" spans="7:8" x14ac:dyDescent="0.25">
      <c r="G235" s="15">
        <f t="shared" si="4"/>
        <v>44792</v>
      </c>
      <c r="H235" s="16">
        <f>VLOOKUP($G235,Diarios!$B$4:$J$5000,MATCH(H$4,Diarios!$C$3:$J$3,0)+1,FALSE)</f>
        <v>4.6799999999999926</v>
      </c>
    </row>
    <row r="236" spans="7:8" x14ac:dyDescent="0.25">
      <c r="G236" s="15">
        <f t="shared" si="4"/>
        <v>44793</v>
      </c>
      <c r="H236" s="16">
        <f>VLOOKUP($G236,Diarios!$B$4:$J$5000,MATCH(H$4,Diarios!$C$3:$J$3,0)+1,FALSE)</f>
        <v>4.6799999999999926</v>
      </c>
    </row>
    <row r="237" spans="7:8" x14ac:dyDescent="0.25">
      <c r="G237" s="15">
        <f t="shared" si="4"/>
        <v>44794</v>
      </c>
      <c r="H237" s="16">
        <f>VLOOKUP($G237,Diarios!$B$4:$J$5000,MATCH(H$4,Diarios!$C$3:$J$3,0)+1,FALSE)</f>
        <v>4.6799999999999926</v>
      </c>
    </row>
    <row r="238" spans="7:8" x14ac:dyDescent="0.25">
      <c r="G238" s="15">
        <f t="shared" si="4"/>
        <v>44795</v>
      </c>
      <c r="H238" s="16">
        <f>VLOOKUP($G238,Diarios!$B$4:$J$5000,MATCH(H$4,Diarios!$C$3:$J$3,0)+1,FALSE)</f>
        <v>4.3400000000000034</v>
      </c>
    </row>
    <row r="239" spans="7:8" x14ac:dyDescent="0.25">
      <c r="G239" s="15">
        <f t="shared" si="4"/>
        <v>44796</v>
      </c>
      <c r="H239" s="16">
        <f>VLOOKUP($G239,Diarios!$B$4:$J$5000,MATCH(H$4,Diarios!$C$3:$J$3,0)+1,FALSE)</f>
        <v>4.4300000000000068</v>
      </c>
    </row>
    <row r="240" spans="7:8" x14ac:dyDescent="0.25">
      <c r="G240" s="15">
        <f t="shared" si="4"/>
        <v>44797</v>
      </c>
      <c r="H240" s="16">
        <f>VLOOKUP($G240,Diarios!$B$4:$J$5000,MATCH(H$4,Diarios!$C$3:$J$3,0)+1,FALSE)</f>
        <v>4.5799999999999983</v>
      </c>
    </row>
    <row r="241" spans="7:8" x14ac:dyDescent="0.25">
      <c r="G241" s="15">
        <f t="shared" si="4"/>
        <v>44798</v>
      </c>
      <c r="H241" s="16">
        <f>VLOOKUP($G241,Diarios!$B$4:$J$5000,MATCH(H$4,Diarios!$C$3:$J$3,0)+1,FALSE)</f>
        <v>3.519999999999996</v>
      </c>
    </row>
    <row r="242" spans="7:8" x14ac:dyDescent="0.25">
      <c r="G242" s="15">
        <f t="shared" si="4"/>
        <v>44799</v>
      </c>
      <c r="H242" s="16">
        <f>VLOOKUP($G242,Diarios!$B$4:$J$5000,MATCH(H$4,Diarios!$C$3:$J$3,0)+1,FALSE)</f>
        <v>3.3299999999999983</v>
      </c>
    </row>
    <row r="243" spans="7:8" x14ac:dyDescent="0.25">
      <c r="G243" s="15">
        <f t="shared" si="4"/>
        <v>44800</v>
      </c>
      <c r="H243" s="16">
        <f>VLOOKUP($G243,Diarios!$B$4:$J$5000,MATCH(H$4,Diarios!$C$3:$J$3,0)+1,FALSE)</f>
        <v>3.3299999999999983</v>
      </c>
    </row>
    <row r="244" spans="7:8" x14ac:dyDescent="0.25">
      <c r="G244" s="15">
        <f t="shared" si="4"/>
        <v>44801</v>
      </c>
      <c r="H244" s="16">
        <f>VLOOKUP($G244,Diarios!$B$4:$J$5000,MATCH(H$4,Diarios!$C$3:$J$3,0)+1,FALSE)</f>
        <v>3.3299999999999983</v>
      </c>
    </row>
    <row r="245" spans="7:8" x14ac:dyDescent="0.25">
      <c r="G245" s="15">
        <f t="shared" si="4"/>
        <v>44802</v>
      </c>
      <c r="H245" s="16">
        <f>VLOOKUP($G245,Diarios!$B$4:$J$5000,MATCH(H$4,Diarios!$C$3:$J$3,0)+1,FALSE)</f>
        <v>3.6300000000000097</v>
      </c>
    </row>
    <row r="246" spans="7:8" x14ac:dyDescent="0.25">
      <c r="G246" s="15">
        <f t="shared" si="4"/>
        <v>44803</v>
      </c>
      <c r="H246" s="16">
        <f>VLOOKUP($G246,Diarios!$B$4:$J$5000,MATCH(H$4,Diarios!$C$3:$J$3,0)+1,FALSE)</f>
        <v>2.9899999999999949</v>
      </c>
    </row>
    <row r="247" spans="7:8" x14ac:dyDescent="0.25">
      <c r="G247" s="15">
        <f t="shared" si="4"/>
        <v>44804</v>
      </c>
      <c r="H247" s="16">
        <f>VLOOKUP($G247,Diarios!$B$4:$J$5000,MATCH(H$4,Diarios!$C$3:$J$3,0)+1,FALSE)</f>
        <v>3.5900000000000034</v>
      </c>
    </row>
    <row r="248" spans="7:8" x14ac:dyDescent="0.25">
      <c r="G248" s="15">
        <f t="shared" si="4"/>
        <v>44805</v>
      </c>
      <c r="H248" s="16">
        <f>VLOOKUP($G248,Diarios!$B$4:$J$5000,MATCH(H$4,Diarios!$C$3:$J$3,0)+1,FALSE)</f>
        <v>4.0499999999999972</v>
      </c>
    </row>
    <row r="249" spans="7:8" x14ac:dyDescent="0.25">
      <c r="G249" s="15">
        <f t="shared" si="4"/>
        <v>44806</v>
      </c>
      <c r="H249" s="16">
        <f>VLOOKUP($G249,Diarios!$B$4:$J$5000,MATCH(H$4,Diarios!$C$3:$J$3,0)+1,FALSE)</f>
        <v>3.7800000000000011</v>
      </c>
    </row>
    <row r="250" spans="7:8" x14ac:dyDescent="0.25">
      <c r="G250" s="15">
        <f t="shared" si="4"/>
        <v>44807</v>
      </c>
      <c r="H250" s="16">
        <f>VLOOKUP($G250,Diarios!$B$4:$J$5000,MATCH(H$4,Diarios!$C$3:$J$3,0)+1,FALSE)</f>
        <v>3.7800000000000011</v>
      </c>
    </row>
    <row r="251" spans="7:8" x14ac:dyDescent="0.25">
      <c r="G251" s="15">
        <f t="shared" si="4"/>
        <v>44808</v>
      </c>
      <c r="H251" s="16">
        <f>VLOOKUP($G251,Diarios!$B$4:$J$5000,MATCH(H$4,Diarios!$C$3:$J$3,0)+1,FALSE)</f>
        <v>3.7800000000000011</v>
      </c>
    </row>
    <row r="252" spans="7:8" x14ac:dyDescent="0.25">
      <c r="G252" s="15">
        <f t="shared" si="4"/>
        <v>44809</v>
      </c>
      <c r="H252" s="16">
        <f>VLOOKUP($G252,Diarios!$B$4:$J$5000,MATCH(H$4,Diarios!$C$3:$J$3,0)+1,FALSE)</f>
        <v>3.7800000000000011</v>
      </c>
    </row>
    <row r="253" spans="7:8" x14ac:dyDescent="0.25">
      <c r="G253" s="15">
        <f t="shared" si="4"/>
        <v>44810</v>
      </c>
      <c r="H253" s="16">
        <f>VLOOKUP($G253,Diarios!$B$4:$J$5000,MATCH(H$4,Diarios!$C$3:$J$3,0)+1,FALSE)</f>
        <v>3.75</v>
      </c>
    </row>
    <row r="254" spans="7:8" x14ac:dyDescent="0.25">
      <c r="G254" s="15">
        <f t="shared" si="4"/>
        <v>44811</v>
      </c>
      <c r="H254" s="16">
        <f>VLOOKUP($G254,Diarios!$B$4:$J$5000,MATCH(H$4,Diarios!$C$3:$J$3,0)+1,FALSE)</f>
        <v>3.4599999999999937</v>
      </c>
    </row>
    <row r="255" spans="7:8" x14ac:dyDescent="0.25">
      <c r="G255" s="15">
        <f t="shared" si="4"/>
        <v>44812</v>
      </c>
      <c r="H255" s="16">
        <f>VLOOKUP($G255,Diarios!$B$4:$J$5000,MATCH(H$4,Diarios!$C$3:$J$3,0)+1,FALSE)</f>
        <v>4.3599999999999994</v>
      </c>
    </row>
    <row r="256" spans="7:8" x14ac:dyDescent="0.25">
      <c r="G256" s="15">
        <f t="shared" si="4"/>
        <v>44813</v>
      </c>
      <c r="H256" s="16">
        <f>VLOOKUP($G256,Diarios!$B$4:$J$5000,MATCH(H$4,Diarios!$C$3:$J$3,0)+1,FALSE)</f>
        <v>4.2900000000000063</v>
      </c>
    </row>
    <row r="257" spans="7:8" x14ac:dyDescent="0.25">
      <c r="G257" s="15">
        <f t="shared" si="4"/>
        <v>44814</v>
      </c>
      <c r="H257" s="16">
        <f>VLOOKUP($G257,Diarios!$B$4:$J$5000,MATCH(H$4,Diarios!$C$3:$J$3,0)+1,FALSE)</f>
        <v>4.2900000000000063</v>
      </c>
    </row>
    <row r="258" spans="7:8" x14ac:dyDescent="0.25">
      <c r="G258" s="15">
        <f t="shared" si="4"/>
        <v>44815</v>
      </c>
      <c r="H258" s="16">
        <f>VLOOKUP($G258,Diarios!$B$4:$J$5000,MATCH(H$4,Diarios!$C$3:$J$3,0)+1,FALSE)</f>
        <v>4.2900000000000063</v>
      </c>
    </row>
    <row r="259" spans="7:8" x14ac:dyDescent="0.25">
      <c r="G259" s="15">
        <f t="shared" si="4"/>
        <v>44816</v>
      </c>
      <c r="H259" s="16">
        <f>VLOOKUP($G259,Diarios!$B$4:$J$5000,MATCH(H$4,Diarios!$C$3:$J$3,0)+1,FALSE)</f>
        <v>3.0800000000000125</v>
      </c>
    </row>
    <row r="260" spans="7:8" x14ac:dyDescent="0.25">
      <c r="G260" s="15">
        <f t="shared" si="4"/>
        <v>44817</v>
      </c>
      <c r="H260" s="16">
        <f>VLOOKUP($G260,Diarios!$B$4:$J$5000,MATCH(H$4,Diarios!$C$3:$J$3,0)+1,FALSE)</f>
        <v>3.8500000000000085</v>
      </c>
    </row>
    <row r="261" spans="7:8" x14ac:dyDescent="0.25">
      <c r="G261" s="15">
        <f t="shared" si="4"/>
        <v>44818</v>
      </c>
      <c r="H261" s="16">
        <f>VLOOKUP($G261,Diarios!$B$4:$J$5000,MATCH(H$4,Diarios!$C$3:$J$3,0)+1,FALSE)</f>
        <v>4.3500000000000085</v>
      </c>
    </row>
    <row r="262" spans="7:8" x14ac:dyDescent="0.25">
      <c r="G262" s="15">
        <f t="shared" si="4"/>
        <v>44819</v>
      </c>
      <c r="H262" s="16">
        <f>VLOOKUP($G262,Diarios!$B$4:$J$5000,MATCH(H$4,Diarios!$C$3:$J$3,0)+1,FALSE)</f>
        <v>3.7099999999999937</v>
      </c>
    </row>
    <row r="263" spans="7:8" x14ac:dyDescent="0.25">
      <c r="G263" s="15">
        <f t="shared" ref="G263:G326" si="5">G262+1</f>
        <v>44820</v>
      </c>
      <c r="H263" s="16">
        <f>VLOOKUP($G263,Diarios!$B$4:$J$5000,MATCH(H$4,Diarios!$C$3:$J$3,0)+1,FALSE)</f>
        <v>3.7199999999999989</v>
      </c>
    </row>
    <row r="264" spans="7:8" x14ac:dyDescent="0.25">
      <c r="G264" s="15">
        <f t="shared" si="5"/>
        <v>44821</v>
      </c>
      <c r="H264" s="16">
        <f>VLOOKUP($G264,Diarios!$B$4:$J$5000,MATCH(H$4,Diarios!$C$3:$J$3,0)+1,FALSE)</f>
        <v>3.7199999999999989</v>
      </c>
    </row>
    <row r="265" spans="7:8" x14ac:dyDescent="0.25">
      <c r="G265" s="15">
        <f t="shared" si="5"/>
        <v>44822</v>
      </c>
      <c r="H265" s="16">
        <f>VLOOKUP($G265,Diarios!$B$4:$J$5000,MATCH(H$4,Diarios!$C$3:$J$3,0)+1,FALSE)</f>
        <v>3.7199999999999989</v>
      </c>
    </row>
    <row r="266" spans="7:8" x14ac:dyDescent="0.25">
      <c r="G266" s="15">
        <f t="shared" si="5"/>
        <v>44823</v>
      </c>
      <c r="H266" s="16">
        <f>VLOOKUP($G266,Diarios!$B$4:$J$5000,MATCH(H$4,Diarios!$C$3:$J$3,0)+1,FALSE)</f>
        <v>3.6899999999999977</v>
      </c>
    </row>
    <row r="267" spans="7:8" x14ac:dyDescent="0.25">
      <c r="G267" s="15">
        <f t="shared" si="5"/>
        <v>44824</v>
      </c>
      <c r="H267" s="16">
        <f>VLOOKUP($G267,Diarios!$B$4:$J$5000,MATCH(H$4,Diarios!$C$3:$J$3,0)+1,FALSE)</f>
        <v>3.4000000000000057</v>
      </c>
    </row>
    <row r="268" spans="7:8" x14ac:dyDescent="0.25">
      <c r="G268" s="15">
        <f t="shared" si="5"/>
        <v>44825</v>
      </c>
      <c r="H268" s="16">
        <f>VLOOKUP($G268,Diarios!$B$4:$J$5000,MATCH(H$4,Diarios!$C$3:$J$3,0)+1,FALSE)</f>
        <v>3.3599999999999994</v>
      </c>
    </row>
    <row r="269" spans="7:8" x14ac:dyDescent="0.25">
      <c r="G269" s="15">
        <f t="shared" si="5"/>
        <v>44826</v>
      </c>
      <c r="H269" s="16">
        <f>VLOOKUP($G269,Diarios!$B$4:$J$5000,MATCH(H$4,Diarios!$C$3:$J$3,0)+1,FALSE)</f>
        <v>3.6899999999999977</v>
      </c>
    </row>
    <row r="270" spans="7:8" x14ac:dyDescent="0.25">
      <c r="G270" s="15">
        <f t="shared" si="5"/>
        <v>44827</v>
      </c>
      <c r="H270" s="16">
        <f>VLOOKUP($G270,Diarios!$B$4:$J$5000,MATCH(H$4,Diarios!$C$3:$J$3,0)+1,FALSE)</f>
        <v>3.1599999999999966</v>
      </c>
    </row>
    <row r="271" spans="7:8" x14ac:dyDescent="0.25">
      <c r="G271" s="15">
        <f t="shared" si="5"/>
        <v>44828</v>
      </c>
      <c r="H271" s="16">
        <f>VLOOKUP($G271,Diarios!$B$4:$J$5000,MATCH(H$4,Diarios!$C$3:$J$3,0)+1,FALSE)</f>
        <v>3.1599999999999966</v>
      </c>
    </row>
    <row r="272" spans="7:8" x14ac:dyDescent="0.25">
      <c r="G272" s="15">
        <f t="shared" si="5"/>
        <v>44829</v>
      </c>
      <c r="H272" s="16">
        <f>VLOOKUP($G272,Diarios!$B$4:$J$5000,MATCH(H$4,Diarios!$C$3:$J$3,0)+1,FALSE)</f>
        <v>3.1599999999999966</v>
      </c>
    </row>
    <row r="273" spans="7:8" x14ac:dyDescent="0.25">
      <c r="G273" s="15">
        <f t="shared" si="5"/>
        <v>44830</v>
      </c>
      <c r="H273" s="16">
        <f>VLOOKUP($G273,Diarios!$B$4:$J$5000,MATCH(H$4,Diarios!$C$3:$J$3,0)+1,FALSE)</f>
        <v>3.0499999999999972</v>
      </c>
    </row>
    <row r="274" spans="7:8" x14ac:dyDescent="0.25">
      <c r="G274" s="15">
        <f t="shared" si="5"/>
        <v>44831</v>
      </c>
      <c r="H274" s="16">
        <f>VLOOKUP($G274,Diarios!$B$4:$J$5000,MATCH(H$4,Diarios!$C$3:$J$3,0)+1,FALSE)</f>
        <v>4.9200000000000017</v>
      </c>
    </row>
    <row r="275" spans="7:8" x14ac:dyDescent="0.25">
      <c r="G275" s="15">
        <f t="shared" si="5"/>
        <v>44832</v>
      </c>
      <c r="H275" s="16">
        <f>VLOOKUP($G275,Diarios!$B$4:$J$5000,MATCH(H$4,Diarios!$C$3:$J$3,0)+1,FALSE)</f>
        <v>3.8900000000000006</v>
      </c>
    </row>
    <row r="276" spans="7:8" x14ac:dyDescent="0.25">
      <c r="G276" s="15">
        <f t="shared" si="5"/>
        <v>44833</v>
      </c>
      <c r="H276" s="16">
        <f>VLOOKUP($G276,Diarios!$B$4:$J$5000,MATCH(H$4,Diarios!$C$3:$J$3,0)+1,FALSE)</f>
        <v>4.3599999999999994</v>
      </c>
    </row>
    <row r="277" spans="7:8" x14ac:dyDescent="0.25">
      <c r="G277" s="15">
        <f t="shared" si="5"/>
        <v>44834</v>
      </c>
      <c r="H277" s="16">
        <f>VLOOKUP($G277,Diarios!$B$4:$J$5000,MATCH(H$4,Diarios!$C$3:$J$3,0)+1,FALSE)</f>
        <v>2.3299999999999983</v>
      </c>
    </row>
    <row r="278" spans="7:8" x14ac:dyDescent="0.25">
      <c r="G278" s="15">
        <f t="shared" si="5"/>
        <v>44835</v>
      </c>
      <c r="H278" s="16">
        <f>VLOOKUP($G278,Diarios!$B$4:$J$5000,MATCH(H$4,Diarios!$C$3:$J$3,0)+1,FALSE)</f>
        <v>2.3299999999999983</v>
      </c>
    </row>
    <row r="279" spans="7:8" x14ac:dyDescent="0.25">
      <c r="G279" s="15">
        <f t="shared" si="5"/>
        <v>44836</v>
      </c>
      <c r="H279" s="16">
        <f>VLOOKUP($G279,Diarios!$B$4:$J$5000,MATCH(H$4,Diarios!$C$3:$J$3,0)+1,FALSE)</f>
        <v>2.3299999999999983</v>
      </c>
    </row>
    <row r="280" spans="7:8" x14ac:dyDescent="0.25">
      <c r="G280" s="15">
        <f t="shared" si="5"/>
        <v>44837</v>
      </c>
      <c r="H280" s="16">
        <f>VLOOKUP($G280,Diarios!$B$4:$J$5000,MATCH(H$4,Diarios!$C$3:$J$3,0)+1,FALSE)</f>
        <v>6.5300000000000011</v>
      </c>
    </row>
    <row r="281" spans="7:8" x14ac:dyDescent="0.25">
      <c r="G281" s="15">
        <f t="shared" si="5"/>
        <v>44838</v>
      </c>
      <c r="H281" s="16">
        <f>VLOOKUP($G281,Diarios!$B$4:$J$5000,MATCH(H$4,Diarios!$C$3:$J$3,0)+1,FALSE)</f>
        <v>6.7399999999999949</v>
      </c>
    </row>
    <row r="282" spans="7:8" x14ac:dyDescent="0.25">
      <c r="G282" s="15">
        <f t="shared" si="5"/>
        <v>44839</v>
      </c>
      <c r="H282" s="16">
        <f>VLOOKUP($G282,Diarios!$B$4:$J$5000,MATCH(H$4,Diarios!$C$3:$J$3,0)+1,FALSE)</f>
        <v>6.4300000000000068</v>
      </c>
    </row>
    <row r="283" spans="7:8" x14ac:dyDescent="0.25">
      <c r="G283" s="15">
        <f t="shared" si="5"/>
        <v>44840</v>
      </c>
      <c r="H283" s="16">
        <f>VLOOKUP($G283,Diarios!$B$4:$J$5000,MATCH(H$4,Diarios!$C$3:$J$3,0)+1,FALSE)</f>
        <v>6.1099999999999994</v>
      </c>
    </row>
    <row r="284" spans="7:8" x14ac:dyDescent="0.25">
      <c r="G284" s="15">
        <f t="shared" si="5"/>
        <v>44841</v>
      </c>
      <c r="H284" s="16">
        <f>VLOOKUP($G284,Diarios!$B$4:$J$5000,MATCH(H$4,Diarios!$C$3:$J$3,0)+1,FALSE)</f>
        <v>6.769999999999996</v>
      </c>
    </row>
    <row r="285" spans="7:8" x14ac:dyDescent="0.25">
      <c r="G285" s="15">
        <f t="shared" si="5"/>
        <v>44842</v>
      </c>
      <c r="H285" s="16">
        <f>VLOOKUP($G285,Diarios!$B$4:$J$5000,MATCH(H$4,Diarios!$C$3:$J$3,0)+1,FALSE)</f>
        <v>6.769999999999996</v>
      </c>
    </row>
    <row r="286" spans="7:8" x14ac:dyDescent="0.25">
      <c r="G286" s="15">
        <f t="shared" si="5"/>
        <v>44843</v>
      </c>
      <c r="H286" s="16">
        <f>VLOOKUP($G286,Diarios!$B$4:$J$5000,MATCH(H$4,Diarios!$C$3:$J$3,0)+1,FALSE)</f>
        <v>6.769999999999996</v>
      </c>
    </row>
    <row r="287" spans="7:8" x14ac:dyDescent="0.25">
      <c r="G287" s="15">
        <f t="shared" si="5"/>
        <v>44844</v>
      </c>
      <c r="H287" s="16">
        <f>VLOOKUP($G287,Diarios!$B$4:$J$5000,MATCH(H$4,Diarios!$C$3:$J$3,0)+1,FALSE)</f>
        <v>6.5499999999999972</v>
      </c>
    </row>
    <row r="288" spans="7:8" x14ac:dyDescent="0.25">
      <c r="G288" s="15">
        <f t="shared" si="5"/>
        <v>44845</v>
      </c>
      <c r="H288" s="16">
        <f>VLOOKUP($G288,Diarios!$B$4:$J$5000,MATCH(H$4,Diarios!$C$3:$J$3,0)+1,FALSE)</f>
        <v>6.6799999999999926</v>
      </c>
    </row>
    <row r="289" spans="7:8" x14ac:dyDescent="0.25">
      <c r="G289" s="15">
        <f t="shared" si="5"/>
        <v>44846</v>
      </c>
      <c r="H289" s="16">
        <f>VLOOKUP($G289,Diarios!$B$4:$J$5000,MATCH(H$4,Diarios!$C$3:$J$3,0)+1,FALSE)</f>
        <v>6.4500000000000028</v>
      </c>
    </row>
    <row r="290" spans="7:8" x14ac:dyDescent="0.25">
      <c r="G290" s="15">
        <f t="shared" si="5"/>
        <v>44847</v>
      </c>
      <c r="H290" s="16">
        <f>VLOOKUP($G290,Diarios!$B$4:$J$5000,MATCH(H$4,Diarios!$C$3:$J$3,0)+1,FALSE)</f>
        <v>6.6599999999999966</v>
      </c>
    </row>
    <row r="291" spans="7:8" x14ac:dyDescent="0.25">
      <c r="G291" s="15">
        <f t="shared" si="5"/>
        <v>44848</v>
      </c>
      <c r="H291" s="16">
        <f>VLOOKUP($G291,Diarios!$B$4:$J$5000,MATCH(H$4,Diarios!$C$3:$J$3,0)+1,FALSE)</f>
        <v>5.9299999999999926</v>
      </c>
    </row>
    <row r="292" spans="7:8" x14ac:dyDescent="0.25">
      <c r="G292" s="15">
        <f t="shared" si="5"/>
        <v>44849</v>
      </c>
      <c r="H292" s="16">
        <f>VLOOKUP($G292,Diarios!$B$4:$J$5000,MATCH(H$4,Diarios!$C$3:$J$3,0)+1,FALSE)</f>
        <v>5.9299999999999926</v>
      </c>
    </row>
    <row r="293" spans="7:8" x14ac:dyDescent="0.25">
      <c r="G293" s="15">
        <f t="shared" si="5"/>
        <v>44850</v>
      </c>
      <c r="H293" s="16">
        <f>VLOOKUP($G293,Diarios!$B$4:$J$5000,MATCH(H$4,Diarios!$C$3:$J$3,0)+1,FALSE)</f>
        <v>5.9299999999999926</v>
      </c>
    </row>
    <row r="294" spans="7:8" x14ac:dyDescent="0.25">
      <c r="G294" s="15">
        <f t="shared" si="5"/>
        <v>44851</v>
      </c>
      <c r="H294" s="16">
        <f>VLOOKUP($G294,Diarios!$B$4:$J$5000,MATCH(H$4,Diarios!$C$3:$J$3,0)+1,FALSE)</f>
        <v>6.039999999999992</v>
      </c>
    </row>
    <row r="295" spans="7:8" x14ac:dyDescent="0.25">
      <c r="G295" s="15">
        <f t="shared" si="5"/>
        <v>44852</v>
      </c>
      <c r="H295" s="16">
        <f>VLOOKUP($G295,Diarios!$B$4:$J$5000,MATCH(H$4,Diarios!$C$3:$J$3,0)+1,FALSE)</f>
        <v>5.3499999999999943</v>
      </c>
    </row>
    <row r="296" spans="7:8" x14ac:dyDescent="0.25">
      <c r="G296" s="15">
        <f t="shared" si="5"/>
        <v>44853</v>
      </c>
      <c r="H296" s="16">
        <f>VLOOKUP($G296,Diarios!$B$4:$J$5000,MATCH(H$4,Diarios!$C$3:$J$3,0)+1,FALSE)</f>
        <v>6.1599999999999966</v>
      </c>
    </row>
    <row r="297" spans="7:8" x14ac:dyDescent="0.25">
      <c r="G297" s="15">
        <f t="shared" si="5"/>
        <v>44854</v>
      </c>
      <c r="H297" s="16">
        <f>VLOOKUP($G297,Diarios!$B$4:$J$5000,MATCH(H$4,Diarios!$C$3:$J$3,0)+1,FALSE)</f>
        <v>6.1600000000000108</v>
      </c>
    </row>
    <row r="298" spans="7:8" x14ac:dyDescent="0.25">
      <c r="G298" s="15">
        <f t="shared" si="5"/>
        <v>44855</v>
      </c>
      <c r="H298" s="16">
        <f>VLOOKUP($G298,Diarios!$B$4:$J$5000,MATCH(H$4,Diarios!$C$3:$J$3,0)+1,FALSE)</f>
        <v>5.9500000000000028</v>
      </c>
    </row>
    <row r="299" spans="7:8" x14ac:dyDescent="0.25">
      <c r="G299" s="15">
        <f t="shared" si="5"/>
        <v>44856</v>
      </c>
      <c r="H299" s="16">
        <f>VLOOKUP($G299,Diarios!$B$4:$J$5000,MATCH(H$4,Diarios!$C$3:$J$3,0)+1,FALSE)</f>
        <v>5.9500000000000028</v>
      </c>
    </row>
    <row r="300" spans="7:8" x14ac:dyDescent="0.25">
      <c r="G300" s="15">
        <f t="shared" si="5"/>
        <v>44857</v>
      </c>
      <c r="H300" s="16">
        <f>VLOOKUP($G300,Diarios!$B$4:$J$5000,MATCH(H$4,Diarios!$C$3:$J$3,0)+1,FALSE)</f>
        <v>5.9500000000000028</v>
      </c>
    </row>
    <row r="301" spans="7:8" x14ac:dyDescent="0.25">
      <c r="G301" s="15">
        <f t="shared" si="5"/>
        <v>44858</v>
      </c>
      <c r="H301" s="16">
        <f>VLOOKUP($G301,Diarios!$B$4:$J$5000,MATCH(H$4,Diarios!$C$3:$J$3,0)+1,FALSE)</f>
        <v>5.480000000000004</v>
      </c>
    </row>
    <row r="302" spans="7:8" x14ac:dyDescent="0.25">
      <c r="G302" s="15">
        <f t="shared" si="5"/>
        <v>44859</v>
      </c>
      <c r="H302" s="16">
        <f>VLOOKUP($G302,Diarios!$B$4:$J$5000,MATCH(H$4,Diarios!$C$3:$J$3,0)+1,FALSE)</f>
        <v>6.3900000000000006</v>
      </c>
    </row>
    <row r="303" spans="7:8" x14ac:dyDescent="0.25">
      <c r="G303" s="15">
        <f t="shared" si="5"/>
        <v>44860</v>
      </c>
      <c r="H303" s="16">
        <f>VLOOKUP($G303,Diarios!$B$4:$J$5000,MATCH(H$4,Diarios!$C$3:$J$3,0)+1,FALSE)</f>
        <v>5.5300000000000011</v>
      </c>
    </row>
    <row r="304" spans="7:8" x14ac:dyDescent="0.25">
      <c r="G304" s="15">
        <f t="shared" si="5"/>
        <v>44861</v>
      </c>
      <c r="H304" s="16">
        <f>VLOOKUP($G304,Diarios!$B$4:$J$5000,MATCH(H$4,Diarios!$C$3:$J$3,0)+1,FALSE)</f>
        <v>5.4299999999999926</v>
      </c>
    </row>
    <row r="305" spans="7:8" x14ac:dyDescent="0.25">
      <c r="G305" s="15">
        <f t="shared" si="5"/>
        <v>44862</v>
      </c>
      <c r="H305" s="16">
        <f>VLOOKUP($G305,Diarios!$B$4:$J$5000,MATCH(H$4,Diarios!$C$3:$J$3,0)+1,FALSE)</f>
        <v>5.2900000000000063</v>
      </c>
    </row>
    <row r="306" spans="7:8" x14ac:dyDescent="0.25">
      <c r="G306" s="15">
        <f t="shared" si="5"/>
        <v>44863</v>
      </c>
      <c r="H306" s="16">
        <f>VLOOKUP($G306,Diarios!$B$4:$J$5000,MATCH(H$4,Diarios!$C$3:$J$3,0)+1,FALSE)</f>
        <v>5.2900000000000063</v>
      </c>
    </row>
    <row r="307" spans="7:8" x14ac:dyDescent="0.25">
      <c r="G307" s="15">
        <f t="shared" si="5"/>
        <v>44864</v>
      </c>
      <c r="H307" s="16">
        <f>VLOOKUP($G307,Diarios!$B$4:$J$5000,MATCH(H$4,Diarios!$C$3:$J$3,0)+1,FALSE)</f>
        <v>5.2900000000000063</v>
      </c>
    </row>
    <row r="308" spans="7:8" x14ac:dyDescent="0.25">
      <c r="G308" s="15">
        <f t="shared" si="5"/>
        <v>44865</v>
      </c>
      <c r="H308" s="16">
        <f>VLOOKUP($G308,Diarios!$B$4:$J$5000,MATCH(H$4,Diarios!$C$3:$J$3,0)+1,FALSE)</f>
        <v>5.1400000000000006</v>
      </c>
    </row>
    <row r="309" spans="7:8" x14ac:dyDescent="0.25">
      <c r="G309" s="15">
        <f t="shared" si="5"/>
        <v>44866</v>
      </c>
      <c r="H309" s="16">
        <f>VLOOKUP($G309,Diarios!$B$4:$J$5000,MATCH(H$4,Diarios!$C$3:$J$3,0)+1,FALSE)</f>
        <v>6.9699999999999989</v>
      </c>
    </row>
    <row r="310" spans="7:8" x14ac:dyDescent="0.25">
      <c r="G310" s="15">
        <f t="shared" si="5"/>
        <v>44867</v>
      </c>
      <c r="H310" s="16">
        <f>VLOOKUP($G310,Diarios!$B$4:$J$5000,MATCH(H$4,Diarios!$C$3:$J$3,0)+1,FALSE)</f>
        <v>7.0499999999999972</v>
      </c>
    </row>
    <row r="311" spans="7:8" x14ac:dyDescent="0.25">
      <c r="G311" s="15">
        <f t="shared" si="5"/>
        <v>44868</v>
      </c>
      <c r="H311" s="16">
        <f>VLOOKUP($G311,Diarios!$B$4:$J$5000,MATCH(H$4,Diarios!$C$3:$J$3,0)+1,FALSE)</f>
        <v>6.3299999999999983</v>
      </c>
    </row>
    <row r="312" spans="7:8" x14ac:dyDescent="0.25">
      <c r="G312" s="15">
        <f t="shared" si="5"/>
        <v>44869</v>
      </c>
      <c r="H312" s="16">
        <f>VLOOKUP($G312,Diarios!$B$4:$J$5000,MATCH(H$4,Diarios!$C$3:$J$3,0)+1,FALSE)</f>
        <v>6.8299999999999983</v>
      </c>
    </row>
    <row r="313" spans="7:8" x14ac:dyDescent="0.25">
      <c r="G313" s="15">
        <f t="shared" si="5"/>
        <v>44870</v>
      </c>
      <c r="H313" s="16">
        <f>VLOOKUP($G313,Diarios!$B$4:$J$5000,MATCH(H$4,Diarios!$C$3:$J$3,0)+1,FALSE)</f>
        <v>6.8299999999999983</v>
      </c>
    </row>
    <row r="314" spans="7:8" x14ac:dyDescent="0.25">
      <c r="G314" s="15">
        <f t="shared" si="5"/>
        <v>44871</v>
      </c>
      <c r="H314" s="16">
        <f>VLOOKUP($G314,Diarios!$B$4:$J$5000,MATCH(H$4,Diarios!$C$3:$J$3,0)+1,FALSE)</f>
        <v>6.8299999999999983</v>
      </c>
    </row>
    <row r="315" spans="7:8" x14ac:dyDescent="0.25">
      <c r="G315" s="15">
        <f t="shared" si="5"/>
        <v>44872</v>
      </c>
      <c r="H315" s="16">
        <f>VLOOKUP($G315,Diarios!$B$4:$J$5000,MATCH(H$4,Diarios!$C$3:$J$3,0)+1,FALSE)</f>
        <v>6.5700000000000074</v>
      </c>
    </row>
    <row r="316" spans="7:8" x14ac:dyDescent="0.25">
      <c r="G316" s="15">
        <f t="shared" si="5"/>
        <v>44873</v>
      </c>
      <c r="H316" s="16">
        <f>VLOOKUP($G316,Diarios!$B$4:$J$5000,MATCH(H$4,Diarios!$C$3:$J$3,0)+1,FALSE)</f>
        <v>6.1400000000000006</v>
      </c>
    </row>
    <row r="317" spans="7:8" x14ac:dyDescent="0.25">
      <c r="G317" s="15">
        <f t="shared" si="5"/>
        <v>44874</v>
      </c>
      <c r="H317" s="16">
        <f>VLOOKUP($G317,Diarios!$B$4:$J$5000,MATCH(H$4,Diarios!$C$3:$J$3,0)+1,FALSE)</f>
        <v>5.9500000000000028</v>
      </c>
    </row>
    <row r="318" spans="7:8" x14ac:dyDescent="0.25">
      <c r="G318" s="15">
        <f t="shared" si="5"/>
        <v>44875</v>
      </c>
      <c r="H318" s="16">
        <f>VLOOKUP($G318,Diarios!$B$4:$J$5000,MATCH(H$4,Diarios!$C$3:$J$3,0)+1,FALSE)</f>
        <v>6.289999999999992</v>
      </c>
    </row>
    <row r="319" spans="7:8" x14ac:dyDescent="0.25">
      <c r="G319" s="15">
        <f t="shared" si="5"/>
        <v>44876</v>
      </c>
      <c r="H319" s="16">
        <f>VLOOKUP($G319,Diarios!$B$4:$J$5000,MATCH(H$4,Diarios!$C$3:$J$3,0)+1,FALSE)</f>
        <v>6.1699999999999875</v>
      </c>
    </row>
    <row r="320" spans="7:8" x14ac:dyDescent="0.25">
      <c r="G320" s="15">
        <f t="shared" si="5"/>
        <v>44877</v>
      </c>
      <c r="H320" s="16">
        <f>VLOOKUP($G320,Diarios!$B$4:$J$5000,MATCH(H$4,Diarios!$C$3:$J$3,0)+1,FALSE)</f>
        <v>6.1699999999999875</v>
      </c>
    </row>
    <row r="321" spans="7:8" x14ac:dyDescent="0.25">
      <c r="G321" s="15">
        <f t="shared" si="5"/>
        <v>44878</v>
      </c>
      <c r="H321" s="16">
        <f>VLOOKUP($G321,Diarios!$B$4:$J$5000,MATCH(H$4,Diarios!$C$3:$J$3,0)+1,FALSE)</f>
        <v>6.1699999999999875</v>
      </c>
    </row>
    <row r="322" spans="7:8" x14ac:dyDescent="0.25">
      <c r="G322" s="15">
        <f t="shared" si="5"/>
        <v>44879</v>
      </c>
      <c r="H322" s="16">
        <f>VLOOKUP($G322,Diarios!$B$4:$J$5000,MATCH(H$4,Diarios!$C$3:$J$3,0)+1,FALSE)</f>
        <v>5.7800000000000011</v>
      </c>
    </row>
    <row r="323" spans="7:8" x14ac:dyDescent="0.25">
      <c r="G323" s="15">
        <f t="shared" si="5"/>
        <v>44880</v>
      </c>
      <c r="H323" s="16">
        <f>VLOOKUP($G323,Diarios!$B$4:$J$5000,MATCH(H$4,Diarios!$C$3:$J$3,0)+1,FALSE)</f>
        <v>6.730000000000004</v>
      </c>
    </row>
    <row r="324" spans="7:8" x14ac:dyDescent="0.25">
      <c r="G324" s="15">
        <f t="shared" si="5"/>
        <v>44881</v>
      </c>
      <c r="H324" s="16">
        <f>VLOOKUP($G324,Diarios!$B$4:$J$5000,MATCH(H$4,Diarios!$C$3:$J$3,0)+1,FALSE)</f>
        <v>6.2999999999999972</v>
      </c>
    </row>
    <row r="325" spans="7:8" x14ac:dyDescent="0.25">
      <c r="G325" s="15">
        <f t="shared" si="5"/>
        <v>44882</v>
      </c>
      <c r="H325" s="16">
        <f>VLOOKUP($G325,Diarios!$B$4:$J$5000,MATCH(H$4,Diarios!$C$3:$J$3,0)+1,FALSE)</f>
        <v>5.730000000000004</v>
      </c>
    </row>
    <row r="326" spans="7:8" x14ac:dyDescent="0.25">
      <c r="G326" s="15">
        <f t="shared" si="5"/>
        <v>44883</v>
      </c>
      <c r="H326" s="16">
        <f>VLOOKUP($G326,Diarios!$B$4:$J$5000,MATCH(H$4,Diarios!$C$3:$J$3,0)+1,FALSE)</f>
        <v>6.1099999999999994</v>
      </c>
    </row>
    <row r="327" spans="7:8" x14ac:dyDescent="0.25">
      <c r="G327" s="15">
        <f t="shared" ref="G327:G390" si="6">G326+1</f>
        <v>44884</v>
      </c>
      <c r="H327" s="16">
        <f>VLOOKUP($G327,Diarios!$B$4:$J$5000,MATCH(H$4,Diarios!$C$3:$J$3,0)+1,FALSE)</f>
        <v>6.1099999999999994</v>
      </c>
    </row>
    <row r="328" spans="7:8" x14ac:dyDescent="0.25">
      <c r="G328" s="15">
        <f t="shared" si="6"/>
        <v>44885</v>
      </c>
      <c r="H328" s="16">
        <f>VLOOKUP($G328,Diarios!$B$4:$J$5000,MATCH(H$4,Diarios!$C$3:$J$3,0)+1,FALSE)</f>
        <v>6.1099999999999994</v>
      </c>
    </row>
    <row r="329" spans="7:8" x14ac:dyDescent="0.25">
      <c r="G329" s="15">
        <f t="shared" si="6"/>
        <v>44886</v>
      </c>
      <c r="H329" s="16">
        <f>VLOOKUP($G329,Diarios!$B$4:$J$5000,MATCH(H$4,Diarios!$C$3:$J$3,0)+1,FALSE)</f>
        <v>5.7600000000000051</v>
      </c>
    </row>
    <row r="330" spans="7:8" x14ac:dyDescent="0.25">
      <c r="G330" s="15">
        <f t="shared" si="6"/>
        <v>44887</v>
      </c>
      <c r="H330" s="16">
        <f>VLOOKUP($G330,Diarios!$B$4:$J$5000,MATCH(H$4,Diarios!$C$3:$J$3,0)+1,FALSE)</f>
        <v>6.6500000000000057</v>
      </c>
    </row>
    <row r="331" spans="7:8" x14ac:dyDescent="0.25">
      <c r="G331" s="15">
        <f t="shared" si="6"/>
        <v>44888</v>
      </c>
      <c r="H331" s="16">
        <f>VLOOKUP($G331,Diarios!$B$4:$J$5000,MATCH(H$4,Diarios!$C$3:$J$3,0)+1,FALSE)</f>
        <v>6.1500000000000057</v>
      </c>
    </row>
    <row r="332" spans="7:8" x14ac:dyDescent="0.25">
      <c r="G332" s="15">
        <f t="shared" si="6"/>
        <v>44889</v>
      </c>
      <c r="H332" s="16">
        <f>VLOOKUP($G332,Diarios!$B$4:$J$5000,MATCH(H$4,Diarios!$C$3:$J$3,0)+1,FALSE)</f>
        <v>6.1500000000000057</v>
      </c>
    </row>
    <row r="333" spans="7:8" x14ac:dyDescent="0.25">
      <c r="G333" s="15">
        <f t="shared" si="6"/>
        <v>44890</v>
      </c>
      <c r="H333" s="16">
        <f>VLOOKUP($G333,Diarios!$B$4:$J$5000,MATCH(H$4,Diarios!$C$3:$J$3,0)+1,FALSE)</f>
        <v>6.1500000000000057</v>
      </c>
    </row>
    <row r="334" spans="7:8" x14ac:dyDescent="0.25">
      <c r="G334" s="15">
        <f t="shared" si="6"/>
        <v>44891</v>
      </c>
      <c r="H334" s="16">
        <f>VLOOKUP($G334,Diarios!$B$4:$J$5000,MATCH(H$4,Diarios!$C$3:$J$3,0)+1,FALSE)</f>
        <v>6.1500000000000057</v>
      </c>
    </row>
    <row r="335" spans="7:8" x14ac:dyDescent="0.25">
      <c r="G335" s="15">
        <f t="shared" si="6"/>
        <v>44892</v>
      </c>
      <c r="H335" s="16">
        <f>VLOOKUP($G335,Diarios!$B$4:$J$5000,MATCH(H$4,Diarios!$C$3:$J$3,0)+1,FALSE)</f>
        <v>6.1500000000000057</v>
      </c>
    </row>
    <row r="336" spans="7:8" x14ac:dyDescent="0.25">
      <c r="G336" s="15">
        <f t="shared" si="6"/>
        <v>44893</v>
      </c>
      <c r="H336" s="16">
        <f>VLOOKUP($G336,Diarios!$B$4:$J$5000,MATCH(H$4,Diarios!$C$3:$J$3,0)+1,FALSE)</f>
        <v>7.3399999999999892</v>
      </c>
    </row>
    <row r="337" spans="7:8" x14ac:dyDescent="0.25">
      <c r="G337" s="15">
        <f t="shared" si="6"/>
        <v>44894</v>
      </c>
      <c r="H337" s="16">
        <f>VLOOKUP($G337,Diarios!$B$4:$J$5000,MATCH(H$4,Diarios!$C$3:$J$3,0)+1,FALSE)</f>
        <v>7.3599999999999994</v>
      </c>
    </row>
    <row r="338" spans="7:8" x14ac:dyDescent="0.25">
      <c r="G338" s="15">
        <f t="shared" si="6"/>
        <v>44895</v>
      </c>
      <c r="H338" s="16">
        <f>VLOOKUP($G338,Diarios!$B$4:$J$5000,MATCH(H$4,Diarios!$C$3:$J$3,0)+1,FALSE)</f>
        <v>7.7800000000000011</v>
      </c>
    </row>
    <row r="339" spans="7:8" x14ac:dyDescent="0.25">
      <c r="G339" s="15">
        <f t="shared" si="6"/>
        <v>44896</v>
      </c>
      <c r="H339" s="16">
        <f>VLOOKUP($G339,Diarios!$B$4:$J$5000,MATCH(H$4,Diarios!$C$3:$J$3,0)+1,FALSE)</f>
        <v>10.14</v>
      </c>
    </row>
    <row r="340" spans="7:8" x14ac:dyDescent="0.25">
      <c r="G340" s="15">
        <f t="shared" si="6"/>
        <v>44897</v>
      </c>
      <c r="H340" s="16">
        <f>VLOOKUP($G340,Diarios!$B$4:$J$5000,MATCH(H$4,Diarios!$C$3:$J$3,0)+1,FALSE)</f>
        <v>10.100000000000009</v>
      </c>
    </row>
    <row r="341" spans="7:8" x14ac:dyDescent="0.25">
      <c r="G341" s="15">
        <f t="shared" si="6"/>
        <v>44898</v>
      </c>
      <c r="H341" s="16">
        <f>VLOOKUP($G341,Diarios!$B$4:$J$5000,MATCH(H$4,Diarios!$C$3:$J$3,0)+1,FALSE)</f>
        <v>10.100000000000009</v>
      </c>
    </row>
    <row r="342" spans="7:8" x14ac:dyDescent="0.25">
      <c r="G342" s="15">
        <f t="shared" si="6"/>
        <v>44899</v>
      </c>
      <c r="H342" s="16">
        <f>VLOOKUP($G342,Diarios!$B$4:$J$5000,MATCH(H$4,Diarios!$C$3:$J$3,0)+1,FALSE)</f>
        <v>10.100000000000009</v>
      </c>
    </row>
    <row r="343" spans="7:8" x14ac:dyDescent="0.25">
      <c r="G343" s="15">
        <f t="shared" si="6"/>
        <v>44900</v>
      </c>
      <c r="H343" s="16">
        <f>VLOOKUP($G343,Diarios!$B$4:$J$5000,MATCH(H$4,Diarios!$C$3:$J$3,0)+1,FALSE)</f>
        <v>9.7999999999999972</v>
      </c>
    </row>
    <row r="344" spans="7:8" x14ac:dyDescent="0.25">
      <c r="G344" s="15">
        <f t="shared" si="6"/>
        <v>44901</v>
      </c>
      <c r="H344" s="16">
        <f>VLOOKUP($G344,Diarios!$B$4:$J$5000,MATCH(H$4,Diarios!$C$3:$J$3,0)+1,FALSE)</f>
        <v>10.099999999999994</v>
      </c>
    </row>
    <row r="345" spans="7:8" x14ac:dyDescent="0.25">
      <c r="G345" s="15">
        <f t="shared" si="6"/>
        <v>44902</v>
      </c>
      <c r="H345" s="16">
        <f>VLOOKUP($G345,Diarios!$B$4:$J$5000,MATCH(H$4,Diarios!$C$3:$J$3,0)+1,FALSE)</f>
        <v>10.150000000000006</v>
      </c>
    </row>
    <row r="346" spans="7:8" x14ac:dyDescent="0.25">
      <c r="G346" s="15">
        <f t="shared" si="6"/>
        <v>44903</v>
      </c>
      <c r="H346" s="16">
        <f>VLOOKUP($G346,Diarios!$B$4:$J$5000,MATCH(H$4,Diarios!$C$3:$J$3,0)+1,FALSE)</f>
        <v>10.599999999999994</v>
      </c>
    </row>
    <row r="347" spans="7:8" x14ac:dyDescent="0.25">
      <c r="G347" s="15">
        <f t="shared" si="6"/>
        <v>44904</v>
      </c>
      <c r="H347" s="16">
        <f>VLOOKUP($G347,Diarios!$B$4:$J$5000,MATCH(H$4,Diarios!$C$3:$J$3,0)+1,FALSE)</f>
        <v>10.599999999999994</v>
      </c>
    </row>
    <row r="348" spans="7:8" x14ac:dyDescent="0.25">
      <c r="G348" s="15">
        <f t="shared" si="6"/>
        <v>44905</v>
      </c>
      <c r="H348" s="16">
        <f>VLOOKUP($G348,Diarios!$B$4:$J$5000,MATCH(H$4,Diarios!$C$3:$J$3,0)+1,FALSE)</f>
        <v>10.599999999999994</v>
      </c>
    </row>
    <row r="349" spans="7:8" x14ac:dyDescent="0.25">
      <c r="G349" s="15">
        <f t="shared" si="6"/>
        <v>44906</v>
      </c>
      <c r="H349" s="16">
        <f>VLOOKUP($G349,Diarios!$B$4:$J$5000,MATCH(H$4,Diarios!$C$3:$J$3,0)+1,FALSE)</f>
        <v>10.599999999999994</v>
      </c>
    </row>
    <row r="350" spans="7:8" x14ac:dyDescent="0.25">
      <c r="G350" s="15">
        <f t="shared" si="6"/>
        <v>44907</v>
      </c>
      <c r="H350" s="16">
        <f>VLOOKUP($G350,Diarios!$B$4:$J$5000,MATCH(H$4,Diarios!$C$3:$J$3,0)+1,FALSE)</f>
        <v>11.200000000000003</v>
      </c>
    </row>
    <row r="351" spans="7:8" x14ac:dyDescent="0.25">
      <c r="G351" s="15">
        <f t="shared" si="6"/>
        <v>44908</v>
      </c>
      <c r="H351" s="16">
        <f>VLOOKUP($G351,Diarios!$B$4:$J$5000,MATCH(H$4,Diarios!$C$3:$J$3,0)+1,FALSE)</f>
        <v>10.719999999999999</v>
      </c>
    </row>
    <row r="352" spans="7:8" x14ac:dyDescent="0.25">
      <c r="G352" s="15">
        <f t="shared" si="6"/>
        <v>44909</v>
      </c>
      <c r="H352" s="16">
        <f>VLOOKUP($G352,Diarios!$B$4:$J$5000,MATCH(H$4,Diarios!$C$3:$J$3,0)+1,FALSE)</f>
        <v>10.549999999999997</v>
      </c>
    </row>
    <row r="353" spans="7:8" x14ac:dyDescent="0.25">
      <c r="G353" s="15">
        <f t="shared" si="6"/>
        <v>44910</v>
      </c>
      <c r="H353" s="16">
        <f>VLOOKUP($G353,Diarios!$B$4:$J$5000,MATCH(H$4,Diarios!$C$3:$J$3,0)+1,FALSE)</f>
        <v>10.379999999999995</v>
      </c>
    </row>
    <row r="354" spans="7:8" x14ac:dyDescent="0.25">
      <c r="G354" s="15">
        <f t="shared" si="6"/>
        <v>44911</v>
      </c>
      <c r="H354" s="16">
        <f>VLOOKUP($G354,Diarios!$B$4:$J$5000,MATCH(H$4,Diarios!$C$3:$J$3,0)+1,FALSE)</f>
        <v>10.430000000000007</v>
      </c>
    </row>
    <row r="355" spans="7:8" x14ac:dyDescent="0.25">
      <c r="G355" s="15">
        <f t="shared" si="6"/>
        <v>44912</v>
      </c>
      <c r="H355" s="16">
        <f>VLOOKUP($G355,Diarios!$B$4:$J$5000,MATCH(H$4,Diarios!$C$3:$J$3,0)+1,FALSE)</f>
        <v>10.430000000000007</v>
      </c>
    </row>
    <row r="356" spans="7:8" x14ac:dyDescent="0.25">
      <c r="G356" s="15">
        <f t="shared" si="6"/>
        <v>44913</v>
      </c>
      <c r="H356" s="16">
        <f>VLOOKUP($G356,Diarios!$B$4:$J$5000,MATCH(H$4,Diarios!$C$3:$J$3,0)+1,FALSE)</f>
        <v>10.430000000000007</v>
      </c>
    </row>
    <row r="357" spans="7:8" x14ac:dyDescent="0.25">
      <c r="G357" s="15">
        <f t="shared" si="6"/>
        <v>44914</v>
      </c>
      <c r="H357" s="16">
        <f>VLOOKUP($G357,Diarios!$B$4:$J$5000,MATCH(H$4,Diarios!$C$3:$J$3,0)+1,FALSE)</f>
        <v>10.599999999999994</v>
      </c>
    </row>
    <row r="358" spans="7:8" x14ac:dyDescent="0.25">
      <c r="G358" s="15">
        <f t="shared" si="6"/>
        <v>44915</v>
      </c>
      <c r="H358" s="16">
        <f>VLOOKUP($G358,Diarios!$B$4:$J$5000,MATCH(H$4,Diarios!$C$3:$J$3,0)+1,FALSE)</f>
        <v>10.870000000000005</v>
      </c>
    </row>
    <row r="359" spans="7:8" x14ac:dyDescent="0.25">
      <c r="G359" s="15">
        <f t="shared" si="6"/>
        <v>44916</v>
      </c>
      <c r="H359" s="16">
        <f>VLOOKUP($G359,Diarios!$B$4:$J$5000,MATCH(H$4,Diarios!$C$3:$J$3,0)+1,FALSE)</f>
        <v>10.930000000000007</v>
      </c>
    </row>
    <row r="360" spans="7:8" x14ac:dyDescent="0.25">
      <c r="G360" s="15">
        <f t="shared" si="6"/>
        <v>44917</v>
      </c>
      <c r="H360" s="16">
        <f>VLOOKUP($G360,Diarios!$B$4:$J$5000,MATCH(H$4,Diarios!$C$3:$J$3,0)+1,FALSE)</f>
        <v>10.719999999999999</v>
      </c>
    </row>
    <row r="361" spans="7:8" x14ac:dyDescent="0.25">
      <c r="G361" s="15">
        <f t="shared" si="6"/>
        <v>44918</v>
      </c>
      <c r="H361" s="16">
        <f>VLOOKUP($G361,Diarios!$B$4:$J$5000,MATCH(H$4,Diarios!$C$3:$J$3,0)+1,FALSE)</f>
        <v>10.649999999999991</v>
      </c>
    </row>
    <row r="362" spans="7:8" x14ac:dyDescent="0.25">
      <c r="G362" s="15">
        <f t="shared" si="6"/>
        <v>44919</v>
      </c>
      <c r="H362" s="16">
        <f>VLOOKUP($G362,Diarios!$B$4:$J$5000,MATCH(H$4,Diarios!$C$3:$J$3,0)+1,FALSE)</f>
        <v>10.649999999999991</v>
      </c>
    </row>
    <row r="363" spans="7:8" x14ac:dyDescent="0.25">
      <c r="G363" s="15">
        <f t="shared" si="6"/>
        <v>44920</v>
      </c>
      <c r="H363" s="16">
        <f>VLOOKUP($G363,Diarios!$B$4:$J$5000,MATCH(H$4,Diarios!$C$3:$J$3,0)+1,FALSE)</f>
        <v>10.649999999999991</v>
      </c>
    </row>
    <row r="364" spans="7:8" x14ac:dyDescent="0.25">
      <c r="G364" s="15">
        <f t="shared" si="6"/>
        <v>44921</v>
      </c>
      <c r="H364" s="16">
        <f>VLOOKUP($G364,Diarios!$B$4:$J$5000,MATCH(H$4,Diarios!$C$3:$J$3,0)+1,FALSE)</f>
        <v>10.649999999999991</v>
      </c>
    </row>
    <row r="365" spans="7:8" x14ac:dyDescent="0.25">
      <c r="G365" s="15">
        <f t="shared" si="6"/>
        <v>44922</v>
      </c>
      <c r="H365" s="16">
        <f>VLOOKUP($G365,Diarios!$B$4:$J$5000,MATCH(H$4,Diarios!$C$3:$J$3,0)+1,FALSE)</f>
        <v>10.420000000000002</v>
      </c>
    </row>
    <row r="366" spans="7:8" x14ac:dyDescent="0.25">
      <c r="G366" s="15">
        <f t="shared" si="6"/>
        <v>44923</v>
      </c>
      <c r="H366" s="16">
        <f>VLOOKUP($G366,Diarios!$B$4:$J$5000,MATCH(H$4,Diarios!$C$3:$J$3,0)+1,FALSE)</f>
        <v>10.679999999999993</v>
      </c>
    </row>
    <row r="367" spans="7:8" x14ac:dyDescent="0.25">
      <c r="G367" s="15">
        <f t="shared" si="6"/>
        <v>44924</v>
      </c>
      <c r="H367" s="16">
        <f>VLOOKUP($G367,Diarios!$B$4:$J$5000,MATCH(H$4,Diarios!$C$3:$J$3,0)+1,FALSE)</f>
        <v>11.090000000000003</v>
      </c>
    </row>
    <row r="368" spans="7:8" x14ac:dyDescent="0.25">
      <c r="G368" s="15">
        <f t="shared" si="6"/>
        <v>44925</v>
      </c>
      <c r="H368" s="16">
        <f>VLOOKUP($G368,Diarios!$B$4:$J$5000,MATCH(H$4,Diarios!$C$3:$J$3,0)+1,FALSE)</f>
        <v>10.550000000000011</v>
      </c>
    </row>
    <row r="369" spans="7:8" x14ac:dyDescent="0.25">
      <c r="G369" s="15">
        <f t="shared" si="6"/>
        <v>44926</v>
      </c>
      <c r="H369" s="16">
        <f>VLOOKUP($G369,Diarios!$B$4:$J$5000,MATCH(H$4,Diarios!$C$3:$J$3,0)+1,FALSE)</f>
        <v>10.550000000000011</v>
      </c>
    </row>
    <row r="370" spans="7:8" x14ac:dyDescent="0.25">
      <c r="G370" s="15">
        <f t="shared" si="6"/>
        <v>44927</v>
      </c>
      <c r="H370" s="16">
        <f>VLOOKUP($G370,Diarios!$B$4:$J$5000,MATCH(H$4,Diarios!$C$3:$J$3,0)+1,FALSE)</f>
        <v>10.550000000000011</v>
      </c>
    </row>
    <row r="371" spans="7:8" x14ac:dyDescent="0.25">
      <c r="G371" s="15">
        <f t="shared" si="6"/>
        <v>44928</v>
      </c>
      <c r="H371" s="16">
        <f>VLOOKUP($G371,Diarios!$B$4:$J$5000,MATCH(H$4,Diarios!$C$3:$J$3,0)+1,FALSE)</f>
        <v>10.550000000000011</v>
      </c>
    </row>
    <row r="372" spans="7:8" x14ac:dyDescent="0.25">
      <c r="G372" s="15">
        <f t="shared" si="6"/>
        <v>44929</v>
      </c>
      <c r="H372" s="16">
        <f>VLOOKUP($G372,Diarios!$B$4:$J$5000,MATCH(H$4,Diarios!$C$3:$J$3,0)+1,FALSE)</f>
        <v>11.090000000000003</v>
      </c>
    </row>
    <row r="373" spans="7:8" x14ac:dyDescent="0.25">
      <c r="G373" s="15">
        <f t="shared" si="6"/>
        <v>44930</v>
      </c>
      <c r="H373" s="16">
        <f>VLOOKUP($G373,Diarios!$B$4:$J$5000,MATCH(H$4,Diarios!$C$3:$J$3,0)+1,FALSE)</f>
        <v>11.180000000000007</v>
      </c>
    </row>
    <row r="374" spans="7:8" x14ac:dyDescent="0.25">
      <c r="G374" s="15">
        <f t="shared" si="6"/>
        <v>44931</v>
      </c>
      <c r="H374" s="16">
        <f>VLOOKUP($G374,Diarios!$B$4:$J$5000,MATCH(H$4,Diarios!$C$3:$J$3,0)+1,FALSE)</f>
        <v>11.200000000000003</v>
      </c>
    </row>
    <row r="375" spans="7:8" x14ac:dyDescent="0.25">
      <c r="G375" s="15">
        <f t="shared" si="6"/>
        <v>44932</v>
      </c>
      <c r="H375" s="16">
        <f>VLOOKUP($G375,Diarios!$B$4:$J$5000,MATCH(H$4,Diarios!$C$3:$J$3,0)+1,FALSE)</f>
        <v>11.259999999999998</v>
      </c>
    </row>
    <row r="376" spans="7:8" x14ac:dyDescent="0.25">
      <c r="G376" s="15">
        <f t="shared" si="6"/>
        <v>44933</v>
      </c>
      <c r="H376" s="16">
        <f>VLOOKUP($G376,Diarios!$B$4:$J$5000,MATCH(H$4,Diarios!$C$3:$J$3,0)+1,FALSE)</f>
        <v>11.259999999999998</v>
      </c>
    </row>
    <row r="377" spans="7:8" x14ac:dyDescent="0.25">
      <c r="G377" s="15">
        <f t="shared" si="6"/>
        <v>44934</v>
      </c>
      <c r="H377" s="16">
        <f>VLOOKUP($G377,Diarios!$B$4:$J$5000,MATCH(H$4,Diarios!$C$3:$J$3,0)+1,FALSE)</f>
        <v>11.259999999999998</v>
      </c>
    </row>
    <row r="378" spans="7:8" x14ac:dyDescent="0.25">
      <c r="G378" s="15">
        <f t="shared" si="6"/>
        <v>44935</v>
      </c>
      <c r="H378" s="16">
        <f>VLOOKUP($G378,Diarios!$B$4:$J$5000,MATCH(H$4,Diarios!$C$3:$J$3,0)+1,FALSE)</f>
        <v>11.129999999999995</v>
      </c>
    </row>
    <row r="379" spans="7:8" x14ac:dyDescent="0.25">
      <c r="G379" s="15">
        <f t="shared" si="6"/>
        <v>44936</v>
      </c>
      <c r="H379" s="16">
        <f>VLOOKUP($G379,Diarios!$B$4:$J$5000,MATCH(H$4,Diarios!$C$3:$J$3,0)+1,FALSE)</f>
        <v>11.230000000000004</v>
      </c>
    </row>
    <row r="380" spans="7:8" x14ac:dyDescent="0.25">
      <c r="G380" s="15">
        <f t="shared" si="6"/>
        <v>44937</v>
      </c>
      <c r="H380" s="16">
        <f>VLOOKUP($G380,Diarios!$B$4:$J$5000,MATCH(H$4,Diarios!$C$3:$J$3,0)+1,FALSE)</f>
        <v>11.170000000000002</v>
      </c>
    </row>
    <row r="381" spans="7:8" x14ac:dyDescent="0.25">
      <c r="G381" s="15">
        <f t="shared" si="6"/>
        <v>44938</v>
      </c>
      <c r="H381" s="16">
        <f>VLOOKUP($G381,Diarios!$B$4:$J$5000,MATCH(H$4,Diarios!$C$3:$J$3,0)+1,FALSE)</f>
        <v>10.849999999999994</v>
      </c>
    </row>
    <row r="382" spans="7:8" x14ac:dyDescent="0.25">
      <c r="G382" s="15">
        <f t="shared" si="6"/>
        <v>44939</v>
      </c>
      <c r="H382" s="16">
        <f>VLOOKUP($G382,Diarios!$B$4:$J$5000,MATCH(H$4,Diarios!$C$3:$J$3,0)+1,FALSE)</f>
        <v>10.920000000000002</v>
      </c>
    </row>
    <row r="383" spans="7:8" x14ac:dyDescent="0.25">
      <c r="G383" s="15">
        <f t="shared" si="6"/>
        <v>44940</v>
      </c>
      <c r="H383" s="16">
        <f>VLOOKUP($G383,Diarios!$B$4:$J$5000,MATCH(H$4,Diarios!$C$3:$J$3,0)+1,FALSE)</f>
        <v>10.920000000000002</v>
      </c>
    </row>
    <row r="384" spans="7:8" x14ac:dyDescent="0.25">
      <c r="G384" s="15">
        <f t="shared" si="6"/>
        <v>44941</v>
      </c>
      <c r="H384" s="16">
        <f>VLOOKUP($G384,Diarios!$B$4:$J$5000,MATCH(H$4,Diarios!$C$3:$J$3,0)+1,FALSE)</f>
        <v>10.920000000000002</v>
      </c>
    </row>
    <row r="385" spans="7:8" x14ac:dyDescent="0.25">
      <c r="G385" s="15">
        <f t="shared" si="6"/>
        <v>44942</v>
      </c>
      <c r="H385" s="16">
        <f>VLOOKUP($G385,Diarios!$B$4:$J$5000,MATCH(H$4,Diarios!$C$3:$J$3,0)+1,FALSE)</f>
        <v>10.920000000000002</v>
      </c>
    </row>
    <row r="386" spans="7:8" x14ac:dyDescent="0.25">
      <c r="G386" s="15">
        <f t="shared" si="6"/>
        <v>44943</v>
      </c>
      <c r="H386" s="16">
        <f>VLOOKUP($G386,Diarios!$B$4:$J$5000,MATCH(H$4,Diarios!$C$3:$J$3,0)+1,FALSE)</f>
        <v>10.470000000000013</v>
      </c>
    </row>
    <row r="387" spans="7:8" x14ac:dyDescent="0.25">
      <c r="G387" s="15">
        <f t="shared" si="6"/>
        <v>44944</v>
      </c>
      <c r="H387" s="16">
        <f>VLOOKUP($G387,Diarios!$B$4:$J$5000,MATCH(H$4,Diarios!$C$3:$J$3,0)+1,FALSE)</f>
        <v>10.320000000000007</v>
      </c>
    </row>
    <row r="388" spans="7:8" x14ac:dyDescent="0.25">
      <c r="G388" s="15">
        <f t="shared" si="6"/>
        <v>44945</v>
      </c>
      <c r="H388" s="16">
        <f>VLOOKUP($G388,Diarios!$B$4:$J$5000,MATCH(H$4,Diarios!$C$3:$J$3,0)+1,FALSE)</f>
        <v>10.450000000000003</v>
      </c>
    </row>
    <row r="389" spans="7:8" x14ac:dyDescent="0.25">
      <c r="G389" s="15">
        <f t="shared" si="6"/>
        <v>44946</v>
      </c>
      <c r="H389" s="16">
        <f>VLOOKUP($G389,Diarios!$B$4:$J$5000,MATCH(H$4,Diarios!$C$3:$J$3,0)+1,FALSE)</f>
        <v>11.210000000000008</v>
      </c>
    </row>
    <row r="390" spans="7:8" x14ac:dyDescent="0.25">
      <c r="G390" s="15">
        <f t="shared" si="6"/>
        <v>44947</v>
      </c>
      <c r="H390" s="39">
        <f>VLOOKUP($G390,Diarios!$B$4:$J$5000,MATCH(H$4,Diarios!$C$3:$J$3,0)+1,FALSE)</f>
        <v>11.210000000000008</v>
      </c>
    </row>
    <row r="391" spans="7:8" x14ac:dyDescent="0.25">
      <c r="G391" s="15">
        <f t="shared" ref="G391:G441" si="7">G390+1</f>
        <v>44948</v>
      </c>
      <c r="H391" s="39">
        <f>VLOOKUP($G391,Diarios!$B$4:$J$5000,MATCH(H$4,Diarios!$C$3:$J$3,0)+1,FALSE)</f>
        <v>11.210000000000008</v>
      </c>
    </row>
    <row r="392" spans="7:8" x14ac:dyDescent="0.25">
      <c r="G392" s="15">
        <f t="shared" si="7"/>
        <v>44949</v>
      </c>
      <c r="H392" s="39">
        <f>VLOOKUP($G392,Diarios!$B$4:$J$5000,MATCH(H$4,Diarios!$C$3:$J$3,0)+1,FALSE)</f>
        <v>11.219999999999999</v>
      </c>
    </row>
    <row r="393" spans="7:8" x14ac:dyDescent="0.25">
      <c r="G393" s="15">
        <f t="shared" si="7"/>
        <v>44950</v>
      </c>
      <c r="H393" s="39">
        <f>VLOOKUP($G393,Diarios!$B$4:$J$5000,MATCH(H$4,Diarios!$C$3:$J$3,0)+1,FALSE)</f>
        <v>9.6800000000000068</v>
      </c>
    </row>
    <row r="394" spans="7:8" x14ac:dyDescent="0.25">
      <c r="G394" s="15">
        <f t="shared" si="7"/>
        <v>44951</v>
      </c>
      <c r="H394" s="39">
        <f>VLOOKUP($G394,Diarios!$B$4:$J$5000,MATCH(H$4,Diarios!$C$3:$J$3,0)+1,FALSE)</f>
        <v>9.980000000000004</v>
      </c>
    </row>
    <row r="395" spans="7:8" x14ac:dyDescent="0.25">
      <c r="G395" s="15">
        <f t="shared" si="7"/>
        <v>44952</v>
      </c>
      <c r="H395" s="39">
        <f>VLOOKUP($G395,Diarios!$B$4:$J$5000,MATCH(H$4,Diarios!$C$3:$J$3,0)+1,FALSE)</f>
        <v>9.9400000000000119</v>
      </c>
    </row>
    <row r="396" spans="7:8" x14ac:dyDescent="0.25">
      <c r="G396" s="15">
        <f t="shared" si="7"/>
        <v>44953</v>
      </c>
      <c r="H396" s="39">
        <f>VLOOKUP($G396,Diarios!$B$4:$J$5000,MATCH(H$4,Diarios!$C$3:$J$3,0)+1,FALSE)</f>
        <v>9.5100000000000051</v>
      </c>
    </row>
    <row r="397" spans="7:8" x14ac:dyDescent="0.25">
      <c r="G397" s="15">
        <f t="shared" si="7"/>
        <v>44954</v>
      </c>
      <c r="H397" s="39">
        <f>VLOOKUP($G397,Diarios!$B$4:$J$5000,MATCH(H$4,Diarios!$C$3:$J$3,0)+1,FALSE)</f>
        <v>9.5100000000000051</v>
      </c>
    </row>
    <row r="398" spans="7:8" x14ac:dyDescent="0.25">
      <c r="G398" s="15">
        <f t="shared" si="7"/>
        <v>44955</v>
      </c>
      <c r="H398" s="39">
        <f>VLOOKUP($G398,Diarios!$B$4:$J$5000,MATCH(H$4,Diarios!$C$3:$J$3,0)+1,FALSE)</f>
        <v>9.5100000000000051</v>
      </c>
    </row>
    <row r="399" spans="7:8" x14ac:dyDescent="0.25">
      <c r="G399" s="15">
        <f t="shared" si="7"/>
        <v>44956</v>
      </c>
      <c r="H399" s="39">
        <f>VLOOKUP($G399,Diarios!$B$4:$J$5000,MATCH(H$4,Diarios!$C$3:$J$3,0)+1,FALSE)</f>
        <v>9.4400000000000119</v>
      </c>
    </row>
    <row r="400" spans="7:8" x14ac:dyDescent="0.25">
      <c r="G400" s="15">
        <f t="shared" si="7"/>
        <v>44957</v>
      </c>
      <c r="H400" s="39">
        <f>VLOOKUP($G400,Diarios!$B$4:$J$5000,MATCH(H$4,Diarios!$C$3:$J$3,0)+1,FALSE)</f>
        <v>10.210000000000008</v>
      </c>
    </row>
    <row r="401" spans="7:8" x14ac:dyDescent="0.25">
      <c r="G401" s="15">
        <f t="shared" si="7"/>
        <v>44958</v>
      </c>
      <c r="H401" s="39">
        <f>VLOOKUP($G401,Diarios!$B$4:$J$5000,MATCH(H$4,Diarios!$C$3:$J$3,0)+1,FALSE)</f>
        <v>9.7999999999999972</v>
      </c>
    </row>
    <row r="402" spans="7:8" x14ac:dyDescent="0.25">
      <c r="G402" s="15">
        <f t="shared" si="7"/>
        <v>44959</v>
      </c>
      <c r="H402" s="39">
        <f>VLOOKUP($G402,Diarios!$B$4:$J$5000,MATCH(H$4,Diarios!$C$3:$J$3,0)+1,FALSE)</f>
        <v>10.049999999999997</v>
      </c>
    </row>
    <row r="403" spans="7:8" x14ac:dyDescent="0.25">
      <c r="G403" s="15">
        <f t="shared" si="7"/>
        <v>44960</v>
      </c>
      <c r="H403" s="39">
        <f>VLOOKUP($G403,Diarios!$B$4:$J$5000,MATCH(H$4,Diarios!$C$3:$J$3,0)+1,FALSE)</f>
        <v>9.759999999999998</v>
      </c>
    </row>
    <row r="404" spans="7:8" x14ac:dyDescent="0.25">
      <c r="G404" s="15">
        <f t="shared" si="7"/>
        <v>44961</v>
      </c>
      <c r="H404" s="39">
        <f>VLOOKUP($G404,Diarios!$B$4:$J$5000,MATCH(H$4,Diarios!$C$3:$J$3,0)+1,FALSE)</f>
        <v>9.759999999999998</v>
      </c>
    </row>
    <row r="405" spans="7:8" x14ac:dyDescent="0.25">
      <c r="G405" s="15">
        <f t="shared" si="7"/>
        <v>44962</v>
      </c>
      <c r="H405" s="39">
        <f>VLOOKUP($G405,Diarios!$B$4:$J$5000,MATCH(H$4,Diarios!$C$3:$J$3,0)+1,FALSE)</f>
        <v>9.759999999999998</v>
      </c>
    </row>
    <row r="406" spans="7:8" x14ac:dyDescent="0.25">
      <c r="G406" s="15">
        <f t="shared" si="7"/>
        <v>44963</v>
      </c>
      <c r="H406" s="39">
        <f>VLOOKUP($G406,Diarios!$B$4:$J$5000,MATCH(H$4,Diarios!$C$3:$J$3,0)+1,FALSE)</f>
        <v>10.479999999999997</v>
      </c>
    </row>
    <row r="407" spans="7:8" x14ac:dyDescent="0.25">
      <c r="G407" s="15">
        <f t="shared" si="7"/>
        <v>44964</v>
      </c>
      <c r="H407" s="39">
        <f>VLOOKUP($G407,Diarios!$B$4:$J$5000,MATCH(H$4,Diarios!$C$3:$J$3,0)+1,FALSE)</f>
        <v>9.8700000000000045</v>
      </c>
    </row>
    <row r="408" spans="7:8" x14ac:dyDescent="0.25">
      <c r="G408" s="15">
        <f t="shared" si="7"/>
        <v>44965</v>
      </c>
      <c r="H408" s="39">
        <f>VLOOKUP($G408,Diarios!$B$4:$J$5000,MATCH(H$4,Diarios!$C$3:$J$3,0)+1,FALSE)</f>
        <v>9.8700000000000045</v>
      </c>
    </row>
    <row r="409" spans="7:8" x14ac:dyDescent="0.25">
      <c r="G409" s="15">
        <f t="shared" si="7"/>
        <v>44966</v>
      </c>
      <c r="H409" s="39">
        <f>VLOOKUP($G409,Diarios!$B$4:$J$5000,MATCH(H$4,Diarios!$C$3:$J$3,0)+1,FALSE)</f>
        <v>9.8500000000000085</v>
      </c>
    </row>
    <row r="410" spans="7:8" x14ac:dyDescent="0.25">
      <c r="G410" s="15">
        <f t="shared" si="7"/>
        <v>44967</v>
      </c>
      <c r="H410" s="39">
        <f>VLOOKUP($G410,Diarios!$B$4:$J$5000,MATCH(H$4,Diarios!$C$3:$J$3,0)+1,FALSE)</f>
        <v>9.7999999999999972</v>
      </c>
    </row>
    <row r="411" spans="7:8" x14ac:dyDescent="0.25">
      <c r="G411" s="15">
        <f t="shared" si="7"/>
        <v>44968</v>
      </c>
      <c r="H411" s="39">
        <f>VLOOKUP($G411,Diarios!$B$4:$J$5000,MATCH(H$4,Diarios!$C$3:$J$3,0)+1,FALSE)</f>
        <v>9.7999999999999972</v>
      </c>
    </row>
    <row r="412" spans="7:8" x14ac:dyDescent="0.25">
      <c r="G412" s="15">
        <f t="shared" si="7"/>
        <v>44969</v>
      </c>
      <c r="H412" s="39">
        <f>VLOOKUP($G412,Diarios!$B$4:$J$5000,MATCH(H$4,Diarios!$C$3:$J$3,0)+1,FALSE)</f>
        <v>9.7999999999999972</v>
      </c>
    </row>
    <row r="413" spans="7:8" x14ac:dyDescent="0.25">
      <c r="G413" s="15">
        <f t="shared" si="7"/>
        <v>44970</v>
      </c>
      <c r="H413" s="39">
        <f>VLOOKUP($G413,Diarios!$B$4:$J$5000,MATCH(H$4,Diarios!$C$3:$J$3,0)+1,FALSE)</f>
        <v>9.8100000000000023</v>
      </c>
    </row>
    <row r="414" spans="7:8" x14ac:dyDescent="0.25">
      <c r="G414" s="15">
        <f t="shared" si="7"/>
        <v>44971</v>
      </c>
      <c r="H414" s="39">
        <f>VLOOKUP($G414,Diarios!$B$4:$J$5000,MATCH(H$4,Diarios!$C$3:$J$3,0)+1,FALSE)</f>
        <v>9.5900000000000034</v>
      </c>
    </row>
    <row r="415" spans="7:8" x14ac:dyDescent="0.25">
      <c r="G415" s="15">
        <f t="shared" si="7"/>
        <v>44972</v>
      </c>
      <c r="H415" s="39">
        <f>VLOOKUP($G415,Diarios!$B$4:$J$5000,MATCH(H$4,Diarios!$C$3:$J$3,0)+1,FALSE)</f>
        <v>9.5300000000000011</v>
      </c>
    </row>
    <row r="416" spans="7:8" x14ac:dyDescent="0.25">
      <c r="G416" s="15">
        <f t="shared" si="7"/>
        <v>44973</v>
      </c>
      <c r="H416" s="39">
        <f>VLOOKUP($G416,Diarios!$B$4:$J$5000,MATCH(H$4,Diarios!$C$3:$J$3,0)+1,FALSE)</f>
        <v>9.6700000000000017</v>
      </c>
    </row>
    <row r="417" spans="7:8" x14ac:dyDescent="0.25">
      <c r="G417" s="15">
        <f t="shared" si="7"/>
        <v>44974</v>
      </c>
      <c r="H417" s="39">
        <f>VLOOKUP($G417,Diarios!$B$4:$J$5000,MATCH(H$4,Diarios!$C$3:$J$3,0)+1,FALSE)</f>
        <v>9.6599999999999966</v>
      </c>
    </row>
    <row r="418" spans="7:8" x14ac:dyDescent="0.25">
      <c r="G418" s="15">
        <f t="shared" si="7"/>
        <v>44975</v>
      </c>
      <c r="H418" s="39">
        <f>VLOOKUP($G418,Diarios!$B$4:$J$5000,MATCH(H$4,Diarios!$C$3:$J$3,0)+1,FALSE)</f>
        <v>9.6599999999999966</v>
      </c>
    </row>
    <row r="419" spans="7:8" x14ac:dyDescent="0.25">
      <c r="G419" s="15">
        <f t="shared" si="7"/>
        <v>44976</v>
      </c>
      <c r="H419" s="39">
        <f>VLOOKUP($G419,Diarios!$B$4:$J$5000,MATCH(H$4,Diarios!$C$3:$J$3,0)+1,FALSE)</f>
        <v>9.6599999999999966</v>
      </c>
    </row>
    <row r="420" spans="7:8" x14ac:dyDescent="0.25">
      <c r="G420" s="15">
        <f t="shared" si="7"/>
        <v>44977</v>
      </c>
      <c r="H420" s="39">
        <f>VLOOKUP($G420,Diarios!$B$4:$J$5000,MATCH(H$4,Diarios!$C$3:$J$3,0)+1,FALSE)</f>
        <v>9.6599999999999966</v>
      </c>
    </row>
    <row r="421" spans="7:8" x14ac:dyDescent="0.25">
      <c r="G421" s="15">
        <f t="shared" si="7"/>
        <v>44978</v>
      </c>
      <c r="H421" s="39">
        <f>VLOOKUP($G421,Diarios!$B$4:$J$5000,MATCH(H$4,Diarios!$C$3:$J$3,0)+1,FALSE)</f>
        <v>9.5300000000000011</v>
      </c>
    </row>
    <row r="422" spans="7:8" x14ac:dyDescent="0.25">
      <c r="G422" s="15">
        <f t="shared" si="7"/>
        <v>44979</v>
      </c>
      <c r="H422" s="39">
        <f>VLOOKUP($G422,Diarios!$B$4:$J$5000,MATCH(H$4,Diarios!$C$3:$J$3,0)+1,FALSE)</f>
        <v>9.5799999999999983</v>
      </c>
    </row>
    <row r="423" spans="7:8" x14ac:dyDescent="0.25">
      <c r="G423" s="15">
        <f t="shared" si="7"/>
        <v>44980</v>
      </c>
      <c r="H423" s="39">
        <f>VLOOKUP($G423,Diarios!$B$4:$J$5000,MATCH(H$4,Diarios!$C$3:$J$3,0)+1,FALSE)</f>
        <v>9.6000000000000085</v>
      </c>
    </row>
    <row r="424" spans="7:8" x14ac:dyDescent="0.25">
      <c r="G424" s="15">
        <f t="shared" si="7"/>
        <v>44981</v>
      </c>
      <c r="H424" s="39">
        <f>VLOOKUP($G424,Diarios!$B$4:$J$5000,MATCH(H$4,Diarios!$C$3:$J$3,0)+1,FALSE)</f>
        <v>9.6799999999999926</v>
      </c>
    </row>
    <row r="425" spans="7:8" x14ac:dyDescent="0.25">
      <c r="G425" s="15">
        <f t="shared" si="7"/>
        <v>44982</v>
      </c>
      <c r="H425" s="39">
        <f>VLOOKUP($G425,Diarios!$B$4:$J$5000,MATCH(H$4,Diarios!$C$3:$J$3,0)+1,FALSE)</f>
        <v>9.6799999999999926</v>
      </c>
    </row>
    <row r="426" spans="7:8" x14ac:dyDescent="0.25">
      <c r="G426" s="15">
        <f t="shared" si="7"/>
        <v>44983</v>
      </c>
      <c r="H426" s="39">
        <f>VLOOKUP($G426,Diarios!$B$4:$J$5000,MATCH(H$4,Diarios!$C$3:$J$3,0)+1,FALSE)</f>
        <v>9.6799999999999926</v>
      </c>
    </row>
    <row r="427" spans="7:8" x14ac:dyDescent="0.25">
      <c r="G427" s="15">
        <f t="shared" si="7"/>
        <v>44984</v>
      </c>
      <c r="H427" s="39">
        <f>VLOOKUP($G427,Diarios!$B$4:$J$5000,MATCH(H$4,Diarios!$C$3:$J$3,0)+1,FALSE)</f>
        <v>9.6300000000000097</v>
      </c>
    </row>
    <row r="428" spans="7:8" x14ac:dyDescent="0.25">
      <c r="G428" s="15">
        <f t="shared" si="7"/>
        <v>44985</v>
      </c>
      <c r="H428" s="39">
        <f>VLOOKUP($G428,Diarios!$B$4:$J$5000,MATCH(H$4,Diarios!$C$3:$J$3,0)+1,FALSE)</f>
        <v>9.7800000000000011</v>
      </c>
    </row>
    <row r="429" spans="7:8" x14ac:dyDescent="0.25">
      <c r="G429" s="15">
        <f t="shared" si="7"/>
        <v>44986</v>
      </c>
      <c r="H429" s="39">
        <f>VLOOKUP($G429,Diarios!$B$4:$J$5000,MATCH(H$4,Diarios!$C$3:$J$3,0)+1,FALSE)</f>
        <v>9.4299999999999926</v>
      </c>
    </row>
    <row r="430" spans="7:8" x14ac:dyDescent="0.25">
      <c r="G430" s="15">
        <f t="shared" si="7"/>
        <v>44987</v>
      </c>
      <c r="H430" s="39">
        <f>VLOOKUP($G430,Diarios!$B$4:$J$5000,MATCH(H$4,Diarios!$C$3:$J$3,0)+1,FALSE)</f>
        <v>9.4799999999999898</v>
      </c>
    </row>
    <row r="431" spans="7:8" x14ac:dyDescent="0.25">
      <c r="G431" s="15">
        <f t="shared" si="7"/>
        <v>44988</v>
      </c>
      <c r="H431" s="39">
        <f>VLOOKUP($G431,Diarios!$B$4:$J$5000,MATCH(H$4,Diarios!$C$3:$J$3,0)+1,FALSE)</f>
        <v>9.8000000000000114</v>
      </c>
    </row>
    <row r="432" spans="7:8" x14ac:dyDescent="0.25">
      <c r="G432" s="15">
        <f t="shared" si="7"/>
        <v>44989</v>
      </c>
      <c r="H432" s="39">
        <f>VLOOKUP($G432,Diarios!$B$4:$J$5000,MATCH(H$4,Diarios!$C$3:$J$3,0)+1,FALSE)</f>
        <v>9.8000000000000114</v>
      </c>
    </row>
    <row r="433" spans="7:8" x14ac:dyDescent="0.25">
      <c r="G433" s="15">
        <f t="shared" si="7"/>
        <v>44990</v>
      </c>
      <c r="H433" s="39">
        <f>VLOOKUP($G433,Diarios!$B$4:$J$5000,MATCH(H$4,Diarios!$C$3:$J$3,0)+1,FALSE)</f>
        <v>9.8000000000000114</v>
      </c>
    </row>
    <row r="434" spans="7:8" x14ac:dyDescent="0.25">
      <c r="G434" s="15">
        <f t="shared" si="7"/>
        <v>44991</v>
      </c>
      <c r="H434" s="39">
        <f>VLOOKUP($G434,Diarios!$B$4:$J$5000,MATCH(H$4,Diarios!$C$3:$J$3,0)+1,FALSE)</f>
        <v>10.089999999999989</v>
      </c>
    </row>
    <row r="435" spans="7:8" x14ac:dyDescent="0.25">
      <c r="G435" s="15">
        <f t="shared" si="7"/>
        <v>44992</v>
      </c>
      <c r="H435" s="39">
        <f>VLOOKUP($G435,Diarios!$B$4:$J$5000,MATCH(H$4,Diarios!$C$3:$J$3,0)+1,FALSE)</f>
        <v>9.9699999999999989</v>
      </c>
    </row>
    <row r="436" spans="7:8" x14ac:dyDescent="0.25">
      <c r="G436" s="15">
        <f t="shared" si="7"/>
        <v>44993</v>
      </c>
      <c r="H436" s="39">
        <f>VLOOKUP($G436,Diarios!$B$4:$J$5000,MATCH(H$4,Diarios!$C$3:$J$3,0)+1,FALSE)</f>
        <v>9.8400000000000034</v>
      </c>
    </row>
    <row r="437" spans="7:8" x14ac:dyDescent="0.25">
      <c r="G437" s="15">
        <f t="shared" si="7"/>
        <v>44994</v>
      </c>
      <c r="H437" s="39">
        <f>VLOOKUP($G437,Diarios!$B$4:$J$5000,MATCH(H$4,Diarios!$C$3:$J$3,0)+1,FALSE)</f>
        <v>9.769999999999996</v>
      </c>
    </row>
    <row r="438" spans="7:8" x14ac:dyDescent="0.25">
      <c r="G438" s="15">
        <f t="shared" si="7"/>
        <v>44995</v>
      </c>
      <c r="H438" s="39">
        <f>VLOOKUP($G438,Diarios!$B$4:$J$5000,MATCH(H$4,Diarios!$C$3:$J$3,0)+1,FALSE)</f>
        <v>9.8400000000000034</v>
      </c>
    </row>
    <row r="439" spans="7:8" x14ac:dyDescent="0.25">
      <c r="G439" s="15">
        <f t="shared" si="7"/>
        <v>44996</v>
      </c>
      <c r="H439" s="39">
        <f>VLOOKUP($G439,Diarios!$B$4:$J$5000,MATCH(H$4,Diarios!$C$3:$J$3,0)+1,FALSE)</f>
        <v>9.8400000000000034</v>
      </c>
    </row>
    <row r="440" spans="7:8" x14ac:dyDescent="0.25">
      <c r="G440" s="15">
        <f t="shared" si="7"/>
        <v>44997</v>
      </c>
      <c r="H440" s="39">
        <f>VLOOKUP($G440,Diarios!$B$4:$J$5000,MATCH(H$4,Diarios!$C$3:$J$3,0)+1,FALSE)</f>
        <v>9.8400000000000034</v>
      </c>
    </row>
    <row r="441" spans="7:8" x14ac:dyDescent="0.25">
      <c r="G441" s="15">
        <f t="shared" si="7"/>
        <v>44998</v>
      </c>
      <c r="H441" s="39">
        <f>VLOOKUP($G441,Diarios!$B$4:$J$5000,MATCH(H$4,Diarios!$C$3:$J$3,0)+1,FALSE)</f>
        <v>9.730000000000004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3:X79"/>
  <sheetViews>
    <sheetView topLeftCell="A26" workbookViewId="0">
      <selection activeCell="F32" sqref="F32"/>
    </sheetView>
  </sheetViews>
  <sheetFormatPr baseColWidth="10" defaultColWidth="11.5703125" defaultRowHeight="18" x14ac:dyDescent="0.25"/>
  <cols>
    <col min="1" max="4" width="7.7109375" style="8" customWidth="1"/>
    <col min="5" max="5" width="13" style="8" customWidth="1"/>
    <col min="6" max="6" width="11.5703125" style="8"/>
    <col min="7" max="12" width="9.42578125" style="8" customWidth="1"/>
    <col min="13" max="13" width="11.5703125" style="8"/>
    <col min="14" max="14" width="13.42578125" style="8" bestFit="1" customWidth="1"/>
    <col min="15" max="15" width="11.5703125" style="8"/>
    <col min="16" max="24" width="0" style="8" hidden="1" customWidth="1"/>
    <col min="25" max="16384" width="11.5703125" style="8"/>
  </cols>
  <sheetData>
    <row r="3" spans="1:24" ht="18.75" thickBot="1" x14ac:dyDescent="0.3">
      <c r="F3" s="12" t="s">
        <v>1</v>
      </c>
      <c r="G3" s="12" t="s">
        <v>2</v>
      </c>
      <c r="H3" s="12" t="s">
        <v>3</v>
      </c>
      <c r="I3" s="12" t="s">
        <v>4</v>
      </c>
      <c r="J3" s="12" t="s">
        <v>5</v>
      </c>
      <c r="K3" s="12" t="s">
        <v>6</v>
      </c>
      <c r="L3" s="12" t="s">
        <v>7</v>
      </c>
      <c r="M3" s="12" t="s">
        <v>8</v>
      </c>
    </row>
    <row r="4" spans="1:24" ht="54.75" thickBot="1" x14ac:dyDescent="0.3">
      <c r="E4" s="17" t="s">
        <v>37</v>
      </c>
      <c r="F4" s="18" t="s">
        <v>31</v>
      </c>
      <c r="G4" s="17" t="s">
        <v>2</v>
      </c>
      <c r="H4" s="17" t="s">
        <v>3</v>
      </c>
      <c r="I4" s="17" t="s">
        <v>4</v>
      </c>
      <c r="J4" s="17" t="s">
        <v>5</v>
      </c>
      <c r="K4" s="17" t="s">
        <v>38</v>
      </c>
      <c r="L4" s="17" t="s">
        <v>7</v>
      </c>
      <c r="M4" s="17" t="s">
        <v>35</v>
      </c>
      <c r="P4" s="33" t="s">
        <v>37</v>
      </c>
      <c r="Q4" s="34" t="s">
        <v>31</v>
      </c>
      <c r="R4" s="35" t="s">
        <v>2</v>
      </c>
      <c r="S4" s="35" t="s">
        <v>3</v>
      </c>
      <c r="T4" s="35" t="s">
        <v>4</v>
      </c>
      <c r="U4" s="35" t="s">
        <v>5</v>
      </c>
      <c r="V4" s="35" t="s">
        <v>38</v>
      </c>
      <c r="W4" s="35" t="s">
        <v>7</v>
      </c>
      <c r="X4" s="35" t="s">
        <v>35</v>
      </c>
    </row>
    <row r="5" spans="1:24" x14ac:dyDescent="0.25">
      <c r="E5" s="19">
        <v>2016</v>
      </c>
      <c r="F5" s="20">
        <f>AVERAGEIFS(INDEX(Platts!$F$6:$M$4994,,MATCH(F$3,Platts!$F$5:$M$5,0)),Platts!$D$6:$D$4994,$E5)</f>
        <v>35.868045977011491</v>
      </c>
      <c r="G5" s="20">
        <f>AVERAGEIFS(INDEX(Platts!$F$6:$M$4994,,MATCH(G$3,Platts!$F$5:$M$5,0)),Platts!$D$6:$D$4994,$E5)</f>
        <v>42.450498084291176</v>
      </c>
      <c r="H5" s="20">
        <f>AVERAGEIFS(INDEX(Platts!$F$6:$M$4994,,MATCH(H$3,Platts!$F$5:$M$5,0)),Platts!$D$6:$D$4994,$E5)</f>
        <v>36.561494252873544</v>
      </c>
      <c r="I5" s="20">
        <f>AVERAGEIFS(INDEX(Platts!$F$6:$M$4994,,MATCH(I$3,Platts!$F$5:$M$5,0)),Platts!$D$6:$D$4994,$E5)</f>
        <v>43.969693486590053</v>
      </c>
      <c r="J5" s="20">
        <f>AVERAGEIFS(INDEX(Platts!$F$6:$M$4994,,MATCH(J$3,Platts!$F$5:$M$5,0)),Platts!$D$6:$D$4994,$E5)</f>
        <v>45.139386973180073</v>
      </c>
      <c r="K5" s="20">
        <f>AVERAGEIFS(INDEX(Platts!$F$6:$M$4994,,MATCH(K$3,Platts!$F$5:$M$5,0)),Platts!$D$6:$D$4994,$E5)</f>
        <v>43.300153256704995</v>
      </c>
      <c r="L5" s="20">
        <f>AVERAGEIFS(INDEX(Platts!$F$6:$M$4994,,MATCH(L$3,Platts!$F$5:$M$5,0)),Platts!$D$6:$D$4994,$E5)</f>
        <v>44.983295019157097</v>
      </c>
      <c r="M5" s="21">
        <f>AVERAGEIFS(INDEX(Platts!$F$6:$M$4994,,MATCH(M$3,Platts!$F$5:$M$5,0)),Platts!$D$6:$D$4994,$E5)</f>
        <v>7.4321072796934837</v>
      </c>
      <c r="P5" s="36">
        <v>2016</v>
      </c>
      <c r="Q5" s="37">
        <v>35.9</v>
      </c>
      <c r="R5" s="37">
        <v>42.5</v>
      </c>
      <c r="S5" s="37">
        <v>36.6</v>
      </c>
      <c r="T5" s="37">
        <v>44</v>
      </c>
      <c r="U5" s="37">
        <v>45.1</v>
      </c>
      <c r="V5" s="37">
        <v>43.3</v>
      </c>
      <c r="W5" s="37">
        <v>45</v>
      </c>
      <c r="X5" s="38">
        <v>7.4</v>
      </c>
    </row>
    <row r="6" spans="1:24" x14ac:dyDescent="0.25">
      <c r="E6" s="22">
        <f>E5+1</f>
        <v>2017</v>
      </c>
      <c r="F6" s="23">
        <f>AVERAGEIFS(INDEX(Platts!$F$6:$M$4994,,MATCH(F$3,Platts!$F$5:$M$5,0)),Platts!$D$6:$D$4994,$E6)</f>
        <v>46.395346153846155</v>
      </c>
      <c r="G6" s="23">
        <f>AVERAGEIFS(INDEX(Platts!$F$6:$M$4994,,MATCH(G$3,Platts!$F$5:$M$5,0)),Platts!$D$6:$D$4994,$E6)</f>
        <v>54.667769230769196</v>
      </c>
      <c r="H6" s="23">
        <f>AVERAGEIFS(INDEX(Platts!$F$6:$M$4994,,MATCH(H$3,Platts!$F$5:$M$5,0)),Platts!$D$6:$D$4994,$E6)</f>
        <v>47.107384615384632</v>
      </c>
      <c r="I6" s="23">
        <f>AVERAGEIFS(INDEX(Platts!$F$6:$M$4994,,MATCH(I$3,Platts!$F$5:$M$5,0)),Platts!$D$6:$D$4994,$E6)</f>
        <v>55.924461538461514</v>
      </c>
      <c r="J6" s="23">
        <f>AVERAGEIFS(INDEX(Platts!$F$6:$M$4994,,MATCH(J$3,Platts!$F$5:$M$5,0)),Platts!$D$6:$D$4994,$E6)</f>
        <v>54.825307692307717</v>
      </c>
      <c r="K6" s="23">
        <f>AVERAGEIFS(INDEX(Platts!$F$6:$M$4994,,MATCH(K$3,Platts!$F$5:$M$5,0)),Platts!$D$6:$D$4994,$E6)</f>
        <v>50.859730769230751</v>
      </c>
      <c r="L6" s="23">
        <f>AVERAGEIFS(INDEX(Platts!$F$6:$M$4994,,MATCH(L$3,Platts!$F$5:$M$5,0)),Platts!$D$6:$D$4994,$E6)</f>
        <v>54.086076923076924</v>
      </c>
      <c r="M6" s="24">
        <f>AVERAGEIFS(INDEX(Platts!$F$6:$M$4994,,MATCH(M$3,Platts!$F$5:$M$5,0)),Platts!$D$6:$D$4994,$E6)</f>
        <v>4.4643846153846098</v>
      </c>
      <c r="P6" s="36">
        <v>2017</v>
      </c>
      <c r="Q6" s="37">
        <v>46.4</v>
      </c>
      <c r="R6" s="37">
        <v>54.7</v>
      </c>
      <c r="S6" s="37">
        <v>47.1</v>
      </c>
      <c r="T6" s="37">
        <v>55.9</v>
      </c>
      <c r="U6" s="37">
        <v>54.8</v>
      </c>
      <c r="V6" s="37">
        <v>50.9</v>
      </c>
      <c r="W6" s="37">
        <v>54.1</v>
      </c>
      <c r="X6" s="38">
        <v>4.5</v>
      </c>
    </row>
    <row r="7" spans="1:24" x14ac:dyDescent="0.25">
      <c r="E7" s="22">
        <f t="shared" ref="E7:E10" si="0">E6+1</f>
        <v>2018</v>
      </c>
      <c r="F7" s="23">
        <f>AVERAGEIFS(INDEX(Platts!$F$6:$M$4994,,MATCH(F$3,Platts!$F$5:$M$5,0)),Platts!$D$6:$D$4994,$E7)</f>
        <v>61.784904214559397</v>
      </c>
      <c r="G7" s="23">
        <f>AVERAGEIFS(INDEX(Platts!$F$6:$M$4994,,MATCH(G$3,Platts!$F$5:$M$5,0)),Platts!$D$6:$D$4994,$E7)</f>
        <v>68.542260536398416</v>
      </c>
      <c r="H7" s="23">
        <f>AVERAGEIFS(INDEX(Platts!$F$6:$M$4994,,MATCH(H$3,Platts!$F$5:$M$5,0)),Platts!$D$6:$D$4994,$E7)</f>
        <v>62.407777777777746</v>
      </c>
      <c r="I7" s="23">
        <f>AVERAGEIFS(INDEX(Platts!$F$6:$M$4994,,MATCH(I$3,Platts!$F$5:$M$5,0)),Platts!$D$6:$D$4994,$E7)</f>
        <v>71.246283524904271</v>
      </c>
      <c r="J7" s="23">
        <f>AVERAGEIFS(INDEX(Platts!$F$6:$M$4994,,MATCH(J$3,Platts!$F$5:$M$5,0)),Platts!$D$6:$D$4994,$E7)</f>
        <v>71.63356321839079</v>
      </c>
      <c r="K7" s="23">
        <f>AVERAGEIFS(INDEX(Platts!$F$6:$M$4994,,MATCH(K$3,Platts!$F$5:$M$5,0)),Platts!$D$6:$D$4994,$E7)</f>
        <v>64.919846743295039</v>
      </c>
      <c r="L7" s="23">
        <f>AVERAGEIFS(INDEX(Platts!$F$6:$M$4994,,MATCH(L$3,Platts!$F$5:$M$5,0)),Platts!$D$6:$D$4994,$E7)</f>
        <v>69.946858237547858</v>
      </c>
      <c r="M7" s="24">
        <f>AVERAGEIFS(INDEX(Platts!$F$6:$M$4994,,MATCH(M$3,Platts!$F$5:$M$5,0)),Platts!$D$6:$D$4994,$E7)</f>
        <v>3.1349425287356323</v>
      </c>
      <c r="P7" s="36">
        <v>2018</v>
      </c>
      <c r="Q7" s="37">
        <v>61.8</v>
      </c>
      <c r="R7" s="37">
        <v>68.5</v>
      </c>
      <c r="S7" s="37">
        <v>62.4</v>
      </c>
      <c r="T7" s="37">
        <v>71.2</v>
      </c>
      <c r="U7" s="37">
        <v>71.599999999999994</v>
      </c>
      <c r="V7" s="37">
        <v>64.900000000000006</v>
      </c>
      <c r="W7" s="37">
        <v>69.900000000000006</v>
      </c>
      <c r="X7" s="38">
        <v>3.1</v>
      </c>
    </row>
    <row r="8" spans="1:24" x14ac:dyDescent="0.25">
      <c r="E8" s="22">
        <f t="shared" si="0"/>
        <v>2019</v>
      </c>
      <c r="F8" s="23">
        <f>AVERAGEIFS(INDEX(Platts!$F$6:$M$4994,,MATCH(F$3,Platts!$F$5:$M$5,0)),Platts!$D$6:$D$4994,$E8)</f>
        <v>56.027011494252896</v>
      </c>
      <c r="G8" s="23">
        <f>AVERAGEIFS(INDEX(Platts!$F$6:$M$4994,,MATCH(G$3,Platts!$F$5:$M$5,0)),Platts!$D$6:$D$4994,$E8)</f>
        <v>63.05789272030654</v>
      </c>
      <c r="H8" s="23">
        <f>AVERAGEIFS(INDEX(Platts!$F$6:$M$4994,,MATCH(H$3,Platts!$F$5:$M$5,0)),Platts!$D$6:$D$4994,$E8)</f>
        <v>57.581839080459723</v>
      </c>
      <c r="I8" s="23">
        <f>AVERAGEIFS(INDEX(Platts!$F$6:$M$4994,,MATCH(I$3,Platts!$F$5:$M$5,0)),Platts!$D$6:$D$4994,$E8)</f>
        <v>65.691762452107284</v>
      </c>
      <c r="J8" s="23">
        <f>AVERAGEIFS(INDEX(Platts!$F$6:$M$4994,,MATCH(J$3,Platts!$F$5:$M$5,0)),Platts!$D$6:$D$4994,$E8)</f>
        <v>64.178965517241394</v>
      </c>
      <c r="K8" s="23">
        <f>AVERAGEIFS(INDEX(Platts!$F$6:$M$4994,,MATCH(K$3,Platts!$F$5:$M$5,0)),Platts!$D$6:$D$4994,$E8)</f>
        <v>57.018275862068982</v>
      </c>
      <c r="L8" s="23">
        <f>AVERAGEIFS(INDEX(Platts!$F$6:$M$4994,,MATCH(L$3,Platts!$F$5:$M$5,0)),Platts!$D$6:$D$4994,$E8)</f>
        <v>62.656590038314157</v>
      </c>
      <c r="M8" s="24">
        <f>AVERAGEIFS(INDEX(Platts!$F$6:$M$4994,,MATCH(M$3,Platts!$F$5:$M$5,0)),Platts!$D$6:$D$4994,$E8)</f>
        <v>0.99126436781609184</v>
      </c>
      <c r="P8" s="36">
        <v>2019</v>
      </c>
      <c r="Q8" s="37">
        <v>56</v>
      </c>
      <c r="R8" s="37">
        <v>63.1</v>
      </c>
      <c r="S8" s="37">
        <v>57.6</v>
      </c>
      <c r="T8" s="37">
        <v>65.7</v>
      </c>
      <c r="U8" s="37">
        <v>64.2</v>
      </c>
      <c r="V8" s="37">
        <v>57</v>
      </c>
      <c r="W8" s="37">
        <v>62.7</v>
      </c>
      <c r="X8" s="38">
        <v>1</v>
      </c>
    </row>
    <row r="9" spans="1:24" x14ac:dyDescent="0.25">
      <c r="E9" s="22">
        <f t="shared" si="0"/>
        <v>2020</v>
      </c>
      <c r="F9" s="23">
        <f>AVERAGEIFS(INDEX(Platts!$F$6:$M$4994,,MATCH(F$3,Platts!$F$5:$M$5,0)),Platts!$D$6:$D$4994,$E9)</f>
        <v>35.831717557251885</v>
      </c>
      <c r="G9" s="23">
        <f>AVERAGEIFS(INDEX(Platts!$F$6:$M$4994,,MATCH(G$3,Platts!$F$5:$M$5,0)),Platts!$D$6:$D$4994,$E9)</f>
        <v>37.999236641221366</v>
      </c>
      <c r="H9" s="23">
        <f>AVERAGEIFS(INDEX(Platts!$F$6:$M$4994,,MATCH(H$3,Platts!$F$5:$M$5,0)),Platts!$D$6:$D$4994,$E9)</f>
        <v>36.429122137404597</v>
      </c>
      <c r="I9" s="23">
        <f>AVERAGEIFS(INDEX(Platts!$F$6:$M$4994,,MATCH(I$3,Platts!$F$5:$M$5,0)),Platts!$D$6:$D$4994,$E9)</f>
        <v>40.748664122137406</v>
      </c>
      <c r="J9" s="23">
        <f>AVERAGEIFS(INDEX(Platts!$F$6:$M$4994,,MATCH(J$3,Platts!$F$5:$M$5,0)),Platts!$D$6:$D$4994,$E9)</f>
        <v>43.277442748091644</v>
      </c>
      <c r="K9" s="23">
        <f>AVERAGEIFS(INDEX(Platts!$F$6:$M$4994,,MATCH(K$3,Platts!$F$5:$M$5,0)),Platts!$D$6:$D$4994,$E9)</f>
        <v>39.455229007633619</v>
      </c>
      <c r="L9" s="23">
        <f>AVERAGEIFS(INDEX(Platts!$F$6:$M$4994,,MATCH(L$3,Platts!$F$5:$M$5,0)),Platts!$D$6:$D$4994,$E9)</f>
        <v>41.330114503816823</v>
      </c>
      <c r="M9" s="24">
        <f>AVERAGEIFS(INDEX(Platts!$F$6:$M$4994,,MATCH(M$3,Platts!$F$5:$M$5,0)),Platts!$D$6:$D$4994,$E9)</f>
        <v>3.6235114503816814</v>
      </c>
      <c r="P9" s="36">
        <v>2020</v>
      </c>
      <c r="Q9" s="37">
        <v>35.799999999999997</v>
      </c>
      <c r="R9" s="37">
        <v>38</v>
      </c>
      <c r="S9" s="37">
        <v>36.4</v>
      </c>
      <c r="T9" s="37">
        <v>40.700000000000003</v>
      </c>
      <c r="U9" s="37">
        <v>43.3</v>
      </c>
      <c r="V9" s="37">
        <v>39.5</v>
      </c>
      <c r="W9" s="37">
        <v>41.3</v>
      </c>
      <c r="X9" s="38">
        <v>3.6</v>
      </c>
    </row>
    <row r="10" spans="1:24" x14ac:dyDescent="0.25">
      <c r="E10" s="22">
        <f t="shared" si="0"/>
        <v>2021</v>
      </c>
      <c r="F10" s="23">
        <f>AVERAGEIFS(INDEX(Platts!$F$6:$M$4994,,MATCH(F$3,Platts!$F$5:$M$5,0)),Platts!$D$6:$D$4994,$E10)</f>
        <v>64.743486590038273</v>
      </c>
      <c r="G10" s="23">
        <f>AVERAGEIFS(INDEX(Platts!$F$6:$M$4994,,MATCH(G$3,Platts!$F$5:$M$5,0)),Platts!$D$6:$D$4994,$E10)</f>
        <v>65.4623754789272</v>
      </c>
      <c r="H10" s="23">
        <f>AVERAGEIFS(INDEX(Platts!$F$6:$M$4994,,MATCH(H$3,Platts!$F$5:$M$5,0)),Platts!$D$6:$D$4994,$E10)</f>
        <v>64.385938697318068</v>
      </c>
      <c r="I10" s="23">
        <f>AVERAGEIFS(INDEX(Platts!$F$6:$M$4994,,MATCH(I$3,Platts!$F$5:$M$5,0)),Platts!$D$6:$D$4994,$E10)</f>
        <v>67.739003831417619</v>
      </c>
      <c r="J10" s="23">
        <f>AVERAGEIFS(INDEX(Platts!$F$6:$M$4994,,MATCH(J$3,Platts!$F$5:$M$5,0)),Platts!$D$6:$D$4994,$E10)</f>
        <v>70.916666666666671</v>
      </c>
      <c r="K10" s="23">
        <f>AVERAGEIFS(INDEX(Platts!$F$6:$M$4994,,MATCH(K$3,Platts!$F$5:$M$5,0)),Platts!$D$6:$D$4994,$E10)</f>
        <v>68.062490421455976</v>
      </c>
      <c r="L10" s="23">
        <f>AVERAGEIFS(INDEX(Platts!$F$6:$M$4994,,MATCH(L$3,Platts!$F$5:$M$5,0)),Platts!$D$6:$D$4994,$E10)</f>
        <v>69.565363984674363</v>
      </c>
      <c r="M10" s="24">
        <f>AVERAGEIFS(INDEX(Platts!$F$6:$M$4994,,MATCH(M$3,Platts!$F$5:$M$5,0)),Platts!$D$6:$D$4994,$E10)</f>
        <v>3.3190038314176253</v>
      </c>
      <c r="P10" s="36">
        <v>2021</v>
      </c>
      <c r="Q10" s="37">
        <v>64.7</v>
      </c>
      <c r="R10" s="37">
        <v>65.5</v>
      </c>
      <c r="S10" s="37">
        <v>64.400000000000006</v>
      </c>
      <c r="T10" s="37">
        <v>67.7</v>
      </c>
      <c r="U10" s="37">
        <v>70.900000000000006</v>
      </c>
      <c r="V10" s="37">
        <v>68.099999999999994</v>
      </c>
      <c r="W10" s="37">
        <v>69.599999999999994</v>
      </c>
      <c r="X10" s="38">
        <v>3.3</v>
      </c>
    </row>
    <row r="11" spans="1:24" x14ac:dyDescent="0.25">
      <c r="A11" s="12"/>
      <c r="B11" s="12"/>
      <c r="C11" s="12"/>
      <c r="D11" s="12"/>
      <c r="E11" s="22">
        <v>2022</v>
      </c>
      <c r="F11" s="23">
        <f>AVERAGEIFS(INDEX(Platts!$F$6:$M$4994,,MATCH(F$3,Platts!$F$5:$M$5,0)),Platts!$D$6:$D$4994,$E11)</f>
        <v>89.392192307692383</v>
      </c>
      <c r="G11" s="23">
        <f>AVERAGEIFS(INDEX(Platts!$F$6:$M$4994,,MATCH(G$3,Platts!$F$5:$M$5,0)),Platts!$D$6:$D$4994,$E11)</f>
        <v>90.686384615384696</v>
      </c>
      <c r="H11" s="23">
        <f>AVERAGEIFS(INDEX(Platts!$F$6:$M$4994,,MATCH(H$3,Platts!$F$5:$M$5,0)),Platts!$D$6:$D$4994,$E11)</f>
        <v>87.266192307692307</v>
      </c>
      <c r="I11" s="23">
        <f>AVERAGEIFS(INDEX(Platts!$F$6:$M$4994,,MATCH(I$3,Platts!$F$5:$M$5,0)),Platts!$D$6:$D$4994,$E11)</f>
        <v>92.537538461538503</v>
      </c>
      <c r="J11" s="23">
        <f>AVERAGEIFS(INDEX(Platts!$F$6:$M$4994,,MATCH(J$3,Platts!$F$5:$M$5,0)),Platts!$D$6:$D$4994,$E11)</f>
        <v>99.140153846153893</v>
      </c>
      <c r="K11" s="23">
        <f>AVERAGEIFS(INDEX(Platts!$F$6:$M$4994,,MATCH(K$3,Platts!$F$5:$M$5,0)),Platts!$D$6:$D$4994,$E11)</f>
        <v>94.543038461538444</v>
      </c>
      <c r="L11" s="23">
        <f>AVERAGEIFS(INDEX(Platts!$F$6:$M$4994,,MATCH(L$3,Platts!$F$5:$M$5,0)),Platts!$D$6:$D$4994,$E11)</f>
        <v>96.765692307692248</v>
      </c>
      <c r="M11" s="24">
        <f>AVERAGEIFS(INDEX(Platts!$F$6:$M$4994,,MATCH(M$3,Platts!$F$5:$M$5,0)),Platts!$D$6:$D$4994,$E11)</f>
        <v>5.1508461538461541</v>
      </c>
      <c r="P11" s="36">
        <v>2022</v>
      </c>
      <c r="Q11" s="37">
        <v>89.4</v>
      </c>
      <c r="R11" s="37">
        <v>90.7</v>
      </c>
      <c r="S11" s="37">
        <v>87.3</v>
      </c>
      <c r="T11" s="37">
        <v>92.5</v>
      </c>
      <c r="U11" s="37">
        <v>99.1</v>
      </c>
      <c r="V11" s="37">
        <v>94.5</v>
      </c>
      <c r="W11" s="37">
        <v>96.8</v>
      </c>
      <c r="X11" s="38">
        <v>5.2</v>
      </c>
    </row>
    <row r="12" spans="1:24" x14ac:dyDescent="0.25">
      <c r="A12" s="12">
        <v>1</v>
      </c>
      <c r="B12" s="32">
        <v>2023</v>
      </c>
      <c r="C12" s="32"/>
      <c r="D12" s="32"/>
      <c r="E12" s="22" t="s">
        <v>40</v>
      </c>
      <c r="F12" s="23">
        <f>AVERAGEIFS(INDEX(Platts!$F$6:$M$4994,,MATCH(F$3,Platts!$F$5:$M$5,0)),Platts!$D$6:$D$4994,$B12,Platts!$C$6:$C$4994,$A12)</f>
        <v>67.491000000000014</v>
      </c>
      <c r="G12" s="23">
        <f>AVERAGEIFS(INDEX(Platts!$F$6:$M$4994,,MATCH(G$3,Platts!$F$5:$M$5,0)),Platts!$D$6:$D$4994,$B12,Platts!$C$6:$C$4994,$A12)</f>
        <v>68.96550000000002</v>
      </c>
      <c r="H12" s="23">
        <f>AVERAGEIFS(INDEX(Platts!$F$6:$M$4994,,MATCH(H$3,Platts!$F$5:$M$5,0)),Platts!$D$6:$D$4994,$B12,Platts!$C$6:$C$4994,$A12)</f>
        <v>64.095500000000015</v>
      </c>
      <c r="I12" s="23">
        <f>AVERAGEIFS(INDEX(Platts!$F$6:$M$4994,,MATCH(I$3,Platts!$F$5:$M$5,0)),Platts!$D$6:$D$4994,$B12,Platts!$C$6:$C$4994,$A12)</f>
        <v>73.115499999999983</v>
      </c>
      <c r="J12" s="23">
        <f>AVERAGEIFS(INDEX(Platts!$F$6:$M$4994,,MATCH(J$3,Platts!$F$5:$M$5,0)),Platts!$D$6:$D$4994,$B12,Platts!$C$6:$C$4994,$A12)</f>
        <v>84.230999999999995</v>
      </c>
      <c r="K12" s="23">
        <f>AVERAGEIFS(INDEX(Platts!$F$6:$M$4994,,MATCH(K$3,Platts!$F$5:$M$5,0)),Platts!$D$6:$D$4994,$B12,Platts!$C$6:$C$4994,$A12)</f>
        <v>78.114000000000004</v>
      </c>
      <c r="L12" s="23">
        <f>AVERAGEIFS(INDEX(Platts!$F$6:$M$4994,,MATCH(L$3,Platts!$F$5:$M$5,0)),Platts!$D$6:$D$4994,$B12,Platts!$C$6:$C$4994,$A12)</f>
        <v>80.756499999999988</v>
      </c>
      <c r="M12" s="24">
        <f>AVERAGEIFS(INDEX(Platts!$F$6:$M$4994,,MATCH(M$3,Platts!$F$5:$M$5,0)),Platts!$D$6:$D$4994,$B12,Platts!$C$6:$C$4994,$A12)</f>
        <v>10.623000000000003</v>
      </c>
      <c r="P12" s="55">
        <v>2023</v>
      </c>
      <c r="Q12" s="56"/>
      <c r="R12" s="56"/>
      <c r="S12" s="56"/>
      <c r="T12" s="56"/>
      <c r="U12" s="56"/>
      <c r="V12" s="56"/>
      <c r="W12" s="56"/>
      <c r="X12" s="57"/>
    </row>
    <row r="13" spans="1:24" x14ac:dyDescent="0.25">
      <c r="A13" s="12">
        <f>A12+1</f>
        <v>2</v>
      </c>
      <c r="B13" s="32">
        <v>2023</v>
      </c>
      <c r="C13" s="32"/>
      <c r="D13" s="32"/>
      <c r="E13" s="22" t="s">
        <v>44</v>
      </c>
      <c r="F13" s="23">
        <f>AVERAGEIFS(INDEX(Platts!$F$6:$M$4994,,MATCH(F$3,Platts!$F$5:$M$5,0)),Platts!$D$6:$D$4994,$B13,Platts!$C$6:$C$4994,$A13)</f>
        <v>67.061999999999998</v>
      </c>
      <c r="G13" s="23">
        <f>AVERAGEIFS(INDEX(Platts!$F$6:$M$4994,,MATCH(G$3,Platts!$F$5:$M$5,0)),Platts!$D$6:$D$4994,$B13,Platts!$C$6:$C$4994,$A13)</f>
        <v>68.594500000000011</v>
      </c>
      <c r="H13" s="23">
        <f>AVERAGEIFS(INDEX(Platts!$F$6:$M$4994,,MATCH(H$3,Platts!$F$5:$M$5,0)),Platts!$D$6:$D$4994,$B13,Platts!$C$6:$C$4994,$A13)</f>
        <v>64.044499999999999</v>
      </c>
      <c r="I13" s="23">
        <f>AVERAGEIFS(INDEX(Platts!$F$6:$M$4994,,MATCH(I$3,Platts!$F$5:$M$5,0)),Platts!$D$6:$D$4994,$B13,Platts!$C$6:$C$4994,$A13)</f>
        <v>73.294499999999999</v>
      </c>
      <c r="J13" s="23">
        <f>AVERAGEIFS(INDEX(Platts!$F$6:$M$4994,,MATCH(J$3,Platts!$F$5:$M$5,0)),Platts!$D$6:$D$4994,$B13,Platts!$C$6:$C$4994,$A13)</f>
        <v>83.458999999999989</v>
      </c>
      <c r="K13" s="23">
        <f>AVERAGEIFS(INDEX(Platts!$F$6:$M$4994,,MATCH(K$3,Platts!$F$5:$M$5,0)),Platts!$D$6:$D$4994,$B13,Platts!$C$6:$C$4994,$A13)</f>
        <v>76.822000000000003</v>
      </c>
      <c r="L13" s="23">
        <f>AVERAGEIFS(INDEX(Platts!$F$6:$M$4994,,MATCH(L$3,Platts!$F$5:$M$5,0)),Platts!$D$6:$D$4994,$B13,Platts!$C$6:$C$4994,$A13)</f>
        <v>80.361999999999995</v>
      </c>
      <c r="M13" s="24">
        <f>AVERAGEIFS(INDEX(Platts!$F$6:$M$4994,,MATCH(M$3,Platts!$F$5:$M$5,0)),Platts!$D$6:$D$4994,$B13,Platts!$C$6:$C$4994,$A13)</f>
        <v>9.7600000000000016</v>
      </c>
      <c r="P13" s="36" t="s">
        <v>40</v>
      </c>
      <c r="Q13" s="37">
        <v>67.5</v>
      </c>
      <c r="R13" s="37">
        <v>69</v>
      </c>
      <c r="S13" s="37">
        <v>64.099999999999994</v>
      </c>
      <c r="T13" s="37">
        <v>73.099999999999994</v>
      </c>
      <c r="U13" s="37">
        <v>84.2</v>
      </c>
      <c r="V13" s="37">
        <v>78.099999999999994</v>
      </c>
      <c r="W13" s="37">
        <v>80.8</v>
      </c>
      <c r="X13" s="38">
        <v>10.6</v>
      </c>
    </row>
    <row r="14" spans="1:24" x14ac:dyDescent="0.25">
      <c r="A14" s="12"/>
      <c r="B14" s="32"/>
      <c r="C14" s="32"/>
      <c r="D14" s="32"/>
      <c r="E14" s="58" t="s">
        <v>45</v>
      </c>
      <c r="F14" s="59"/>
      <c r="G14" s="59"/>
      <c r="H14" s="59"/>
      <c r="I14" s="59"/>
      <c r="J14" s="59"/>
      <c r="K14" s="59"/>
      <c r="L14" s="59"/>
      <c r="M14" s="60"/>
      <c r="P14" s="36"/>
      <c r="Q14" s="37"/>
      <c r="R14" s="37"/>
      <c r="S14" s="37"/>
      <c r="T14" s="37"/>
      <c r="U14" s="37"/>
      <c r="V14" s="37"/>
      <c r="W14" s="37"/>
      <c r="X14" s="38"/>
    </row>
    <row r="15" spans="1:24" x14ac:dyDescent="0.25">
      <c r="A15" s="12">
        <v>1</v>
      </c>
      <c r="B15" s="13">
        <f>_xlfn.NUMBERVALUE(A15&amp;"/"&amp;"3"&amp;"/"&amp;"2023")</f>
        <v>44986</v>
      </c>
      <c r="C15" s="13"/>
      <c r="D15" s="13"/>
      <c r="E15" s="22">
        <f>A15</f>
        <v>1</v>
      </c>
      <c r="F15" s="23">
        <f>VLOOKUP($B15,Diarios!$B$3:$J$5000,MATCH(F$3,Diarios!$C$3:$J$3,0)+1,FALSE)</f>
        <v>68.260000000000005</v>
      </c>
      <c r="G15" s="23">
        <f>VLOOKUP($B15,Diarios!$B$3:$J$5000,MATCH(G$3,Diarios!$C$3:$J$3,0)+1,FALSE)</f>
        <v>69.19</v>
      </c>
      <c r="H15" s="23">
        <f>VLOOKUP($B15,Diarios!$B$3:$J$5000,MATCH(H$3,Diarios!$C$3:$J$3,0)+1,FALSE)</f>
        <v>64.89</v>
      </c>
      <c r="I15" s="23">
        <f>VLOOKUP($B15,Diarios!$B$3:$J$5000,MATCH(I$3,Diarios!$C$3:$J$3,0)+1,FALSE)</f>
        <v>72.39</v>
      </c>
      <c r="J15" s="23">
        <f>VLOOKUP($B15,Diarios!$B$3:$J$5000,MATCH(J$3,Diarios!$C$3:$J$3,0)+1,FALSE)</f>
        <v>83.71</v>
      </c>
      <c r="K15" s="23">
        <f>VLOOKUP($B15,Diarios!$B$3:$J$5000,MATCH(K$3,Diarios!$C$3:$J$3,0)+1,FALSE)</f>
        <v>77.69</v>
      </c>
      <c r="L15" s="23">
        <f>VLOOKUP($B15,Diarios!$B$3:$J$5000,MATCH(L$3,Diarios!$C$3:$J$3,0)+1,FALSE)</f>
        <v>80.739999999999995</v>
      </c>
      <c r="M15" s="24">
        <f>VLOOKUP($B15,Diarios!$B$3:$J$5000,MATCH(M$3,Diarios!$C$3:$J$3,0)+1,FALSE)</f>
        <v>9.4299999999999926</v>
      </c>
      <c r="N15" s="49"/>
      <c r="P15" s="36">
        <v>1</v>
      </c>
      <c r="Q15" s="37">
        <v>66.599999999999994</v>
      </c>
      <c r="R15" s="37">
        <v>67.900000000000006</v>
      </c>
      <c r="S15" s="37">
        <v>63.4</v>
      </c>
      <c r="T15" s="37">
        <v>72.599999999999994</v>
      </c>
      <c r="U15" s="37">
        <v>84.3</v>
      </c>
      <c r="V15" s="37">
        <v>76.400000000000006</v>
      </c>
      <c r="W15" s="37">
        <v>79.900000000000006</v>
      </c>
      <c r="X15" s="38">
        <v>9.8000000000000007</v>
      </c>
    </row>
    <row r="16" spans="1:24" x14ac:dyDescent="0.25">
      <c r="A16" s="12">
        <f t="shared" ref="A16:A45" si="1">A15+1</f>
        <v>2</v>
      </c>
      <c r="B16" s="13">
        <f t="shared" ref="B16:B45" si="2">_xlfn.NUMBERVALUE(A16&amp;"/"&amp;"3"&amp;"/"&amp;"2023")</f>
        <v>44987</v>
      </c>
      <c r="C16" s="13"/>
      <c r="D16" s="13"/>
      <c r="E16" s="22">
        <f t="shared" ref="E16:E45" si="3">A16</f>
        <v>2</v>
      </c>
      <c r="F16" s="23">
        <f>VLOOKUP($B16,Diarios!$B$3:$J$5000,MATCH(F$3,Diarios!$C$3:$J$3,0)+1,FALSE)</f>
        <v>68.680000000000007</v>
      </c>
      <c r="G16" s="23">
        <f>VLOOKUP($B16,Diarios!$B$3:$J$5000,MATCH(G$3,Diarios!$C$3:$J$3,0)+1,FALSE)</f>
        <v>69.650000000000006</v>
      </c>
      <c r="H16" s="23">
        <f>VLOOKUP($B16,Diarios!$B$3:$J$5000,MATCH(H$3,Diarios!$C$3:$J$3,0)+1,FALSE)</f>
        <v>65.349999999999994</v>
      </c>
      <c r="I16" s="23">
        <f>VLOOKUP($B16,Diarios!$B$3:$J$5000,MATCH(I$3,Diarios!$C$3:$J$3,0)+1,FALSE)</f>
        <v>72.849999999999994</v>
      </c>
      <c r="J16" s="23">
        <f>VLOOKUP($B16,Diarios!$B$3:$J$5000,MATCH(J$3,Diarios!$C$3:$J$3,0)+1,FALSE)</f>
        <v>85.09</v>
      </c>
      <c r="K16" s="23">
        <f>VLOOKUP($B16,Diarios!$B$3:$J$5000,MATCH(K$3,Diarios!$C$3:$J$3,0)+1,FALSE)</f>
        <v>78.16</v>
      </c>
      <c r="L16" s="23">
        <f>VLOOKUP($B16,Diarios!$B$3:$J$5000,MATCH(L$3,Diarios!$C$3:$J$3,0)+1,FALSE)</f>
        <v>81.11</v>
      </c>
      <c r="M16" s="24">
        <f>VLOOKUP($B16,Diarios!$B$3:$J$5000,MATCH(M$3,Diarios!$C$3:$J$3,0)+1,FALSE)</f>
        <v>9.4799999999999898</v>
      </c>
      <c r="N16" s="49"/>
    </row>
    <row r="17" spans="1:14" x14ac:dyDescent="0.25">
      <c r="A17" s="12">
        <f t="shared" si="1"/>
        <v>3</v>
      </c>
      <c r="B17" s="13">
        <f t="shared" si="2"/>
        <v>44988</v>
      </c>
      <c r="C17" s="13"/>
      <c r="D17" s="13"/>
      <c r="E17" s="22">
        <f t="shared" si="3"/>
        <v>3</v>
      </c>
      <c r="F17" s="23">
        <f>VLOOKUP($B17,Diarios!$B$3:$J$5000,MATCH(F$3,Diarios!$C$3:$J$3,0)+1,FALSE)</f>
        <v>69.88</v>
      </c>
      <c r="G17" s="23">
        <f>VLOOKUP($B17,Diarios!$B$3:$J$5000,MATCH(G$3,Diarios!$C$3:$J$3,0)+1,FALSE)</f>
        <v>70.92</v>
      </c>
      <c r="H17" s="23">
        <f>VLOOKUP($B17,Diarios!$B$3:$J$5000,MATCH(H$3,Diarios!$C$3:$J$3,0)+1,FALSE)</f>
        <v>66.62</v>
      </c>
      <c r="I17" s="23">
        <f>VLOOKUP($B17,Diarios!$B$3:$J$5000,MATCH(I$3,Diarios!$C$3:$J$3,0)+1,FALSE)</f>
        <v>74.12</v>
      </c>
      <c r="J17" s="23">
        <f>VLOOKUP($B17,Diarios!$B$3:$J$5000,MATCH(J$3,Diarios!$C$3:$J$3,0)+1,FALSE)</f>
        <v>85.44</v>
      </c>
      <c r="K17" s="23">
        <f>VLOOKUP($B17,Diarios!$B$3:$J$5000,MATCH(K$3,Diarios!$C$3:$J$3,0)+1,FALSE)</f>
        <v>79.680000000000007</v>
      </c>
      <c r="L17" s="23">
        <f>VLOOKUP($B17,Diarios!$B$3:$J$5000,MATCH(L$3,Diarios!$C$3:$J$3,0)+1,FALSE)</f>
        <v>82.68</v>
      </c>
      <c r="M17" s="24">
        <f>VLOOKUP($B17,Diarios!$B$3:$J$5000,MATCH(M$3,Diarios!$C$3:$J$3,0)+1,FALSE)</f>
        <v>9.8000000000000114</v>
      </c>
      <c r="N17" s="49"/>
    </row>
    <row r="18" spans="1:14" x14ac:dyDescent="0.25">
      <c r="A18" s="12">
        <f t="shared" si="1"/>
        <v>4</v>
      </c>
      <c r="B18" s="13">
        <f t="shared" si="2"/>
        <v>44989</v>
      </c>
      <c r="C18" s="13"/>
      <c r="D18" s="13"/>
      <c r="E18" s="22">
        <f t="shared" si="3"/>
        <v>4</v>
      </c>
      <c r="F18" s="23">
        <f>VLOOKUP($B18,Diarios!$B$3:$J$5000,MATCH(F$3,Diarios!$C$3:$J$3,0)+1,FALSE)</f>
        <v>69.88</v>
      </c>
      <c r="G18" s="23">
        <f>VLOOKUP($B18,Diarios!$B$3:$J$5000,MATCH(G$3,Diarios!$C$3:$J$3,0)+1,FALSE)</f>
        <v>70.92</v>
      </c>
      <c r="H18" s="23">
        <f>VLOOKUP($B18,Diarios!$B$3:$J$5000,MATCH(H$3,Diarios!$C$3:$J$3,0)+1,FALSE)</f>
        <v>66.62</v>
      </c>
      <c r="I18" s="23">
        <f>VLOOKUP($B18,Diarios!$B$3:$J$5000,MATCH(I$3,Diarios!$C$3:$J$3,0)+1,FALSE)</f>
        <v>74.12</v>
      </c>
      <c r="J18" s="23">
        <f>VLOOKUP($B18,Diarios!$B$3:$J$5000,MATCH(J$3,Diarios!$C$3:$J$3,0)+1,FALSE)</f>
        <v>85.44</v>
      </c>
      <c r="K18" s="23">
        <f>VLOOKUP($B18,Diarios!$B$3:$J$5000,MATCH(K$3,Diarios!$C$3:$J$3,0)+1,FALSE)</f>
        <v>79.680000000000007</v>
      </c>
      <c r="L18" s="23">
        <f>VLOOKUP($B18,Diarios!$B$3:$J$5000,MATCH(L$3,Diarios!$C$3:$J$3,0)+1,FALSE)</f>
        <v>82.68</v>
      </c>
      <c r="M18" s="24">
        <f>VLOOKUP($B18,Diarios!$B$3:$J$5000,MATCH(M$3,Diarios!$C$3:$J$3,0)+1,FALSE)</f>
        <v>9.8000000000000114</v>
      </c>
      <c r="N18" s="49"/>
    </row>
    <row r="19" spans="1:14" x14ac:dyDescent="0.25">
      <c r="A19" s="12">
        <f t="shared" si="1"/>
        <v>5</v>
      </c>
      <c r="B19" s="13">
        <f t="shared" si="2"/>
        <v>44990</v>
      </c>
      <c r="C19" s="13"/>
      <c r="D19" s="13"/>
      <c r="E19" s="22">
        <f t="shared" si="3"/>
        <v>5</v>
      </c>
      <c r="F19" s="23">
        <f>VLOOKUP($B19,Diarios!$B$3:$J$5000,MATCH(F$3,Diarios!$C$3:$J$3,0)+1,FALSE)</f>
        <v>69.88</v>
      </c>
      <c r="G19" s="23">
        <f>VLOOKUP($B19,Diarios!$B$3:$J$5000,MATCH(G$3,Diarios!$C$3:$J$3,0)+1,FALSE)</f>
        <v>70.92</v>
      </c>
      <c r="H19" s="23">
        <f>VLOOKUP($B19,Diarios!$B$3:$J$5000,MATCH(H$3,Diarios!$C$3:$J$3,0)+1,FALSE)</f>
        <v>66.62</v>
      </c>
      <c r="I19" s="23">
        <f>VLOOKUP($B19,Diarios!$B$3:$J$5000,MATCH(I$3,Diarios!$C$3:$J$3,0)+1,FALSE)</f>
        <v>74.12</v>
      </c>
      <c r="J19" s="23">
        <f>VLOOKUP($B19,Diarios!$B$3:$J$5000,MATCH(J$3,Diarios!$C$3:$J$3,0)+1,FALSE)</f>
        <v>85.44</v>
      </c>
      <c r="K19" s="23">
        <f>VLOOKUP($B19,Diarios!$B$3:$J$5000,MATCH(K$3,Diarios!$C$3:$J$3,0)+1,FALSE)</f>
        <v>79.680000000000007</v>
      </c>
      <c r="L19" s="23">
        <f>VLOOKUP($B19,Diarios!$B$3:$J$5000,MATCH(L$3,Diarios!$C$3:$J$3,0)+1,FALSE)</f>
        <v>82.68</v>
      </c>
      <c r="M19" s="24">
        <f>VLOOKUP($B19,Diarios!$B$3:$J$5000,MATCH(M$3,Diarios!$C$3:$J$3,0)+1,FALSE)</f>
        <v>9.8000000000000114</v>
      </c>
      <c r="N19" s="49"/>
    </row>
    <row r="20" spans="1:14" x14ac:dyDescent="0.25">
      <c r="A20" s="12">
        <f t="shared" si="1"/>
        <v>6</v>
      </c>
      <c r="B20" s="13">
        <f t="shared" si="2"/>
        <v>44991</v>
      </c>
      <c r="C20" s="13"/>
      <c r="D20" s="13"/>
      <c r="E20" s="22">
        <f t="shared" si="3"/>
        <v>6</v>
      </c>
      <c r="F20" s="23">
        <f>VLOOKUP($B20,Diarios!$B$3:$J$5000,MATCH(F$3,Diarios!$C$3:$J$3,0)+1,FALSE)</f>
        <v>70.37</v>
      </c>
      <c r="G20" s="23">
        <f>VLOOKUP($B20,Diarios!$B$3:$J$5000,MATCH(G$3,Diarios!$C$3:$J$3,0)+1,FALSE)</f>
        <v>71.510000000000005</v>
      </c>
      <c r="H20" s="23">
        <f>VLOOKUP($B20,Diarios!$B$3:$J$5000,MATCH(H$3,Diarios!$C$3:$J$3,0)+1,FALSE)</f>
        <v>67.209999999999994</v>
      </c>
      <c r="I20" s="23">
        <f>VLOOKUP($B20,Diarios!$B$3:$J$5000,MATCH(I$3,Diarios!$C$3:$J$3,0)+1,FALSE)</f>
        <v>74.709999999999994</v>
      </c>
      <c r="J20" s="23">
        <f>VLOOKUP($B20,Diarios!$B$3:$J$5000,MATCH(J$3,Diarios!$C$3:$J$3,0)+1,FALSE)</f>
        <v>86.18</v>
      </c>
      <c r="K20" s="23">
        <f>VLOOKUP($B20,Diarios!$B$3:$J$5000,MATCH(K$3,Diarios!$C$3:$J$3,0)+1,FALSE)</f>
        <v>80.459999999999994</v>
      </c>
      <c r="L20" s="23">
        <f>VLOOKUP($B20,Diarios!$B$3:$J$5000,MATCH(L$3,Diarios!$C$3:$J$3,0)+1,FALSE)</f>
        <v>83.36</v>
      </c>
      <c r="M20" s="24">
        <f>VLOOKUP($B20,Diarios!$B$3:$J$5000,MATCH(M$3,Diarios!$C$3:$J$3,0)+1,FALSE)</f>
        <v>10.089999999999989</v>
      </c>
      <c r="N20" s="49"/>
    </row>
    <row r="21" spans="1:14" x14ac:dyDescent="0.25">
      <c r="A21" s="12">
        <f t="shared" si="1"/>
        <v>7</v>
      </c>
      <c r="B21" s="13">
        <f t="shared" si="2"/>
        <v>44992</v>
      </c>
      <c r="C21" s="13"/>
      <c r="D21" s="13"/>
      <c r="E21" s="22">
        <f t="shared" si="3"/>
        <v>7</v>
      </c>
      <c r="F21" s="23">
        <f>VLOOKUP($B21,Diarios!$B$3:$J$5000,MATCH(F$3,Diarios!$C$3:$J$3,0)+1,FALSE)</f>
        <v>67.61</v>
      </c>
      <c r="G21" s="23">
        <f>VLOOKUP($B21,Diarios!$B$3:$J$5000,MATCH(G$3,Diarios!$C$3:$J$3,0)+1,FALSE)</f>
        <v>68.5</v>
      </c>
      <c r="H21" s="23">
        <f>VLOOKUP($B21,Diarios!$B$3:$J$5000,MATCH(H$3,Diarios!$C$3:$J$3,0)+1,FALSE)</f>
        <v>64.2</v>
      </c>
      <c r="I21" s="23">
        <f>VLOOKUP($B21,Diarios!$B$3:$J$5000,MATCH(I$3,Diarios!$C$3:$J$3,0)+1,FALSE)</f>
        <v>71.7</v>
      </c>
      <c r="J21" s="23">
        <f>VLOOKUP($B21,Diarios!$B$3:$J$5000,MATCH(J$3,Diarios!$C$3:$J$3,0)+1,FALSE)</f>
        <v>84.31</v>
      </c>
      <c r="K21" s="23">
        <f>VLOOKUP($B21,Diarios!$B$3:$J$5000,MATCH(K$3,Diarios!$C$3:$J$3,0)+1,FALSE)</f>
        <v>77.58</v>
      </c>
      <c r="L21" s="23">
        <f>VLOOKUP($B21,Diarios!$B$3:$J$5000,MATCH(L$3,Diarios!$C$3:$J$3,0)+1,FALSE)</f>
        <v>80.08</v>
      </c>
      <c r="M21" s="24">
        <f>VLOOKUP($B21,Diarios!$B$3:$J$5000,MATCH(M$3,Diarios!$C$3:$J$3,0)+1,FALSE)</f>
        <v>9.9699999999999989</v>
      </c>
      <c r="N21" s="49"/>
    </row>
    <row r="22" spans="1:14" x14ac:dyDescent="0.25">
      <c r="A22" s="12">
        <f t="shared" si="1"/>
        <v>8</v>
      </c>
      <c r="B22" s="13">
        <f t="shared" si="2"/>
        <v>44993</v>
      </c>
      <c r="C22" s="13"/>
      <c r="D22" s="13"/>
      <c r="E22" s="22">
        <f t="shared" si="3"/>
        <v>8</v>
      </c>
      <c r="F22" s="23">
        <f>VLOOKUP($B22,Diarios!$B$3:$J$5000,MATCH(F$3,Diarios!$C$3:$J$3,0)+1,FALSE)</f>
        <v>66.819999999999993</v>
      </c>
      <c r="G22" s="23">
        <f>VLOOKUP($B22,Diarios!$B$3:$J$5000,MATCH(G$3,Diarios!$C$3:$J$3,0)+1,FALSE)</f>
        <v>67.81</v>
      </c>
      <c r="H22" s="23">
        <f>VLOOKUP($B22,Diarios!$B$3:$J$5000,MATCH(H$3,Diarios!$C$3:$J$3,0)+1,FALSE)</f>
        <v>63.51</v>
      </c>
      <c r="I22" s="23">
        <f>VLOOKUP($B22,Diarios!$B$3:$J$5000,MATCH(I$3,Diarios!$C$3:$J$3,0)+1,FALSE)</f>
        <v>71.010000000000005</v>
      </c>
      <c r="J22" s="23">
        <f>VLOOKUP($B22,Diarios!$B$3:$J$5000,MATCH(J$3,Diarios!$C$3:$J$3,0)+1,FALSE)</f>
        <v>82.85</v>
      </c>
      <c r="K22" s="23">
        <f>VLOOKUP($B22,Diarios!$B$3:$J$5000,MATCH(K$3,Diarios!$C$3:$J$3,0)+1,FALSE)</f>
        <v>76.66</v>
      </c>
      <c r="L22" s="23">
        <f>VLOOKUP($B22,Diarios!$B$3:$J$5000,MATCH(L$3,Diarios!$C$3:$J$3,0)+1,FALSE)</f>
        <v>79.36</v>
      </c>
      <c r="M22" s="24">
        <f>VLOOKUP($B22,Diarios!$B$3:$J$5000,MATCH(M$3,Diarios!$C$3:$J$3,0)+1,FALSE)</f>
        <v>9.8400000000000034</v>
      </c>
      <c r="N22" s="49"/>
    </row>
    <row r="23" spans="1:14" x14ac:dyDescent="0.25">
      <c r="A23" s="12">
        <f t="shared" si="1"/>
        <v>9</v>
      </c>
      <c r="B23" s="13">
        <f t="shared" si="2"/>
        <v>44994</v>
      </c>
      <c r="C23" s="13"/>
      <c r="D23" s="13"/>
      <c r="E23" s="22">
        <f t="shared" si="3"/>
        <v>9</v>
      </c>
      <c r="F23" s="23">
        <f>VLOOKUP($B23,Diarios!$B$3:$J$5000,MATCH(F$3,Diarios!$C$3:$J$3,0)+1,FALSE)</f>
        <v>65.95</v>
      </c>
      <c r="G23" s="23">
        <f>VLOOKUP($B23,Diarios!$B$3:$J$5000,MATCH(G$3,Diarios!$C$3:$J$3,0)+1,FALSE)</f>
        <v>66.86</v>
      </c>
      <c r="H23" s="23">
        <f>VLOOKUP($B23,Diarios!$B$3:$J$5000,MATCH(H$3,Diarios!$C$3:$J$3,0)+1,FALSE)</f>
        <v>62.56</v>
      </c>
      <c r="I23" s="23">
        <f>VLOOKUP($B23,Diarios!$B$3:$J$5000,MATCH(I$3,Diarios!$C$3:$J$3,0)+1,FALSE)</f>
        <v>70.06</v>
      </c>
      <c r="J23" s="23">
        <f>VLOOKUP($B23,Diarios!$B$3:$J$5000,MATCH(J$3,Diarios!$C$3:$J$3,0)+1,FALSE)</f>
        <v>83.41</v>
      </c>
      <c r="K23" s="23">
        <f>VLOOKUP($B23,Diarios!$B$3:$J$5000,MATCH(K$3,Diarios!$C$3:$J$3,0)+1,FALSE)</f>
        <v>75.72</v>
      </c>
      <c r="L23" s="23">
        <f>VLOOKUP($B23,Diarios!$B$3:$J$5000,MATCH(L$3,Diarios!$C$3:$J$3,0)+1,FALSE)</f>
        <v>78.819999999999993</v>
      </c>
      <c r="M23" s="24">
        <f>VLOOKUP($B23,Diarios!$B$3:$J$5000,MATCH(M$3,Diarios!$C$3:$J$3,0)+1,FALSE)</f>
        <v>9.769999999999996</v>
      </c>
      <c r="N23" s="49"/>
    </row>
    <row r="24" spans="1:14" x14ac:dyDescent="0.25">
      <c r="A24" s="12">
        <f t="shared" si="1"/>
        <v>10</v>
      </c>
      <c r="B24" s="13">
        <f t="shared" si="2"/>
        <v>44995</v>
      </c>
      <c r="C24" s="13"/>
      <c r="D24" s="13"/>
      <c r="E24" s="22">
        <f t="shared" si="3"/>
        <v>10</v>
      </c>
      <c r="F24" s="23">
        <f>VLOOKUP($B24,Diarios!$B$3:$J$5000,MATCH(F$3,Diarios!$C$3:$J$3,0)+1,FALSE)</f>
        <v>66.84</v>
      </c>
      <c r="G24" s="23">
        <f>VLOOKUP($B24,Diarios!$B$3:$J$5000,MATCH(G$3,Diarios!$C$3:$J$3,0)+1,FALSE)</f>
        <v>67.84</v>
      </c>
      <c r="H24" s="23">
        <f>VLOOKUP($B24,Diarios!$B$3:$J$5000,MATCH(H$3,Diarios!$C$3:$J$3,0)+1,FALSE)</f>
        <v>63.54</v>
      </c>
      <c r="I24" s="23">
        <f>VLOOKUP($B24,Diarios!$B$3:$J$5000,MATCH(I$3,Diarios!$C$3:$J$3,0)+1,FALSE)</f>
        <v>71.040000000000006</v>
      </c>
      <c r="J24" s="23">
        <f>VLOOKUP($B24,Diarios!$B$3:$J$5000,MATCH(J$3,Diarios!$C$3:$J$3,0)+1,FALSE)</f>
        <v>82.8</v>
      </c>
      <c r="K24" s="23">
        <f>VLOOKUP($B24,Diarios!$B$3:$J$5000,MATCH(K$3,Diarios!$C$3:$J$3,0)+1,FALSE)</f>
        <v>76.680000000000007</v>
      </c>
      <c r="L24" s="23">
        <f>VLOOKUP($B24,Diarios!$B$3:$J$5000,MATCH(L$3,Diarios!$C$3:$J$3,0)+1,FALSE)</f>
        <v>79.78</v>
      </c>
      <c r="M24" s="24">
        <f>VLOOKUP($B24,Diarios!$B$3:$J$5000,MATCH(M$3,Diarios!$C$3:$J$3,0)+1,FALSE)</f>
        <v>9.8400000000000034</v>
      </c>
      <c r="N24" s="49"/>
    </row>
    <row r="25" spans="1:14" x14ac:dyDescent="0.25">
      <c r="A25" s="12">
        <f t="shared" si="1"/>
        <v>11</v>
      </c>
      <c r="B25" s="13">
        <f t="shared" si="2"/>
        <v>44996</v>
      </c>
      <c r="C25" s="13"/>
      <c r="D25" s="13"/>
      <c r="E25" s="22">
        <f t="shared" si="3"/>
        <v>11</v>
      </c>
      <c r="F25" s="23">
        <f>VLOOKUP($B25,Diarios!$B$3:$J$5000,MATCH(F$3,Diarios!$C$3:$J$3,0)+1,FALSE)</f>
        <v>66.84</v>
      </c>
      <c r="G25" s="23">
        <f>VLOOKUP($B25,Diarios!$B$3:$J$5000,MATCH(G$3,Diarios!$C$3:$J$3,0)+1,FALSE)</f>
        <v>67.84</v>
      </c>
      <c r="H25" s="23">
        <f>VLOOKUP($B25,Diarios!$B$3:$J$5000,MATCH(H$3,Diarios!$C$3:$J$3,0)+1,FALSE)</f>
        <v>63.54</v>
      </c>
      <c r="I25" s="23">
        <f>VLOOKUP($B25,Diarios!$B$3:$J$5000,MATCH(I$3,Diarios!$C$3:$J$3,0)+1,FALSE)</f>
        <v>71.040000000000006</v>
      </c>
      <c r="J25" s="23">
        <f>VLOOKUP($B25,Diarios!$B$3:$J$5000,MATCH(J$3,Diarios!$C$3:$J$3,0)+1,FALSE)</f>
        <v>82.8</v>
      </c>
      <c r="K25" s="23">
        <f>VLOOKUP($B25,Diarios!$B$3:$J$5000,MATCH(K$3,Diarios!$C$3:$J$3,0)+1,FALSE)</f>
        <v>76.680000000000007</v>
      </c>
      <c r="L25" s="23">
        <f>VLOOKUP($B25,Diarios!$B$3:$J$5000,MATCH(L$3,Diarios!$C$3:$J$3,0)+1,FALSE)</f>
        <v>79.78</v>
      </c>
      <c r="M25" s="24">
        <f>VLOOKUP($B25,Diarios!$B$3:$J$5000,MATCH(M$3,Diarios!$C$3:$J$3,0)+1,FALSE)</f>
        <v>9.8400000000000034</v>
      </c>
      <c r="N25" s="49"/>
    </row>
    <row r="26" spans="1:14" x14ac:dyDescent="0.25">
      <c r="A26" s="12">
        <f t="shared" si="1"/>
        <v>12</v>
      </c>
      <c r="B26" s="13">
        <f t="shared" si="2"/>
        <v>44997</v>
      </c>
      <c r="C26" s="13"/>
      <c r="D26" s="13"/>
      <c r="E26" s="22">
        <f t="shared" si="3"/>
        <v>12</v>
      </c>
      <c r="F26" s="23">
        <f>VLOOKUP($B26,Diarios!$B$3:$J$5000,MATCH(F$3,Diarios!$C$3:$J$3,0)+1,FALSE)</f>
        <v>66.84</v>
      </c>
      <c r="G26" s="23">
        <f>VLOOKUP($B26,Diarios!$B$3:$J$5000,MATCH(G$3,Diarios!$C$3:$J$3,0)+1,FALSE)</f>
        <v>67.84</v>
      </c>
      <c r="H26" s="23">
        <f>VLOOKUP($B26,Diarios!$B$3:$J$5000,MATCH(H$3,Diarios!$C$3:$J$3,0)+1,FALSE)</f>
        <v>63.54</v>
      </c>
      <c r="I26" s="23">
        <f>VLOOKUP($B26,Diarios!$B$3:$J$5000,MATCH(I$3,Diarios!$C$3:$J$3,0)+1,FALSE)</f>
        <v>71.040000000000006</v>
      </c>
      <c r="J26" s="23">
        <f>VLOOKUP($B26,Diarios!$B$3:$J$5000,MATCH(J$3,Diarios!$C$3:$J$3,0)+1,FALSE)</f>
        <v>82.8</v>
      </c>
      <c r="K26" s="23">
        <f>VLOOKUP($B26,Diarios!$B$3:$J$5000,MATCH(K$3,Diarios!$C$3:$J$3,0)+1,FALSE)</f>
        <v>76.680000000000007</v>
      </c>
      <c r="L26" s="23">
        <f>VLOOKUP($B26,Diarios!$B$3:$J$5000,MATCH(L$3,Diarios!$C$3:$J$3,0)+1,FALSE)</f>
        <v>79.78</v>
      </c>
      <c r="M26" s="24">
        <f>VLOOKUP($B26,Diarios!$B$3:$J$5000,MATCH(M$3,Diarios!$C$3:$J$3,0)+1,FALSE)</f>
        <v>9.8400000000000034</v>
      </c>
      <c r="N26" s="49"/>
    </row>
    <row r="27" spans="1:14" x14ac:dyDescent="0.25">
      <c r="A27" s="12">
        <f t="shared" si="1"/>
        <v>13</v>
      </c>
      <c r="B27" s="13">
        <f t="shared" si="2"/>
        <v>44998</v>
      </c>
      <c r="C27" s="13"/>
      <c r="D27" s="13"/>
      <c r="E27" s="22">
        <f t="shared" si="3"/>
        <v>13</v>
      </c>
      <c r="F27" s="23">
        <f>VLOOKUP($B27,Diarios!$B$3:$J$5000,MATCH(F$3,Diarios!$C$3:$J$3,0)+1,FALSE)</f>
        <v>65.069999999999993</v>
      </c>
      <c r="G27" s="23">
        <f>VLOOKUP($B27,Diarios!$B$3:$J$5000,MATCH(G$3,Diarios!$C$3:$J$3,0)+1,FALSE)</f>
        <v>65.88</v>
      </c>
      <c r="H27" s="23">
        <f>VLOOKUP($B27,Diarios!$B$3:$J$5000,MATCH(H$3,Diarios!$C$3:$J$3,0)+1,FALSE)</f>
        <v>61.58</v>
      </c>
      <c r="I27" s="23">
        <f>VLOOKUP($B27,Diarios!$B$3:$J$5000,MATCH(I$3,Diarios!$C$3:$J$3,0)+1,FALSE)</f>
        <v>69.08</v>
      </c>
      <c r="J27" s="23">
        <f>VLOOKUP($B27,Diarios!$B$3:$J$5000,MATCH(J$3,Diarios!$C$3:$J$3,0)+1,FALSE)</f>
        <v>81.72</v>
      </c>
      <c r="K27" s="23">
        <f>VLOOKUP($B27,Diarios!$B$3:$J$5000,MATCH(K$3,Diarios!$C$3:$J$3,0)+1,FALSE)</f>
        <v>74.8</v>
      </c>
      <c r="L27" s="23">
        <f>VLOOKUP($B27,Diarios!$B$3:$J$5000,MATCH(L$3,Diarios!$C$3:$J$3,0)+1,FALSE)</f>
        <v>77.900000000000006</v>
      </c>
      <c r="M27" s="24">
        <f>VLOOKUP($B27,Diarios!$B$3:$J$5000,MATCH(M$3,Diarios!$C$3:$J$3,0)+1,FALSE)</f>
        <v>9.730000000000004</v>
      </c>
      <c r="N27" s="49"/>
    </row>
    <row r="28" spans="1:14" x14ac:dyDescent="0.25">
      <c r="A28" s="12">
        <f t="shared" si="1"/>
        <v>14</v>
      </c>
      <c r="B28" s="13">
        <f t="shared" si="2"/>
        <v>44999</v>
      </c>
      <c r="C28" s="13"/>
      <c r="D28" s="13"/>
      <c r="E28" s="22">
        <f t="shared" si="3"/>
        <v>14</v>
      </c>
      <c r="F28" s="23" t="e">
        <f>VLOOKUP($B28,Diarios!$B$3:$J$5000,MATCH(F$3,Diarios!$C$3:$J$3,0)+1,FALSE)</f>
        <v>#N/A</v>
      </c>
      <c r="G28" s="23" t="e">
        <f>VLOOKUP($B28,Diarios!$B$3:$J$5000,MATCH(G$3,Diarios!$C$3:$J$3,0)+1,FALSE)</f>
        <v>#N/A</v>
      </c>
      <c r="H28" s="23" t="e">
        <f>VLOOKUP($B28,Diarios!$B$3:$J$5000,MATCH(H$3,Diarios!$C$3:$J$3,0)+1,FALSE)</f>
        <v>#N/A</v>
      </c>
      <c r="I28" s="23" t="e">
        <f>VLOOKUP($B28,Diarios!$B$3:$J$5000,MATCH(I$3,Diarios!$C$3:$J$3,0)+1,FALSE)</f>
        <v>#N/A</v>
      </c>
      <c r="J28" s="23" t="e">
        <f>VLOOKUP($B28,Diarios!$B$3:$J$5000,MATCH(J$3,Diarios!$C$3:$J$3,0)+1,FALSE)</f>
        <v>#N/A</v>
      </c>
      <c r="K28" s="23" t="e">
        <f>VLOOKUP($B28,Diarios!$B$3:$J$5000,MATCH(K$3,Diarios!$C$3:$J$3,0)+1,FALSE)</f>
        <v>#N/A</v>
      </c>
      <c r="L28" s="23" t="e">
        <f>VLOOKUP($B28,Diarios!$B$3:$J$5000,MATCH(L$3,Diarios!$C$3:$J$3,0)+1,FALSE)</f>
        <v>#N/A</v>
      </c>
      <c r="M28" s="24" t="e">
        <f>VLOOKUP($B28,Diarios!$B$3:$J$5000,MATCH(M$3,Diarios!$C$3:$J$3,0)+1,FALSE)</f>
        <v>#N/A</v>
      </c>
      <c r="N28" s="49"/>
    </row>
    <row r="29" spans="1:14" x14ac:dyDescent="0.25">
      <c r="A29" s="12">
        <f t="shared" si="1"/>
        <v>15</v>
      </c>
      <c r="B29" s="13">
        <f t="shared" si="2"/>
        <v>45000</v>
      </c>
      <c r="C29" s="13"/>
      <c r="D29" s="13"/>
      <c r="E29" s="22">
        <f t="shared" si="3"/>
        <v>15</v>
      </c>
      <c r="F29" s="23" t="e">
        <f>VLOOKUP($B29,Diarios!$B$3:$J$5000,MATCH(F$3,Diarios!$C$3:$J$3,0)+1,FALSE)</f>
        <v>#N/A</v>
      </c>
      <c r="G29" s="23" t="e">
        <f>VLOOKUP($B29,Diarios!$B$3:$J$5000,MATCH(G$3,Diarios!$C$3:$J$3,0)+1,FALSE)</f>
        <v>#N/A</v>
      </c>
      <c r="H29" s="23" t="e">
        <f>VLOOKUP($B29,Diarios!$B$3:$J$5000,MATCH(H$3,Diarios!$C$3:$J$3,0)+1,FALSE)</f>
        <v>#N/A</v>
      </c>
      <c r="I29" s="23" t="e">
        <f>VLOOKUP($B29,Diarios!$B$3:$J$5000,MATCH(I$3,Diarios!$C$3:$J$3,0)+1,FALSE)</f>
        <v>#N/A</v>
      </c>
      <c r="J29" s="23" t="e">
        <f>VLOOKUP($B29,Diarios!$B$3:$J$5000,MATCH(J$3,Diarios!$C$3:$J$3,0)+1,FALSE)</f>
        <v>#N/A</v>
      </c>
      <c r="K29" s="23" t="e">
        <f>VLOOKUP($B29,Diarios!$B$3:$J$5000,MATCH(K$3,Diarios!$C$3:$J$3,0)+1,FALSE)</f>
        <v>#N/A</v>
      </c>
      <c r="L29" s="23" t="e">
        <f>VLOOKUP($B29,Diarios!$B$3:$J$5000,MATCH(L$3,Diarios!$C$3:$J$3,0)+1,FALSE)</f>
        <v>#N/A</v>
      </c>
      <c r="M29" s="24" t="e">
        <f>VLOOKUP($B29,Diarios!$B$3:$J$5000,MATCH(M$3,Diarios!$C$3:$J$3,0)+1,FALSE)</f>
        <v>#N/A</v>
      </c>
      <c r="N29" s="49"/>
    </row>
    <row r="30" spans="1:14" x14ac:dyDescent="0.25">
      <c r="A30" s="12">
        <f t="shared" si="1"/>
        <v>16</v>
      </c>
      <c r="B30" s="13">
        <f t="shared" si="2"/>
        <v>45001</v>
      </c>
      <c r="C30" s="13"/>
      <c r="D30" s="13"/>
      <c r="E30" s="22">
        <f t="shared" si="3"/>
        <v>16</v>
      </c>
      <c r="F30" s="23" t="e">
        <f>VLOOKUP($B30,Diarios!$B$3:$J$5000,MATCH(F$3,Diarios!$C$3:$J$3,0)+1,FALSE)</f>
        <v>#N/A</v>
      </c>
      <c r="G30" s="23" t="e">
        <f>VLOOKUP($B30,Diarios!$B$3:$J$5000,MATCH(G$3,Diarios!$C$3:$J$3,0)+1,FALSE)</f>
        <v>#N/A</v>
      </c>
      <c r="H30" s="23" t="e">
        <f>VLOOKUP($B30,Diarios!$B$3:$J$5000,MATCH(H$3,Diarios!$C$3:$J$3,0)+1,FALSE)</f>
        <v>#N/A</v>
      </c>
      <c r="I30" s="23" t="e">
        <f>VLOOKUP($B30,Diarios!$B$3:$J$5000,MATCH(I$3,Diarios!$C$3:$J$3,0)+1,FALSE)</f>
        <v>#N/A</v>
      </c>
      <c r="J30" s="23" t="e">
        <f>VLOOKUP($B30,Diarios!$B$3:$J$5000,MATCH(J$3,Diarios!$C$3:$J$3,0)+1,FALSE)</f>
        <v>#N/A</v>
      </c>
      <c r="K30" s="23" t="e">
        <f>VLOOKUP($B30,Diarios!$B$3:$J$5000,MATCH(K$3,Diarios!$C$3:$J$3,0)+1,FALSE)</f>
        <v>#N/A</v>
      </c>
      <c r="L30" s="23" t="e">
        <f>VLOOKUP($B30,Diarios!$B$3:$J$5000,MATCH(L$3,Diarios!$C$3:$J$3,0)+1,FALSE)</f>
        <v>#N/A</v>
      </c>
      <c r="M30" s="24" t="e">
        <f>VLOOKUP($B30,Diarios!$B$3:$J$5000,MATCH(M$3,Diarios!$C$3:$J$3,0)+1,FALSE)</f>
        <v>#N/A</v>
      </c>
      <c r="N30" s="49"/>
    </row>
    <row r="31" spans="1:14" x14ac:dyDescent="0.25">
      <c r="A31" s="12">
        <f t="shared" si="1"/>
        <v>17</v>
      </c>
      <c r="B31" s="13">
        <f t="shared" si="2"/>
        <v>45002</v>
      </c>
      <c r="C31" s="13"/>
      <c r="D31" s="13"/>
      <c r="E31" s="22">
        <f t="shared" si="3"/>
        <v>17</v>
      </c>
      <c r="F31" s="23" t="e">
        <f>VLOOKUP($B31,Diarios!$B$3:$J$5000,MATCH(F$3,Diarios!$C$3:$J$3,0)+1,FALSE)</f>
        <v>#N/A</v>
      </c>
      <c r="G31" s="23" t="e">
        <f>VLOOKUP($B31,Diarios!$B$3:$J$5000,MATCH(G$3,Diarios!$C$3:$J$3,0)+1,FALSE)</f>
        <v>#N/A</v>
      </c>
      <c r="H31" s="23" t="e">
        <f>VLOOKUP($B31,Diarios!$B$3:$J$5000,MATCH(H$3,Diarios!$C$3:$J$3,0)+1,FALSE)</f>
        <v>#N/A</v>
      </c>
      <c r="I31" s="23" t="e">
        <f>VLOOKUP($B31,Diarios!$B$3:$J$5000,MATCH(I$3,Diarios!$C$3:$J$3,0)+1,FALSE)</f>
        <v>#N/A</v>
      </c>
      <c r="J31" s="23" t="e">
        <f>VLOOKUP($B31,Diarios!$B$3:$J$5000,MATCH(J$3,Diarios!$C$3:$J$3,0)+1,FALSE)</f>
        <v>#N/A</v>
      </c>
      <c r="K31" s="23" t="e">
        <f>VLOOKUP($B31,Diarios!$B$3:$J$5000,MATCH(K$3,Diarios!$C$3:$J$3,0)+1,FALSE)</f>
        <v>#N/A</v>
      </c>
      <c r="L31" s="23" t="e">
        <f>VLOOKUP($B31,Diarios!$B$3:$J$5000,MATCH(L$3,Diarios!$C$3:$J$3,0)+1,FALSE)</f>
        <v>#N/A</v>
      </c>
      <c r="M31" s="24" t="e">
        <f>VLOOKUP($B31,Diarios!$B$3:$J$5000,MATCH(M$3,Diarios!$C$3:$J$3,0)+1,FALSE)</f>
        <v>#N/A</v>
      </c>
      <c r="N31" s="49"/>
    </row>
    <row r="32" spans="1:14" x14ac:dyDescent="0.25">
      <c r="A32" s="12">
        <f t="shared" si="1"/>
        <v>18</v>
      </c>
      <c r="B32" s="13">
        <f t="shared" si="2"/>
        <v>45003</v>
      </c>
      <c r="C32" s="13"/>
      <c r="D32" s="13"/>
      <c r="E32" s="22">
        <f t="shared" si="3"/>
        <v>18</v>
      </c>
      <c r="F32" s="23" t="e">
        <f>VLOOKUP($B32,Diarios!$B$3:$J$5000,MATCH(F$3,Diarios!$C$3:$J$3,0)+1,FALSE)</f>
        <v>#N/A</v>
      </c>
      <c r="G32" s="23" t="e">
        <f>VLOOKUP($B32,Diarios!$B$3:$J$5000,MATCH(G$3,Diarios!$C$3:$J$3,0)+1,FALSE)</f>
        <v>#N/A</v>
      </c>
      <c r="H32" s="23" t="e">
        <f>VLOOKUP($B32,Diarios!$B$3:$J$5000,MATCH(H$3,Diarios!$C$3:$J$3,0)+1,FALSE)</f>
        <v>#N/A</v>
      </c>
      <c r="I32" s="23" t="e">
        <f>VLOOKUP($B32,Diarios!$B$3:$J$5000,MATCH(I$3,Diarios!$C$3:$J$3,0)+1,FALSE)</f>
        <v>#N/A</v>
      </c>
      <c r="J32" s="23" t="e">
        <f>VLOOKUP($B32,Diarios!$B$3:$J$5000,MATCH(J$3,Diarios!$C$3:$J$3,0)+1,FALSE)</f>
        <v>#N/A</v>
      </c>
      <c r="K32" s="23" t="e">
        <f>VLOOKUP($B32,Diarios!$B$3:$J$5000,MATCH(K$3,Diarios!$C$3:$J$3,0)+1,FALSE)</f>
        <v>#N/A</v>
      </c>
      <c r="L32" s="23" t="e">
        <f>VLOOKUP($B32,Diarios!$B$3:$J$5000,MATCH(L$3,Diarios!$C$3:$J$3,0)+1,FALSE)</f>
        <v>#N/A</v>
      </c>
      <c r="M32" s="24" t="e">
        <f>VLOOKUP($B32,Diarios!$B$3:$J$5000,MATCH(M$3,Diarios!$C$3:$J$3,0)+1,FALSE)</f>
        <v>#N/A</v>
      </c>
      <c r="N32" s="49"/>
    </row>
    <row r="33" spans="1:14" x14ac:dyDescent="0.25">
      <c r="A33" s="12">
        <f t="shared" si="1"/>
        <v>19</v>
      </c>
      <c r="B33" s="13">
        <f t="shared" si="2"/>
        <v>45004</v>
      </c>
      <c r="C33" s="13"/>
      <c r="D33" s="13"/>
      <c r="E33" s="22">
        <f t="shared" si="3"/>
        <v>19</v>
      </c>
      <c r="F33" s="23" t="e">
        <f>VLOOKUP($B33,Diarios!$B$3:$J$5000,MATCH(F$3,Diarios!$C$3:$J$3,0)+1,FALSE)</f>
        <v>#N/A</v>
      </c>
      <c r="G33" s="23" t="e">
        <f>VLOOKUP($B33,Diarios!$B$3:$J$5000,MATCH(G$3,Diarios!$C$3:$J$3,0)+1,FALSE)</f>
        <v>#N/A</v>
      </c>
      <c r="H33" s="23" t="e">
        <f>VLOOKUP($B33,Diarios!$B$3:$J$5000,MATCH(H$3,Diarios!$C$3:$J$3,0)+1,FALSE)</f>
        <v>#N/A</v>
      </c>
      <c r="I33" s="23" t="e">
        <f>VLOOKUP($B33,Diarios!$B$3:$J$5000,MATCH(I$3,Diarios!$C$3:$J$3,0)+1,FALSE)</f>
        <v>#N/A</v>
      </c>
      <c r="J33" s="23" t="e">
        <f>VLOOKUP($B33,Diarios!$B$3:$J$5000,MATCH(J$3,Diarios!$C$3:$J$3,0)+1,FALSE)</f>
        <v>#N/A</v>
      </c>
      <c r="K33" s="23" t="e">
        <f>VLOOKUP($B33,Diarios!$B$3:$J$5000,MATCH(K$3,Diarios!$C$3:$J$3,0)+1,FALSE)</f>
        <v>#N/A</v>
      </c>
      <c r="L33" s="23" t="e">
        <f>VLOOKUP($B33,Diarios!$B$3:$J$5000,MATCH(L$3,Diarios!$C$3:$J$3,0)+1,FALSE)</f>
        <v>#N/A</v>
      </c>
      <c r="M33" s="24" t="e">
        <f>VLOOKUP($B33,Diarios!$B$3:$J$5000,MATCH(M$3,Diarios!$C$3:$J$3,0)+1,FALSE)</f>
        <v>#N/A</v>
      </c>
      <c r="N33" s="49"/>
    </row>
    <row r="34" spans="1:14" x14ac:dyDescent="0.25">
      <c r="A34" s="12">
        <f t="shared" si="1"/>
        <v>20</v>
      </c>
      <c r="B34" s="13">
        <f t="shared" si="2"/>
        <v>45005</v>
      </c>
      <c r="C34" s="13"/>
      <c r="D34" s="13"/>
      <c r="E34" s="22">
        <f t="shared" si="3"/>
        <v>20</v>
      </c>
      <c r="F34" s="23" t="e">
        <f>VLOOKUP($B34,Diarios!$B$3:$J$5000,MATCH(F$3,Diarios!$C$3:$J$3,0)+1,FALSE)</f>
        <v>#N/A</v>
      </c>
      <c r="G34" s="23" t="e">
        <f>VLOOKUP($B34,Diarios!$B$3:$J$5000,MATCH(G$3,Diarios!$C$3:$J$3,0)+1,FALSE)</f>
        <v>#N/A</v>
      </c>
      <c r="H34" s="23" t="e">
        <f>VLOOKUP($B34,Diarios!$B$3:$J$5000,MATCH(H$3,Diarios!$C$3:$J$3,0)+1,FALSE)</f>
        <v>#N/A</v>
      </c>
      <c r="I34" s="23" t="e">
        <f>VLOOKUP($B34,Diarios!$B$3:$J$5000,MATCH(I$3,Diarios!$C$3:$J$3,0)+1,FALSE)</f>
        <v>#N/A</v>
      </c>
      <c r="J34" s="23" t="e">
        <f>VLOOKUP($B34,Diarios!$B$3:$J$5000,MATCH(J$3,Diarios!$C$3:$J$3,0)+1,FALSE)</f>
        <v>#N/A</v>
      </c>
      <c r="K34" s="23" t="e">
        <f>VLOOKUP($B34,Diarios!$B$3:$J$5000,MATCH(K$3,Diarios!$C$3:$J$3,0)+1,FALSE)</f>
        <v>#N/A</v>
      </c>
      <c r="L34" s="23" t="e">
        <f>VLOOKUP($B34,Diarios!$B$3:$J$5000,MATCH(L$3,Diarios!$C$3:$J$3,0)+1,FALSE)</f>
        <v>#N/A</v>
      </c>
      <c r="M34" s="24" t="e">
        <f>VLOOKUP($B34,Diarios!$B$3:$J$5000,MATCH(M$3,Diarios!$C$3:$J$3,0)+1,FALSE)</f>
        <v>#N/A</v>
      </c>
      <c r="N34" s="49"/>
    </row>
    <row r="35" spans="1:14" x14ac:dyDescent="0.25">
      <c r="A35" s="12">
        <f t="shared" si="1"/>
        <v>21</v>
      </c>
      <c r="B35" s="13">
        <f t="shared" si="2"/>
        <v>45006</v>
      </c>
      <c r="C35" s="13"/>
      <c r="D35" s="13"/>
      <c r="E35" s="22">
        <f t="shared" si="3"/>
        <v>21</v>
      </c>
      <c r="F35" s="23" t="e">
        <f>VLOOKUP($B35,Diarios!$B$3:$J$5000,MATCH(F$3,Diarios!$C$3:$J$3,0)+1,FALSE)</f>
        <v>#N/A</v>
      </c>
      <c r="G35" s="23" t="e">
        <f>VLOOKUP($B35,Diarios!$B$3:$J$5000,MATCH(G$3,Diarios!$C$3:$J$3,0)+1,FALSE)</f>
        <v>#N/A</v>
      </c>
      <c r="H35" s="23" t="e">
        <f>VLOOKUP($B35,Diarios!$B$3:$J$5000,MATCH(H$3,Diarios!$C$3:$J$3,0)+1,FALSE)</f>
        <v>#N/A</v>
      </c>
      <c r="I35" s="23" t="e">
        <f>VLOOKUP($B35,Diarios!$B$3:$J$5000,MATCH(I$3,Diarios!$C$3:$J$3,0)+1,FALSE)</f>
        <v>#N/A</v>
      </c>
      <c r="J35" s="23" t="e">
        <f>VLOOKUP($B35,Diarios!$B$3:$J$5000,MATCH(J$3,Diarios!$C$3:$J$3,0)+1,FALSE)</f>
        <v>#N/A</v>
      </c>
      <c r="K35" s="23" t="e">
        <f>VLOOKUP($B35,Diarios!$B$3:$J$5000,MATCH(K$3,Diarios!$C$3:$J$3,0)+1,FALSE)</f>
        <v>#N/A</v>
      </c>
      <c r="L35" s="23" t="e">
        <f>VLOOKUP($B35,Diarios!$B$3:$J$5000,MATCH(L$3,Diarios!$C$3:$J$3,0)+1,FALSE)</f>
        <v>#N/A</v>
      </c>
      <c r="M35" s="24" t="e">
        <f>VLOOKUP($B35,Diarios!$B$3:$J$5000,MATCH(M$3,Diarios!$C$3:$J$3,0)+1,FALSE)</f>
        <v>#N/A</v>
      </c>
      <c r="N35" s="49"/>
    </row>
    <row r="36" spans="1:14" x14ac:dyDescent="0.25">
      <c r="A36" s="12">
        <f t="shared" si="1"/>
        <v>22</v>
      </c>
      <c r="B36" s="13">
        <f t="shared" si="2"/>
        <v>45007</v>
      </c>
      <c r="C36" s="13"/>
      <c r="D36" s="13"/>
      <c r="E36" s="22">
        <f t="shared" si="3"/>
        <v>22</v>
      </c>
      <c r="F36" s="23" t="e">
        <f>VLOOKUP($B36,Diarios!$B$3:$J$5000,MATCH(F$3,Diarios!$C$3:$J$3,0)+1,FALSE)</f>
        <v>#N/A</v>
      </c>
      <c r="G36" s="23" t="e">
        <f>VLOOKUP($B36,Diarios!$B$3:$J$5000,MATCH(G$3,Diarios!$C$3:$J$3,0)+1,FALSE)</f>
        <v>#N/A</v>
      </c>
      <c r="H36" s="23" t="e">
        <f>VLOOKUP($B36,Diarios!$B$3:$J$5000,MATCH(H$3,Diarios!$C$3:$J$3,0)+1,FALSE)</f>
        <v>#N/A</v>
      </c>
      <c r="I36" s="23" t="e">
        <f>VLOOKUP($B36,Diarios!$B$3:$J$5000,MATCH(I$3,Diarios!$C$3:$J$3,0)+1,FALSE)</f>
        <v>#N/A</v>
      </c>
      <c r="J36" s="23" t="e">
        <f>VLOOKUP($B36,Diarios!$B$3:$J$5000,MATCH(J$3,Diarios!$C$3:$J$3,0)+1,FALSE)</f>
        <v>#N/A</v>
      </c>
      <c r="K36" s="23" t="e">
        <f>VLOOKUP($B36,Diarios!$B$3:$J$5000,MATCH(K$3,Diarios!$C$3:$J$3,0)+1,FALSE)</f>
        <v>#N/A</v>
      </c>
      <c r="L36" s="23" t="e">
        <f>VLOOKUP($B36,Diarios!$B$3:$J$5000,MATCH(L$3,Diarios!$C$3:$J$3,0)+1,FALSE)</f>
        <v>#N/A</v>
      </c>
      <c r="M36" s="24" t="e">
        <f>VLOOKUP($B36,Diarios!$B$3:$J$5000,MATCH(M$3,Diarios!$C$3:$J$3,0)+1,FALSE)</f>
        <v>#N/A</v>
      </c>
      <c r="N36" s="49"/>
    </row>
    <row r="37" spans="1:14" x14ac:dyDescent="0.25">
      <c r="A37" s="12">
        <f t="shared" si="1"/>
        <v>23</v>
      </c>
      <c r="B37" s="13">
        <f t="shared" si="2"/>
        <v>45008</v>
      </c>
      <c r="C37" s="13"/>
      <c r="D37" s="13"/>
      <c r="E37" s="22">
        <f t="shared" si="3"/>
        <v>23</v>
      </c>
      <c r="F37" s="23" t="e">
        <f>VLOOKUP($B37,Diarios!$B$3:$J$5000,MATCH(F$3,Diarios!$C$3:$J$3,0)+1,FALSE)</f>
        <v>#N/A</v>
      </c>
      <c r="G37" s="23" t="e">
        <f>VLOOKUP($B37,Diarios!$B$3:$J$5000,MATCH(G$3,Diarios!$C$3:$J$3,0)+1,FALSE)</f>
        <v>#N/A</v>
      </c>
      <c r="H37" s="23" t="e">
        <f>VLOOKUP($B37,Diarios!$B$3:$J$5000,MATCH(H$3,Diarios!$C$3:$J$3,0)+1,FALSE)</f>
        <v>#N/A</v>
      </c>
      <c r="I37" s="23" t="e">
        <f>VLOOKUP($B37,Diarios!$B$3:$J$5000,MATCH(I$3,Diarios!$C$3:$J$3,0)+1,FALSE)</f>
        <v>#N/A</v>
      </c>
      <c r="J37" s="23" t="e">
        <f>VLOOKUP($B37,Diarios!$B$3:$J$5000,MATCH(J$3,Diarios!$C$3:$J$3,0)+1,FALSE)</f>
        <v>#N/A</v>
      </c>
      <c r="K37" s="23" t="e">
        <f>VLOOKUP($B37,Diarios!$B$3:$J$5000,MATCH(K$3,Diarios!$C$3:$J$3,0)+1,FALSE)</f>
        <v>#N/A</v>
      </c>
      <c r="L37" s="23" t="e">
        <f>VLOOKUP($B37,Diarios!$B$3:$J$5000,MATCH(L$3,Diarios!$C$3:$J$3,0)+1,FALSE)</f>
        <v>#N/A</v>
      </c>
      <c r="M37" s="24" t="e">
        <f>VLOOKUP($B37,Diarios!$B$3:$J$5000,MATCH(M$3,Diarios!$C$3:$J$3,0)+1,FALSE)</f>
        <v>#N/A</v>
      </c>
      <c r="N37" s="49"/>
    </row>
    <row r="38" spans="1:14" x14ac:dyDescent="0.25">
      <c r="A38" s="12">
        <f t="shared" si="1"/>
        <v>24</v>
      </c>
      <c r="B38" s="13">
        <f t="shared" si="2"/>
        <v>45009</v>
      </c>
      <c r="C38" s="13"/>
      <c r="D38" s="13"/>
      <c r="E38" s="22">
        <f t="shared" si="3"/>
        <v>24</v>
      </c>
      <c r="F38" s="23" t="e">
        <f>VLOOKUP($B38,Diarios!$B$3:$J$5000,MATCH(F$3,Diarios!$C$3:$J$3,0)+1,FALSE)</f>
        <v>#N/A</v>
      </c>
      <c r="G38" s="23" t="e">
        <f>VLOOKUP($B38,Diarios!$B$3:$J$5000,MATCH(G$3,Diarios!$C$3:$J$3,0)+1,FALSE)</f>
        <v>#N/A</v>
      </c>
      <c r="H38" s="23" t="e">
        <f>VLOOKUP($B38,Diarios!$B$3:$J$5000,MATCH(H$3,Diarios!$C$3:$J$3,0)+1,FALSE)</f>
        <v>#N/A</v>
      </c>
      <c r="I38" s="23" t="e">
        <f>VLOOKUP($B38,Diarios!$B$3:$J$5000,MATCH(I$3,Diarios!$C$3:$J$3,0)+1,FALSE)</f>
        <v>#N/A</v>
      </c>
      <c r="J38" s="23" t="e">
        <f>VLOOKUP($B38,Diarios!$B$3:$J$5000,MATCH(J$3,Diarios!$C$3:$J$3,0)+1,FALSE)</f>
        <v>#N/A</v>
      </c>
      <c r="K38" s="23" t="e">
        <f>VLOOKUP($B38,Diarios!$B$3:$J$5000,MATCH(K$3,Diarios!$C$3:$J$3,0)+1,FALSE)</f>
        <v>#N/A</v>
      </c>
      <c r="L38" s="23" t="e">
        <f>VLOOKUP($B38,Diarios!$B$3:$J$5000,MATCH(L$3,Diarios!$C$3:$J$3,0)+1,FALSE)</f>
        <v>#N/A</v>
      </c>
      <c r="M38" s="24" t="e">
        <f>VLOOKUP($B38,Diarios!$B$3:$J$5000,MATCH(M$3,Diarios!$C$3:$J$3,0)+1,FALSE)</f>
        <v>#N/A</v>
      </c>
      <c r="N38" s="49"/>
    </row>
    <row r="39" spans="1:14" x14ac:dyDescent="0.25">
      <c r="A39" s="12">
        <f t="shared" si="1"/>
        <v>25</v>
      </c>
      <c r="B39" s="13">
        <f t="shared" si="2"/>
        <v>45010</v>
      </c>
      <c r="C39" s="13"/>
      <c r="D39" s="13"/>
      <c r="E39" s="22">
        <f t="shared" si="3"/>
        <v>25</v>
      </c>
      <c r="F39" s="23" t="e">
        <f>VLOOKUP($B39,Diarios!$B$3:$J$5000,MATCH(F$3,Diarios!$C$3:$J$3,0)+1,FALSE)</f>
        <v>#N/A</v>
      </c>
      <c r="G39" s="23" t="e">
        <f>VLOOKUP($B39,Diarios!$B$3:$J$5000,MATCH(G$3,Diarios!$C$3:$J$3,0)+1,FALSE)</f>
        <v>#N/A</v>
      </c>
      <c r="H39" s="23" t="e">
        <f>VLOOKUP($B39,Diarios!$B$3:$J$5000,MATCH(H$3,Diarios!$C$3:$J$3,0)+1,FALSE)</f>
        <v>#N/A</v>
      </c>
      <c r="I39" s="23" t="e">
        <f>VLOOKUP($B39,Diarios!$B$3:$J$5000,MATCH(I$3,Diarios!$C$3:$J$3,0)+1,FALSE)</f>
        <v>#N/A</v>
      </c>
      <c r="J39" s="23" t="e">
        <f>VLOOKUP($B39,Diarios!$B$3:$J$5000,MATCH(J$3,Diarios!$C$3:$J$3,0)+1,FALSE)</f>
        <v>#N/A</v>
      </c>
      <c r="K39" s="23" t="e">
        <f>VLOOKUP($B39,Diarios!$B$3:$J$5000,MATCH(K$3,Diarios!$C$3:$J$3,0)+1,FALSE)</f>
        <v>#N/A</v>
      </c>
      <c r="L39" s="23" t="e">
        <f>VLOOKUP($B39,Diarios!$B$3:$J$5000,MATCH(L$3,Diarios!$C$3:$J$3,0)+1,FALSE)</f>
        <v>#N/A</v>
      </c>
      <c r="M39" s="24" t="e">
        <f>VLOOKUP($B39,Diarios!$B$3:$J$5000,MATCH(M$3,Diarios!$C$3:$J$3,0)+1,FALSE)</f>
        <v>#N/A</v>
      </c>
      <c r="N39" s="49"/>
    </row>
    <row r="40" spans="1:14" x14ac:dyDescent="0.25">
      <c r="A40" s="12">
        <f t="shared" si="1"/>
        <v>26</v>
      </c>
      <c r="B40" s="13">
        <f t="shared" si="2"/>
        <v>45011</v>
      </c>
      <c r="C40" s="13"/>
      <c r="D40" s="13"/>
      <c r="E40" s="22">
        <f t="shared" si="3"/>
        <v>26</v>
      </c>
      <c r="F40" s="23" t="e">
        <f>VLOOKUP($B40,Diarios!$B$3:$J$5000,MATCH(F$3,Diarios!$C$3:$J$3,0)+1,FALSE)</f>
        <v>#N/A</v>
      </c>
      <c r="G40" s="23" t="e">
        <f>VLOOKUP($B40,Diarios!$B$3:$J$5000,MATCH(G$3,Diarios!$C$3:$J$3,0)+1,FALSE)</f>
        <v>#N/A</v>
      </c>
      <c r="H40" s="23" t="e">
        <f>VLOOKUP($B40,Diarios!$B$3:$J$5000,MATCH(H$3,Diarios!$C$3:$J$3,0)+1,FALSE)</f>
        <v>#N/A</v>
      </c>
      <c r="I40" s="23" t="e">
        <f>VLOOKUP($B40,Diarios!$B$3:$J$5000,MATCH(I$3,Diarios!$C$3:$J$3,0)+1,FALSE)</f>
        <v>#N/A</v>
      </c>
      <c r="J40" s="23" t="e">
        <f>VLOOKUP($B40,Diarios!$B$3:$J$5000,MATCH(J$3,Diarios!$C$3:$J$3,0)+1,FALSE)</f>
        <v>#N/A</v>
      </c>
      <c r="K40" s="23" t="e">
        <f>VLOOKUP($B40,Diarios!$B$3:$J$5000,MATCH(K$3,Diarios!$C$3:$J$3,0)+1,FALSE)</f>
        <v>#N/A</v>
      </c>
      <c r="L40" s="23" t="e">
        <f>VLOOKUP($B40,Diarios!$B$3:$J$5000,MATCH(L$3,Diarios!$C$3:$J$3,0)+1,FALSE)</f>
        <v>#N/A</v>
      </c>
      <c r="M40" s="24" t="e">
        <f>VLOOKUP($B40,Diarios!$B$3:$J$5000,MATCH(M$3,Diarios!$C$3:$J$3,0)+1,FALSE)</f>
        <v>#N/A</v>
      </c>
      <c r="N40" s="49"/>
    </row>
    <row r="41" spans="1:14" x14ac:dyDescent="0.25">
      <c r="A41" s="12">
        <f t="shared" si="1"/>
        <v>27</v>
      </c>
      <c r="B41" s="13">
        <f t="shared" si="2"/>
        <v>45012</v>
      </c>
      <c r="C41" s="13"/>
      <c r="D41" s="13"/>
      <c r="E41" s="22">
        <f t="shared" si="3"/>
        <v>27</v>
      </c>
      <c r="F41" s="23" t="e">
        <f>VLOOKUP($B41,Diarios!$B$3:$J$5000,MATCH(F$3,Diarios!$C$3:$J$3,0)+1,FALSE)</f>
        <v>#N/A</v>
      </c>
      <c r="G41" s="23" t="e">
        <f>VLOOKUP($B41,Diarios!$B$3:$J$5000,MATCH(G$3,Diarios!$C$3:$J$3,0)+1,FALSE)</f>
        <v>#N/A</v>
      </c>
      <c r="H41" s="23" t="e">
        <f>VLOOKUP($B41,Diarios!$B$3:$J$5000,MATCH(H$3,Diarios!$C$3:$J$3,0)+1,FALSE)</f>
        <v>#N/A</v>
      </c>
      <c r="I41" s="23" t="e">
        <f>VLOOKUP($B41,Diarios!$B$3:$J$5000,MATCH(I$3,Diarios!$C$3:$J$3,0)+1,FALSE)</f>
        <v>#N/A</v>
      </c>
      <c r="J41" s="23" t="e">
        <f>VLOOKUP($B41,Diarios!$B$3:$J$5000,MATCH(J$3,Diarios!$C$3:$J$3,0)+1,FALSE)</f>
        <v>#N/A</v>
      </c>
      <c r="K41" s="23" t="e">
        <f>VLOOKUP($B41,Diarios!$B$3:$J$5000,MATCH(K$3,Diarios!$C$3:$J$3,0)+1,FALSE)</f>
        <v>#N/A</v>
      </c>
      <c r="L41" s="23" t="e">
        <f>VLOOKUP($B41,Diarios!$B$3:$J$5000,MATCH(L$3,Diarios!$C$3:$J$3,0)+1,FALSE)</f>
        <v>#N/A</v>
      </c>
      <c r="M41" s="24" t="e">
        <f>VLOOKUP($B41,Diarios!$B$3:$J$5000,MATCH(M$3,Diarios!$C$3:$J$3,0)+1,FALSE)</f>
        <v>#N/A</v>
      </c>
      <c r="N41" s="49"/>
    </row>
    <row r="42" spans="1:14" x14ac:dyDescent="0.25">
      <c r="A42" s="12">
        <f t="shared" si="1"/>
        <v>28</v>
      </c>
      <c r="B42" s="13">
        <f t="shared" si="2"/>
        <v>45013</v>
      </c>
      <c r="C42" s="13"/>
      <c r="D42" s="13"/>
      <c r="E42" s="22">
        <f t="shared" si="3"/>
        <v>28</v>
      </c>
      <c r="F42" s="23" t="e">
        <f>VLOOKUP($B42,Diarios!$B$3:$J$5000,MATCH(F$3,Diarios!$C$3:$J$3,0)+1,FALSE)</f>
        <v>#N/A</v>
      </c>
      <c r="G42" s="23" t="e">
        <f>VLOOKUP($B42,Diarios!$B$3:$J$5000,MATCH(G$3,Diarios!$C$3:$J$3,0)+1,FALSE)</f>
        <v>#N/A</v>
      </c>
      <c r="H42" s="23" t="e">
        <f>VLOOKUP($B42,Diarios!$B$3:$J$5000,MATCH(H$3,Diarios!$C$3:$J$3,0)+1,FALSE)</f>
        <v>#N/A</v>
      </c>
      <c r="I42" s="23" t="e">
        <f>VLOOKUP($B42,Diarios!$B$3:$J$5000,MATCH(I$3,Diarios!$C$3:$J$3,0)+1,FALSE)</f>
        <v>#N/A</v>
      </c>
      <c r="J42" s="23" t="e">
        <f>VLOOKUP($B42,Diarios!$B$3:$J$5000,MATCH(J$3,Diarios!$C$3:$J$3,0)+1,FALSE)</f>
        <v>#N/A</v>
      </c>
      <c r="K42" s="23" t="e">
        <f>VLOOKUP($B42,Diarios!$B$3:$J$5000,MATCH(K$3,Diarios!$C$3:$J$3,0)+1,FALSE)</f>
        <v>#N/A</v>
      </c>
      <c r="L42" s="23" t="e">
        <f>VLOOKUP($B42,Diarios!$B$3:$J$5000,MATCH(L$3,Diarios!$C$3:$J$3,0)+1,FALSE)</f>
        <v>#N/A</v>
      </c>
      <c r="M42" s="24" t="e">
        <f>VLOOKUP($B42,Diarios!$B$3:$J$5000,MATCH(M$3,Diarios!$C$3:$J$3,0)+1,FALSE)</f>
        <v>#N/A</v>
      </c>
      <c r="N42" s="49"/>
    </row>
    <row r="43" spans="1:14" x14ac:dyDescent="0.25">
      <c r="A43" s="12">
        <f t="shared" si="1"/>
        <v>29</v>
      </c>
      <c r="B43" s="13">
        <f t="shared" si="2"/>
        <v>45014</v>
      </c>
      <c r="C43" s="13"/>
      <c r="D43" s="13"/>
      <c r="E43" s="22">
        <f t="shared" si="3"/>
        <v>29</v>
      </c>
      <c r="F43" s="23" t="e">
        <f>VLOOKUP($B43,Diarios!$B$3:$J$5000,MATCH(F$3,Diarios!$C$3:$J$3,0)+1,FALSE)</f>
        <v>#N/A</v>
      </c>
      <c r="G43" s="23" t="e">
        <f>VLOOKUP($B43,Diarios!$B$3:$J$5000,MATCH(G$3,Diarios!$C$3:$J$3,0)+1,FALSE)</f>
        <v>#N/A</v>
      </c>
      <c r="H43" s="23" t="e">
        <f>VLOOKUP($B43,Diarios!$B$3:$J$5000,MATCH(H$3,Diarios!$C$3:$J$3,0)+1,FALSE)</f>
        <v>#N/A</v>
      </c>
      <c r="I43" s="23" t="e">
        <f>VLOOKUP($B43,Diarios!$B$3:$J$5000,MATCH(I$3,Diarios!$C$3:$J$3,0)+1,FALSE)</f>
        <v>#N/A</v>
      </c>
      <c r="J43" s="23" t="e">
        <f>VLOOKUP($B43,Diarios!$B$3:$J$5000,MATCH(J$3,Diarios!$C$3:$J$3,0)+1,FALSE)</f>
        <v>#N/A</v>
      </c>
      <c r="K43" s="23" t="e">
        <f>VLOOKUP($B43,Diarios!$B$3:$J$5000,MATCH(K$3,Diarios!$C$3:$J$3,0)+1,FALSE)</f>
        <v>#N/A</v>
      </c>
      <c r="L43" s="23" t="e">
        <f>VLOOKUP($B43,Diarios!$B$3:$J$5000,MATCH(L$3,Diarios!$C$3:$J$3,0)+1,FALSE)</f>
        <v>#N/A</v>
      </c>
      <c r="M43" s="24" t="e">
        <f>VLOOKUP($B43,Diarios!$B$3:$J$5000,MATCH(M$3,Diarios!$C$3:$J$3,0)+1,FALSE)</f>
        <v>#N/A</v>
      </c>
      <c r="N43" s="49"/>
    </row>
    <row r="44" spans="1:14" x14ac:dyDescent="0.25">
      <c r="A44" s="12">
        <f t="shared" si="1"/>
        <v>30</v>
      </c>
      <c r="B44" s="13">
        <f t="shared" si="2"/>
        <v>45015</v>
      </c>
      <c r="C44" s="13"/>
      <c r="D44" s="13"/>
      <c r="E44" s="22">
        <f t="shared" si="3"/>
        <v>30</v>
      </c>
      <c r="F44" s="23" t="e">
        <f>VLOOKUP($B44,Diarios!$B$3:$J$5000,MATCH(F$3,Diarios!$C$3:$J$3,0)+1,FALSE)</f>
        <v>#N/A</v>
      </c>
      <c r="G44" s="23" t="e">
        <f>VLOOKUP($B44,Diarios!$B$3:$J$5000,MATCH(G$3,Diarios!$C$3:$J$3,0)+1,FALSE)</f>
        <v>#N/A</v>
      </c>
      <c r="H44" s="23" t="e">
        <f>VLOOKUP($B44,Diarios!$B$3:$J$5000,MATCH(H$3,Diarios!$C$3:$J$3,0)+1,FALSE)</f>
        <v>#N/A</v>
      </c>
      <c r="I44" s="23" t="e">
        <f>VLOOKUP($B44,Diarios!$B$3:$J$5000,MATCH(I$3,Diarios!$C$3:$J$3,0)+1,FALSE)</f>
        <v>#N/A</v>
      </c>
      <c r="J44" s="23" t="e">
        <f>VLOOKUP($B44,Diarios!$B$3:$J$5000,MATCH(J$3,Diarios!$C$3:$J$3,0)+1,FALSE)</f>
        <v>#N/A</v>
      </c>
      <c r="K44" s="23" t="e">
        <f>VLOOKUP($B44,Diarios!$B$3:$J$5000,MATCH(K$3,Diarios!$C$3:$J$3,0)+1,FALSE)</f>
        <v>#N/A</v>
      </c>
      <c r="L44" s="23" t="e">
        <f>VLOOKUP($B44,Diarios!$B$3:$J$5000,MATCH(L$3,Diarios!$C$3:$J$3,0)+1,FALSE)</f>
        <v>#N/A</v>
      </c>
      <c r="M44" s="24" t="e">
        <f>VLOOKUP($B44,Diarios!$B$3:$J$5000,MATCH(M$3,Diarios!$C$3:$J$3,0)+1,FALSE)</f>
        <v>#N/A</v>
      </c>
      <c r="N44" s="49"/>
    </row>
    <row r="45" spans="1:14" x14ac:dyDescent="0.25">
      <c r="A45" s="12">
        <f t="shared" si="1"/>
        <v>31</v>
      </c>
      <c r="B45" s="13">
        <f t="shared" si="2"/>
        <v>45016</v>
      </c>
      <c r="C45" s="13"/>
      <c r="D45" s="13"/>
      <c r="E45" s="22">
        <f t="shared" si="3"/>
        <v>31</v>
      </c>
      <c r="F45" s="23" t="e">
        <f>VLOOKUP($B45,Diarios!$B$3:$J$5000,MATCH(F$3,Diarios!$C$3:$J$3,0)+1,FALSE)</f>
        <v>#N/A</v>
      </c>
      <c r="G45" s="23" t="e">
        <f>VLOOKUP($B45,Diarios!$B$3:$J$5000,MATCH(G$3,Diarios!$C$3:$J$3,0)+1,FALSE)</f>
        <v>#N/A</v>
      </c>
      <c r="H45" s="23" t="e">
        <f>VLOOKUP($B45,Diarios!$B$3:$J$5000,MATCH(H$3,Diarios!$C$3:$J$3,0)+1,FALSE)</f>
        <v>#N/A</v>
      </c>
      <c r="I45" s="23" t="e">
        <f>VLOOKUP($B45,Diarios!$B$3:$J$5000,MATCH(I$3,Diarios!$C$3:$J$3,0)+1,FALSE)</f>
        <v>#N/A</v>
      </c>
      <c r="J45" s="23" t="e">
        <f>VLOOKUP($B45,Diarios!$B$3:$J$5000,MATCH(J$3,Diarios!$C$3:$J$3,0)+1,FALSE)</f>
        <v>#N/A</v>
      </c>
      <c r="K45" s="23" t="e">
        <f>VLOOKUP($B45,Diarios!$B$3:$J$5000,MATCH(K$3,Diarios!$C$3:$J$3,0)+1,FALSE)</f>
        <v>#N/A</v>
      </c>
      <c r="L45" s="23" t="e">
        <f>VLOOKUP($B45,Diarios!$B$3:$J$5000,MATCH(L$3,Diarios!$C$3:$J$3,0)+1,FALSE)</f>
        <v>#N/A</v>
      </c>
      <c r="M45" s="24" t="e">
        <f>VLOOKUP($B45,Diarios!$B$3:$J$5000,MATCH(M$3,Diarios!$C$3:$J$3,0)+1,FALSE)</f>
        <v>#N/A</v>
      </c>
    </row>
    <row r="46" spans="1:14" x14ac:dyDescent="0.25">
      <c r="A46" s="12"/>
      <c r="B46" s="13"/>
      <c r="C46" s="13"/>
      <c r="D46" s="13"/>
      <c r="E46" s="22"/>
      <c r="F46" s="23"/>
      <c r="G46" s="23"/>
      <c r="H46" s="23"/>
      <c r="I46" s="23"/>
      <c r="J46" s="23"/>
      <c r="K46" s="23"/>
      <c r="L46" s="23"/>
      <c r="M46" s="24"/>
    </row>
    <row r="47" spans="1:14" x14ac:dyDescent="0.25">
      <c r="A47" s="12"/>
      <c r="B47" s="13"/>
      <c r="C47" s="13"/>
      <c r="D47" s="13"/>
      <c r="E47" s="22"/>
      <c r="F47" s="23"/>
      <c r="G47" s="23"/>
      <c r="H47" s="23"/>
      <c r="I47" s="23"/>
      <c r="J47" s="23"/>
      <c r="K47" s="23"/>
      <c r="L47" s="23"/>
      <c r="M47" s="24"/>
    </row>
    <row r="48" spans="1:14" x14ac:dyDescent="0.25">
      <c r="A48" s="12"/>
      <c r="B48" s="13"/>
      <c r="C48" s="13"/>
      <c r="D48" s="13"/>
      <c r="E48" s="22"/>
      <c r="F48" s="23"/>
      <c r="G48" s="23"/>
      <c r="H48" s="23"/>
      <c r="I48" s="23"/>
      <c r="J48" s="23"/>
      <c r="K48" s="23"/>
      <c r="L48" s="23"/>
      <c r="M48" s="24"/>
    </row>
    <row r="49" spans="1:13" x14ac:dyDescent="0.25">
      <c r="A49" s="12"/>
      <c r="B49" s="31"/>
      <c r="C49" s="31"/>
      <c r="D49" s="31"/>
      <c r="E49" s="22"/>
      <c r="F49" s="23"/>
      <c r="G49" s="23"/>
      <c r="H49" s="23"/>
      <c r="I49" s="23"/>
      <c r="J49" s="23"/>
      <c r="K49" s="23"/>
      <c r="L49" s="23"/>
      <c r="M49" s="24"/>
    </row>
    <row r="50" spans="1:13" x14ac:dyDescent="0.25">
      <c r="A50" s="12"/>
      <c r="B50" s="13"/>
      <c r="C50" s="13"/>
      <c r="D50" s="13"/>
      <c r="E50" s="22"/>
      <c r="F50" s="23"/>
      <c r="G50" s="23"/>
      <c r="H50" s="23"/>
      <c r="I50" s="23"/>
      <c r="J50" s="23"/>
      <c r="K50" s="23"/>
      <c r="L50" s="23"/>
      <c r="M50" s="24"/>
    </row>
    <row r="51" spans="1:13" x14ac:dyDescent="0.25">
      <c r="B51" s="13"/>
      <c r="C51" s="13"/>
      <c r="D51" s="13"/>
      <c r="E51" s="22"/>
      <c r="F51" s="23"/>
      <c r="G51" s="23"/>
      <c r="H51" s="23"/>
      <c r="I51" s="23"/>
      <c r="J51" s="23"/>
      <c r="K51" s="23"/>
      <c r="L51" s="23"/>
      <c r="M51" s="24"/>
    </row>
    <row r="52" spans="1:13" x14ac:dyDescent="0.25">
      <c r="B52" s="13"/>
      <c r="C52" s="13"/>
      <c r="D52" s="13"/>
      <c r="E52" s="22"/>
      <c r="F52" s="23"/>
      <c r="G52" s="23"/>
      <c r="H52" s="23"/>
      <c r="I52" s="23"/>
      <c r="J52" s="23"/>
      <c r="K52" s="23"/>
      <c r="L52" s="23"/>
      <c r="M52" s="24"/>
    </row>
    <row r="53" spans="1:13" x14ac:dyDescent="0.25">
      <c r="B53" s="13"/>
      <c r="C53" s="13"/>
      <c r="D53" s="13"/>
      <c r="E53" s="22"/>
      <c r="F53" s="23"/>
      <c r="G53" s="23"/>
      <c r="H53" s="23"/>
      <c r="I53" s="23"/>
      <c r="J53" s="23"/>
      <c r="K53" s="23"/>
      <c r="L53" s="23"/>
      <c r="M53" s="24"/>
    </row>
    <row r="54" spans="1:13" x14ac:dyDescent="0.25">
      <c r="B54" s="13"/>
      <c r="C54" s="13"/>
      <c r="D54" s="13"/>
      <c r="E54" s="22"/>
      <c r="F54" s="23"/>
      <c r="G54" s="23"/>
      <c r="H54" s="23"/>
      <c r="I54" s="23"/>
      <c r="J54" s="23"/>
      <c r="K54" s="23"/>
      <c r="L54" s="23"/>
      <c r="M54" s="24"/>
    </row>
    <row r="55" spans="1:13" x14ac:dyDescent="0.25">
      <c r="B55" s="13"/>
      <c r="C55" s="13"/>
      <c r="D55" s="13"/>
      <c r="E55" s="22"/>
      <c r="F55" s="23"/>
      <c r="G55" s="23"/>
      <c r="H55" s="23"/>
      <c r="I55" s="23"/>
      <c r="J55" s="23"/>
      <c r="K55" s="23"/>
      <c r="L55" s="23"/>
      <c r="M55" s="24"/>
    </row>
    <row r="56" spans="1:13" x14ac:dyDescent="0.25">
      <c r="B56" s="13"/>
      <c r="C56" s="13"/>
      <c r="D56" s="13"/>
      <c r="E56" s="22"/>
      <c r="F56" s="23"/>
      <c r="G56" s="23"/>
      <c r="H56" s="23"/>
      <c r="I56" s="23"/>
      <c r="J56" s="23"/>
      <c r="K56" s="23"/>
      <c r="L56" s="23"/>
      <c r="M56" s="24"/>
    </row>
    <row r="57" spans="1:13" x14ac:dyDescent="0.25">
      <c r="B57" s="13"/>
      <c r="C57" s="13"/>
      <c r="D57" s="13"/>
      <c r="E57" s="22"/>
      <c r="F57" s="23"/>
      <c r="G57" s="23"/>
      <c r="H57" s="23"/>
      <c r="I57" s="23"/>
      <c r="J57" s="23"/>
      <c r="K57" s="23"/>
      <c r="L57" s="23"/>
      <c r="M57" s="24"/>
    </row>
    <row r="58" spans="1:13" x14ac:dyDescent="0.25">
      <c r="B58" s="13"/>
      <c r="C58" s="13"/>
      <c r="D58" s="13"/>
      <c r="E58" s="22"/>
      <c r="F58" s="23"/>
      <c r="G58" s="23"/>
      <c r="H58" s="23"/>
      <c r="I58" s="23"/>
      <c r="J58" s="23"/>
      <c r="K58" s="23"/>
      <c r="L58" s="23"/>
      <c r="M58" s="24"/>
    </row>
    <row r="59" spans="1:13" x14ac:dyDescent="0.25">
      <c r="B59" s="13"/>
      <c r="C59" s="13"/>
      <c r="D59" s="13"/>
      <c r="E59" s="22"/>
      <c r="F59" s="23"/>
      <c r="G59" s="23"/>
      <c r="H59" s="23"/>
      <c r="I59" s="23"/>
      <c r="J59" s="23"/>
      <c r="K59" s="23"/>
      <c r="L59" s="23"/>
      <c r="M59" s="24"/>
    </row>
    <row r="60" spans="1:13" x14ac:dyDescent="0.25">
      <c r="B60" s="13"/>
      <c r="C60" s="13"/>
      <c r="D60" s="13"/>
      <c r="E60" s="22"/>
      <c r="F60" s="23"/>
      <c r="G60" s="23"/>
      <c r="H60" s="23"/>
      <c r="I60" s="23"/>
      <c r="J60" s="23"/>
      <c r="K60" s="23"/>
      <c r="L60" s="23"/>
      <c r="M60" s="24"/>
    </row>
    <row r="61" spans="1:13" x14ac:dyDescent="0.25">
      <c r="B61" s="13"/>
      <c r="C61" s="13"/>
      <c r="D61" s="13"/>
      <c r="E61" s="22"/>
      <c r="F61" s="23"/>
      <c r="G61" s="23"/>
      <c r="H61" s="23"/>
      <c r="I61" s="23"/>
      <c r="J61" s="23"/>
      <c r="K61" s="23"/>
      <c r="L61" s="23"/>
      <c r="M61" s="24"/>
    </row>
    <row r="62" spans="1:13" x14ac:dyDescent="0.25">
      <c r="B62" s="13"/>
      <c r="C62" s="13"/>
      <c r="D62" s="13"/>
      <c r="E62" s="22"/>
      <c r="F62" s="23"/>
      <c r="G62" s="23"/>
      <c r="H62" s="23"/>
      <c r="I62" s="23"/>
      <c r="J62" s="23"/>
      <c r="K62" s="23"/>
      <c r="L62" s="23"/>
      <c r="M62" s="24"/>
    </row>
    <row r="63" spans="1:13" x14ac:dyDescent="0.25">
      <c r="B63" s="13"/>
      <c r="C63" s="13"/>
      <c r="D63" s="13"/>
      <c r="E63" s="22"/>
      <c r="F63" s="23"/>
      <c r="G63" s="23"/>
      <c r="H63" s="23"/>
      <c r="I63" s="23"/>
      <c r="J63" s="23"/>
      <c r="K63" s="23"/>
      <c r="L63" s="23"/>
      <c r="M63" s="24"/>
    </row>
    <row r="64" spans="1:13" x14ac:dyDescent="0.25">
      <c r="B64" s="13"/>
      <c r="C64" s="13"/>
      <c r="D64" s="13"/>
      <c r="E64" s="22"/>
      <c r="F64" s="23"/>
      <c r="G64" s="23"/>
      <c r="H64" s="23"/>
      <c r="I64" s="23"/>
      <c r="J64" s="23"/>
      <c r="K64" s="23"/>
      <c r="L64" s="23"/>
      <c r="M64" s="24"/>
    </row>
    <row r="65" spans="2:13" x14ac:dyDescent="0.25">
      <c r="B65" s="13"/>
      <c r="C65" s="13"/>
      <c r="D65" s="13"/>
      <c r="E65" s="22"/>
      <c r="F65" s="23"/>
      <c r="G65" s="23"/>
      <c r="H65" s="23"/>
      <c r="I65" s="23"/>
      <c r="J65" s="23"/>
      <c r="K65" s="23"/>
      <c r="L65" s="23"/>
      <c r="M65" s="24"/>
    </row>
    <row r="66" spans="2:13" x14ac:dyDescent="0.25">
      <c r="B66" s="13"/>
      <c r="C66" s="13"/>
      <c r="D66" s="13"/>
      <c r="E66" s="22"/>
      <c r="F66" s="23"/>
      <c r="G66" s="23"/>
      <c r="H66" s="23"/>
      <c r="I66" s="23"/>
      <c r="J66" s="23"/>
      <c r="K66" s="23"/>
      <c r="L66" s="23"/>
      <c r="M66" s="24"/>
    </row>
    <row r="67" spans="2:13" x14ac:dyDescent="0.25">
      <c r="B67" s="13"/>
      <c r="C67" s="13"/>
      <c r="D67" s="13"/>
      <c r="E67" s="22"/>
      <c r="F67" s="23"/>
      <c r="G67" s="23"/>
      <c r="H67" s="23"/>
      <c r="I67" s="23"/>
      <c r="J67" s="23"/>
      <c r="K67" s="23"/>
      <c r="L67" s="23"/>
      <c r="M67" s="24"/>
    </row>
    <row r="68" spans="2:13" x14ac:dyDescent="0.25">
      <c r="B68" s="13"/>
      <c r="C68" s="13"/>
      <c r="D68" s="13"/>
      <c r="E68" s="22"/>
      <c r="F68" s="23"/>
      <c r="G68" s="23"/>
      <c r="H68" s="23"/>
      <c r="I68" s="23"/>
      <c r="J68" s="23"/>
      <c r="K68" s="23"/>
      <c r="L68" s="23"/>
      <c r="M68" s="24"/>
    </row>
    <row r="69" spans="2:13" x14ac:dyDescent="0.25">
      <c r="B69" s="13"/>
      <c r="C69" s="13"/>
      <c r="D69" s="13"/>
      <c r="E69" s="22"/>
      <c r="F69" s="23"/>
      <c r="G69" s="23"/>
      <c r="H69" s="23"/>
      <c r="I69" s="23"/>
      <c r="J69" s="23"/>
      <c r="K69" s="23"/>
      <c r="L69" s="23"/>
      <c r="M69" s="24"/>
    </row>
    <row r="70" spans="2:13" x14ac:dyDescent="0.25">
      <c r="B70" s="13"/>
      <c r="C70" s="13"/>
      <c r="D70" s="13"/>
      <c r="E70" s="22"/>
      <c r="F70" s="23"/>
      <c r="G70" s="23"/>
      <c r="H70" s="23"/>
      <c r="I70" s="23"/>
      <c r="J70" s="23"/>
      <c r="K70" s="23"/>
      <c r="L70" s="23"/>
      <c r="M70" s="24"/>
    </row>
    <row r="71" spans="2:13" x14ac:dyDescent="0.25">
      <c r="B71" s="13"/>
      <c r="C71" s="13"/>
      <c r="D71" s="13"/>
      <c r="E71" s="22"/>
      <c r="F71" s="23"/>
      <c r="G71" s="23"/>
      <c r="H71" s="23"/>
      <c r="I71" s="23"/>
      <c r="J71" s="23"/>
      <c r="K71" s="23"/>
      <c r="L71" s="23"/>
      <c r="M71" s="24"/>
    </row>
    <row r="72" spans="2:13" x14ac:dyDescent="0.25">
      <c r="B72" s="13"/>
      <c r="C72" s="13"/>
      <c r="D72" s="13"/>
      <c r="E72" s="22"/>
      <c r="F72" s="23"/>
      <c r="G72" s="23"/>
      <c r="H72" s="23"/>
      <c r="I72" s="23"/>
      <c r="J72" s="23"/>
      <c r="K72" s="23"/>
      <c r="L72" s="23"/>
      <c r="M72" s="24"/>
    </row>
    <row r="73" spans="2:13" x14ac:dyDescent="0.25">
      <c r="B73" s="13"/>
      <c r="C73" s="13"/>
      <c r="D73" s="13"/>
      <c r="E73" s="22"/>
      <c r="F73" s="23"/>
      <c r="G73" s="23"/>
      <c r="H73" s="23"/>
      <c r="I73" s="23"/>
      <c r="J73" s="23"/>
      <c r="K73" s="23"/>
      <c r="L73" s="23"/>
      <c r="M73" s="24"/>
    </row>
    <row r="74" spans="2:13" x14ac:dyDescent="0.25">
      <c r="B74" s="13"/>
      <c r="C74" s="13"/>
      <c r="D74" s="13"/>
      <c r="E74" s="22"/>
      <c r="F74" s="23"/>
      <c r="G74" s="23"/>
      <c r="H74" s="23"/>
      <c r="I74" s="23"/>
      <c r="J74" s="23"/>
      <c r="K74" s="23"/>
      <c r="L74" s="23"/>
      <c r="M74" s="24"/>
    </row>
    <row r="75" spans="2:13" x14ac:dyDescent="0.25">
      <c r="B75" s="13"/>
      <c r="C75" s="13"/>
      <c r="D75" s="13"/>
      <c r="E75" s="22"/>
      <c r="F75" s="23"/>
      <c r="G75" s="23"/>
      <c r="H75" s="23"/>
      <c r="I75" s="23"/>
      <c r="J75" s="23"/>
      <c r="K75" s="23"/>
      <c r="L75" s="23"/>
      <c r="M75" s="24"/>
    </row>
    <row r="76" spans="2:13" x14ac:dyDescent="0.25">
      <c r="B76" s="13"/>
      <c r="C76" s="13"/>
      <c r="D76" s="13"/>
      <c r="E76" s="22"/>
      <c r="F76" s="23"/>
      <c r="G76" s="23"/>
      <c r="H76" s="23"/>
      <c r="I76" s="23"/>
      <c r="J76" s="23"/>
      <c r="K76" s="23"/>
      <c r="L76" s="23"/>
      <c r="M76" s="24"/>
    </row>
    <row r="77" spans="2:13" x14ac:dyDescent="0.25">
      <c r="B77" s="13"/>
      <c r="C77" s="13"/>
      <c r="D77" s="13"/>
      <c r="E77" s="22"/>
      <c r="F77" s="23"/>
      <c r="G77" s="23"/>
      <c r="H77" s="23"/>
      <c r="I77" s="23"/>
      <c r="J77" s="23"/>
      <c r="K77" s="23"/>
      <c r="L77" s="23"/>
      <c r="M77" s="24"/>
    </row>
    <row r="78" spans="2:13" x14ac:dyDescent="0.25">
      <c r="B78" s="13"/>
      <c r="C78" s="13"/>
      <c r="D78" s="13"/>
      <c r="E78" s="22"/>
      <c r="F78" s="23"/>
      <c r="G78" s="23"/>
      <c r="H78" s="23"/>
      <c r="I78" s="23"/>
      <c r="J78" s="23"/>
      <c r="K78" s="23"/>
      <c r="L78" s="23"/>
      <c r="M78" s="24"/>
    </row>
    <row r="79" spans="2:13" x14ac:dyDescent="0.25">
      <c r="F79" s="23"/>
      <c r="G79" s="23"/>
      <c r="H79" s="23"/>
      <c r="I79" s="23"/>
      <c r="J79" s="23"/>
      <c r="K79" s="23"/>
      <c r="L79" s="23"/>
      <c r="M79" s="23"/>
    </row>
  </sheetData>
  <mergeCells count="2">
    <mergeCell ref="P12:X12"/>
    <mergeCell ref="E14:M14"/>
  </mergeCells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Platts</vt:lpstr>
      <vt:lpstr>Diarios</vt:lpstr>
      <vt:lpstr>Tabla</vt:lpstr>
      <vt:lpstr>GPrecio</vt:lpstr>
      <vt:lpstr>Tabla2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Gabriela López</dc:creator>
  <cp:lastModifiedBy>Fernando</cp:lastModifiedBy>
  <dcterms:created xsi:type="dcterms:W3CDTF">2022-11-01T23:49:25Z</dcterms:created>
  <dcterms:modified xsi:type="dcterms:W3CDTF">2023-03-14T01:08:44Z</dcterms:modified>
</cp:coreProperties>
</file>